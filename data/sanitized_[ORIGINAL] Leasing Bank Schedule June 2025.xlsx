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Units" sheetId="6" state="visible" r:id="rId6"/>
    <sheet name="Buildings" sheetId="7" state="visible" r:id="rId7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'Units'!$A$1:$AH$427</definedName>
    <definedName name="_xlnm._FilterDatabase" localSheetId="6" hidden="1">'Buildings'!$A$1:$F$1</definedName>
  </definedNames>
  <calcPr calcId="191029" fullCalcOnLoad="1" iterate="1"/>
</workbook>
</file>

<file path=xl/styles.xml><?xml version="1.0" encoding="utf-8"?>
<styleSheet xmlns="http://schemas.openxmlformats.org/spreadsheetml/2006/main">
  <numFmts count="28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  <numFmt numFmtId="191" formatCode="£#,##0"/>
  </numFmts>
  <fonts count="74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3" fillId="0" borderId="0" pivotButton="0" quotePrefix="0" xfId="0"/>
    <xf numFmtId="165" fontId="0" fillId="0" borderId="0" pivotButton="0" quotePrefix="0" xfId="0"/>
    <xf numFmtId="191" fontId="0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24" customWidth="1" min="6" max="6"/>
  </cols>
  <sheetData>
    <row r="1">
      <c r="A1" s="866" t="inlineStr">
        <is>
          <t>Building</t>
        </is>
      </c>
      <c r="B1" s="866" t="inlineStr">
        <is>
          <t>Net Area</t>
        </is>
      </c>
      <c r="C1" s="866" t="inlineStr">
        <is>
          <t>Rent PA (£)</t>
        </is>
      </c>
      <c r="D1" s="866" t="inlineStr">
        <is>
          <t>2023 ERV (£)</t>
        </is>
      </c>
      <c r="E1" s="866" t="inlineStr">
        <is>
          <t>2024 ERV (£)</t>
        </is>
      </c>
      <c r="F1" s="866" t="inlineStr">
        <is>
          <t>2024 Cap Valn. (£)</t>
        </is>
      </c>
    </row>
    <row r="2">
      <c r="A2" t="inlineStr">
        <is>
          <t>5-6 Bywell Place</t>
        </is>
      </c>
      <c r="B2" s="475">
        <f>SUMIF(Units!D:D,"5-6 Bywell Place",Units!G:G)</f>
        <v/>
      </c>
      <c r="C2" s="867">
        <f>SUMIF(Units!D:D,"5-6 Bywell Place",Units!P:P)</f>
        <v/>
      </c>
      <c r="D2" s="867">
        <f>SUMIF(Units!D:D,"5-6 Bywell Place",Units!S:S)</f>
        <v/>
      </c>
      <c r="E2" s="867">
        <f>SUMIF(Units!D:D,"5-6 Bywell Place",Units!U:U)</f>
        <v/>
      </c>
      <c r="F2" s="868">
        <f>'Bank Schedule'!AB7</f>
        <v/>
      </c>
    </row>
    <row r="3">
      <c r="A3" t="inlineStr">
        <is>
          <t>22 and 23-25 Eastcastle Street</t>
        </is>
      </c>
      <c r="B3" s="475">
        <f>SUMIF(Units!D:D,"22 and 23-25 Eastcastle Street",Units!G:G)</f>
        <v/>
      </c>
      <c r="C3" s="867">
        <f>SUMIF(Units!D:D,"22 and 23-25 Eastcastle Street",Units!P:P)</f>
        <v/>
      </c>
      <c r="D3" s="867">
        <f>SUMIF(Units!D:D,"22 and 23-25 Eastcastle Street",Units!S:S)</f>
        <v/>
      </c>
      <c r="E3" s="867">
        <f>SUMIF(Units!D:D,"22 and 23-25 Eastcastle Street",Units!U:U)</f>
        <v/>
      </c>
      <c r="F3" s="868">
        <f>'Bank Schedule'!AB25</f>
        <v/>
      </c>
    </row>
    <row r="4">
      <c r="A4" t="inlineStr">
        <is>
          <t>26 Eastcastle Street</t>
        </is>
      </c>
      <c r="B4" s="475">
        <f>SUMIF(Units!D:D,"26 Eastcastle Street",Units!G:G)</f>
        <v/>
      </c>
      <c r="C4" s="867">
        <f>SUMIF(Units!D:D,"26 Eastcastle Street",Units!P:P)</f>
        <v/>
      </c>
      <c r="D4" s="867">
        <f>SUMIF(Units!D:D,"26 Eastcastle Street",Units!S:S)</f>
        <v/>
      </c>
      <c r="E4" s="867">
        <f>SUMIF(Units!D:D,"26 Eastcastle Street",Units!U:U)</f>
        <v/>
      </c>
      <c r="F4" s="868">
        <f>'Bank Schedule'!AB34</f>
        <v/>
      </c>
    </row>
    <row r="5">
      <c r="A5" t="inlineStr">
        <is>
          <t>27 - 28 Eastcastle Street</t>
        </is>
      </c>
      <c r="B5" s="475">
        <f>SUMIF(Units!D:D,"27 - 28 Eastcastle Street",Units!G:G)</f>
        <v/>
      </c>
      <c r="C5" s="867">
        <f>SUMIF(Units!D:D,"27 - 28 Eastcastle Street",Units!P:P)</f>
        <v/>
      </c>
      <c r="D5" s="867">
        <f>SUMIF(Units!D:D,"27 - 28 Eastcastle Street",Units!S:S)</f>
        <v/>
      </c>
      <c r="E5" s="867">
        <f>SUMIF(Units!D:D,"27 - 28 Eastcastle Street",Units!U:U)</f>
        <v/>
      </c>
      <c r="F5" s="868">
        <f>'Bank Schedule'!AB43</f>
        <v/>
      </c>
    </row>
    <row r="6">
      <c r="A6" t="inlineStr">
        <is>
          <t>10 Great Castle Street</t>
        </is>
      </c>
      <c r="B6" s="475">
        <f>SUMIF(Units!D:D,"10 Great Castle Street",Units!G:G)</f>
        <v/>
      </c>
      <c r="C6" s="867">
        <f>SUMIF(Units!D:D,"10 Great Castle Street",Units!P:P)</f>
        <v/>
      </c>
      <c r="D6" s="867">
        <f>SUMIF(Units!D:D,"10 Great Castle Street",Units!S:S)</f>
        <v/>
      </c>
      <c r="E6" s="867">
        <f>SUMIF(Units!D:D,"10 Great Castle Street",Units!U:U)</f>
        <v/>
      </c>
      <c r="F6" s="868">
        <f>'Bank Schedule'!AB47</f>
        <v/>
      </c>
    </row>
    <row r="7">
      <c r="A7" t="inlineStr">
        <is>
          <t>Windsor House, 40-41 Great Castle Street</t>
        </is>
      </c>
      <c r="B7" s="475">
        <f>SUMIF(Units!D:D,"Windsor House, 40-41 Great Castle Street",Units!G:G)</f>
        <v/>
      </c>
      <c r="C7" s="867">
        <f>SUMIF(Units!D:D,"Windsor House, 40-41 Great Castle Street",Units!P:P)</f>
        <v/>
      </c>
      <c r="D7" s="867">
        <f>SUMIF(Units!D:D,"Windsor House, 40-41 Great Castle Street",Units!S:S)</f>
        <v/>
      </c>
      <c r="E7" s="867">
        <f>SUMIF(Units!D:D,"Windsor House, 40-41 Great Castle Street",Units!U:U)</f>
        <v/>
      </c>
      <c r="F7" s="868">
        <f>'Bank Schedule'!AB58</f>
        <v/>
      </c>
    </row>
    <row r="8">
      <c r="A8" t="inlineStr">
        <is>
          <t>Portland House, 4 Great Portland Street</t>
        </is>
      </c>
      <c r="B8" s="475">
        <f>SUMIF(Units!D:D,"Portland House, 4 Great Portland Street",Units!G:G)</f>
        <v/>
      </c>
      <c r="C8" s="867">
        <f>SUMIF(Units!D:D,"Portland House, 4 Great Portland Street",Units!P:P)</f>
        <v/>
      </c>
      <c r="D8" s="867">
        <f>SUMIF(Units!D:D,"Portland House, 4 Great Portland Street",Units!S:S)</f>
        <v/>
      </c>
      <c r="E8" s="867">
        <f>SUMIF(Units!D:D,"Portland House, 4 Great Portland Street",Units!U:U)</f>
        <v/>
      </c>
      <c r="F8" s="868">
        <f>'Bank Schedule'!AB80</f>
        <v/>
      </c>
    </row>
    <row r="9">
      <c r="A9" t="inlineStr">
        <is>
          <t>6-10a Great Portland Street</t>
        </is>
      </c>
      <c r="B9" s="475">
        <f>SUMIF(Units!D:D,"6-10a Great Portland Street",Units!G:G)</f>
        <v/>
      </c>
      <c r="C9" s="867">
        <f>SUMIF(Units!D:D,"6-10a Great Portland Street",Units!P:P)</f>
        <v/>
      </c>
      <c r="D9" s="867">
        <f>SUMIF(Units!D:D,"6-10a Great Portland Street",Units!S:S)</f>
        <v/>
      </c>
      <c r="E9" s="867">
        <f>SUMIF(Units!D:D,"6-10a Great Portland Street",Units!U:U)</f>
        <v/>
      </c>
      <c r="F9" s="868">
        <f>'Bank Schedule'!AB92</f>
        <v/>
      </c>
    </row>
    <row r="10">
      <c r="A10" t="inlineStr">
        <is>
          <t>15-17 Great Portland Street &amp; 6-7 Great Castle Street</t>
        </is>
      </c>
      <c r="B10" s="475">
        <f>SUMIF(Units!D:D,"15-17 Great Portland Street &amp; 6-7 Great Castle Street",Units!G:G)</f>
        <v/>
      </c>
      <c r="C10" s="867">
        <f>SUMIF(Units!D:D,"15-17 Great Portland Street &amp; 6-7 Great Castle Street",Units!P:P)</f>
        <v/>
      </c>
      <c r="D10" s="867">
        <f>SUMIF(Units!D:D,"15-17 Great Portland Street &amp; 6-7 Great Castle Street",Units!S:S)</f>
        <v/>
      </c>
      <c r="E10" s="867">
        <f>SUMIF(Units!D:D,"15-17 Great Portland Street &amp; 6-7 Great Castle Street",Units!U:U)</f>
        <v/>
      </c>
      <c r="F10" s="868">
        <f>'Bank Schedule'!AB96</f>
        <v/>
      </c>
    </row>
    <row r="11">
      <c r="A11" t="inlineStr">
        <is>
          <t>19-21 Great Portland Street</t>
        </is>
      </c>
      <c r="B11" s="475">
        <f>SUMIF(Units!D:D,"19-21 Great Portland Street",Units!G:G)</f>
        <v/>
      </c>
      <c r="C11" s="867">
        <f>SUMIF(Units!D:D,"19-21 Great Portland Street",Units!P:P)</f>
        <v/>
      </c>
      <c r="D11" s="867">
        <f>SUMIF(Units!D:D,"19-21 Great Portland Street",Units!S:S)</f>
        <v/>
      </c>
      <c r="E11" s="867">
        <f>SUMIF(Units!D:D,"19-21 Great Portland Street",Units!U:U)</f>
        <v/>
      </c>
    </row>
    <row r="12">
      <c r="A12" t="inlineStr">
        <is>
          <t>20 Great Portland Street</t>
        </is>
      </c>
      <c r="B12" s="475">
        <f>SUMIF(Units!D:D,"20 Great Portland Street",Units!G:G)</f>
        <v/>
      </c>
      <c r="C12" s="867">
        <f>SUMIF(Units!D:D,"20 Great Portland Street",Units!P:P)</f>
        <v/>
      </c>
      <c r="D12" s="867">
        <f>SUMIF(Units!D:D,"20 Great Portland Street",Units!S:S)</f>
        <v/>
      </c>
      <c r="E12" s="867">
        <f>SUMIF(Units!D:D,"20 Great Portland Street",Units!U:U)</f>
        <v/>
      </c>
      <c r="F12" s="868">
        <f>'Bank Schedule'!AB121</f>
        <v/>
      </c>
    </row>
    <row r="13">
      <c r="A13" t="inlineStr">
        <is>
          <t>Highlight House, 22-24 Great Portland Street</t>
        </is>
      </c>
      <c r="B13" s="475">
        <f>SUMIF(Units!D:D,"Highlight House, 22-24 Great Portland Street",Units!G:G)</f>
        <v/>
      </c>
      <c r="C13" s="867">
        <f>SUMIF(Units!D:D,"Highlight House, 22-24 Great Portland Street",Units!P:P)</f>
        <v/>
      </c>
      <c r="D13" s="867">
        <f>SUMIF(Units!D:D,"Highlight House, 22-24 Great Portland Street",Units!S:S)</f>
        <v/>
      </c>
      <c r="E13" s="867">
        <f>SUMIF(Units!D:D,"Highlight House, 22-24 Great Portland Street",Units!U:U)</f>
        <v/>
      </c>
      <c r="F13" s="868">
        <f>'Bank Schedule'!AB131</f>
        <v/>
      </c>
    </row>
    <row r="14">
      <c r="A14" t="inlineStr">
        <is>
          <t>23-25 Great Portland Street &amp; 54-55 Margaret Street</t>
        </is>
      </c>
      <c r="B14" s="475">
        <f>SUMIF(Units!D:D,"23-25 Great Portland Street &amp; 54-55 Margaret Street",Units!G:G)</f>
        <v/>
      </c>
      <c r="C14" s="867">
        <f>SUMIF(Units!D:D,"23-25 Great Portland Street &amp; 54-55 Margaret Street",Units!P:P)</f>
        <v/>
      </c>
      <c r="D14" s="867">
        <f>SUMIF(Units!D:D,"23-25 Great Portland Street &amp; 54-55 Margaret Street",Units!S:S)</f>
        <v/>
      </c>
      <c r="E14" s="867">
        <f>SUMIF(Units!D:D,"23-25 Great Portland Street &amp; 54-55 Margaret Street",Units!U:U)</f>
        <v/>
      </c>
      <c r="F14" s="868">
        <f>'Bank Schedule'!AB138</f>
        <v/>
      </c>
    </row>
    <row r="15">
      <c r="A15" t="inlineStr">
        <is>
          <t>39 Great Portland Street</t>
        </is>
      </c>
      <c r="B15" s="475">
        <f>SUMIF(Units!D:D,"39 Great Portland Street",Units!G:G)</f>
        <v/>
      </c>
      <c r="C15" s="867">
        <f>SUMIF(Units!D:D,"39 Great Portland Street",Units!P:P)</f>
        <v/>
      </c>
      <c r="D15" s="867">
        <f>SUMIF(Units!D:D,"39 Great Portland Street",Units!S:S)</f>
        <v/>
      </c>
      <c r="E15" s="867">
        <f>SUMIF(Units!D:D,"39 Great Portland Street",Units!U:U)</f>
        <v/>
      </c>
      <c r="F15" s="868">
        <f>'Bank Schedule'!AB148</f>
        <v/>
      </c>
    </row>
    <row r="16">
      <c r="A16" t="inlineStr">
        <is>
          <t>41 Great Portland Street</t>
        </is>
      </c>
      <c r="B16" s="475">
        <f>SUMIF(Units!D:D,"41 Great Portland Street",Units!G:G)</f>
        <v/>
      </c>
      <c r="C16" s="867">
        <f>SUMIF(Units!D:D,"41 Great Portland Street",Units!P:P)</f>
        <v/>
      </c>
      <c r="D16" s="867">
        <f>SUMIF(Units!D:D,"41 Great Portland Street",Units!S:S)</f>
        <v/>
      </c>
      <c r="E16" s="867">
        <f>SUMIF(Units!D:D,"41 Great Portland Street",Units!U:U)</f>
        <v/>
      </c>
      <c r="F16" s="868">
        <f>'Bank Schedule'!AB152</f>
        <v/>
      </c>
    </row>
    <row r="17">
      <c r="A17" t="inlineStr">
        <is>
          <t>42-48 Great Portland Street</t>
        </is>
      </c>
      <c r="B17" s="475">
        <f>SUMIF(Units!D:D,"42-48 Great Portland Street",Units!G:G)</f>
        <v/>
      </c>
      <c r="C17" s="867">
        <f>SUMIF(Units!D:D,"42-48 Great Portland Street",Units!P:P)</f>
        <v/>
      </c>
      <c r="D17" s="867">
        <f>SUMIF(Units!D:D,"42-48 Great Portland Street",Units!S:S)</f>
        <v/>
      </c>
      <c r="E17" s="867">
        <f>SUMIF(Units!D:D,"42-48 Great Portland Street",Units!U:U)</f>
        <v/>
      </c>
      <c r="F17" s="868">
        <f>'Bank Schedule'!AB163</f>
        <v/>
      </c>
    </row>
    <row r="18">
      <c r="A18" t="inlineStr">
        <is>
          <t>45-49 Great Portland Street</t>
        </is>
      </c>
      <c r="B18" s="475">
        <f>SUMIF(Units!D:D,"45-49 Great Portland Street",Units!G:G)</f>
        <v/>
      </c>
      <c r="C18" s="867">
        <f>SUMIF(Units!D:D,"45-49 Great Portland Street",Units!P:P)</f>
        <v/>
      </c>
      <c r="D18" s="867">
        <f>SUMIF(Units!D:D,"45-49 Great Portland Street",Units!S:S)</f>
        <v/>
      </c>
      <c r="E18" s="867">
        <f>SUMIF(Units!D:D,"45-49 Great Portland Street",Units!U:U)</f>
        <v/>
      </c>
      <c r="F18" s="868">
        <f>'Bank Schedule'!AB171</f>
        <v/>
      </c>
    </row>
    <row r="19">
      <c r="A19" t="inlineStr">
        <is>
          <t>50 Great Portland Street</t>
        </is>
      </c>
      <c r="B19" s="475">
        <f>SUMIF(Units!D:D,"50 Great Portland Street",Units!G:G)</f>
        <v/>
      </c>
      <c r="C19" s="867">
        <f>SUMIF(Units!D:D,"50 Great Portland Street",Units!P:P)</f>
        <v/>
      </c>
      <c r="D19" s="867">
        <f>SUMIF(Units!D:D,"50 Great Portland Street",Units!S:S)</f>
        <v/>
      </c>
      <c r="E19" s="867">
        <f>SUMIF(Units!D:D,"50 Great Portland Street",Units!U:U)</f>
        <v/>
      </c>
      <c r="F19" s="868">
        <f>'Bank Schedule'!AB182</f>
        <v/>
      </c>
    </row>
    <row r="20">
      <c r="A20" t="inlineStr">
        <is>
          <t>51 Great Portland Street</t>
        </is>
      </c>
      <c r="B20" s="475">
        <f>SUMIF(Units!D:D,"51 Great Portland Street",Units!G:G)</f>
        <v/>
      </c>
      <c r="C20" s="867">
        <f>SUMIF(Units!D:D,"51 Great Portland Street",Units!P:P)</f>
        <v/>
      </c>
      <c r="D20" s="867">
        <f>SUMIF(Units!D:D,"51 Great Portland Street",Units!S:S)</f>
        <v/>
      </c>
      <c r="E20" s="867">
        <f>SUMIF(Units!D:D,"51 Great Portland Street",Units!U:U)</f>
        <v/>
      </c>
      <c r="F20" s="868">
        <f>'Bank Schedule'!AB191</f>
        <v/>
      </c>
    </row>
    <row r="21">
      <c r="A21" t="inlineStr">
        <is>
          <t>53 Great Portland Street</t>
        </is>
      </c>
      <c r="B21" s="475">
        <f>SUMIF(Units!D:D,"53 Great Portland Street",Units!G:G)</f>
        <v/>
      </c>
      <c r="C21" s="867">
        <f>SUMIF(Units!D:D,"53 Great Portland Street",Units!P:P)</f>
        <v/>
      </c>
      <c r="D21" s="867">
        <f>SUMIF(Units!D:D,"53 Great Portland Street",Units!S:S)</f>
        <v/>
      </c>
      <c r="E21" s="867">
        <f>SUMIF(Units!D:D,"53 Great Portland Street",Units!U:U)</f>
        <v/>
      </c>
      <c r="F21" s="868">
        <f>'Bank Schedule'!AB201</f>
        <v/>
      </c>
    </row>
    <row r="22">
      <c r="A22" t="inlineStr">
        <is>
          <t>76 Great Portland Street</t>
        </is>
      </c>
      <c r="B22" s="475">
        <f>SUMIF(Units!D:D,"76 Great Portland Street",Units!G:G)</f>
        <v/>
      </c>
      <c r="C22" s="867">
        <f>SUMIF(Units!D:D,"76 Great Portland Street",Units!P:P)</f>
        <v/>
      </c>
      <c r="D22" s="867">
        <f>SUMIF(Units!D:D,"76 Great Portland Street",Units!S:S)</f>
        <v/>
      </c>
      <c r="E22" s="867">
        <f>SUMIF(Units!D:D,"76 Great Portland Street",Units!U:U)</f>
        <v/>
      </c>
      <c r="F22" s="868">
        <f>'Bank Schedule'!AB209</f>
        <v/>
      </c>
    </row>
    <row r="23">
      <c r="A23" t="inlineStr">
        <is>
          <t>1 Great Titchfield Street</t>
        </is>
      </c>
      <c r="B23" s="475">
        <f>SUMIF(Units!D:D,"1 Great Titchfield Street",Units!G:G)</f>
        <v/>
      </c>
      <c r="C23" s="867">
        <f>SUMIF(Units!D:D,"1 Great Titchfield Street",Units!P:P)</f>
        <v/>
      </c>
      <c r="D23" s="867">
        <f>SUMIF(Units!D:D,"1 Great Titchfield Street",Units!S:S)</f>
        <v/>
      </c>
      <c r="E23" s="867">
        <f>SUMIF(Units!D:D,"1 Great Titchfield Street",Units!U:U)</f>
        <v/>
      </c>
      <c r="F23" s="868">
        <f>'Bank Schedule'!AB213</f>
        <v/>
      </c>
    </row>
    <row r="24">
      <c r="A24" t="inlineStr">
        <is>
          <t>3 Great Titchfield Street</t>
        </is>
      </c>
      <c r="B24" s="475">
        <f>SUMIF(Units!D:D,"3 Great Titchfield Street",Units!G:G)</f>
        <v/>
      </c>
      <c r="C24" s="867">
        <f>SUMIF(Units!D:D,"3 Great Titchfield Street",Units!P:P)</f>
        <v/>
      </c>
      <c r="D24" s="867">
        <f>SUMIF(Units!D:D,"3 Great Titchfield Street",Units!S:S)</f>
        <v/>
      </c>
      <c r="E24" s="867">
        <f>SUMIF(Units!D:D,"3 Great Titchfield Street",Units!U:U)</f>
        <v/>
      </c>
      <c r="F24" s="868">
        <f>'Bank Schedule'!AB221</f>
        <v/>
      </c>
    </row>
    <row r="25">
      <c r="A25" t="inlineStr">
        <is>
          <t>Great Titchfield House,  14-18 Great Titchfield Street</t>
        </is>
      </c>
      <c r="B25" s="475">
        <f>SUMIF(Units!D:D,"Great Titchfield House,  14-18 Great Titchfield Street",Units!G:G)</f>
        <v/>
      </c>
      <c r="C25" s="867">
        <f>SUMIF(Units!D:D,"Great Titchfield House,  14-18 Great Titchfield Street",Units!P:P)</f>
        <v/>
      </c>
      <c r="D25" s="867">
        <f>SUMIF(Units!D:D,"Great Titchfield House,  14-18 Great Titchfield Street",Units!S:S)</f>
        <v/>
      </c>
      <c r="E25" s="867">
        <f>SUMIF(Units!D:D,"Great Titchfield House,  14-18 Great Titchfield Street",Units!U:U)</f>
        <v/>
      </c>
      <c r="F25" s="868">
        <f>'Bank Schedule'!AB233</f>
        <v/>
      </c>
    </row>
    <row r="26">
      <c r="A26" t="inlineStr">
        <is>
          <t>Golderbrock House,  15-19 Great Titchfield Street</t>
        </is>
      </c>
      <c r="B26" s="475">
        <f>SUMIF(Units!D:D,"Golderbrock House,  15-19 Great Titchfield Street",Units!G:G)</f>
        <v/>
      </c>
      <c r="C26" s="867">
        <f>SUMIF(Units!D:D,"Golderbrock House,  15-19 Great Titchfield Street",Units!P:P)</f>
        <v/>
      </c>
      <c r="D26" s="867">
        <f>SUMIF(Units!D:D,"Golderbrock House,  15-19 Great Titchfield Street",Units!S:S)</f>
        <v/>
      </c>
      <c r="E26" s="867">
        <f>SUMIF(Units!D:D,"Golderbrock House,  15-19 Great Titchfield Street",Units!U:U)</f>
        <v/>
      </c>
      <c r="F26" s="868">
        <f>'Bank Schedule'!AB247</f>
        <v/>
      </c>
    </row>
    <row r="27">
      <c r="A27" t="inlineStr">
        <is>
          <t>Circus House,  21 Great Titchfield Street</t>
        </is>
      </c>
      <c r="B27" s="475">
        <f>SUMIF(Units!D:D,"Circus House,  21 Great Titchfield Street",Units!G:G)</f>
        <v/>
      </c>
      <c r="C27" s="867">
        <f>SUMIF(Units!D:D,"Circus House,  21 Great Titchfield Street",Units!P:P)</f>
        <v/>
      </c>
      <c r="D27" s="867">
        <f>SUMIF(Units!D:D,"Circus House,  21 Great Titchfield Street",Units!S:S)</f>
        <v/>
      </c>
      <c r="E27" s="867">
        <f>SUMIF(Units!D:D,"Circus House,  21 Great Titchfield Street",Units!U:U)</f>
        <v/>
      </c>
      <c r="F27" s="868">
        <f>'Bank Schedule'!AB258</f>
        <v/>
      </c>
    </row>
    <row r="28">
      <c r="A28" t="inlineStr">
        <is>
          <t>Moray House, 23-35 Great Titchfield Street &amp; 63-65 Mortimer Street</t>
        </is>
      </c>
      <c r="B28" s="475">
        <f>SUMIF(Units!D:D,"Moray House, 23-35 Great Titchfield Street &amp; 63-65 Mortimer Street",Units!G:G)</f>
        <v/>
      </c>
      <c r="C28" s="867">
        <f>SUMIF(Units!D:D,"Moray House, 23-35 Great Titchfield Street &amp; 63-65 Mortimer Street",Units!P:P)</f>
        <v/>
      </c>
      <c r="D28" s="867">
        <f>SUMIF(Units!D:D,"Moray House, 23-35 Great Titchfield Street &amp; 63-65 Mortimer Street",Units!S:S)</f>
        <v/>
      </c>
      <c r="E28" s="867">
        <f>SUMIF(Units!D:D,"Moray House, 23-35 Great Titchfield Street &amp; 63-65 Mortimer Street",Units!U:U)</f>
        <v/>
      </c>
      <c r="F28" s="868">
        <f>'Bank Schedule'!AB277</f>
        <v/>
      </c>
    </row>
    <row r="29">
      <c r="A29" t="inlineStr">
        <is>
          <t>56 Great Titchfield Street</t>
        </is>
      </c>
      <c r="B29" s="475">
        <f>SUMIF(Units!D:D,"56 Great Titchfield Street",Units!G:G)</f>
        <v/>
      </c>
      <c r="C29" s="867">
        <f>SUMIF(Units!D:D,"56 Great Titchfield Street",Units!P:P)</f>
        <v/>
      </c>
      <c r="D29" s="867">
        <f>SUMIF(Units!D:D,"56 Great Titchfield Street",Units!S:S)</f>
        <v/>
      </c>
      <c r="E29" s="867">
        <f>SUMIF(Units!D:D,"56 Great Titchfield Street",Units!U:U)</f>
        <v/>
      </c>
      <c r="F29" s="868">
        <f>'Bank Schedule'!AB281</f>
        <v/>
      </c>
    </row>
    <row r="30">
      <c r="A30" t="inlineStr">
        <is>
          <t>58 Great Titchfield Street</t>
        </is>
      </c>
      <c r="B30" s="475">
        <f>SUMIF(Units!D:D,"58 Great Titchfield Street",Units!G:G)</f>
        <v/>
      </c>
      <c r="C30" s="867">
        <f>SUMIF(Units!D:D,"58 Great Titchfield Street",Units!P:P)</f>
        <v/>
      </c>
      <c r="D30" s="867">
        <f>SUMIF(Units!D:D,"58 Great Titchfield Street",Units!S:S)</f>
        <v/>
      </c>
      <c r="E30" s="867">
        <f>SUMIF(Units!D:D,"58 Great Titchfield Street",Units!U:U)</f>
        <v/>
      </c>
      <c r="F30" s="868">
        <f>'Bank Schedule'!AB288</f>
        <v/>
      </c>
    </row>
    <row r="31">
      <c r="A31" t="inlineStr">
        <is>
          <t>12 Hallam Street (The Hallam Hotel)</t>
        </is>
      </c>
      <c r="B31" s="475">
        <f>SUMIF(Units!D:D,"12 Hallam Street (The Hallam Hotel)",Units!G:G)</f>
        <v/>
      </c>
      <c r="C31" s="867">
        <f>SUMIF(Units!D:D,"12 Hallam Street (The Hallam Hotel)",Units!P:P)</f>
        <v/>
      </c>
      <c r="D31" s="867">
        <f>SUMIF(Units!D:D,"12 Hallam Street (The Hallam Hotel)",Units!S:S)</f>
        <v/>
      </c>
      <c r="E31" s="867">
        <f>SUMIF(Units!D:D,"12 Hallam Street (The Hallam Hotel)",Units!U:U)</f>
        <v/>
      </c>
      <c r="F31" s="868">
        <f>'Bank Schedule'!AB292</f>
        <v/>
      </c>
    </row>
    <row r="32">
      <c r="A32" t="inlineStr">
        <is>
          <t>16-20 Hallam Street  (Astor Court Hotel)</t>
        </is>
      </c>
      <c r="B32" s="475">
        <f>SUMIF(Units!D:D,"16-20 Hallam Street  (Astor Court Hotel)",Units!G:G)</f>
        <v/>
      </c>
      <c r="C32" s="867">
        <f>SUMIF(Units!D:D,"16-20 Hallam Street  (Astor Court Hotel)",Units!P:P)</f>
        <v/>
      </c>
      <c r="D32" s="867">
        <f>SUMIF(Units!D:D,"16-20 Hallam Street  (Astor Court Hotel)",Units!S:S)</f>
        <v/>
      </c>
      <c r="E32" s="867">
        <f>SUMIF(Units!D:D,"16-20 Hallam Street  (Astor Court Hotel)",Units!U:U)</f>
        <v/>
      </c>
      <c r="F32" s="868">
        <f>'Bank Schedule'!AB297</f>
        <v/>
      </c>
    </row>
    <row r="33">
      <c r="A33" t="inlineStr">
        <is>
          <t>Flat 1, 2 Little Portland Street</t>
        </is>
      </c>
      <c r="B33" s="475">
        <f>SUMIF(Units!D:D,"Flat 1, 2 Little Portland Street",Units!G:G)</f>
        <v/>
      </c>
      <c r="C33" s="867">
        <f>SUMIF(Units!D:D,"Flat 1, 2 Little Portland Street",Units!P:P)</f>
        <v/>
      </c>
      <c r="D33" s="867">
        <f>SUMIF(Units!D:D,"Flat 1, 2 Little Portland Street",Units!S:S)</f>
        <v/>
      </c>
      <c r="E33" s="867">
        <f>SUMIF(Units!D:D,"Flat 1, 2 Little Portland Street",Units!U:U)</f>
        <v/>
      </c>
      <c r="F33" s="868">
        <f>'Bank Schedule'!AB301</f>
        <v/>
      </c>
    </row>
    <row r="34">
      <c r="A34" t="inlineStr">
        <is>
          <t>3/4/4a Little Portland Street</t>
        </is>
      </c>
      <c r="B34" s="475">
        <f>SUMIF(Units!D:D,"3/4/4a Little Portland Street",Units!G:G)</f>
        <v/>
      </c>
      <c r="C34" s="867">
        <f>SUMIF(Units!D:D,"3/4/4a Little Portland Street",Units!P:P)</f>
        <v/>
      </c>
      <c r="D34" s="867">
        <f>SUMIF(Units!D:D,"3/4/4a Little Portland Street",Units!S:S)</f>
        <v/>
      </c>
      <c r="E34" s="867">
        <f>SUMIF(Units!D:D,"3/4/4a Little Portland Street",Units!U:U)</f>
        <v/>
      </c>
      <c r="F34" s="868">
        <f>'Bank Schedule'!AB318</f>
        <v/>
      </c>
    </row>
    <row r="35">
      <c r="A35" t="inlineStr">
        <is>
          <t>5 Little Portland Street</t>
        </is>
      </c>
      <c r="B35" s="475">
        <f>SUMIF(Units!D:D,"5 Little Portland Street",Units!G:G)</f>
        <v/>
      </c>
      <c r="C35" s="867">
        <f>SUMIF(Units!D:D,"5 Little Portland Street",Units!P:P)</f>
        <v/>
      </c>
      <c r="D35" s="867">
        <f>SUMIF(Units!D:D,"5 Little Portland Street",Units!S:S)</f>
        <v/>
      </c>
      <c r="E35" s="867">
        <f>SUMIF(Units!D:D,"5 Little Portland Street",Units!U:U)</f>
        <v/>
      </c>
      <c r="F35" s="868">
        <f>'Bank Schedule'!AB325</f>
        <v/>
      </c>
    </row>
    <row r="36">
      <c r="A36" t="inlineStr">
        <is>
          <t>Alexandra House, 6 Little Portland Street</t>
        </is>
      </c>
      <c r="B36" s="475">
        <f>SUMIF(Units!D:D,"Alexandra House, 6 Little Portland Street",Units!G:G)</f>
        <v/>
      </c>
      <c r="C36" s="867">
        <f>SUMIF(Units!D:D,"Alexandra House, 6 Little Portland Street",Units!P:P)</f>
        <v/>
      </c>
      <c r="D36" s="867">
        <f>SUMIF(Units!D:D,"Alexandra House, 6 Little Portland Street",Units!S:S)</f>
        <v/>
      </c>
      <c r="E36" s="867">
        <f>SUMIF(Units!D:D,"Alexandra House, 6 Little Portland Street",Units!U:U)</f>
        <v/>
      </c>
      <c r="F36" s="868">
        <f>'Bank Schedule'!AB332</f>
        <v/>
      </c>
    </row>
    <row r="37">
      <c r="A37" t="inlineStr">
        <is>
          <t>9 Little Portland Street</t>
        </is>
      </c>
      <c r="B37" s="475">
        <f>SUMIF(Units!D:D,"9 Little Portland Street",Units!G:G)</f>
        <v/>
      </c>
      <c r="C37" s="867">
        <f>SUMIF(Units!D:D,"9 Little Portland Street",Units!P:P)</f>
        <v/>
      </c>
      <c r="D37" s="867">
        <f>SUMIF(Units!D:D,"9 Little Portland Street",Units!S:S)</f>
        <v/>
      </c>
      <c r="E37" s="867">
        <f>SUMIF(Units!D:D,"9 Little Portland Street",Units!U:U)</f>
        <v/>
      </c>
      <c r="F37" s="868">
        <f>'Bank Schedule'!AB341</f>
        <v/>
      </c>
    </row>
    <row r="38">
      <c r="A38" t="inlineStr">
        <is>
          <t>21 Little Portland Street</t>
        </is>
      </c>
      <c r="B38" s="475">
        <f>SUMIF(Units!D:D,"21 Little Portland Street",Units!G:G)</f>
        <v/>
      </c>
      <c r="C38" s="867">
        <f>SUMIF(Units!D:D,"21 Little Portland Street",Units!P:P)</f>
        <v/>
      </c>
      <c r="D38" s="867">
        <f>SUMIF(Units!D:D,"21 Little Portland Street",Units!S:S)</f>
        <v/>
      </c>
      <c r="E38" s="867">
        <f>SUMIF(Units!D:D,"21 Little Portland Street",Units!U:U)</f>
        <v/>
      </c>
      <c r="F38" s="868">
        <f>'Bank Schedule'!AB352</f>
        <v/>
      </c>
    </row>
    <row r="39">
      <c r="A39" t="inlineStr">
        <is>
          <t>22 Little Portland Street (formerly 22-23 LPS)</t>
        </is>
      </c>
      <c r="B39" s="475">
        <f>SUMIF(Units!D:D,"22 Little Portland Street (formerly 22-23 LPS)",Units!G:G)</f>
        <v/>
      </c>
      <c r="C39" s="867">
        <f>SUMIF(Units!D:D,"22 Little Portland Street (formerly 22-23 LPS)",Units!P:P)</f>
        <v/>
      </c>
      <c r="D39" s="867">
        <f>SUMIF(Units!D:D,"22 Little Portland Street (formerly 22-23 LPS)",Units!S:S)</f>
        <v/>
      </c>
      <c r="E39" s="867">
        <f>SUMIF(Units!D:D,"22 Little Portland Street (formerly 22-23 LPS)",Units!U:U)</f>
        <v/>
      </c>
    </row>
    <row r="40">
      <c r="A40" t="inlineStr">
        <is>
          <t>9 Margaret Street</t>
        </is>
      </c>
      <c r="B40" s="475">
        <f>SUMIF(Units!D:D,"9 Margaret Street",Units!G:G)</f>
        <v/>
      </c>
      <c r="C40" s="867">
        <f>SUMIF(Units!D:D,"9 Margaret Street",Units!P:P)</f>
        <v/>
      </c>
      <c r="D40" s="867">
        <f>SUMIF(Units!D:D,"9 Margaret Street",Units!S:S)</f>
        <v/>
      </c>
      <c r="E40" s="867">
        <f>SUMIF(Units!D:D,"9 Margaret Street",Units!U:U)</f>
        <v/>
      </c>
      <c r="F40" s="868">
        <f>'Bank Schedule'!AB360</f>
        <v/>
      </c>
    </row>
    <row r="41">
      <c r="A41" t="inlineStr">
        <is>
          <t>London House, 9a Margaret Street</t>
        </is>
      </c>
      <c r="B41" s="475">
        <f>SUMIF(Units!D:D,"London House, 9a Margaret Street",Units!G:G)</f>
        <v/>
      </c>
      <c r="C41" s="867">
        <f>SUMIF(Units!D:D,"London House, 9a Margaret Street",Units!P:P)</f>
        <v/>
      </c>
      <c r="D41" s="867">
        <f>SUMIF(Units!D:D,"London House, 9a Margaret Street",Units!S:S)</f>
        <v/>
      </c>
      <c r="E41" s="867">
        <f>SUMIF(Units!D:D,"London House, 9a Margaret Street",Units!U:U)</f>
        <v/>
      </c>
      <c r="F41" s="868">
        <f>'Bank Schedule'!AB374</f>
        <v/>
      </c>
    </row>
    <row r="42">
      <c r="A42" t="inlineStr">
        <is>
          <t>10 Margaret Street</t>
        </is>
      </c>
      <c r="B42" s="475">
        <f>SUMIF(Units!D:D,"10 Margaret Street",Units!G:G)</f>
        <v/>
      </c>
      <c r="C42" s="867">
        <f>SUMIF(Units!D:D,"10 Margaret Street",Units!P:P)</f>
        <v/>
      </c>
      <c r="D42" s="867">
        <f>SUMIF(Units!D:D,"10 Margaret Street",Units!S:S)</f>
        <v/>
      </c>
      <c r="E42" s="867">
        <f>SUMIF(Units!D:D,"10 Margaret Street",Units!U:U)</f>
        <v/>
      </c>
      <c r="F42" s="868">
        <f>'Bank Schedule'!AB381</f>
        <v/>
      </c>
    </row>
    <row r="43">
      <c r="A43" t="inlineStr">
        <is>
          <t>Audley House,  12 Margaret Street</t>
        </is>
      </c>
      <c r="B43" s="475">
        <f>SUMIF(Units!D:D,"Audley House,  12 Margaret Street",Units!G:G)</f>
        <v/>
      </c>
      <c r="C43" s="867">
        <f>SUMIF(Units!D:D,"Audley House,  12 Margaret Street",Units!P:P)</f>
        <v/>
      </c>
      <c r="D43" s="867">
        <f>SUMIF(Units!D:D,"Audley House,  12 Margaret Street",Units!S:S)</f>
        <v/>
      </c>
      <c r="E43" s="867">
        <f>SUMIF(Units!D:D,"Audley House,  12 Margaret Street",Units!U:U)</f>
        <v/>
      </c>
      <c r="F43" s="868">
        <f>'Bank Schedule'!AB385</f>
        <v/>
      </c>
    </row>
    <row r="44">
      <c r="A44" t="inlineStr">
        <is>
          <t>13-14 Margaret Street</t>
        </is>
      </c>
      <c r="B44" s="475">
        <f>SUMIF(Units!D:D,"13-14 Margaret Street",Units!G:G)</f>
        <v/>
      </c>
      <c r="C44" s="867">
        <f>SUMIF(Units!D:D,"13-14 Margaret Street",Units!P:P)</f>
        <v/>
      </c>
      <c r="D44" s="867">
        <f>SUMIF(Units!D:D,"13-14 Margaret Street",Units!S:S)</f>
        <v/>
      </c>
      <c r="E44" s="867">
        <f>SUMIF(Units!D:D,"13-14 Margaret Street",Units!U:U)</f>
        <v/>
      </c>
      <c r="F44" s="868">
        <f>'Bank Schedule'!AB397</f>
        <v/>
      </c>
    </row>
    <row r="45">
      <c r="A45" t="inlineStr">
        <is>
          <t>15-16 Margaret Street</t>
        </is>
      </c>
      <c r="B45" s="475">
        <f>SUMIF(Units!D:D,"15-16 Margaret Street",Units!G:G)</f>
        <v/>
      </c>
      <c r="C45" s="867">
        <f>SUMIF(Units!D:D,"15-16 Margaret Street",Units!P:P)</f>
        <v/>
      </c>
      <c r="D45" s="867">
        <f>SUMIF(Units!D:D,"15-16 Margaret Street",Units!S:S)</f>
        <v/>
      </c>
      <c r="E45" s="867">
        <f>SUMIF(Units!D:D,"15-16 Margaret Street",Units!U:U)</f>
        <v/>
      </c>
      <c r="F45" s="868">
        <f>'Bank Schedule'!AB409</f>
        <v/>
      </c>
    </row>
    <row r="46">
      <c r="A46" t="inlineStr">
        <is>
          <t>17-18 Margaret Street</t>
        </is>
      </c>
      <c r="B46" s="475">
        <f>SUMIF(Units!D:D,"17-18 Margaret Street",Units!G:G)</f>
        <v/>
      </c>
      <c r="C46" s="867">
        <f>SUMIF(Units!D:D,"17-18 Margaret Street",Units!P:P)</f>
        <v/>
      </c>
      <c r="D46" s="867">
        <f>SUMIF(Units!D:D,"17-18 Margaret Street",Units!S:S)</f>
        <v/>
      </c>
      <c r="E46" s="867">
        <f>SUMIF(Units!D:D,"17-18 Margaret Street",Units!U:U)</f>
        <v/>
      </c>
      <c r="F46" s="868">
        <f>'Bank Schedule'!AB425</f>
        <v/>
      </c>
    </row>
    <row r="47">
      <c r="A47" t="inlineStr">
        <is>
          <t>19 Margaret Street</t>
        </is>
      </c>
      <c r="B47" s="475">
        <f>SUMIF(Units!D:D,"19 Margaret Street",Units!G:G)</f>
        <v/>
      </c>
      <c r="C47" s="867">
        <f>SUMIF(Units!D:D,"19 Margaret Street",Units!P:P)</f>
        <v/>
      </c>
      <c r="D47" s="867">
        <f>SUMIF(Units!D:D,"19 Margaret Street",Units!S:S)</f>
        <v/>
      </c>
      <c r="E47" s="867">
        <f>SUMIF(Units!D:D,"19 Margaret Street",Units!U:U)</f>
        <v/>
      </c>
      <c r="F47" s="868">
        <f>'Bank Schedule'!AB436</f>
        <v/>
      </c>
    </row>
    <row r="48">
      <c r="A48" t="inlineStr">
        <is>
          <t>20 Margaret Street</t>
        </is>
      </c>
      <c r="B48" s="475">
        <f>SUMIF(Units!D:D,"20 Margaret Street",Units!G:G)</f>
        <v/>
      </c>
      <c r="C48" s="867">
        <f>SUMIF(Units!D:D,"20 Margaret Street",Units!P:P)</f>
        <v/>
      </c>
      <c r="D48" s="867">
        <f>SUMIF(Units!D:D,"20 Margaret Street",Units!S:S)</f>
        <v/>
      </c>
      <c r="E48" s="867">
        <f>SUMIF(Units!D:D,"20 Margaret Street",Units!U:U)</f>
        <v/>
      </c>
      <c r="F48" s="868">
        <f>'Bank Schedule'!AB447</f>
        <v/>
      </c>
    </row>
    <row r="49">
      <c r="A49" t="inlineStr">
        <is>
          <t>25 Margaret Street</t>
        </is>
      </c>
      <c r="B49" s="475">
        <f>SUMIF(Units!D:D,"25 Margaret Street",Units!G:G)</f>
        <v/>
      </c>
      <c r="C49" s="867">
        <f>SUMIF(Units!D:D,"25 Margaret Street",Units!P:P)</f>
        <v/>
      </c>
      <c r="D49" s="867">
        <f>SUMIF(Units!D:D,"25 Margaret Street",Units!S:S)</f>
        <v/>
      </c>
      <c r="E49" s="867">
        <f>SUMIF(Units!D:D,"25 Margaret Street",Units!U:U)</f>
        <v/>
      </c>
      <c r="F49" s="868">
        <f>'Bank Schedule'!AB459</f>
        <v/>
      </c>
    </row>
    <row r="50">
      <c r="A50" t="inlineStr">
        <is>
          <t>47,48 &amp; 50 Margaret Street</t>
        </is>
      </c>
      <c r="B50" s="475">
        <f>SUMIF(Units!D:D,"47,48 &amp; 50 Margaret Street",Units!G:G)</f>
        <v/>
      </c>
      <c r="C50" s="867">
        <f>SUMIF(Units!D:D,"47,48 &amp; 50 Margaret Street",Units!P:P)</f>
        <v/>
      </c>
      <c r="D50" s="867">
        <f>SUMIF(Units!D:D,"47,48 &amp; 50 Margaret Street",Units!S:S)</f>
        <v/>
      </c>
      <c r="E50" s="867">
        <f>SUMIF(Units!D:D,"47,48 &amp; 50 Margaret Street",Units!U:U)</f>
        <v/>
      </c>
      <c r="F50" s="868">
        <f>'Bank Schedule'!AB476</f>
        <v/>
      </c>
    </row>
    <row r="51">
      <c r="A51" t="inlineStr">
        <is>
          <t>51-53 Margaret Street</t>
        </is>
      </c>
      <c r="B51" s="475">
        <f>SUMIF(Units!D:D,"51-53 Margaret Street",Units!G:G)</f>
        <v/>
      </c>
      <c r="C51" s="867">
        <f>SUMIF(Units!D:D,"51-53 Margaret Street",Units!P:P)</f>
        <v/>
      </c>
      <c r="D51" s="867">
        <f>SUMIF(Units!D:D,"51-53 Margaret Street",Units!S:S)</f>
        <v/>
      </c>
      <c r="E51" s="867">
        <f>SUMIF(Units!D:D,"51-53 Margaret Street",Units!U:U)</f>
        <v/>
      </c>
      <c r="F51" s="868">
        <f>'Bank Schedule'!AB494</f>
        <v/>
      </c>
    </row>
    <row r="52">
      <c r="A52" t="inlineStr">
        <is>
          <t>63-64 Margaret Street</t>
        </is>
      </c>
      <c r="B52" s="475">
        <f>SUMIF(Units!D:D,"63-64 Margaret Street",Units!G:G)</f>
        <v/>
      </c>
      <c r="C52" s="867">
        <f>SUMIF(Units!D:D,"63-64 Margaret Street",Units!P:P)</f>
        <v/>
      </c>
      <c r="D52" s="867">
        <f>SUMIF(Units!D:D,"63-64 Margaret Street",Units!S:S)</f>
        <v/>
      </c>
      <c r="E52" s="867">
        <f>SUMIF(Units!D:D,"63-64 Margaret Street",Units!U:U)</f>
        <v/>
      </c>
      <c r="F52" s="868">
        <f>'Bank Schedule'!AB513</f>
        <v/>
      </c>
    </row>
    <row r="53">
      <c r="A53" t="inlineStr">
        <is>
          <t>65 Margaret Street</t>
        </is>
      </c>
      <c r="B53" s="475">
        <f>SUMIF(Units!D:D,"65 Margaret Street",Units!G:G)</f>
        <v/>
      </c>
      <c r="C53" s="867">
        <f>SUMIF(Units!D:D,"65 Margaret Street",Units!P:P)</f>
        <v/>
      </c>
      <c r="D53" s="867">
        <f>SUMIF(Units!D:D,"65 Margaret Street",Units!S:S)</f>
        <v/>
      </c>
      <c r="E53" s="867">
        <f>SUMIF(Units!D:D,"65 Margaret Street",Units!U:U)</f>
        <v/>
      </c>
      <c r="F53" s="868">
        <f>'Bank Schedule'!AB524</f>
        <v/>
      </c>
    </row>
    <row r="54">
      <c r="A54" t="inlineStr">
        <is>
          <t>75-77 Margaret Street</t>
        </is>
      </c>
      <c r="B54" s="475">
        <f>SUMIF(Units!D:D,"75-77 Margaret Street",Units!G:G)</f>
        <v/>
      </c>
      <c r="C54" s="867">
        <f>SUMIF(Units!D:D,"75-77 Margaret Street",Units!P:P)</f>
        <v/>
      </c>
      <c r="D54" s="867">
        <f>SUMIF(Units!D:D,"75-77 Margaret Street",Units!S:S)</f>
        <v/>
      </c>
      <c r="E54" s="867">
        <f>SUMIF(Units!D:D,"75-77 Margaret Street",Units!U:U)</f>
        <v/>
      </c>
      <c r="F54" s="868">
        <f>'Bank Schedule'!AB538</f>
        <v/>
      </c>
    </row>
    <row r="55">
      <c r="A55" t="inlineStr">
        <is>
          <t>Sackville House - 78 Margaret Street</t>
        </is>
      </c>
      <c r="B55" s="475">
        <f>SUMIF(Units!D:D,"Sackville House - 78 Margaret Street",Units!G:G)</f>
        <v/>
      </c>
      <c r="C55" s="867">
        <f>SUMIF(Units!D:D,"Sackville House - 78 Margaret Street",Units!P:P)</f>
        <v/>
      </c>
      <c r="D55" s="867">
        <f>SUMIF(Units!D:D,"Sackville House - 78 Margaret Street",Units!S:S)</f>
        <v/>
      </c>
      <c r="E55" s="867">
        <f>SUMIF(Units!D:D,"Sackville House - 78 Margaret Street",Units!U:U)</f>
        <v/>
      </c>
      <c r="F55" s="868">
        <f>'Bank Schedule'!AB547</f>
        <v/>
      </c>
    </row>
    <row r="56">
      <c r="A56" t="inlineStr">
        <is>
          <t>Kenilworth House - 79-80 Margaret Street</t>
        </is>
      </c>
      <c r="B56" s="475">
        <f>SUMIF(Units!D:D,"Kenilworth House - 79-80 Margaret Street",Units!G:G)</f>
        <v/>
      </c>
      <c r="C56" s="867">
        <f>SUMIF(Units!D:D,"Kenilworth House - 79-80 Margaret Street",Units!P:P)</f>
        <v/>
      </c>
      <c r="D56" s="867">
        <f>SUMIF(Units!D:D,"Kenilworth House - 79-80 Margaret Street",Units!S:S)</f>
        <v/>
      </c>
      <c r="E56" s="867">
        <f>SUMIF(Units!D:D,"Kenilworth House - 79-80 Margaret Street",Units!U:U)</f>
        <v/>
      </c>
      <c r="F56" s="868">
        <f>'Bank Schedule'!AB565</f>
        <v/>
      </c>
    </row>
    <row r="57">
      <c r="A57" t="inlineStr">
        <is>
          <t>4 Market Place</t>
        </is>
      </c>
      <c r="B57" s="475">
        <f>SUMIF(Units!D:D,"4 Market Place",Units!G:G)</f>
        <v/>
      </c>
      <c r="C57" s="867">
        <f>SUMIF(Units!D:D,"4 Market Place",Units!P:P)</f>
        <v/>
      </c>
      <c r="D57" s="867">
        <f>SUMIF(Units!D:D,"4 Market Place",Units!S:S)</f>
        <v/>
      </c>
      <c r="E57" s="867">
        <f>SUMIF(Units!D:D,"4 Market Place",Units!U:U)</f>
        <v/>
      </c>
      <c r="F57" s="868">
        <f>'Bank Schedule'!AB572</f>
        <v/>
      </c>
    </row>
    <row r="58">
      <c r="A58" t="inlineStr">
        <is>
          <t>11-13 Market Place</t>
        </is>
      </c>
      <c r="B58" s="475">
        <f>SUMIF(Units!D:D,"11-13 Market Place",Units!G:G)</f>
        <v/>
      </c>
      <c r="C58" s="867">
        <f>SUMIF(Units!D:D,"11-13 Market Place",Units!P:P)</f>
        <v/>
      </c>
      <c r="D58" s="867">
        <f>SUMIF(Units!D:D,"11-13 Market Place",Units!S:S)</f>
        <v/>
      </c>
      <c r="E58" s="867">
        <f>SUMIF(Units!D:D,"11-13 Market Place",Units!U:U)</f>
        <v/>
      </c>
      <c r="F58" s="868">
        <f>'Bank Schedule'!AB576</f>
        <v/>
      </c>
    </row>
    <row r="59">
      <c r="A59" t="inlineStr">
        <is>
          <t>Radiant House, 34-38 Mortimer Street &amp; 3-4 Bywell Place</t>
        </is>
      </c>
      <c r="B59" s="475">
        <f>SUMIF(Units!D:D,"Radiant House, 34-38 Mortimer Street &amp; 3-4 Bywell Place",Units!G:G)</f>
        <v/>
      </c>
      <c r="C59" s="867">
        <f>SUMIF(Units!D:D,"Radiant House, 34-38 Mortimer Street &amp; 3-4 Bywell Place",Units!P:P)</f>
        <v/>
      </c>
      <c r="D59" s="867">
        <f>SUMIF(Units!D:D,"Radiant House, 34-38 Mortimer Street &amp; 3-4 Bywell Place",Units!S:S)</f>
        <v/>
      </c>
      <c r="E59" s="867">
        <f>SUMIF(Units!D:D,"Radiant House, 34-38 Mortimer Street &amp; 3-4 Bywell Place",Units!U:U)</f>
        <v/>
      </c>
      <c r="F59" s="868">
        <f>'Bank Schedule'!AB591</f>
        <v/>
      </c>
    </row>
    <row r="60">
      <c r="A60" t="inlineStr">
        <is>
          <t>Gilmoora House, 57-61 Mortimer Street</t>
        </is>
      </c>
      <c r="B60" s="475">
        <f>SUMIF(Units!D:D,"Gilmoora House, 57-61 Mortimer Street",Units!G:G)</f>
        <v/>
      </c>
      <c r="C60" s="867">
        <f>SUMIF(Units!D:D,"Gilmoora House, 57-61 Mortimer Street",Units!P:P)</f>
        <v/>
      </c>
      <c r="D60" s="867">
        <f>SUMIF(Units!D:D,"Gilmoora House, 57-61 Mortimer Street",Units!S:S)</f>
        <v/>
      </c>
      <c r="E60" s="867">
        <f>SUMIF(Units!D:D,"Gilmoora House, 57-61 Mortimer Street",Units!U:U)</f>
        <v/>
      </c>
      <c r="F60" s="868">
        <f>'Bank Schedule'!AB598</f>
        <v/>
      </c>
    </row>
    <row r="61">
      <c r="A61" t="inlineStr">
        <is>
          <t>67 - 81 Mortimer Street</t>
        </is>
      </c>
      <c r="B61" s="475">
        <f>SUMIF(Units!D:D,"67 - 81 Mortimer Street",Units!G:G)</f>
        <v/>
      </c>
      <c r="C61" s="867">
        <f>SUMIF(Units!D:D,"67 - 81 Mortimer Street",Units!P:P)</f>
        <v/>
      </c>
      <c r="D61" s="867">
        <f>SUMIF(Units!D:D,"67 - 81 Mortimer Street",Units!S:S)</f>
        <v/>
      </c>
      <c r="E61" s="867">
        <f>SUMIF(Units!D:D,"67 - 81 Mortimer Street",Units!U:U)</f>
        <v/>
      </c>
      <c r="F61" s="868">
        <f>'Bank Schedule'!AB615</f>
        <v/>
      </c>
    </row>
    <row r="62">
      <c r="A62" t="inlineStr">
        <is>
          <t>93 Mortimer Street &amp; 43 Great Portland Street</t>
        </is>
      </c>
      <c r="B62" s="475">
        <f>SUMIF(Units!D:D,"93 Mortimer Street &amp; 43 Great Portland Street",Units!G:G)</f>
        <v/>
      </c>
      <c r="C62" s="867">
        <f>SUMIF(Units!D:D,"93 Mortimer Street &amp; 43 Great Portland Street",Units!P:P)</f>
        <v/>
      </c>
      <c r="D62" s="867">
        <f>SUMIF(Units!D:D,"93 Mortimer Street &amp; 43 Great Portland Street",Units!S:S)</f>
        <v/>
      </c>
      <c r="E62" s="867">
        <f>SUMIF(Units!D:D,"93 Mortimer Street &amp; 43 Great Portland Street",Units!U:U)</f>
        <v/>
      </c>
      <c r="F62" s="868">
        <f>'Bank Schedule'!AB619</f>
        <v/>
      </c>
    </row>
    <row r="63">
      <c r="A63" t="inlineStr">
        <is>
          <t>142-144 Oxford Street</t>
        </is>
      </c>
      <c r="B63" s="475">
        <f>SUMIF(Units!D:D,"142-144 Oxford Street",Units!G:G)</f>
        <v/>
      </c>
      <c r="C63" s="867">
        <f>SUMIF(Units!D:D,"142-144 Oxford Street",Units!P:P)</f>
        <v/>
      </c>
      <c r="D63" s="867">
        <f>SUMIF(Units!D:D,"142-144 Oxford Street",Units!S:S)</f>
        <v/>
      </c>
      <c r="E63" s="867">
        <f>SUMIF(Units!D:D,"142-144 Oxford Street",Units!U:U)</f>
        <v/>
      </c>
      <c r="F63" s="868">
        <f>'Bank Schedule'!AB628</f>
        <v/>
      </c>
    </row>
    <row r="64">
      <c r="A64" t="inlineStr">
        <is>
          <t>146/148 Oxford Street</t>
        </is>
      </c>
      <c r="B64" s="475">
        <f>SUMIF(Units!D:D,"146/148 Oxford Street",Units!G:G)</f>
        <v/>
      </c>
      <c r="C64" s="867">
        <f>SUMIF(Units!D:D,"146/148 Oxford Street",Units!P:P)</f>
        <v/>
      </c>
      <c r="D64" s="867">
        <f>SUMIF(Units!D:D,"146/148 Oxford Street",Units!S:S)</f>
        <v/>
      </c>
      <c r="E64" s="867">
        <f>SUMIF(Units!D:D,"146/148 Oxford Street",Units!U:U)</f>
        <v/>
      </c>
      <c r="F64" s="868">
        <f>'Bank Schedule'!AB636</f>
        <v/>
      </c>
    </row>
    <row r="65">
      <c r="A65" t="inlineStr">
        <is>
          <t>150/154 Oxford Street</t>
        </is>
      </c>
      <c r="B65" s="475">
        <f>SUMIF(Units!D:D,"150/154 Oxford Street",Units!G:G)</f>
        <v/>
      </c>
      <c r="C65" s="867">
        <f>SUMIF(Units!D:D,"150/154 Oxford Street",Units!P:P)</f>
        <v/>
      </c>
      <c r="D65" s="867">
        <f>SUMIF(Units!D:D,"150/154 Oxford Street",Units!S:S)</f>
        <v/>
      </c>
      <c r="E65" s="867">
        <f>SUMIF(Units!D:D,"150/154 Oxford Street",Units!U:U)</f>
        <v/>
      </c>
      <c r="F65" s="868">
        <f>'Bank Schedule'!AB640</f>
        <v/>
      </c>
    </row>
    <row r="66">
      <c r="A66" t="inlineStr">
        <is>
          <t>50 Eastcastle Street</t>
        </is>
      </c>
      <c r="B66" s="475">
        <f>SUMIF(Units!D:D,"50 Eastcastle Street",Units!G:G)</f>
        <v/>
      </c>
      <c r="C66" s="867">
        <f>SUMIF(Units!D:D,"50 Eastcastle Street",Units!P:P)</f>
        <v/>
      </c>
      <c r="D66" s="867">
        <f>SUMIF(Units!D:D,"50 Eastcastle Street",Units!S:S)</f>
        <v/>
      </c>
      <c r="E66" s="867">
        <f>SUMIF(Units!D:D,"50 Eastcastle Street",Units!U:U)</f>
        <v/>
      </c>
    </row>
    <row r="67">
      <c r="A67" t="inlineStr">
        <is>
          <t>Mappin House, 156-162 Oxford Street</t>
        </is>
      </c>
      <c r="B67" s="475">
        <f>SUMIF(Units!D:D,"Mappin House, 156-162 Oxford Street",Units!G:G)</f>
        <v/>
      </c>
      <c r="C67" s="867">
        <f>SUMIF(Units!D:D,"Mappin House, 156-162 Oxford Street",Units!P:P)</f>
        <v/>
      </c>
      <c r="D67" s="867">
        <f>SUMIF(Units!D:D,"Mappin House, 156-162 Oxford Street",Units!S:S)</f>
        <v/>
      </c>
      <c r="E67" s="867">
        <f>SUMIF(Units!D:D,"Mappin House, 156-162 Oxford Street",Units!U:U)</f>
        <v/>
      </c>
      <c r="F67" s="868">
        <f>'Bank Schedule'!AB698</f>
        <v/>
      </c>
    </row>
    <row r="68">
      <c r="A68" t="inlineStr">
        <is>
          <t>53 Wells Street</t>
        </is>
      </c>
      <c r="B68" s="475">
        <f>SUMIF(Units!D:D,"53 Wells Street",Units!G:G)</f>
        <v/>
      </c>
      <c r="C68" s="867">
        <f>SUMIF(Units!D:D,"53 Wells Street",Units!P:P)</f>
        <v/>
      </c>
      <c r="D68" s="867">
        <f>SUMIF(Units!D:D,"53 Wells Street",Units!S:S)</f>
        <v/>
      </c>
      <c r="E68" s="867">
        <f>SUMIF(Units!D:D,"53 Wells Street",Units!U:U)</f>
        <v/>
      </c>
      <c r="F68" s="868">
        <f>'Bank Schedule'!AB708</f>
        <v/>
      </c>
    </row>
    <row r="69">
      <c r="A69" t="inlineStr">
        <is>
          <t>68 Wells Street</t>
        </is>
      </c>
      <c r="B69" s="475">
        <f>SUMIF(Units!D:D,"68 Wells Street",Units!G:G)</f>
        <v/>
      </c>
      <c r="C69" s="867">
        <f>SUMIF(Units!D:D,"68 Wells Street",Units!P:P)</f>
        <v/>
      </c>
      <c r="D69" s="867">
        <f>SUMIF(Units!D:D,"68 Wells Street",Units!S:S)</f>
        <v/>
      </c>
      <c r="E69" s="867">
        <f>SUMIF(Units!D:D,"68 Wells Street",Units!U:U)</f>
        <v/>
      </c>
      <c r="F69" s="868">
        <f>'Bank Schedule'!AB712</f>
        <v/>
      </c>
    </row>
    <row r="70">
      <c r="A70" t="inlineStr">
        <is>
          <t>33 Eastcastle Street</t>
        </is>
      </c>
      <c r="B70" s="475">
        <f>SUMIF(Units!D:D,"33 Eastcastle Street",Units!G:G)</f>
        <v/>
      </c>
      <c r="C70" s="867">
        <f>SUMIF(Units!D:D,"33 Eastcastle Street",Units!P:P)</f>
        <v/>
      </c>
      <c r="D70" s="867">
        <f>SUMIF(Units!D:D,"33 Eastcastle Street",Units!S:S)</f>
        <v/>
      </c>
      <c r="E70" s="867">
        <f>SUMIF(Units!D:D,"33 Eastcastle Street",Units!U:U)</f>
        <v/>
      </c>
      <c r="F70" s="868">
        <f>'Bank Schedule'!AB720</f>
        <v/>
      </c>
    </row>
    <row r="71">
      <c r="A71" t="inlineStr">
        <is>
          <t>Julco House, 26-28 Great Portland Street</t>
        </is>
      </c>
      <c r="B71" s="475">
        <f>SUMIF(Units!D:D,"Julco House, 26-28 Great Portland Street",Units!G:G)</f>
        <v/>
      </c>
      <c r="C71" s="867">
        <f>SUMIF(Units!D:D,"Julco House, 26-28 Great Portland Street",Units!P:P)</f>
        <v/>
      </c>
      <c r="D71" s="867">
        <f>SUMIF(Units!D:D,"Julco House, 26-28 Great Portland Street",Units!S:S)</f>
        <v/>
      </c>
      <c r="E71" s="867">
        <f>SUMIF(Units!D:D,"Julco House, 26-28 Great Portland Street",Units!U:U)</f>
        <v/>
      </c>
      <c r="F71" s="868">
        <f>'Bank Schedule'!AB734</f>
        <v/>
      </c>
    </row>
    <row r="72">
      <c r="A72" t="inlineStr">
        <is>
          <t>5 Margaret Street</t>
        </is>
      </c>
      <c r="B72" s="475">
        <f>SUMIF(Units!D:D,"5 Margaret Street",Units!G:G)</f>
        <v/>
      </c>
      <c r="C72" s="867">
        <f>SUMIF(Units!D:D,"5 Margaret Street",Units!P:P)</f>
        <v/>
      </c>
      <c r="D72" s="867">
        <f>SUMIF(Units!D:D,"5 Margaret Street",Units!S:S)</f>
        <v/>
      </c>
      <c r="E72" s="867">
        <f>SUMIF(Units!D:D,"5 Margaret Street",Units!U:U)</f>
        <v/>
      </c>
      <c r="F72" s="868">
        <f>'Bank Schedule'!AB739</f>
        <v/>
      </c>
    </row>
    <row r="73">
      <c r="A73" t="inlineStr">
        <is>
          <t>60/62 Margaret Street</t>
        </is>
      </c>
      <c r="B73" s="475">
        <f>SUMIF(Units!D:D,"60/62 Margaret Street",Units!G:G)</f>
        <v/>
      </c>
      <c r="C73" s="867">
        <f>SUMIF(Units!D:D,"60/62 Margaret Street",Units!P:P)</f>
        <v/>
      </c>
      <c r="D73" s="867">
        <f>SUMIF(Units!D:D,"60/62 Margaret Street",Units!S:S)</f>
        <v/>
      </c>
      <c r="E73" s="867">
        <f>SUMIF(Units!D:D,"60/62 Margaret Street",Units!U:U)</f>
        <v/>
      </c>
      <c r="F73" s="868">
        <f>'Bank Schedule'!AB744</f>
        <v/>
      </c>
    </row>
    <row r="74">
      <c r="A74" t="inlineStr">
        <is>
          <t>85 Mortimer Street</t>
        </is>
      </c>
      <c r="B74" s="475">
        <f>SUMIF(Units!D:D,"85 Mortimer Street",Units!G:G)</f>
        <v/>
      </c>
      <c r="C74" s="867">
        <f>SUMIF(Units!D:D,"85 Mortimer Street",Units!P:P)</f>
        <v/>
      </c>
      <c r="D74" s="867">
        <f>SUMIF(Units!D:D,"85 Mortimer Street",Units!S:S)</f>
        <v/>
      </c>
      <c r="E74" s="867">
        <f>SUMIF(Units!D:D,"85 Mortimer Street",Units!U:U)</f>
        <v/>
      </c>
      <c r="F74" s="868">
        <f>'Bank Schedule'!AB752</f>
        <v/>
      </c>
    </row>
    <row r="75">
      <c r="A75" t="inlineStr">
        <is>
          <t>Welbeck House, 66/67 Wells Street</t>
        </is>
      </c>
      <c r="B75" s="475">
        <f>SUMIF(Units!D:D,"Welbeck House, 66/67 Wells Street",Units!G:G)</f>
        <v/>
      </c>
      <c r="C75" s="867">
        <f>SUMIF(Units!D:D,"Welbeck House, 66/67 Wells Street",Units!P:P)</f>
        <v/>
      </c>
      <c r="D75" s="867">
        <f>SUMIF(Units!D:D,"Welbeck House, 66/67 Wells Street",Units!S:S)</f>
        <v/>
      </c>
      <c r="E75" s="867">
        <f>SUMIF(Units!D:D,"Welbeck House, 66/67 Wells Street",Units!U:U)</f>
        <v/>
      </c>
      <c r="F75" s="868">
        <f>'Bank Schedule'!AB767</f>
        <v/>
      </c>
    </row>
    <row r="76">
      <c r="A76" t="inlineStr">
        <is>
          <t>32-36 Great Portland Street</t>
        </is>
      </c>
      <c r="B76" s="475">
        <f>SUMIF(Units!D:D,"32-36 Great Portland Street",Units!G:G)</f>
        <v/>
      </c>
      <c r="C76" s="867">
        <f>SUMIF(Units!D:D,"32-36 Great Portland Street",Units!P:P)</f>
        <v/>
      </c>
      <c r="D76" s="867">
        <f>SUMIF(Units!D:D,"32-36 Great Portland Street",Units!S:S)</f>
        <v/>
      </c>
      <c r="E76" s="867">
        <f>SUMIF(Units!D:D,"32-36 Great Portland Street",Units!U:U)</f>
        <v/>
      </c>
      <c r="F76" s="868">
        <f>'Bank Schedule'!AB779</f>
        <v/>
      </c>
    </row>
    <row r="77">
      <c r="A77" t="inlineStr">
        <is>
          <t>184-190 Oxford Street &amp; 28/30 Market Place</t>
        </is>
      </c>
      <c r="B77" s="475">
        <f>SUMIF(Units!D:D,"184-190 Oxford Street &amp; 28/30 Market Place",Units!G:G)</f>
        <v/>
      </c>
      <c r="C77" s="867">
        <f>SUMIF(Units!D:D,"184-190 Oxford Street &amp; 28/30 Market Place",Units!P:P)</f>
        <v/>
      </c>
      <c r="D77" s="867">
        <f>SUMIF(Units!D:D,"184-190 Oxford Street &amp; 28/30 Market Place",Units!S:S)</f>
        <v/>
      </c>
      <c r="E77" s="867">
        <f>SUMIF(Units!D:D,"184-190 Oxford Street &amp; 28/30 Market Place",Units!U:U)</f>
        <v/>
      </c>
      <c r="F77" s="868">
        <f>'Bank Schedule'!AB796</f>
        <v/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2025-12-02T17:27:52Z</dcterms:modified>
  <cp:lastModifiedBy>William Spencer</cp:lastModifiedBy>
  <cp:lastPrinted>2025-06-30T15:43:09Z</cp:lastPrinted>
</cp:coreProperties>
</file>