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'Units'!$A$1:$AJ$427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yyyy-mm-dd h:mm:ss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1"/>
    </font>
    <font>
      <b val="1"/>
      <sz val="16"/>
    </font>
    <font>
      <b val="1"/>
    </font>
  </fonts>
  <fills count="42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E6E6FA"/>
        <bgColor rgb="00E6E6FA"/>
      </patternFill>
    </fill>
    <fill>
      <patternFill patternType="solid">
        <fgColor rgb="00D3D3D3"/>
        <bgColor rgb="00D3D3D3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70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4" fillId="0" borderId="0" pivotButton="0" quotePrefix="0" xfId="0"/>
    <xf numFmtId="0" fontId="75" fillId="41" borderId="0" pivotButton="0" quotePrefix="0" xfId="0"/>
    <xf numFmtId="0" fontId="73" fillId="4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42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0" customWidth="1" min="3" max="3"/>
    <col width="8" customWidth="1" min="4" max="4"/>
    <col width="17" customWidth="1" min="5" max="5"/>
    <col width="50" customWidth="1" min="6" max="6"/>
    <col width="50" customWidth="1" min="7" max="7"/>
    <col width="37" customWidth="1" min="8" max="8"/>
    <col width="10" customWidth="1" min="9" max="9"/>
    <col width="8" customWidth="1" min="10" max="10"/>
    <col width="19" customWidth="1" min="11" max="11"/>
    <col width="50" customWidth="1" min="12" max="12"/>
    <col width="23" customWidth="1" min="13" max="13"/>
    <col width="21" customWidth="1" min="14" max="14"/>
    <col width="21" customWidth="1" min="15" max="15"/>
    <col width="21" customWidth="1" min="16" max="16"/>
    <col width="21" customWidth="1" min="17" max="17"/>
    <col width="14" customWidth="1" min="18" max="18"/>
    <col width="9" customWidth="1" min="19" max="19"/>
    <col width="9" customWidth="1" min="20" max="20"/>
    <col width="16" customWidth="1" min="21" max="21"/>
    <col width="9" customWidth="1" min="22" max="22"/>
    <col width="16" customWidth="1" min="23" max="23"/>
    <col width="9" customWidth="1" min="24" max="24"/>
    <col width="18" customWidth="1" min="25" max="25"/>
    <col width="22" customWidth="1" min="26" max="26"/>
    <col width="8" customWidth="1" min="27" max="27"/>
    <col width="8" customWidth="1" min="28" max="28"/>
    <col width="24" customWidth="1" min="29" max="29"/>
    <col width="20" customWidth="1" min="30" max="30"/>
    <col width="50" customWidth="1" min="31" max="31"/>
    <col width="29" customWidth="1" min="32" max="32"/>
    <col width="18" customWidth="1" min="33" max="33"/>
    <col width="16" customWidth="1" min="34" max="34"/>
    <col width="17" customWidth="1" min="35" max="35"/>
    <col width="8" customWidth="1" min="36" max="36"/>
  </cols>
  <sheetData>
    <row r="1">
      <c r="A1" t="inlineStr">
        <is>
          <t>Building</t>
        </is>
      </c>
      <c r="C1" s="135" t="inlineStr">
        <is>
          <t>Surveyor</t>
        </is>
      </c>
      <c r="D1" s="135" t="inlineStr">
        <is>
          <t>Client</t>
        </is>
      </c>
      <c r="E1" s="74" t="inlineStr">
        <is>
          <t>Property Number</t>
        </is>
      </c>
      <c r="F1" s="74" t="inlineStr">
        <is>
          <t>Property</t>
        </is>
      </c>
      <c r="G1" s="74" t="inlineStr">
        <is>
          <t>Unit Demise</t>
        </is>
      </c>
      <c r="H1" s="75" t="inlineStr">
        <is>
          <t>Unit Type</t>
        </is>
      </c>
      <c r="I1" s="836" t="inlineStr">
        <is>
          <t>Net Area</t>
        </is>
      </c>
      <c r="J1" s="836" t="inlineStr">
        <is>
          <t>.</t>
        </is>
      </c>
      <c r="K1" s="836" t="inlineStr">
        <is>
          <t>Agency Area group</t>
        </is>
      </c>
      <c r="L1" s="77" t="inlineStr">
        <is>
          <t>Tenant Name</t>
        </is>
      </c>
      <c r="M1" s="580" t="inlineStr">
        <is>
          <t>Start            Date</t>
        </is>
      </c>
      <c r="N1" s="580" t="inlineStr">
        <is>
          <t>Expiry   Date</t>
        </is>
      </c>
      <c r="O1" s="580" t="inlineStr">
        <is>
          <t>Vacant Since?</t>
        </is>
      </c>
      <c r="P1" s="580" t="inlineStr">
        <is>
          <t>RRs</t>
        </is>
      </c>
      <c r="Q1" s="580" t="inlineStr">
        <is>
          <t xml:space="preserve">Break Date </t>
        </is>
      </c>
      <c r="R1" s="582" t="inlineStr">
        <is>
          <t xml:space="preserve">Rent PA (£) </t>
        </is>
      </c>
      <c r="S1" s="582" t="inlineStr">
        <is>
          <t>check 1</t>
        </is>
      </c>
      <c r="T1" s="582" t="inlineStr">
        <is>
          <t>check 2</t>
        </is>
      </c>
      <c r="U1" s="582" t="inlineStr">
        <is>
          <t xml:space="preserve">  2023 ERV (£)</t>
        </is>
      </c>
      <c r="V1" s="75" t="inlineStr">
        <is>
          <t>check 3</t>
        </is>
      </c>
      <c r="W1" s="582" t="inlineStr">
        <is>
          <t xml:space="preserve">  2024 ERV (£)</t>
        </is>
      </c>
      <c r="X1" s="75" t="inlineStr">
        <is>
          <t>check 4</t>
        </is>
      </c>
      <c r="Y1" s="75" t="inlineStr">
        <is>
          <t>ERV 2024 £.Sq.ft</t>
        </is>
      </c>
      <c r="Z1" s="75" t="inlineStr">
        <is>
          <t>ERV Variation</t>
        </is>
      </c>
      <c r="AA1" s="75" t="inlineStr">
        <is>
          <t>EPC</t>
        </is>
      </c>
      <c r="AB1" s="61" t="inlineStr">
        <is>
          <t>*</t>
        </is>
      </c>
      <c r="AC1" s="837" t="inlineStr">
        <is>
          <t xml:space="preserve">2024 Cap Valn. (£)    </t>
        </is>
      </c>
      <c r="AD1" s="837" t="inlineStr">
        <is>
          <t>1954 Act Protected</t>
        </is>
      </c>
      <c r="AE1" s="100" t="inlineStr">
        <is>
          <t>Remarks</t>
        </is>
      </c>
      <c r="AF1" s="584" t="inlineStr">
        <is>
          <t>Agency Quoting Rent £.sq.ft</t>
        </is>
      </c>
      <c r="AG1" s="274" t="inlineStr">
        <is>
          <t>Monthly Viewings</t>
        </is>
      </c>
      <c r="AH1" s="274" t="inlineStr">
        <is>
          <t>Total Viewings</t>
        </is>
      </c>
      <c r="AI1" s="274" t="inlineStr">
        <is>
          <t>Marketing Agent</t>
        </is>
      </c>
      <c r="AJ1" s="274" t="inlineStr">
        <is>
          <t>Status</t>
        </is>
      </c>
    </row>
    <row r="2">
      <c r="A2" t="inlineStr">
        <is>
          <t>5-6 Bywell Place</t>
        </is>
      </c>
      <c r="B2" s="838" t="n"/>
      <c r="C2" s="839" t="inlineStr">
        <is>
          <t>JM</t>
        </is>
      </c>
      <c r="D2" s="839" t="inlineStr">
        <is>
          <t>MEL</t>
        </is>
      </c>
      <c r="E2" s="838" t="n">
        <v>550020</v>
      </c>
      <c r="F2" s="840" t="inlineStr">
        <is>
          <t>5-6 Bywell Place</t>
        </is>
      </c>
      <c r="G2" s="840" t="inlineStr">
        <is>
          <t>Whole Building</t>
        </is>
      </c>
      <c r="H2" s="841" t="inlineStr">
        <is>
          <t>Office</t>
        </is>
      </c>
      <c r="I2" s="18" t="n">
        <v>2011</v>
      </c>
      <c r="J2" s="842">
        <f>I2</f>
        <v/>
      </c>
      <c r="K2" s="842" t="n">
        <v>2000</v>
      </c>
      <c r="L2" s="840" t="inlineStr">
        <is>
          <t>111 Skin Limited</t>
        </is>
      </c>
      <c r="M2" s="843" t="n">
        <v>45365</v>
      </c>
      <c r="N2" s="844" t="n">
        <v>47190</v>
      </c>
      <c r="Q2" s="844" t="n">
        <v>46459</v>
      </c>
      <c r="R2" s="591" t="n">
        <v>115500</v>
      </c>
      <c r="S2" s="842">
        <f>R2</f>
        <v/>
      </c>
      <c r="T2" s="591">
        <f>S2</f>
        <v/>
      </c>
      <c r="U2" s="591" t="n">
        <v>100600</v>
      </c>
      <c r="V2" s="842">
        <f>U2</f>
        <v/>
      </c>
      <c r="W2" s="591" t="n">
        <v>115000</v>
      </c>
      <c r="X2" s="842">
        <f>W2</f>
        <v/>
      </c>
      <c r="Y2" s="845">
        <f>W2/I2</f>
        <v/>
      </c>
      <c r="Z2" s="846">
        <f>SUM(W2-U2)/U2</f>
        <v/>
      </c>
      <c r="AA2" s="842" t="inlineStr">
        <is>
          <t>C</t>
        </is>
      </c>
      <c r="AB2" s="590" t="n"/>
      <c r="AC2" s="591" t="n">
        <v>1825000</v>
      </c>
      <c r="AD2" s="847" t="inlineStr">
        <is>
          <t>No</t>
        </is>
      </c>
      <c r="AE2" s="840" t="inlineStr">
        <is>
          <t>Tenant break on 6 months notice. Break penalty of £28,875 if exercised.</t>
        </is>
      </c>
      <c r="AJ2" t="inlineStr">
        <is>
          <t>Let</t>
        </is>
      </c>
    </row>
    <row r="3">
      <c r="A3" t="inlineStr">
        <is>
          <t>22 and 23-25 Eastcastle Street</t>
        </is>
      </c>
      <c r="B3" s="838" t="n"/>
      <c r="C3" s="839" t="inlineStr">
        <is>
          <t>SH</t>
        </is>
      </c>
      <c r="D3" s="839" t="inlineStr">
        <is>
          <t>MEL</t>
        </is>
      </c>
      <c r="E3" s="838" t="n">
        <v>550910</v>
      </c>
      <c r="F3" s="840" t="inlineStr">
        <is>
          <t>22 and 23-25 Eastcastle Street</t>
        </is>
      </c>
      <c r="G3" s="840" t="inlineStr">
        <is>
          <t>Lower Ground &amp; Ground (22)</t>
        </is>
      </c>
      <c r="H3" s="841" t="inlineStr">
        <is>
          <t>Retail</t>
        </is>
      </c>
      <c r="I3" s="848" t="n">
        <v>2333</v>
      </c>
      <c r="J3" s="842">
        <f>I3</f>
        <v/>
      </c>
      <c r="K3" s="842" t="n">
        <v>2000</v>
      </c>
      <c r="L3" s="840" t="inlineStr">
        <is>
          <t>Top Bridal Ltd</t>
        </is>
      </c>
      <c r="M3" s="844" t="n">
        <v>45736</v>
      </c>
      <c r="N3" s="844" t="n">
        <v>47561</v>
      </c>
      <c r="Q3" s="844" t="n">
        <v>46831</v>
      </c>
      <c r="R3" s="390" t="n">
        <v>128000</v>
      </c>
      <c r="S3" s="842">
        <f>R3</f>
        <v/>
      </c>
      <c r="U3" s="848" t="n">
        <v>110000</v>
      </c>
      <c r="V3" s="842">
        <f>U3</f>
        <v/>
      </c>
      <c r="W3" s="848" t="n">
        <v>108100</v>
      </c>
      <c r="X3" s="842">
        <f>W3</f>
        <v/>
      </c>
      <c r="Y3" s="845">
        <f>W3/I3</f>
        <v/>
      </c>
      <c r="Z3" s="846">
        <f>SUM(W3-U3)/U3</f>
        <v/>
      </c>
      <c r="AA3" s="842" t="inlineStr">
        <is>
          <t>C</t>
        </is>
      </c>
      <c r="AB3" s="590" t="n"/>
      <c r="AC3" s="847" t="n"/>
      <c r="AD3" s="841" t="inlineStr">
        <is>
          <t>No</t>
        </is>
      </c>
      <c r="AE3" s="840" t="inlineStr">
        <is>
          <t>Stepped rent increasing to £130,000 wef 20/03/27. Tenant break on 6 months notice.</t>
        </is>
      </c>
      <c r="AF3" s="599" t="n"/>
      <c r="AG3" s="840" t="n">
        <v>1</v>
      </c>
      <c r="AH3" s="312" t="n">
        <v>3</v>
      </c>
      <c r="AJ3" t="inlineStr">
        <is>
          <t>Let</t>
        </is>
      </c>
    </row>
    <row r="4">
      <c r="A4" t="inlineStr">
        <is>
          <t>22 and 23-25 Eastcastle Street</t>
        </is>
      </c>
      <c r="B4" s="838" t="n"/>
      <c r="C4" s="839" t="inlineStr">
        <is>
          <t>SH</t>
        </is>
      </c>
      <c r="D4" s="839" t="inlineStr">
        <is>
          <t>MEL</t>
        </is>
      </c>
      <c r="E4" s="838" t="n">
        <v>550910</v>
      </c>
      <c r="F4" s="840" t="inlineStr">
        <is>
          <t>22 and 23-25 Eastcastle Street</t>
        </is>
      </c>
      <c r="G4" s="840" t="inlineStr">
        <is>
          <t>Lower Ground &amp; Ground (23-25)</t>
        </is>
      </c>
      <c r="H4" s="841" t="inlineStr">
        <is>
          <t>Gallery</t>
        </is>
      </c>
      <c r="I4" s="848" t="n">
        <v>6092</v>
      </c>
      <c r="J4" s="842">
        <f>I4</f>
        <v/>
      </c>
      <c r="K4" s="842" t="n">
        <v>6000</v>
      </c>
      <c r="L4" s="840" t="inlineStr">
        <is>
          <t>Sisters Grimm Ltd</t>
        </is>
      </c>
      <c r="M4" s="843" t="n">
        <v>45712</v>
      </c>
      <c r="N4" s="844" t="n">
        <v>47537</v>
      </c>
      <c r="Q4" s="844" t="n">
        <v>46806</v>
      </c>
      <c r="R4" s="842" t="n">
        <v>325000</v>
      </c>
      <c r="S4" s="842">
        <f>R4</f>
        <v/>
      </c>
      <c r="U4" s="848" t="n">
        <v>225000</v>
      </c>
      <c r="V4" s="842">
        <f>U4</f>
        <v/>
      </c>
      <c r="W4" s="848" t="n">
        <v>226100</v>
      </c>
      <c r="X4" s="842">
        <f>W4</f>
        <v/>
      </c>
      <c r="Y4" s="845">
        <f>W4/I4</f>
        <v/>
      </c>
      <c r="Z4" s="846">
        <f>SUM(W4-U4)/U4</f>
        <v/>
      </c>
      <c r="AA4" s="842" t="inlineStr">
        <is>
          <t>B</t>
        </is>
      </c>
      <c r="AB4" s="590" t="n"/>
      <c r="AC4" s="847" t="n"/>
      <c r="AD4" s="841" t="inlineStr">
        <is>
          <t>No</t>
        </is>
      </c>
      <c r="AE4" s="840" t="inlineStr">
        <is>
          <t>Tenant break on 6 months notice. 1 month rent free from 24/02/28 if break not excerised.</t>
        </is>
      </c>
      <c r="AF4" s="599" t="n"/>
      <c r="AH4" s="312" t="n">
        <v>3</v>
      </c>
      <c r="AI4" s="840" t="inlineStr">
        <is>
          <t>LEM</t>
        </is>
      </c>
      <c r="AJ4" t="inlineStr">
        <is>
          <t>Let</t>
        </is>
      </c>
    </row>
    <row r="5">
      <c r="A5" t="inlineStr">
        <is>
          <t>22 and 23-25 Eastcastle Street</t>
        </is>
      </c>
      <c r="B5" s="838" t="n"/>
      <c r="C5" s="839" t="inlineStr">
        <is>
          <t>SH</t>
        </is>
      </c>
      <c r="D5" s="839" t="inlineStr">
        <is>
          <t>MEL</t>
        </is>
      </c>
      <c r="E5" s="838" t="n">
        <v>550910</v>
      </c>
      <c r="F5" s="840" t="inlineStr">
        <is>
          <t>22 and 23-25 Eastcastle Street</t>
        </is>
      </c>
      <c r="G5" s="840" t="inlineStr">
        <is>
          <t>First Floor (22)</t>
        </is>
      </c>
      <c r="H5" s="841" t="inlineStr">
        <is>
          <t>Office</t>
        </is>
      </c>
      <c r="I5" s="848" t="n">
        <v>1063</v>
      </c>
      <c r="J5" s="842">
        <f>I5</f>
        <v/>
      </c>
      <c r="K5" s="842" t="n">
        <v>1000</v>
      </c>
      <c r="L5" s="840" t="inlineStr">
        <is>
          <t>Peter Alexander UK Ltd</t>
        </is>
      </c>
      <c r="M5" s="844" t="n">
        <v>45551</v>
      </c>
      <c r="N5" s="844" t="n">
        <v>47376</v>
      </c>
      <c r="Q5" s="844" t="n">
        <v>46645</v>
      </c>
      <c r="R5" s="848" t="n">
        <v>61425</v>
      </c>
      <c r="S5" s="842">
        <f>R5</f>
        <v/>
      </c>
      <c r="U5" s="848" t="n">
        <v>55700</v>
      </c>
      <c r="V5" s="842">
        <f>U5</f>
        <v/>
      </c>
      <c r="W5" s="848" t="n">
        <v>61100</v>
      </c>
      <c r="X5" s="842">
        <f>W5</f>
        <v/>
      </c>
      <c r="Y5" s="845">
        <f>W5/I5</f>
        <v/>
      </c>
      <c r="Z5" s="846">
        <f>SUM(W5-U5)/U5</f>
        <v/>
      </c>
      <c r="AA5" s="842" t="inlineStr">
        <is>
          <t>D</t>
        </is>
      </c>
      <c r="AB5" s="590" t="n"/>
      <c r="AC5" s="847" t="n"/>
      <c r="AD5" s="841" t="inlineStr">
        <is>
          <t>No</t>
        </is>
      </c>
      <c r="AE5" s="840" t="inlineStr">
        <is>
          <t>Tenant break on 3 months notice. Additional 3 months rent free if not exercised.</t>
        </is>
      </c>
      <c r="AI5" s="29" t="inlineStr">
        <is>
          <t>LEM</t>
        </is>
      </c>
      <c r="AJ5" t="inlineStr">
        <is>
          <t>Let</t>
        </is>
      </c>
    </row>
    <row r="6">
      <c r="A6" t="inlineStr">
        <is>
          <t>22 and 23-25 Eastcastle Street</t>
        </is>
      </c>
      <c r="B6" s="838" t="n"/>
      <c r="C6" s="839" t="inlineStr">
        <is>
          <t>SH</t>
        </is>
      </c>
      <c r="D6" s="839" t="inlineStr">
        <is>
          <t>MEL</t>
        </is>
      </c>
      <c r="E6" s="838" t="n">
        <v>550910</v>
      </c>
      <c r="F6" s="840" t="inlineStr">
        <is>
          <t>22 and 23-25 Eastcastle Street</t>
        </is>
      </c>
      <c r="G6" s="840" t="inlineStr">
        <is>
          <t>First Floor (23-25)</t>
        </is>
      </c>
      <c r="H6" s="841" t="inlineStr">
        <is>
          <t>Office</t>
        </is>
      </c>
      <c r="I6" s="848" t="n">
        <v>2220</v>
      </c>
      <c r="J6" s="842">
        <f>I6</f>
        <v/>
      </c>
      <c r="K6" s="842" t="n">
        <v>2000</v>
      </c>
      <c r="L6" s="840" t="inlineStr">
        <is>
          <t>Cord Technologies Ltd</t>
        </is>
      </c>
      <c r="M6" s="844" t="n">
        <v>45086</v>
      </c>
      <c r="N6" s="844" t="n">
        <v>46181</v>
      </c>
      <c r="R6" s="848" t="n">
        <v>131400</v>
      </c>
      <c r="S6" s="842">
        <f>R6</f>
        <v/>
      </c>
      <c r="U6" s="848" t="n">
        <v>131100</v>
      </c>
      <c r="V6" s="842">
        <f>U6</f>
        <v/>
      </c>
      <c r="W6" s="848" t="n">
        <v>133200</v>
      </c>
      <c r="X6" s="842">
        <f>W6</f>
        <v/>
      </c>
      <c r="Y6" s="845">
        <f>W6/I6</f>
        <v/>
      </c>
      <c r="Z6" s="846">
        <f>SUM(W6-U6)/U6</f>
        <v/>
      </c>
      <c r="AA6" s="842" t="inlineStr">
        <is>
          <t>D</t>
        </is>
      </c>
      <c r="AB6" s="590" t="n"/>
      <c r="AC6" s="847" t="n"/>
      <c r="AD6" s="841" t="inlineStr">
        <is>
          <t>No</t>
        </is>
      </c>
      <c r="AE6" s="29" t="inlineStr">
        <is>
          <t>Tenant break passed.</t>
        </is>
      </c>
      <c r="AH6" s="312" t="n"/>
      <c r="AJ6" t="inlineStr">
        <is>
          <t>Let</t>
        </is>
      </c>
    </row>
    <row r="7">
      <c r="A7" t="inlineStr">
        <is>
          <t>22 and 23-25 Eastcastle Street</t>
        </is>
      </c>
      <c r="B7" s="838" t="n"/>
      <c r="C7" s="839" t="inlineStr">
        <is>
          <t>SH</t>
        </is>
      </c>
      <c r="D7" s="839" t="inlineStr">
        <is>
          <t>MEL</t>
        </is>
      </c>
      <c r="E7" s="838" t="n">
        <v>550910</v>
      </c>
      <c r="F7" s="840" t="inlineStr">
        <is>
          <t>22 and 23-25 Eastcastle Street</t>
        </is>
      </c>
      <c r="G7" s="840" t="inlineStr">
        <is>
          <t>Second Floor (22)</t>
        </is>
      </c>
      <c r="H7" s="841" t="inlineStr">
        <is>
          <t>Office</t>
        </is>
      </c>
      <c r="I7" s="848" t="n">
        <v>1124</v>
      </c>
      <c r="J7" s="842">
        <f>I7</f>
        <v/>
      </c>
      <c r="K7" s="842" t="n">
        <v>1000</v>
      </c>
      <c r="L7" s="840" t="inlineStr">
        <is>
          <t>Cord Technologies Ltd</t>
        </is>
      </c>
      <c r="M7" s="844" t="n">
        <v>45614</v>
      </c>
      <c r="N7" s="844" t="n">
        <v>46181</v>
      </c>
      <c r="O7" s="844" t="n"/>
      <c r="P7" s="844" t="n"/>
      <c r="Q7" s="844" t="n"/>
      <c r="R7" s="848" t="n">
        <v>71875</v>
      </c>
      <c r="S7" s="842">
        <f>R7</f>
        <v/>
      </c>
      <c r="T7" s="842" t="n"/>
      <c r="U7" s="848" t="n">
        <v>60400</v>
      </c>
      <c r="V7" s="842">
        <f>U7</f>
        <v/>
      </c>
      <c r="W7" s="848" t="n">
        <v>61800</v>
      </c>
      <c r="X7" s="842">
        <f>W7</f>
        <v/>
      </c>
      <c r="Y7" s="845">
        <f>W7/I7</f>
        <v/>
      </c>
      <c r="Z7" s="846">
        <f>SUM(W7-U7)/U7</f>
        <v/>
      </c>
      <c r="AA7" s="842" t="inlineStr">
        <is>
          <t>B</t>
        </is>
      </c>
      <c r="AB7" s="590" t="n"/>
      <c r="AC7" s="847" t="n"/>
      <c r="AD7" s="841" t="inlineStr">
        <is>
          <t>No</t>
        </is>
      </c>
      <c r="AE7" s="29" t="inlineStr">
        <is>
          <t>Tenant break passed.</t>
        </is>
      </c>
      <c r="AF7" s="599" t="n"/>
      <c r="AG7" s="840" t="n"/>
      <c r="AH7" s="312" t="n"/>
      <c r="AI7" s="840" t="n"/>
      <c r="AJ7" t="inlineStr">
        <is>
          <t>Let</t>
        </is>
      </c>
    </row>
    <row r="8">
      <c r="A8" t="inlineStr">
        <is>
          <t>22 and 23-25 Eastcastle Street</t>
        </is>
      </c>
      <c r="B8" s="838" t="n"/>
      <c r="C8" s="839" t="inlineStr">
        <is>
          <t>SH</t>
        </is>
      </c>
      <c r="D8" s="839" t="inlineStr">
        <is>
          <t>MEL</t>
        </is>
      </c>
      <c r="E8" s="838" t="n">
        <v>550910</v>
      </c>
      <c r="F8" s="840" t="inlineStr">
        <is>
          <t>22 and 23-25 Eastcastle Street</t>
        </is>
      </c>
      <c r="G8" s="840" t="inlineStr">
        <is>
          <t>Second Floor (23-25)</t>
        </is>
      </c>
      <c r="H8" s="841" t="inlineStr">
        <is>
          <t>Office</t>
        </is>
      </c>
      <c r="I8" s="848" t="n">
        <v>2238</v>
      </c>
      <c r="J8" s="842">
        <f>I8</f>
        <v/>
      </c>
      <c r="K8" s="842" t="n">
        <v>2000</v>
      </c>
      <c r="L8" s="840" t="inlineStr">
        <is>
          <t>Vacant</t>
        </is>
      </c>
      <c r="M8" s="844" t="n"/>
      <c r="O8" s="844" t="n">
        <v>45636</v>
      </c>
      <c r="R8" s="848" t="n">
        <v>0</v>
      </c>
      <c r="S8" s="842">
        <f>R8</f>
        <v/>
      </c>
      <c r="U8" s="848" t="n">
        <v>134300</v>
      </c>
      <c r="V8" s="842">
        <f>U8</f>
        <v/>
      </c>
      <c r="W8" s="848" t="n">
        <v>134300</v>
      </c>
      <c r="X8" s="842">
        <f>W8</f>
        <v/>
      </c>
      <c r="Y8" s="845">
        <f>W8/I8</f>
        <v/>
      </c>
      <c r="Z8" s="846">
        <f>SUM(W8-U8)/U8</f>
        <v/>
      </c>
      <c r="AA8" s="842" t="inlineStr">
        <is>
          <t>D</t>
        </is>
      </c>
      <c r="AB8" s="590" t="n"/>
      <c r="AC8" s="847" t="n"/>
      <c r="AD8" s="841" t="inlineStr">
        <is>
          <t>No</t>
        </is>
      </c>
      <c r="AE8" s="840" t="inlineStr">
        <is>
          <t>LEM marketing.</t>
        </is>
      </c>
      <c r="AG8" s="840" t="n">
        <v>2</v>
      </c>
      <c r="AH8" s="312" t="n">
        <v>2</v>
      </c>
      <c r="AI8" s="29" t="n"/>
      <c r="AJ8" t="inlineStr">
        <is>
          <t>Void</t>
        </is>
      </c>
    </row>
    <row r="9">
      <c r="A9" t="inlineStr">
        <is>
          <t>22 and 23-25 Eastcastle Street</t>
        </is>
      </c>
      <c r="B9" s="838" t="n"/>
      <c r="C9" s="839" t="inlineStr">
        <is>
          <t>SH</t>
        </is>
      </c>
      <c r="D9" s="839" t="inlineStr">
        <is>
          <t>MEL</t>
        </is>
      </c>
      <c r="E9" s="838" t="n">
        <v>550910</v>
      </c>
      <c r="F9" s="840" t="inlineStr">
        <is>
          <t>22 and 23-25 Eastcastle Street</t>
        </is>
      </c>
      <c r="G9" s="840" t="inlineStr">
        <is>
          <t>Third Floor (22)</t>
        </is>
      </c>
      <c r="H9" s="841" t="inlineStr">
        <is>
          <t>Office</t>
        </is>
      </c>
      <c r="I9" s="848" t="n">
        <v>400</v>
      </c>
      <c r="J9" s="842">
        <f>I9</f>
        <v/>
      </c>
      <c r="K9" s="842" t="n">
        <v>500</v>
      </c>
      <c r="L9" s="840" t="inlineStr">
        <is>
          <t>Vacant</t>
        </is>
      </c>
      <c r="M9" s="844" t="n"/>
      <c r="O9" s="844" t="n">
        <v>45771</v>
      </c>
      <c r="R9" s="848" t="n">
        <v>0</v>
      </c>
      <c r="S9" s="842">
        <f>R9</f>
        <v/>
      </c>
      <c r="U9" s="848" t="n">
        <v>20600</v>
      </c>
      <c r="V9" s="842">
        <f>U9</f>
        <v/>
      </c>
      <c r="W9" s="848" t="n">
        <v>23000</v>
      </c>
      <c r="X9" s="842">
        <f>W9</f>
        <v/>
      </c>
      <c r="Y9" s="845">
        <f>W9/I9</f>
        <v/>
      </c>
      <c r="Z9" s="846">
        <f>SUM(W9-U9)/U9</f>
        <v/>
      </c>
      <c r="AA9" s="842" t="inlineStr">
        <is>
          <t>D</t>
        </is>
      </c>
      <c r="AB9" s="590" t="n"/>
      <c r="AC9" s="847" t="n"/>
      <c r="AD9" s="841" t="inlineStr">
        <is>
          <t>No</t>
        </is>
      </c>
      <c r="AE9" s="840" t="inlineStr">
        <is>
          <t>LEM marketing.</t>
        </is>
      </c>
      <c r="AG9" s="840" t="n">
        <v>1</v>
      </c>
      <c r="AH9" s="312" t="n">
        <v>1</v>
      </c>
      <c r="AJ9" t="inlineStr">
        <is>
          <t>Void</t>
        </is>
      </c>
    </row>
    <row r="10">
      <c r="A10" t="inlineStr">
        <is>
          <t>22 and 23-25 Eastcastle Street</t>
        </is>
      </c>
      <c r="B10" s="838" t="n"/>
      <c r="C10" s="839" t="inlineStr">
        <is>
          <t>SH</t>
        </is>
      </c>
      <c r="D10" s="839" t="inlineStr">
        <is>
          <t>MEL</t>
        </is>
      </c>
      <c r="E10" s="838" t="n">
        <v>550910</v>
      </c>
      <c r="F10" s="840" t="inlineStr">
        <is>
          <t>22 and 23-25 Eastcastle Street</t>
        </is>
      </c>
      <c r="G10" s="840" t="inlineStr">
        <is>
          <t>Third Floor (23-25)</t>
        </is>
      </c>
      <c r="H10" s="841" t="inlineStr">
        <is>
          <t>Office</t>
        </is>
      </c>
      <c r="I10" s="848" t="n">
        <v>1938</v>
      </c>
      <c r="J10" s="842">
        <f>I10</f>
        <v/>
      </c>
      <c r="K10" s="842" t="n">
        <v>2000</v>
      </c>
      <c r="L10" s="840" t="inlineStr">
        <is>
          <t>Vacant</t>
        </is>
      </c>
      <c r="O10" s="844" t="n">
        <v>45217</v>
      </c>
      <c r="R10" s="842" t="n">
        <v>0</v>
      </c>
      <c r="S10" s="842">
        <f>R10</f>
        <v/>
      </c>
      <c r="U10" s="848" t="n">
        <v>109000</v>
      </c>
      <c r="V10" s="842">
        <f>U10</f>
        <v/>
      </c>
      <c r="W10" s="848" t="n">
        <v>111400</v>
      </c>
      <c r="X10" s="842">
        <f>W10</f>
        <v/>
      </c>
      <c r="Y10" s="845">
        <f>W10/I10</f>
        <v/>
      </c>
      <c r="Z10" s="846">
        <f>SUM(W10-U10)/U10</f>
        <v/>
      </c>
      <c r="AA10" s="842" t="inlineStr">
        <is>
          <t>D</t>
        </is>
      </c>
      <c r="AB10" s="590" t="n"/>
      <c r="AC10" s="847" t="n"/>
      <c r="AD10" s="841" t="inlineStr">
        <is>
          <t>No</t>
        </is>
      </c>
      <c r="AE10" s="840" t="inlineStr">
        <is>
          <t>LEM marketing.</t>
        </is>
      </c>
      <c r="AF10" s="849" t="n">
        <v>65</v>
      </c>
      <c r="AG10" s="840" t="n">
        <v>2</v>
      </c>
      <c r="AH10" s="312" t="n">
        <v>4</v>
      </c>
      <c r="AJ10" t="inlineStr">
        <is>
          <t>Void</t>
        </is>
      </c>
    </row>
    <row r="11">
      <c r="A11" t="inlineStr">
        <is>
          <t>22 and 23-25 Eastcastle Street</t>
        </is>
      </c>
      <c r="B11" s="838" t="n"/>
      <c r="C11" s="839" t="inlineStr">
        <is>
          <t>SH</t>
        </is>
      </c>
      <c r="D11" s="839" t="inlineStr">
        <is>
          <t>MEL</t>
        </is>
      </c>
      <c r="E11" s="838" t="n">
        <v>550910</v>
      </c>
      <c r="F11" s="840" t="inlineStr">
        <is>
          <t>22 and 23-25 Eastcastle Street</t>
        </is>
      </c>
      <c r="G11" s="840" t="inlineStr">
        <is>
          <t>Fourth Floor (22)</t>
        </is>
      </c>
      <c r="H11" s="841" t="inlineStr">
        <is>
          <t>Office</t>
        </is>
      </c>
      <c r="I11" s="848" t="n">
        <v>419</v>
      </c>
      <c r="J11" s="842">
        <f>I11</f>
        <v/>
      </c>
      <c r="K11" s="842" t="n">
        <v>500</v>
      </c>
      <c r="L11" s="840" t="inlineStr">
        <is>
          <t>Element Pictures UK Ltd.</t>
        </is>
      </c>
      <c r="M11" s="843" t="n">
        <v>44539</v>
      </c>
      <c r="N11" s="844" t="n">
        <v>46364</v>
      </c>
      <c r="R11" s="842" t="n">
        <v>23940</v>
      </c>
      <c r="S11" s="842">
        <f>R11</f>
        <v/>
      </c>
      <c r="U11" s="848" t="n">
        <v>21000</v>
      </c>
      <c r="V11" s="842">
        <f>U11</f>
        <v/>
      </c>
      <c r="W11" s="848" t="n">
        <v>24100</v>
      </c>
      <c r="X11" s="842">
        <f>W11</f>
        <v/>
      </c>
      <c r="Y11" s="845">
        <f>W11/I11</f>
        <v/>
      </c>
      <c r="Z11" s="846">
        <f>SUM(W11-U11)/U11</f>
        <v/>
      </c>
      <c r="AA11" s="842" t="inlineStr">
        <is>
          <t>D</t>
        </is>
      </c>
      <c r="AB11" s="590" t="n"/>
      <c r="AC11" s="847" t="n"/>
      <c r="AD11" s="841" t="inlineStr">
        <is>
          <t>No</t>
        </is>
      </c>
      <c r="AG11" s="840" t="n">
        <v>1</v>
      </c>
      <c r="AH11" s="312" t="n">
        <v>1</v>
      </c>
      <c r="AJ11" t="inlineStr">
        <is>
          <t>Let</t>
        </is>
      </c>
    </row>
    <row r="12">
      <c r="A12" t="inlineStr">
        <is>
          <t>22 and 23-25 Eastcastle Street</t>
        </is>
      </c>
      <c r="B12" s="838" t="n"/>
      <c r="C12" s="839" t="inlineStr">
        <is>
          <t>SH</t>
        </is>
      </c>
      <c r="D12" s="839" t="inlineStr">
        <is>
          <t>MEL</t>
        </is>
      </c>
      <c r="E12" s="838" t="n">
        <v>550910</v>
      </c>
      <c r="F12" s="840" t="inlineStr">
        <is>
          <t>22 and 23-25 Eastcastle Street</t>
        </is>
      </c>
      <c r="G12" s="840" t="inlineStr">
        <is>
          <t>Fourth Floor (23-25)</t>
        </is>
      </c>
      <c r="H12" s="841" t="inlineStr">
        <is>
          <t>Office</t>
        </is>
      </c>
      <c r="I12" s="848" t="n">
        <v>972</v>
      </c>
      <c r="J12" s="842">
        <f>I12</f>
        <v/>
      </c>
      <c r="K12" s="842" t="n">
        <v>1000</v>
      </c>
      <c r="L12" s="840" t="inlineStr">
        <is>
          <t>Encore Search (Newburgh Street) Ltd.</t>
        </is>
      </c>
      <c r="M12" s="843" t="n">
        <v>45100</v>
      </c>
      <c r="N12" s="844" t="n">
        <v>46926</v>
      </c>
      <c r="Q12" s="844" t="n">
        <v>46195</v>
      </c>
      <c r="R12" s="848" t="n">
        <v>58560</v>
      </c>
      <c r="S12" s="842">
        <f>R12</f>
        <v/>
      </c>
      <c r="U12" s="848" t="n">
        <v>49400</v>
      </c>
      <c r="V12" s="842">
        <f>U12</f>
        <v/>
      </c>
      <c r="W12" s="848" t="n">
        <v>58300</v>
      </c>
      <c r="X12" s="842">
        <f>W12</f>
        <v/>
      </c>
      <c r="Y12" s="845">
        <f>W12/I12</f>
        <v/>
      </c>
      <c r="Z12" s="846">
        <f>SUM(W12-U12)/U12</f>
        <v/>
      </c>
      <c r="AA12" s="842" t="inlineStr">
        <is>
          <t>D</t>
        </is>
      </c>
      <c r="AB12" s="590" t="n"/>
      <c r="AC12" s="847" t="n"/>
      <c r="AD12" s="841" t="inlineStr">
        <is>
          <t>No</t>
        </is>
      </c>
      <c r="AE12" s="840" t="inlineStr">
        <is>
          <t>Tenant break on 6 months notice. 3 months rent free if not exercised.</t>
        </is>
      </c>
      <c r="AH12" s="312" t="n"/>
      <c r="AJ12" t="inlineStr">
        <is>
          <t>Let</t>
        </is>
      </c>
    </row>
    <row r="13">
      <c r="A13" t="inlineStr">
        <is>
          <t>22 and 23-25 Eastcastle Street</t>
        </is>
      </c>
      <c r="B13" s="838" t="n"/>
      <c r="C13" s="839" t="inlineStr">
        <is>
          <t>SH</t>
        </is>
      </c>
      <c r="D13" s="839" t="inlineStr">
        <is>
          <t>MEL</t>
        </is>
      </c>
      <c r="E13" s="838" t="n">
        <v>550910</v>
      </c>
      <c r="F13" s="840" t="inlineStr">
        <is>
          <t>22 and 23-25 Eastcastle Street</t>
        </is>
      </c>
      <c r="G13" s="840" t="inlineStr">
        <is>
          <t>Fifth Floor (23-25)</t>
        </is>
      </c>
      <c r="H13" s="841" t="inlineStr">
        <is>
          <t>Office</t>
        </is>
      </c>
      <c r="I13" s="848" t="n">
        <v>977</v>
      </c>
      <c r="J13" s="842">
        <f>I13</f>
        <v/>
      </c>
      <c r="K13" s="842" t="n">
        <v>1000</v>
      </c>
      <c r="L13" s="840" t="inlineStr">
        <is>
          <t>Element Pictures UK Ltd.</t>
        </is>
      </c>
      <c r="M13" s="844" t="n">
        <v>45476</v>
      </c>
      <c r="N13" s="844" t="n">
        <v>47301</v>
      </c>
      <c r="Q13" s="844" t="n">
        <v>46364</v>
      </c>
      <c r="R13" s="848" t="n">
        <v>58496</v>
      </c>
      <c r="S13" s="842">
        <f>R13</f>
        <v/>
      </c>
      <c r="U13" s="848" t="n">
        <v>47400</v>
      </c>
      <c r="V13" s="842">
        <f>U13</f>
        <v/>
      </c>
      <c r="W13" s="848" t="n">
        <v>58600</v>
      </c>
      <c r="X13" s="842">
        <f>W13</f>
        <v/>
      </c>
      <c r="Y13" s="845">
        <f>W13/I13</f>
        <v/>
      </c>
      <c r="Z13" s="846">
        <f>SUM(W13-U13)/U13</f>
        <v/>
      </c>
      <c r="AA13" s="842" t="inlineStr">
        <is>
          <t>B</t>
        </is>
      </c>
      <c r="AB13" s="590" t="n"/>
      <c r="AC13" s="847" t="n"/>
      <c r="AD13" s="841" t="inlineStr">
        <is>
          <t>No</t>
        </is>
      </c>
      <c r="AE13" s="840" t="inlineStr">
        <is>
          <t>Tenant break on 6 months notice.</t>
        </is>
      </c>
      <c r="AG13" s="29" t="n"/>
      <c r="AH13" s="313" t="n"/>
      <c r="AI13" s="29" t="n"/>
      <c r="AJ13" t="inlineStr">
        <is>
          <t>Let</t>
        </is>
      </c>
    </row>
    <row r="14">
      <c r="A14" t="inlineStr">
        <is>
          <t>22 and 23-25 Eastcastle Street</t>
        </is>
      </c>
      <c r="B14" s="838" t="n"/>
      <c r="C14" s="839" t="inlineStr">
        <is>
          <t>SH</t>
        </is>
      </c>
      <c r="D14" s="839" t="inlineStr">
        <is>
          <t>MEL</t>
        </is>
      </c>
      <c r="E14" s="838" t="n">
        <v>550910</v>
      </c>
      <c r="F14" s="840" t="inlineStr">
        <is>
          <t>22 and 23-25 Eastcastle Street</t>
        </is>
      </c>
      <c r="G14" s="840" t="inlineStr">
        <is>
          <t>Sixth Floor (23-25)</t>
        </is>
      </c>
      <c r="H14" s="841" t="inlineStr">
        <is>
          <t>Office</t>
        </is>
      </c>
      <c r="I14" s="848" t="n">
        <v>744</v>
      </c>
      <c r="J14" s="842">
        <f>I14</f>
        <v/>
      </c>
      <c r="K14" s="842" t="n">
        <v>750</v>
      </c>
      <c r="L14" s="840" t="inlineStr">
        <is>
          <t>Vacant</t>
        </is>
      </c>
      <c r="M14" s="844" t="n"/>
      <c r="O14" s="844" t="n">
        <v>45182</v>
      </c>
      <c r="R14" s="848" t="n">
        <v>0</v>
      </c>
      <c r="S14" s="842">
        <f>R14</f>
        <v/>
      </c>
      <c r="U14" s="848" t="n">
        <v>34400</v>
      </c>
      <c r="V14" s="842">
        <f>U14</f>
        <v/>
      </c>
      <c r="W14" s="848" t="n">
        <v>47000</v>
      </c>
      <c r="X14" s="842">
        <f>W14</f>
        <v/>
      </c>
      <c r="Y14" s="845">
        <f>W14/I14</f>
        <v/>
      </c>
      <c r="Z14" s="846">
        <f>SUM(W14-U14)/U14</f>
        <v/>
      </c>
      <c r="AA14" s="842" t="inlineStr">
        <is>
          <t>D</t>
        </is>
      </c>
      <c r="AB14" s="590" t="n"/>
      <c r="AC14" s="847" t="n"/>
      <c r="AD14" s="841" t="inlineStr">
        <is>
          <t>No</t>
        </is>
      </c>
      <c r="AE14" s="840" t="inlineStr">
        <is>
          <t>LEM marketing.</t>
        </is>
      </c>
      <c r="AF14" s="849" t="n">
        <v>63.5</v>
      </c>
      <c r="AG14" s="840" t="n">
        <v>2</v>
      </c>
      <c r="AH14" s="312" t="n">
        <v>4</v>
      </c>
      <c r="AI14" s="840" t="inlineStr">
        <is>
          <t>LEM</t>
        </is>
      </c>
      <c r="AJ14" t="inlineStr">
        <is>
          <t>Void</t>
        </is>
      </c>
    </row>
    <row r="15">
      <c r="A15" t="inlineStr">
        <is>
          <t>22 and 23-25 Eastcastle Street</t>
        </is>
      </c>
      <c r="B15" s="838" t="n"/>
      <c r="C15" s="839" t="inlineStr">
        <is>
          <t>SH</t>
        </is>
      </c>
      <c r="D15" s="839" t="inlineStr">
        <is>
          <t>MEL</t>
        </is>
      </c>
      <c r="E15" s="838" t="n">
        <v>550910</v>
      </c>
      <c r="F15" s="840" t="inlineStr">
        <is>
          <t>22 and 23-25 Eastcastle Street</t>
        </is>
      </c>
      <c r="G15" s="840" t="inlineStr">
        <is>
          <t>Garage</t>
        </is>
      </c>
      <c r="H15" s="841" t="inlineStr">
        <is>
          <t>Parking</t>
        </is>
      </c>
      <c r="I15" s="848" t="n">
        <v>185</v>
      </c>
      <c r="J15" s="842">
        <f>I15</f>
        <v/>
      </c>
      <c r="K15" s="842" t="n">
        <v>200</v>
      </c>
      <c r="L15" s="840" t="inlineStr">
        <is>
          <t>Vacant / Landlord</t>
        </is>
      </c>
      <c r="M15" s="844" t="n"/>
      <c r="O15" s="844" t="inlineStr">
        <is>
          <t>N/A</t>
        </is>
      </c>
      <c r="R15" s="848" t="n">
        <v>0</v>
      </c>
      <c r="S15" s="842">
        <f>R15</f>
        <v/>
      </c>
      <c r="U15" s="848" t="n">
        <v>3000</v>
      </c>
      <c r="V15" s="842">
        <f>U15</f>
        <v/>
      </c>
      <c r="W15" s="848" t="n">
        <v>4500</v>
      </c>
      <c r="X15" s="842">
        <f>W15</f>
        <v/>
      </c>
      <c r="Y15" s="845">
        <f>W15/I15</f>
        <v/>
      </c>
      <c r="Z15" s="846">
        <f>SUM(W15-U15)/U15</f>
        <v/>
      </c>
      <c r="AA15" s="842" t="n"/>
      <c r="AB15" s="590" t="n"/>
      <c r="AC15" s="847" t="n"/>
      <c r="AD15" s="841" t="inlineStr">
        <is>
          <t>No</t>
        </is>
      </c>
      <c r="AH15" s="312" t="n"/>
      <c r="AJ15" t="inlineStr">
        <is>
          <t>Void</t>
        </is>
      </c>
    </row>
    <row r="16">
      <c r="A16" t="inlineStr">
        <is>
          <t>26 Eastcastle Street</t>
        </is>
      </c>
      <c r="B16" s="838" t="n"/>
      <c r="C16" s="839" t="inlineStr">
        <is>
          <t>SH</t>
        </is>
      </c>
      <c r="D16" s="839" t="inlineStr">
        <is>
          <t>MEL</t>
        </is>
      </c>
      <c r="E16" s="838" t="n">
        <v>550920</v>
      </c>
      <c r="F16" s="840" t="inlineStr">
        <is>
          <t>26 Eastcastle Street</t>
        </is>
      </c>
      <c r="G16" s="840" t="inlineStr">
        <is>
          <t>Lower Ground &amp; Ground</t>
        </is>
      </c>
      <c r="H16" s="841" t="inlineStr">
        <is>
          <t>Showroom/ Offices</t>
        </is>
      </c>
      <c r="I16" s="848" t="n">
        <v>2940</v>
      </c>
      <c r="J16" s="842">
        <f>I16</f>
        <v/>
      </c>
      <c r="K16" s="842" t="n">
        <v>3000</v>
      </c>
      <c r="L16" s="840" t="inlineStr">
        <is>
          <t>Hela Brands Ltd</t>
        </is>
      </c>
      <c r="M16" s="844" t="n">
        <v>45649</v>
      </c>
      <c r="N16" s="844" t="n">
        <v>46743</v>
      </c>
      <c r="Q16" s="844" t="n">
        <v>46013</v>
      </c>
      <c r="R16" s="848" t="n">
        <v>132000</v>
      </c>
      <c r="S16" s="842">
        <f>R16</f>
        <v/>
      </c>
      <c r="U16" s="848" t="n">
        <v>114600</v>
      </c>
      <c r="V16" s="842">
        <f>U16</f>
        <v/>
      </c>
      <c r="W16" s="848" t="n">
        <v>124500</v>
      </c>
      <c r="X16" s="842">
        <f>W16</f>
        <v/>
      </c>
      <c r="Y16" s="845">
        <f>W16/I16</f>
        <v/>
      </c>
      <c r="Z16" s="846">
        <f>SUM(W16-U16)/U16</f>
        <v/>
      </c>
      <c r="AA16" s="842" t="inlineStr">
        <is>
          <t>C</t>
        </is>
      </c>
      <c r="AB16" s="590" t="n"/>
      <c r="AC16" s="847" t="n"/>
      <c r="AD16" s="841" t="inlineStr">
        <is>
          <t>No</t>
        </is>
      </c>
      <c r="AE16" s="840" t="inlineStr">
        <is>
          <t>Tenant rolling break from 22/12/25 on 4 months notice.</t>
        </is>
      </c>
      <c r="AH16" s="312" t="n"/>
      <c r="AJ16" t="inlineStr">
        <is>
          <t>Let</t>
        </is>
      </c>
    </row>
    <row r="17">
      <c r="A17" t="inlineStr">
        <is>
          <t>26 Eastcastle Street</t>
        </is>
      </c>
      <c r="B17" s="838" t="n"/>
      <c r="C17" s="839" t="inlineStr">
        <is>
          <t>SH</t>
        </is>
      </c>
      <c r="D17" s="839" t="inlineStr">
        <is>
          <t>MEL</t>
        </is>
      </c>
      <c r="E17" s="838" t="n">
        <v>550920</v>
      </c>
      <c r="F17" s="840" t="inlineStr">
        <is>
          <t>26 Eastcastle Street</t>
        </is>
      </c>
      <c r="G17" s="840" t="inlineStr">
        <is>
          <t>First Floor</t>
        </is>
      </c>
      <c r="H17" s="841" t="inlineStr">
        <is>
          <t>Offices</t>
        </is>
      </c>
      <c r="I17" s="848" t="n">
        <v>1398</v>
      </c>
      <c r="J17" s="842">
        <f>I17</f>
        <v/>
      </c>
      <c r="K17" s="842" t="n">
        <v>1000</v>
      </c>
      <c r="L17" s="840" t="inlineStr">
        <is>
          <t>Alternative Real Estate Advisors Ltd</t>
        </is>
      </c>
      <c r="M17" s="844" t="n">
        <v>45470</v>
      </c>
      <c r="N17" s="844" t="n">
        <v>47295</v>
      </c>
      <c r="Q17" s="844" t="n">
        <v>46564</v>
      </c>
      <c r="R17" s="848" t="n">
        <v>89833</v>
      </c>
      <c r="S17" s="842">
        <f>R17</f>
        <v/>
      </c>
      <c r="U17" s="848" t="n">
        <v>76900</v>
      </c>
      <c r="V17" s="842">
        <f>U17</f>
        <v/>
      </c>
      <c r="W17" s="848" t="n">
        <v>97900</v>
      </c>
      <c r="X17" s="842">
        <f>W17</f>
        <v/>
      </c>
      <c r="Y17" s="845">
        <f>W17/I17</f>
        <v/>
      </c>
      <c r="Z17" s="846">
        <f>SUM(W17-U17)/U17</f>
        <v/>
      </c>
      <c r="AA17" s="842" t="inlineStr">
        <is>
          <t>D</t>
        </is>
      </c>
      <c r="AB17" s="590" t="n"/>
      <c r="AC17" s="847" t="n"/>
      <c r="AD17" s="841" t="inlineStr">
        <is>
          <t>No</t>
        </is>
      </c>
      <c r="AE17" s="840" t="inlineStr">
        <is>
          <t>Rent increases to £98,000 wef 27/06/27. Tenant break on 6 months notice.</t>
        </is>
      </c>
      <c r="AH17" s="312" t="n"/>
      <c r="AJ17" t="inlineStr">
        <is>
          <t>Let</t>
        </is>
      </c>
    </row>
    <row r="18">
      <c r="A18" t="inlineStr">
        <is>
          <t>26 Eastcastle Street</t>
        </is>
      </c>
      <c r="B18" s="838" t="n"/>
      <c r="C18" s="839" t="inlineStr">
        <is>
          <t>SH</t>
        </is>
      </c>
      <c r="D18" s="839" t="inlineStr">
        <is>
          <t>MEL</t>
        </is>
      </c>
      <c r="E18" s="838" t="n">
        <v>550920</v>
      </c>
      <c r="F18" s="840" t="inlineStr">
        <is>
          <t>26 Eastcastle Street</t>
        </is>
      </c>
      <c r="G18" s="840" t="inlineStr">
        <is>
          <t>Second Floor</t>
        </is>
      </c>
      <c r="H18" s="841" t="inlineStr">
        <is>
          <t>Offices</t>
        </is>
      </c>
      <c r="I18" s="848" t="n">
        <v>1110</v>
      </c>
      <c r="J18" s="842">
        <f>I18</f>
        <v/>
      </c>
      <c r="K18" s="842" t="n">
        <v>1000</v>
      </c>
      <c r="L18" s="840" t="inlineStr">
        <is>
          <t>Vacant</t>
        </is>
      </c>
      <c r="M18" s="844" t="n"/>
      <c r="O18" s="844" t="n">
        <v>43273</v>
      </c>
      <c r="R18" s="848" t="n">
        <v>0</v>
      </c>
      <c r="S18" s="842">
        <f>R18</f>
        <v/>
      </c>
      <c r="U18" s="848" t="n">
        <v>61100</v>
      </c>
      <c r="V18" s="842">
        <f>U18</f>
        <v/>
      </c>
      <c r="W18" s="848" t="n">
        <v>69400</v>
      </c>
      <c r="X18" s="842">
        <f>W18</f>
        <v/>
      </c>
      <c r="Y18" s="845">
        <f>W18/I18</f>
        <v/>
      </c>
      <c r="Z18" s="846">
        <f>SUM(W18-U18)/U18</f>
        <v/>
      </c>
      <c r="AA18" s="842" t="inlineStr">
        <is>
          <t>C</t>
        </is>
      </c>
      <c r="AB18" s="590" t="n"/>
      <c r="AC18" s="847" t="n"/>
      <c r="AD18" s="841" t="inlineStr">
        <is>
          <t>No</t>
        </is>
      </c>
      <c r="AE18" s="840" t="inlineStr">
        <is>
          <t>LEM marketing.</t>
        </is>
      </c>
      <c r="AF18" s="849" t="n">
        <v>63.5</v>
      </c>
      <c r="AH18" s="312" t="n">
        <v>1</v>
      </c>
      <c r="AJ18" t="inlineStr">
        <is>
          <t>Void</t>
        </is>
      </c>
    </row>
    <row r="19">
      <c r="A19" t="inlineStr">
        <is>
          <t>26 Eastcastle Street</t>
        </is>
      </c>
      <c r="B19" s="838" t="n"/>
      <c r="C19" s="839" t="inlineStr">
        <is>
          <t>SH</t>
        </is>
      </c>
      <c r="D19" s="839" t="inlineStr">
        <is>
          <t>MEL</t>
        </is>
      </c>
      <c r="E19" s="838" t="n">
        <v>550920</v>
      </c>
      <c r="F19" s="840" t="inlineStr">
        <is>
          <t>26 Eastcastle Street</t>
        </is>
      </c>
      <c r="G19" s="840" t="inlineStr">
        <is>
          <t>Third Floor</t>
        </is>
      </c>
      <c r="H19" s="841" t="inlineStr">
        <is>
          <t>Offices</t>
        </is>
      </c>
      <c r="I19" s="848" t="n">
        <v>481</v>
      </c>
      <c r="J19" s="842">
        <f>I19</f>
        <v/>
      </c>
      <c r="K19" s="842" t="n">
        <v>500</v>
      </c>
      <c r="L19" s="840" t="inlineStr">
        <is>
          <t>Mr. A. Park</t>
        </is>
      </c>
      <c r="M19" s="844" t="n">
        <v>45541</v>
      </c>
      <c r="N19" s="844" t="n">
        <v>47366</v>
      </c>
      <c r="Q19" s="844" t="n">
        <v>46635</v>
      </c>
      <c r="R19" s="848" t="n">
        <v>26000</v>
      </c>
      <c r="S19" s="842">
        <f>R19</f>
        <v/>
      </c>
      <c r="U19" s="848" t="n">
        <v>25300</v>
      </c>
      <c r="V19" s="842">
        <f>U19</f>
        <v/>
      </c>
      <c r="W19" s="848" t="n">
        <v>25300</v>
      </c>
      <c r="X19" s="842">
        <f>W19</f>
        <v/>
      </c>
      <c r="Y19" s="845">
        <f>W19/I19</f>
        <v/>
      </c>
      <c r="Z19" s="846">
        <f>SUM(W19-U19)/U19</f>
        <v/>
      </c>
      <c r="AA19" s="842" t="inlineStr">
        <is>
          <t>D</t>
        </is>
      </c>
      <c r="AB19" s="590" t="n"/>
      <c r="AC19" s="847" t="n"/>
      <c r="AD19" s="841" t="inlineStr">
        <is>
          <t>No</t>
        </is>
      </c>
      <c r="AE19" s="840" t="inlineStr">
        <is>
          <t>Tenant break on 6 months notice.</t>
        </is>
      </c>
      <c r="AG19" s="29" t="n"/>
      <c r="AH19" s="313" t="n"/>
      <c r="AI19" s="29" t="n"/>
      <c r="AJ19" t="inlineStr">
        <is>
          <t>Let</t>
        </is>
      </c>
    </row>
    <row r="20">
      <c r="A20" t="inlineStr">
        <is>
          <t>27 - 28 Eastcastle Street</t>
        </is>
      </c>
      <c r="B20" s="838" t="n"/>
      <c r="C20" s="839" t="inlineStr">
        <is>
          <t>SH</t>
        </is>
      </c>
      <c r="D20" s="839" t="inlineStr">
        <is>
          <t>MEL</t>
        </is>
      </c>
      <c r="E20" s="838" t="n">
        <v>550930</v>
      </c>
      <c r="F20" s="840" t="inlineStr">
        <is>
          <t>27 - 28 Eastcastle Street</t>
        </is>
      </c>
      <c r="G20" s="840" t="inlineStr">
        <is>
          <t>Lower Ground &amp; Ground</t>
        </is>
      </c>
      <c r="H20" s="841" t="inlineStr">
        <is>
          <t>Showroom / Offices</t>
        </is>
      </c>
      <c r="I20" s="848" t="n">
        <v>3668</v>
      </c>
      <c r="J20" s="842">
        <f>I20</f>
        <v/>
      </c>
      <c r="K20" s="842" t="n">
        <v>3500</v>
      </c>
      <c r="L20" s="840" t="inlineStr">
        <is>
          <t>The London Hair Clinic Ltd</t>
        </is>
      </c>
      <c r="M20" s="844" t="n">
        <v>44757</v>
      </c>
      <c r="N20" s="844" t="n">
        <v>48409</v>
      </c>
      <c r="P20" s="844" t="n">
        <v>46583</v>
      </c>
      <c r="R20" s="848" t="n">
        <v>170000</v>
      </c>
      <c r="S20" s="842">
        <f>R20</f>
        <v/>
      </c>
      <c r="U20" s="848" t="n">
        <v>170000</v>
      </c>
      <c r="V20" s="842">
        <f>U20</f>
        <v/>
      </c>
      <c r="W20" s="848" t="n">
        <v>170000</v>
      </c>
      <c r="X20" s="842">
        <f>W20</f>
        <v/>
      </c>
      <c r="Y20" s="845">
        <f>W20/I20</f>
        <v/>
      </c>
      <c r="Z20" s="846">
        <f>SUM(W20-U20)/U20</f>
        <v/>
      </c>
      <c r="AA20" s="842" t="inlineStr">
        <is>
          <t>B</t>
        </is>
      </c>
      <c r="AB20" s="590" t="n"/>
      <c r="AC20" s="847" t="n"/>
      <c r="AD20" s="841" t="inlineStr">
        <is>
          <t>No</t>
        </is>
      </c>
      <c r="AH20" s="312" t="n"/>
      <c r="AJ20" t="inlineStr">
        <is>
          <t>Let</t>
        </is>
      </c>
    </row>
    <row r="21">
      <c r="A21" t="inlineStr">
        <is>
          <t>27 - 28 Eastcastle Street</t>
        </is>
      </c>
      <c r="B21" s="838" t="n"/>
      <c r="C21" s="839" t="inlineStr">
        <is>
          <t>SH</t>
        </is>
      </c>
      <c r="D21" s="839" t="inlineStr">
        <is>
          <t>MEL</t>
        </is>
      </c>
      <c r="E21" s="838" t="n">
        <v>550930</v>
      </c>
      <c r="F21" s="840" t="inlineStr">
        <is>
          <t>27 - 28 Eastcastle Street</t>
        </is>
      </c>
      <c r="G21" s="840" t="inlineStr">
        <is>
          <t>First Floor</t>
        </is>
      </c>
      <c r="H21" s="841" t="inlineStr">
        <is>
          <t>Offices</t>
        </is>
      </c>
      <c r="I21" s="848" t="n">
        <v>1418</v>
      </c>
      <c r="J21" s="842">
        <f>I21</f>
        <v/>
      </c>
      <c r="K21" s="842" t="n">
        <v>1500</v>
      </c>
      <c r="L21" s="840" t="inlineStr">
        <is>
          <t>Feldberg Capital UK Limited</t>
        </is>
      </c>
      <c r="M21" s="844" t="n">
        <v>45231</v>
      </c>
      <c r="N21" s="844" t="n">
        <v>46326</v>
      </c>
      <c r="R21" s="848" t="n">
        <v>174500</v>
      </c>
      <c r="S21" s="842">
        <f>R21</f>
        <v/>
      </c>
      <c r="U21" s="848" t="n">
        <v>78000</v>
      </c>
      <c r="V21" s="842">
        <f>U21</f>
        <v/>
      </c>
      <c r="W21" s="848" t="n">
        <v>99300</v>
      </c>
      <c r="X21" s="842">
        <f>W21</f>
        <v/>
      </c>
      <c r="Y21" s="845">
        <f>W21/I21</f>
        <v/>
      </c>
      <c r="Z21" s="846">
        <f>SUM(W21-U21)/U21</f>
        <v/>
      </c>
      <c r="AA21" s="842" t="inlineStr">
        <is>
          <t>B</t>
        </is>
      </c>
      <c r="AB21" s="590" t="n"/>
      <c r="AC21" s="847" t="n"/>
      <c r="AD21" s="841" t="inlineStr">
        <is>
          <t>No</t>
        </is>
      </c>
      <c r="AE21" s="840" t="inlineStr">
        <is>
          <t>All inclusive including rates and furniture.</t>
        </is>
      </c>
      <c r="AH21" s="312" t="n"/>
      <c r="AJ21" t="inlineStr">
        <is>
          <t>Let</t>
        </is>
      </c>
    </row>
    <row r="22">
      <c r="A22" t="inlineStr">
        <is>
          <t>27 - 28 Eastcastle Street</t>
        </is>
      </c>
      <c r="B22" s="838" t="n"/>
      <c r="C22" s="839" t="inlineStr">
        <is>
          <t>SH</t>
        </is>
      </c>
      <c r="D22" s="839" t="inlineStr">
        <is>
          <t>MEL</t>
        </is>
      </c>
      <c r="E22" s="838" t="n">
        <v>550930</v>
      </c>
      <c r="F22" s="840" t="inlineStr">
        <is>
          <t>27 - 28 Eastcastle Street</t>
        </is>
      </c>
      <c r="G22" s="840" t="inlineStr">
        <is>
          <t>Second Floor</t>
        </is>
      </c>
      <c r="H22" s="841" t="inlineStr">
        <is>
          <t>Offices</t>
        </is>
      </c>
      <c r="I22" s="848" t="n">
        <v>716</v>
      </c>
      <c r="J22" s="842">
        <f>I22</f>
        <v/>
      </c>
      <c r="K22" s="842" t="n">
        <v>750</v>
      </c>
      <c r="L22" s="840" t="inlineStr">
        <is>
          <t>MSP Secretaries Ltd.</t>
        </is>
      </c>
      <c r="M22" s="844" t="n">
        <v>44384</v>
      </c>
      <c r="N22" s="844" t="n">
        <v>46209</v>
      </c>
      <c r="R22" s="848" t="n">
        <v>41000</v>
      </c>
      <c r="S22" s="842">
        <f>R22</f>
        <v/>
      </c>
      <c r="U22" s="848" t="n">
        <v>39400</v>
      </c>
      <c r="V22" s="842">
        <f>U22</f>
        <v/>
      </c>
      <c r="W22" s="848" t="n">
        <v>41200</v>
      </c>
      <c r="X22" s="842">
        <f>W22</f>
        <v/>
      </c>
      <c r="Y22" s="845">
        <f>W22/I22</f>
        <v/>
      </c>
      <c r="Z22" s="846">
        <f>SUM(W22-U22)/U22</f>
        <v/>
      </c>
      <c r="AA22" s="842" t="inlineStr">
        <is>
          <t>B</t>
        </is>
      </c>
      <c r="AB22" s="590" t="n"/>
      <c r="AC22" s="847" t="n"/>
      <c r="AD22" s="841" t="inlineStr">
        <is>
          <t>No</t>
        </is>
      </c>
      <c r="AH22" s="312" t="n"/>
      <c r="AJ22" t="inlineStr">
        <is>
          <t>Let</t>
        </is>
      </c>
    </row>
    <row r="23">
      <c r="A23" t="inlineStr">
        <is>
          <t>27 - 28 Eastcastle Street</t>
        </is>
      </c>
      <c r="B23" s="838" t="n"/>
      <c r="C23" s="839" t="inlineStr">
        <is>
          <t>SH</t>
        </is>
      </c>
      <c r="D23" s="839" t="inlineStr">
        <is>
          <t>MEL</t>
        </is>
      </c>
      <c r="E23" s="838" t="n">
        <v>550930</v>
      </c>
      <c r="F23" s="840" t="inlineStr">
        <is>
          <t>27 - 28 Eastcastle Street</t>
        </is>
      </c>
      <c r="G23" s="840" t="inlineStr">
        <is>
          <t>Third Floor</t>
        </is>
      </c>
      <c r="H23" s="841" t="inlineStr">
        <is>
          <t>Offices</t>
        </is>
      </c>
      <c r="I23" s="848" t="n">
        <v>665</v>
      </c>
      <c r="J23" s="842">
        <f>I23</f>
        <v/>
      </c>
      <c r="K23" s="842" t="n">
        <v>750</v>
      </c>
      <c r="L23" s="840" t="inlineStr">
        <is>
          <t>Principle Estate Management LLP</t>
        </is>
      </c>
      <c r="M23" s="844" t="n">
        <v>45617</v>
      </c>
      <c r="N23" s="844" t="n">
        <v>47442</v>
      </c>
      <c r="Q23" s="844" t="n">
        <v>46527</v>
      </c>
      <c r="R23" s="848" t="n">
        <v>41875</v>
      </c>
      <c r="S23" s="842">
        <f>R23</f>
        <v/>
      </c>
      <c r="U23" s="848" t="n">
        <v>36600</v>
      </c>
      <c r="V23" s="842">
        <f>U23</f>
        <v/>
      </c>
      <c r="W23" s="848" t="n">
        <v>38200</v>
      </c>
      <c r="X23" s="842">
        <f>W23</f>
        <v/>
      </c>
      <c r="Y23" s="845">
        <f>W23/I23</f>
        <v/>
      </c>
      <c r="Z23" s="846">
        <f>SUM(W23-U23)/U23</f>
        <v/>
      </c>
      <c r="AA23" s="842" t="inlineStr">
        <is>
          <t>B</t>
        </is>
      </c>
      <c r="AB23" s="590" t="n"/>
      <c r="AC23" s="847" t="n"/>
      <c r="AD23" s="841" t="inlineStr">
        <is>
          <t>No</t>
        </is>
      </c>
      <c r="AE23" s="840" t="inlineStr">
        <is>
          <t>Tenant break on 6 months notice. 2 months rent free if break not exercised.</t>
        </is>
      </c>
      <c r="AF23" s="599" t="n"/>
      <c r="AH23" s="312" t="n"/>
      <c r="AJ23" t="inlineStr">
        <is>
          <t>Let</t>
        </is>
      </c>
    </row>
    <row r="24">
      <c r="A24" t="inlineStr">
        <is>
          <t>10 Great Castle Street</t>
        </is>
      </c>
      <c r="B24" s="838" t="n"/>
      <c r="C24" s="839" t="inlineStr">
        <is>
          <t>WS</t>
        </is>
      </c>
      <c r="D24" s="839" t="inlineStr">
        <is>
          <t>MEL</t>
        </is>
      </c>
      <c r="E24" s="838" t="n">
        <v>550560</v>
      </c>
      <c r="F24" s="840" t="inlineStr">
        <is>
          <t>10 Great Castle Street</t>
        </is>
      </c>
      <c r="G24" s="840" t="inlineStr">
        <is>
          <t>Basmt. Ground  - 1 to 4 Floors</t>
        </is>
      </c>
      <c r="H24" s="841" t="inlineStr">
        <is>
          <t>Office</t>
        </is>
      </c>
      <c r="I24" s="18" t="n">
        <v>12578</v>
      </c>
      <c r="J24" s="842">
        <f>I24</f>
        <v/>
      </c>
      <c r="K24" s="842" t="n">
        <v>12500</v>
      </c>
      <c r="L24" s="840" t="inlineStr">
        <is>
          <t>Guaranty Trust Bank (UK) Ltd</t>
        </is>
      </c>
      <c r="M24" s="843" t="n">
        <v>44771</v>
      </c>
      <c r="N24" s="844" t="n">
        <v>50249</v>
      </c>
      <c r="P24" s="844" t="n">
        <v>46597</v>
      </c>
      <c r="Q24" s="844" t="n">
        <v>48423</v>
      </c>
      <c r="R24" s="591" t="n">
        <v>633334</v>
      </c>
      <c r="S24" s="842">
        <f>R24</f>
        <v/>
      </c>
      <c r="T24" s="591">
        <f>S24</f>
        <v/>
      </c>
      <c r="U24" s="591" t="n">
        <v>950000</v>
      </c>
      <c r="V24" s="842">
        <f>U24</f>
        <v/>
      </c>
      <c r="W24" s="591" t="n">
        <v>950000</v>
      </c>
      <c r="X24" s="842">
        <f>W24</f>
        <v/>
      </c>
      <c r="Y24" s="845">
        <f>W24/I24</f>
        <v/>
      </c>
      <c r="Z24" s="846">
        <f>SUM(W24-U24)/U24</f>
        <v/>
      </c>
      <c r="AA24" s="842" t="inlineStr">
        <is>
          <t>C</t>
        </is>
      </c>
      <c r="AB24" s="590" t="n"/>
      <c r="AC24" s="18" t="n">
        <v>17050000</v>
      </c>
      <c r="AD24" s="841" t="inlineStr">
        <is>
          <t>No</t>
        </is>
      </c>
      <c r="AE24" s="840" t="inlineStr">
        <is>
          <t xml:space="preserve">Fixed increase to £950,000 wef 29/07/26. 5 yearly rent reviews. Tenant break on 9 months notice. Rent reduces by 20% for 12 months if break not activated. </t>
        </is>
      </c>
      <c r="AF24" s="849" t="n"/>
      <c r="AG24" s="840" t="n"/>
      <c r="AH24" s="312" t="n"/>
      <c r="AI24" s="840" t="n"/>
      <c r="AJ24" t="inlineStr">
        <is>
          <t>Let</t>
        </is>
      </c>
    </row>
    <row r="25">
      <c r="A25" t="inlineStr">
        <is>
          <t>Windsor House, 40-41 Great Castle Street</t>
        </is>
      </c>
      <c r="B25" s="838" t="n"/>
      <c r="C25" s="839" t="inlineStr">
        <is>
          <t>SH</t>
        </is>
      </c>
      <c r="D25" s="839" t="inlineStr">
        <is>
          <t>MEL</t>
        </is>
      </c>
      <c r="E25" s="838" t="n">
        <v>550070</v>
      </c>
      <c r="F25" s="840" t="inlineStr">
        <is>
          <t>Windsor House, 40-41 Great Castle Street</t>
        </is>
      </c>
      <c r="G25" s="840" t="inlineStr">
        <is>
          <t>Basement &amp; Ground Floor</t>
        </is>
      </c>
      <c r="H25" s="841" t="inlineStr">
        <is>
          <t>Retail/Café</t>
        </is>
      </c>
      <c r="I25" s="848" t="n">
        <v>2235</v>
      </c>
      <c r="J25" s="842">
        <f>I25</f>
        <v/>
      </c>
      <c r="K25" s="842" t="n">
        <v>2000</v>
      </c>
      <c r="L25" s="840" t="inlineStr">
        <is>
          <t>Vacant</t>
        </is>
      </c>
      <c r="O25" s="844" t="n">
        <v>45754</v>
      </c>
      <c r="R25" s="842" t="n">
        <v>0</v>
      </c>
      <c r="S25" s="842">
        <f>R25</f>
        <v/>
      </c>
      <c r="U25" s="842" t="n">
        <v>143000</v>
      </c>
      <c r="V25" s="842">
        <f>U25</f>
        <v/>
      </c>
      <c r="W25" s="842" t="n">
        <v>145000</v>
      </c>
      <c r="X25" s="842">
        <f>W25</f>
        <v/>
      </c>
      <c r="Y25" s="845">
        <f>W25/I25</f>
        <v/>
      </c>
      <c r="Z25" s="846">
        <f>SUM(W25-U25)/U25</f>
        <v/>
      </c>
      <c r="AA25" s="842" t="inlineStr">
        <is>
          <t>D</t>
        </is>
      </c>
      <c r="AB25" s="590" t="n"/>
      <c r="AC25" s="847" t="n"/>
      <c r="AD25" s="841" t="inlineStr">
        <is>
          <t>No</t>
        </is>
      </c>
      <c r="AE25" s="840" t="inlineStr">
        <is>
          <t>LEM Marketing.</t>
        </is>
      </c>
      <c r="AG25" s="840" t="n">
        <v>15</v>
      </c>
      <c r="AH25" s="312" t="n">
        <v>15</v>
      </c>
      <c r="AJ25" t="inlineStr">
        <is>
          <t>Void</t>
        </is>
      </c>
    </row>
    <row r="26">
      <c r="A26" t="inlineStr">
        <is>
          <t>Windsor House, 40-41 Great Castle Street</t>
        </is>
      </c>
      <c r="B26" s="838" t="n"/>
      <c r="C26" s="839" t="inlineStr">
        <is>
          <t>SH</t>
        </is>
      </c>
      <c r="D26" s="839" t="inlineStr">
        <is>
          <t>MEL</t>
        </is>
      </c>
      <c r="E26" s="838" t="n">
        <v>550070</v>
      </c>
      <c r="F26" s="840" t="inlineStr">
        <is>
          <t>Windsor House, 40-41 Great Castle Street</t>
        </is>
      </c>
      <c r="G26" s="840" t="inlineStr">
        <is>
          <t>First Floor</t>
        </is>
      </c>
      <c r="H26" s="841" t="inlineStr">
        <is>
          <t>Office</t>
        </is>
      </c>
      <c r="I26" s="848" t="n">
        <v>694</v>
      </c>
      <c r="J26" s="842">
        <f>I26</f>
        <v/>
      </c>
      <c r="K26" s="842" t="n">
        <v>750</v>
      </c>
      <c r="L26" s="840" t="inlineStr">
        <is>
          <t>JRDL UK Ltd.</t>
        </is>
      </c>
      <c r="M26" s="843" t="n">
        <v>44904</v>
      </c>
      <c r="N26" s="844" t="n">
        <v>45999</v>
      </c>
      <c r="R26" s="842" t="n">
        <v>42000</v>
      </c>
      <c r="S26" s="842">
        <f>R26</f>
        <v/>
      </c>
      <c r="U26" s="842" t="n">
        <v>42000</v>
      </c>
      <c r="V26" s="842">
        <f>U26</f>
        <v/>
      </c>
      <c r="W26" s="842" t="n">
        <v>42000</v>
      </c>
      <c r="X26" s="842">
        <f>W26</f>
        <v/>
      </c>
      <c r="Y26" s="845">
        <f>W26/I26</f>
        <v/>
      </c>
      <c r="Z26" s="846">
        <f>SUM(W26-U26)/U26</f>
        <v/>
      </c>
      <c r="AA26" s="842" t="inlineStr">
        <is>
          <t>D</t>
        </is>
      </c>
      <c r="AB26" s="590" t="n"/>
      <c r="AC26" s="847" t="n"/>
      <c r="AD26" s="841" t="inlineStr">
        <is>
          <t>No</t>
        </is>
      </c>
      <c r="AH26" s="312" t="n"/>
      <c r="AJ26" t="inlineStr">
        <is>
          <t>Let</t>
        </is>
      </c>
    </row>
    <row r="27">
      <c r="A27" t="inlineStr">
        <is>
          <t>Windsor House, 40-41 Great Castle Street</t>
        </is>
      </c>
      <c r="B27" s="838" t="n"/>
      <c r="C27" s="839" t="inlineStr">
        <is>
          <t>SH</t>
        </is>
      </c>
      <c r="D27" s="839" t="inlineStr">
        <is>
          <t>MEL</t>
        </is>
      </c>
      <c r="E27" s="838" t="n">
        <v>550070</v>
      </c>
      <c r="F27" s="840" t="inlineStr">
        <is>
          <t>Windsor House, 40-41 Great Castle Street</t>
        </is>
      </c>
      <c r="G27" s="840" t="inlineStr">
        <is>
          <t>Second Floor</t>
        </is>
      </c>
      <c r="H27" s="841" t="inlineStr">
        <is>
          <t>Office</t>
        </is>
      </c>
      <c r="I27" s="848" t="n">
        <v>690</v>
      </c>
      <c r="J27" s="842">
        <f>I27</f>
        <v/>
      </c>
      <c r="K27" s="842" t="n">
        <v>750</v>
      </c>
      <c r="L27" s="840" t="inlineStr">
        <is>
          <t>Jamieson Stone Services Ltd.</t>
        </is>
      </c>
      <c r="M27" s="843" t="n">
        <v>45412</v>
      </c>
      <c r="N27" s="844" t="n">
        <v>47237</v>
      </c>
      <c r="Q27" s="844" t="n">
        <v>46326</v>
      </c>
      <c r="R27" s="842" t="n">
        <v>40020</v>
      </c>
      <c r="S27" s="842">
        <f>R27</f>
        <v/>
      </c>
      <c r="U27" s="842" t="n">
        <v>39700</v>
      </c>
      <c r="V27" s="842">
        <f>U27</f>
        <v/>
      </c>
      <c r="W27" s="842" t="n">
        <v>40000</v>
      </c>
      <c r="X27" s="842">
        <f>W27</f>
        <v/>
      </c>
      <c r="Y27" s="845">
        <f>W27/I27</f>
        <v/>
      </c>
      <c r="Z27" s="846">
        <f>SUM(W27-U27)/U27</f>
        <v/>
      </c>
      <c r="AA27" s="842" t="inlineStr">
        <is>
          <t>D</t>
        </is>
      </c>
      <c r="AB27" s="590" t="n"/>
      <c r="AC27" s="847" t="n"/>
      <c r="AD27" s="841" t="inlineStr">
        <is>
          <t>No</t>
        </is>
      </c>
      <c r="AE27" s="840" t="inlineStr">
        <is>
          <t>Tenant break on 6 months notice.</t>
        </is>
      </c>
      <c r="AH27" s="312" t="n"/>
      <c r="AJ27" t="inlineStr">
        <is>
          <t>Let</t>
        </is>
      </c>
    </row>
    <row r="28">
      <c r="A28" t="inlineStr">
        <is>
          <t>Windsor House, 40-41 Great Castle Street</t>
        </is>
      </c>
      <c r="B28" s="838" t="n"/>
      <c r="C28" s="839" t="inlineStr">
        <is>
          <t>SH</t>
        </is>
      </c>
      <c r="D28" s="839" t="inlineStr">
        <is>
          <t>MEL</t>
        </is>
      </c>
      <c r="E28" s="838" t="n">
        <v>550070</v>
      </c>
      <c r="F28" s="840" t="inlineStr">
        <is>
          <t>Windsor House, 40-41 Great Castle Street</t>
        </is>
      </c>
      <c r="G28" s="840" t="inlineStr">
        <is>
          <t>Third Floor</t>
        </is>
      </c>
      <c r="H28" s="841" t="inlineStr">
        <is>
          <t>Office</t>
        </is>
      </c>
      <c r="I28" s="848" t="n">
        <v>620</v>
      </c>
      <c r="J28" s="842">
        <f>I28</f>
        <v/>
      </c>
      <c r="K28" s="842" t="n">
        <v>750</v>
      </c>
      <c r="L28" s="840" t="inlineStr">
        <is>
          <t>Arav Fashion UK Ltd.</t>
        </is>
      </c>
      <c r="M28" s="843" t="n">
        <v>44816</v>
      </c>
      <c r="N28" s="844" t="n">
        <v>45911</v>
      </c>
      <c r="R28" s="842" t="n">
        <v>33480</v>
      </c>
      <c r="S28" s="842">
        <f>R28</f>
        <v/>
      </c>
      <c r="U28" s="842" t="n">
        <v>34100</v>
      </c>
      <c r="V28" s="842">
        <f>U28</f>
        <v/>
      </c>
      <c r="W28" s="842" t="n">
        <v>36000</v>
      </c>
      <c r="X28" s="842">
        <f>W28</f>
        <v/>
      </c>
      <c r="Y28" s="845">
        <f>W28/I28</f>
        <v/>
      </c>
      <c r="Z28" s="846">
        <f>SUM(W28-U28)/U28</f>
        <v/>
      </c>
      <c r="AA28" s="842" t="inlineStr">
        <is>
          <t>D</t>
        </is>
      </c>
      <c r="AB28" s="590" t="n"/>
      <c r="AC28" s="847" t="n"/>
      <c r="AD28" s="841" t="inlineStr">
        <is>
          <t>No</t>
        </is>
      </c>
      <c r="AE28" s="840" t="n"/>
      <c r="AF28" s="849" t="n"/>
      <c r="AG28" s="840" t="n"/>
      <c r="AH28" s="312" t="n"/>
      <c r="AI28" s="840" t="n"/>
      <c r="AJ28" t="inlineStr">
        <is>
          <t>Let</t>
        </is>
      </c>
    </row>
    <row r="29">
      <c r="A29" t="inlineStr">
        <is>
          <t>Windsor House, 40-41 Great Castle Street</t>
        </is>
      </c>
      <c r="B29" s="838" t="n"/>
      <c r="C29" s="839" t="inlineStr">
        <is>
          <t>SH</t>
        </is>
      </c>
      <c r="D29" s="839" t="inlineStr">
        <is>
          <t>MEL</t>
        </is>
      </c>
      <c r="E29" s="838" t="n">
        <v>550070</v>
      </c>
      <c r="F29" s="840" t="inlineStr">
        <is>
          <t>Windsor House, 40-41 Great Castle Street</t>
        </is>
      </c>
      <c r="G29" s="840" t="inlineStr">
        <is>
          <t>Fourth Floor</t>
        </is>
      </c>
      <c r="H29" s="841" t="inlineStr">
        <is>
          <t>Office</t>
        </is>
      </c>
      <c r="I29" s="848" t="n">
        <v>400</v>
      </c>
      <c r="J29" s="842">
        <f>I29</f>
        <v/>
      </c>
      <c r="K29" s="842" t="n">
        <v>500</v>
      </c>
      <c r="L29" s="840" t="inlineStr">
        <is>
          <t>Vacant</t>
        </is>
      </c>
      <c r="O29" s="844" t="n">
        <v>44168</v>
      </c>
      <c r="R29" s="842" t="n">
        <v>0</v>
      </c>
      <c r="S29" s="842">
        <f>R29</f>
        <v/>
      </c>
      <c r="U29" s="842" t="n">
        <v>21600</v>
      </c>
      <c r="V29" s="842">
        <f>U29</f>
        <v/>
      </c>
      <c r="W29" s="842" t="n">
        <v>22000</v>
      </c>
      <c r="X29" s="842">
        <f>W29</f>
        <v/>
      </c>
      <c r="Y29" s="845">
        <f>W29/I29</f>
        <v/>
      </c>
      <c r="Z29" s="846">
        <f>SUM(W29-U29)/U29</f>
        <v/>
      </c>
      <c r="AA29" s="842" t="inlineStr">
        <is>
          <t>D</t>
        </is>
      </c>
      <c r="AB29" s="590" t="n"/>
      <c r="AC29" s="847" t="n"/>
      <c r="AD29" s="841" t="inlineStr">
        <is>
          <t>No</t>
        </is>
      </c>
      <c r="AE29" s="840" t="inlineStr">
        <is>
          <t>To be refurbished.</t>
        </is>
      </c>
      <c r="AH29" s="312" t="n"/>
      <c r="AJ29" t="inlineStr">
        <is>
          <t>Void</t>
        </is>
      </c>
    </row>
    <row r="30">
      <c r="A30" t="inlineStr">
        <is>
          <t>Windsor House, 40-41 Great Castle Street</t>
        </is>
      </c>
      <c r="B30" s="838" t="n"/>
      <c r="C30" s="839" t="inlineStr">
        <is>
          <t>SH</t>
        </is>
      </c>
      <c r="D30" s="839" t="inlineStr">
        <is>
          <t>MEL</t>
        </is>
      </c>
      <c r="E30" s="838" t="n">
        <v>550070</v>
      </c>
      <c r="F30" s="840" t="inlineStr">
        <is>
          <t>Windsor House, 40-41 Great Castle Street</t>
        </is>
      </c>
      <c r="G30" s="840" t="inlineStr">
        <is>
          <t>Roof</t>
        </is>
      </c>
      <c r="H30" s="841" t="inlineStr">
        <is>
          <t>Air Con Units</t>
        </is>
      </c>
      <c r="I30" s="848" t="n">
        <v>0</v>
      </c>
      <c r="J30" s="842">
        <f>I30</f>
        <v/>
      </c>
      <c r="K30" s="842" t="n"/>
      <c r="L30" s="840" t="inlineStr">
        <is>
          <t>Vacant / Landlord</t>
        </is>
      </c>
      <c r="O30" s="844" t="inlineStr">
        <is>
          <t>N/A</t>
        </is>
      </c>
      <c r="R30" s="842" t="n">
        <v>0</v>
      </c>
      <c r="S30" s="591">
        <f>R30</f>
        <v/>
      </c>
      <c r="T30" s="591" t="n"/>
      <c r="U30" s="842" t="n">
        <v>0</v>
      </c>
      <c r="V30" s="591">
        <f>U30</f>
        <v/>
      </c>
      <c r="W30" s="842" t="n">
        <v>0</v>
      </c>
      <c r="X30" s="591">
        <f>W30</f>
        <v/>
      </c>
      <c r="Y30" s="591" t="n"/>
      <c r="Z30" s="600" t="n"/>
      <c r="AA30" s="591" t="n"/>
      <c r="AB30" s="603" t="n"/>
      <c r="AC30" s="847" t="n"/>
      <c r="AD30" s="841" t="inlineStr">
        <is>
          <t>No</t>
        </is>
      </c>
      <c r="AH30" s="312" t="n"/>
      <c r="AJ30" t="inlineStr">
        <is>
          <t>Void</t>
        </is>
      </c>
    </row>
    <row r="31">
      <c r="A31" t="inlineStr">
        <is>
          <t>Portland House, 4 Great Portland Street</t>
        </is>
      </c>
      <c r="B31" s="838" t="n"/>
      <c r="C31" s="839" t="inlineStr">
        <is>
          <t>SH</t>
        </is>
      </c>
      <c r="D31" s="839" t="inlineStr">
        <is>
          <t>MEL</t>
        </is>
      </c>
      <c r="E31" s="838" t="n">
        <v>550470</v>
      </c>
      <c r="F31" s="840" t="inlineStr">
        <is>
          <t>Portland House, 4 Great Portland Street</t>
        </is>
      </c>
      <c r="G31" s="840" t="inlineStr">
        <is>
          <t>Basement (West)</t>
        </is>
      </c>
      <c r="H31" s="841" t="inlineStr">
        <is>
          <t>Restaurant/Bar</t>
        </is>
      </c>
      <c r="I31" s="848" t="n">
        <v>2945</v>
      </c>
      <c r="J31" s="848">
        <f>I31</f>
        <v/>
      </c>
      <c r="K31" s="848" t="n">
        <v>3000</v>
      </c>
      <c r="L31" s="840" t="inlineStr">
        <is>
          <t>The London Cocktail Club Ltd</t>
        </is>
      </c>
      <c r="M31" s="843" t="n">
        <v>41457</v>
      </c>
      <c r="N31" s="844" t="n">
        <v>46935</v>
      </c>
      <c r="R31" s="842" t="n">
        <v>147500</v>
      </c>
      <c r="S31" s="842">
        <f>R31</f>
        <v/>
      </c>
      <c r="U31" s="842" t="n">
        <v>147500</v>
      </c>
      <c r="V31" s="842">
        <f>U31</f>
        <v/>
      </c>
      <c r="W31" s="842" t="n">
        <v>147500</v>
      </c>
      <c r="X31" s="842">
        <f>W31</f>
        <v/>
      </c>
      <c r="Y31" s="845">
        <f>W31/I31</f>
        <v/>
      </c>
      <c r="Z31" s="846">
        <f>SUM(W31-U31)/U31</f>
        <v/>
      </c>
      <c r="AA31" s="842" t="inlineStr">
        <is>
          <t>E</t>
        </is>
      </c>
      <c r="AB31" s="590" t="n"/>
      <c r="AC31" s="847" t="n"/>
      <c r="AD31" s="841" t="inlineStr">
        <is>
          <t>No</t>
        </is>
      </c>
      <c r="AE31" s="840" t="inlineStr">
        <is>
          <t>5 year reversionary lease completed from 02/07/28 with day one rent review. Rent review to be documented at passing rent.</t>
        </is>
      </c>
      <c r="AH31" s="312" t="n"/>
      <c r="AJ31" t="inlineStr">
        <is>
          <t>Let</t>
        </is>
      </c>
    </row>
    <row r="32">
      <c r="A32" t="inlineStr">
        <is>
          <t>Portland House, 4 Great Portland Street</t>
        </is>
      </c>
      <c r="B32" s="838" t="n"/>
      <c r="C32" s="839" t="inlineStr">
        <is>
          <t>SH</t>
        </is>
      </c>
      <c r="D32" s="839" t="inlineStr">
        <is>
          <t>MEL</t>
        </is>
      </c>
      <c r="E32" s="838" t="n">
        <v>550470</v>
      </c>
      <c r="F32" s="840" t="inlineStr">
        <is>
          <t>Portland House, 4 Great Portland Street</t>
        </is>
      </c>
      <c r="G32" s="840" t="inlineStr">
        <is>
          <t>Ground Floor</t>
        </is>
      </c>
      <c r="H32" s="841" t="inlineStr">
        <is>
          <t>Retail/Cafe</t>
        </is>
      </c>
      <c r="I32" s="848" t="n">
        <v>2103</v>
      </c>
      <c r="J32" s="848">
        <f>I32</f>
        <v/>
      </c>
      <c r="K32" s="848" t="n">
        <v>2000</v>
      </c>
      <c r="L32" s="840" t="inlineStr">
        <is>
          <t>Costa Ltd</t>
        </is>
      </c>
      <c r="M32" s="843" t="n">
        <v>45669</v>
      </c>
      <c r="N32" s="844" t="n">
        <v>51146</v>
      </c>
      <c r="P32" s="844" t="n">
        <v>47495</v>
      </c>
      <c r="Q32" s="844" t="n">
        <v>49320</v>
      </c>
      <c r="R32" s="842" t="n">
        <v>220000</v>
      </c>
      <c r="S32" s="842">
        <f>R32</f>
        <v/>
      </c>
      <c r="U32" s="842" t="n">
        <v>176200</v>
      </c>
      <c r="V32" s="842">
        <f>U32</f>
        <v/>
      </c>
      <c r="W32" s="842" t="n">
        <v>220000</v>
      </c>
      <c r="X32" s="842">
        <f>W32</f>
        <v/>
      </c>
      <c r="Y32" s="845">
        <f>W32/I32</f>
        <v/>
      </c>
      <c r="Z32" s="846">
        <f>SUM(W32-U32)/U32</f>
        <v/>
      </c>
      <c r="AA32" s="842" t="inlineStr">
        <is>
          <t>B</t>
        </is>
      </c>
      <c r="AB32" s="590" t="n"/>
      <c r="AC32" s="847" t="n"/>
      <c r="AD32" s="841" t="inlineStr">
        <is>
          <t>No</t>
        </is>
      </c>
      <c r="AE32" s="840" t="inlineStr">
        <is>
          <t>Mutual break on 6 months notice.</t>
        </is>
      </c>
      <c r="AH32" s="312" t="n"/>
      <c r="AJ32" t="inlineStr">
        <is>
          <t>Let</t>
        </is>
      </c>
    </row>
    <row r="33">
      <c r="A33" t="inlineStr">
        <is>
          <t>Portland House, 4 Great Portland Street</t>
        </is>
      </c>
      <c r="B33" s="838" t="n"/>
      <c r="C33" s="839" t="inlineStr">
        <is>
          <t>SH</t>
        </is>
      </c>
      <c r="D33" s="839" t="inlineStr">
        <is>
          <t>MEL</t>
        </is>
      </c>
      <c r="E33" s="838" t="n">
        <v>550470</v>
      </c>
      <c r="F33" s="840" t="inlineStr">
        <is>
          <t>Portland House, 4 Great Portland Street</t>
        </is>
      </c>
      <c r="G33" s="840" t="inlineStr">
        <is>
          <t>Ground Floor &amp; Basement (East) &amp; Basement Vaults</t>
        </is>
      </c>
      <c r="H33" s="841" t="inlineStr">
        <is>
          <t>Restaurant</t>
        </is>
      </c>
      <c r="I33" s="848" t="n">
        <v>5667</v>
      </c>
      <c r="J33" s="848">
        <f>I33</f>
        <v/>
      </c>
      <c r="K33" s="848" t="n">
        <v>5500</v>
      </c>
      <c r="L33" s="840" t="inlineStr">
        <is>
          <t>Futuremaxx Ltd</t>
        </is>
      </c>
      <c r="M33" s="843" t="n">
        <v>45567</v>
      </c>
      <c r="N33" s="844" t="n">
        <v>51044</v>
      </c>
      <c r="P33" s="844" t="n">
        <v>47393</v>
      </c>
      <c r="R33" s="842" t="n">
        <v>150000</v>
      </c>
      <c r="S33" s="842">
        <f>R33</f>
        <v/>
      </c>
      <c r="U33" s="842" t="n">
        <v>255000</v>
      </c>
      <c r="V33" s="842">
        <f>U33</f>
        <v/>
      </c>
      <c r="W33" s="842" t="n">
        <v>300000</v>
      </c>
      <c r="X33" s="842">
        <f>W33</f>
        <v/>
      </c>
      <c r="Y33" s="845">
        <f>W33/I33</f>
        <v/>
      </c>
      <c r="Z33" s="846">
        <f>SUM(W33-U33)/U33</f>
        <v/>
      </c>
      <c r="AA33" s="842" t="inlineStr">
        <is>
          <t>B</t>
        </is>
      </c>
      <c r="AB33" s="590" t="n"/>
      <c r="AC33" s="847" t="n"/>
      <c r="AD33" s="841" t="inlineStr">
        <is>
          <t>No</t>
        </is>
      </c>
      <c r="AE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H33" s="312" t="n"/>
      <c r="AJ33" t="inlineStr">
        <is>
          <t>Let</t>
        </is>
      </c>
    </row>
    <row r="34">
      <c r="A34" t="inlineStr">
        <is>
          <t>Portland House, 4 Great Portland Street</t>
        </is>
      </c>
      <c r="B34" s="838" t="n"/>
      <c r="C34" s="839" t="inlineStr">
        <is>
          <t>SH</t>
        </is>
      </c>
      <c r="D34" s="839" t="inlineStr">
        <is>
          <t>MEL</t>
        </is>
      </c>
      <c r="E34" s="838" t="n">
        <v>550470</v>
      </c>
      <c r="F34" s="840" t="inlineStr">
        <is>
          <t>Portland House, 4 Great Portland Street</t>
        </is>
      </c>
      <c r="G34" s="840" t="inlineStr">
        <is>
          <t>First Floor (West)</t>
        </is>
      </c>
      <c r="H34" s="841" t="inlineStr">
        <is>
          <t>Office</t>
        </is>
      </c>
      <c r="I34" s="848" t="n">
        <v>1784</v>
      </c>
      <c r="J34" s="848">
        <f>I34</f>
        <v/>
      </c>
      <c r="K34" s="848" t="n">
        <v>1750</v>
      </c>
      <c r="L34" s="840" t="inlineStr">
        <is>
          <t>Time &amp; Tide Holdings (UK) Ltd</t>
        </is>
      </c>
      <c r="M34" s="843" t="n">
        <v>45457</v>
      </c>
      <c r="N34" s="844" t="n">
        <v>47282</v>
      </c>
      <c r="R34" s="842" t="n">
        <v>60700</v>
      </c>
      <c r="S34" s="842">
        <f>R34</f>
        <v/>
      </c>
      <c r="U34" s="842" t="n">
        <v>99700</v>
      </c>
      <c r="V34" s="842">
        <f>U34</f>
        <v/>
      </c>
      <c r="W34" s="842" t="n">
        <v>120400</v>
      </c>
      <c r="X34" s="842">
        <f>W34</f>
        <v/>
      </c>
      <c r="Y34" s="845">
        <f>W34/I34</f>
        <v/>
      </c>
      <c r="Z34" s="846">
        <f>SUM(W34-U34)/U34</f>
        <v/>
      </c>
      <c r="AA34" s="842" t="inlineStr">
        <is>
          <t>B</t>
        </is>
      </c>
      <c r="AB34" s="590" t="n"/>
      <c r="AC34" s="847" t="n"/>
      <c r="AD34" s="841" t="inlineStr">
        <is>
          <t>No</t>
        </is>
      </c>
      <c r="AE34" s="840" t="inlineStr">
        <is>
          <t>Rent increases to £121,400 wef 14/08/25</t>
        </is>
      </c>
      <c r="AH34" s="312" t="n"/>
      <c r="AJ34" t="inlineStr">
        <is>
          <t>Let</t>
        </is>
      </c>
    </row>
    <row r="35">
      <c r="A35" t="inlineStr">
        <is>
          <t>Portland House, 4 Great Portland Street</t>
        </is>
      </c>
      <c r="B35" s="838" t="n"/>
      <c r="C35" s="839" t="inlineStr">
        <is>
          <t>SH</t>
        </is>
      </c>
      <c r="D35" s="839" t="inlineStr">
        <is>
          <t>MEL</t>
        </is>
      </c>
      <c r="E35" s="838" t="n">
        <v>550470</v>
      </c>
      <c r="F35" s="840" t="inlineStr">
        <is>
          <t>Portland House, 4 Great Portland Street</t>
        </is>
      </c>
      <c r="G35" s="840" t="inlineStr">
        <is>
          <t>First Floor (East)</t>
        </is>
      </c>
      <c r="H35" s="841" t="inlineStr">
        <is>
          <t>Office</t>
        </is>
      </c>
      <c r="I35" s="848" t="n">
        <v>2075</v>
      </c>
      <c r="J35" s="848">
        <f>I35</f>
        <v/>
      </c>
      <c r="K35" s="848" t="n">
        <v>2000</v>
      </c>
      <c r="L35" s="840" t="inlineStr">
        <is>
          <t>L52 Communications Ltd</t>
        </is>
      </c>
      <c r="M35" s="843" t="n">
        <v>45384</v>
      </c>
      <c r="N35" s="844" t="n">
        <v>47209</v>
      </c>
      <c r="Q35" s="844" t="n">
        <v>46478</v>
      </c>
      <c r="R35" s="842" t="n">
        <v>133280</v>
      </c>
      <c r="S35" s="842">
        <f>R35</f>
        <v/>
      </c>
      <c r="U35" s="842" t="n">
        <v>114700</v>
      </c>
      <c r="V35" s="842">
        <f>U35</f>
        <v/>
      </c>
      <c r="W35" s="842" t="n">
        <v>140100</v>
      </c>
      <c r="X35" s="842">
        <f>W35</f>
        <v/>
      </c>
      <c r="Y35" s="845">
        <f>W35/I35</f>
        <v/>
      </c>
      <c r="Z35" s="846">
        <f>SUM(W35-U35)/U35</f>
        <v/>
      </c>
      <c r="AA35" s="842" t="inlineStr">
        <is>
          <t>B</t>
        </is>
      </c>
      <c r="AB35" s="590" t="n"/>
      <c r="AC35" s="847" t="n"/>
      <c r="AD35" s="841" t="inlineStr">
        <is>
          <t>No</t>
        </is>
      </c>
      <c r="AE35" s="840" t="inlineStr">
        <is>
          <t>Tenant break on 6 months notice. 1 month rent free from 02/04/27 if not exercised.</t>
        </is>
      </c>
      <c r="AH35" s="312" t="n"/>
      <c r="AJ35" t="inlineStr">
        <is>
          <t>Let</t>
        </is>
      </c>
    </row>
    <row r="36">
      <c r="A36" t="inlineStr">
        <is>
          <t>Portland House, 4 Great Portland Street</t>
        </is>
      </c>
      <c r="B36" s="838" t="n"/>
      <c r="C36" s="839" t="inlineStr">
        <is>
          <t>SH</t>
        </is>
      </c>
      <c r="D36" s="839" t="inlineStr">
        <is>
          <t>MEL</t>
        </is>
      </c>
      <c r="E36" s="838" t="n">
        <v>550470</v>
      </c>
      <c r="F36" s="840" t="inlineStr">
        <is>
          <t>Portland House, 4 Great Portland Street</t>
        </is>
      </c>
      <c r="G36" s="840" t="inlineStr">
        <is>
          <t>Second Floor (East)</t>
        </is>
      </c>
      <c r="H36" s="841" t="inlineStr">
        <is>
          <t>Office</t>
        </is>
      </c>
      <c r="I36" s="848" t="n">
        <v>2063</v>
      </c>
      <c r="J36" s="848">
        <f>I36</f>
        <v/>
      </c>
      <c r="K36" s="848" t="n">
        <v>2000</v>
      </c>
      <c r="L36" s="840" t="inlineStr">
        <is>
          <t>Tekcor4 Limited</t>
        </is>
      </c>
      <c r="M36" s="843" t="n">
        <v>45516</v>
      </c>
      <c r="N36" s="844" t="n">
        <v>47341</v>
      </c>
      <c r="Q36" s="844" t="n">
        <v>46610</v>
      </c>
      <c r="R36" s="842" t="n">
        <v>146450</v>
      </c>
      <c r="S36" s="842">
        <f>R36</f>
        <v/>
      </c>
      <c r="U36" s="842" t="n">
        <v>120700</v>
      </c>
      <c r="V36" s="842">
        <f>U36</f>
        <v/>
      </c>
      <c r="W36" s="842" t="n">
        <v>139260</v>
      </c>
      <c r="X36" s="842">
        <f>W36</f>
        <v/>
      </c>
      <c r="Y36" s="845">
        <f>W36/I36</f>
        <v/>
      </c>
      <c r="Z36" s="846">
        <f>SUM(W36-U36)/U36</f>
        <v/>
      </c>
      <c r="AA36" s="842" t="inlineStr">
        <is>
          <t>B</t>
        </is>
      </c>
      <c r="AB36" s="590" t="n"/>
      <c r="AC36" s="847" t="n"/>
      <c r="AD36" s="841" t="inlineStr">
        <is>
          <t>No</t>
        </is>
      </c>
      <c r="AE36" s="840" t="inlineStr">
        <is>
          <t>Tenant break on 6 months notice.</t>
        </is>
      </c>
      <c r="AG36" s="29" t="n"/>
      <c r="AH36" s="313" t="n"/>
      <c r="AI36" s="29" t="n"/>
      <c r="AJ36" t="inlineStr">
        <is>
          <t>Let</t>
        </is>
      </c>
    </row>
    <row r="37">
      <c r="A37" t="inlineStr">
        <is>
          <t>Portland House, 4 Great Portland Street</t>
        </is>
      </c>
      <c r="B37" s="838" t="n"/>
      <c r="C37" s="839" t="inlineStr">
        <is>
          <t>SH</t>
        </is>
      </c>
      <c r="D37" s="839" t="inlineStr">
        <is>
          <t>MEL</t>
        </is>
      </c>
      <c r="E37" s="838" t="n">
        <v>550470</v>
      </c>
      <c r="F37" s="840" t="inlineStr">
        <is>
          <t>Portland House, 4 Great Portland Street</t>
        </is>
      </c>
      <c r="G37" s="840" t="inlineStr">
        <is>
          <t>Second Floor (West)</t>
        </is>
      </c>
      <c r="H37" s="841" t="inlineStr">
        <is>
          <t>Office</t>
        </is>
      </c>
      <c r="I37" s="848" t="n">
        <v>1796</v>
      </c>
      <c r="J37" s="848">
        <f>I37</f>
        <v/>
      </c>
      <c r="K37" s="848" t="n">
        <v>1750</v>
      </c>
      <c r="L37" s="840" t="inlineStr">
        <is>
          <t>Vacant</t>
        </is>
      </c>
      <c r="O37" s="844" t="n">
        <v>45051</v>
      </c>
      <c r="R37" s="842" t="n">
        <v>0</v>
      </c>
      <c r="S37" s="842">
        <f>R37</f>
        <v/>
      </c>
      <c r="U37" s="842" t="n">
        <v>87300</v>
      </c>
      <c r="V37" s="842">
        <f>U37</f>
        <v/>
      </c>
      <c r="W37" s="842" t="n">
        <v>121240</v>
      </c>
      <c r="X37" s="842">
        <f>W37</f>
        <v/>
      </c>
      <c r="Y37" s="845">
        <f>W37/I37</f>
        <v/>
      </c>
      <c r="Z37" s="846">
        <f>SUM(W37-U37)/U37</f>
        <v/>
      </c>
      <c r="AA37" s="842" t="inlineStr">
        <is>
          <t>B</t>
        </is>
      </c>
      <c r="AB37" s="590" t="n"/>
      <c r="AC37" s="847" t="n"/>
      <c r="AD37" s="841" t="inlineStr">
        <is>
          <t>No</t>
        </is>
      </c>
      <c r="AE37" s="840" t="inlineStr">
        <is>
          <t>LEM marketing.</t>
        </is>
      </c>
      <c r="AF37" s="849" t="n">
        <v>72.5</v>
      </c>
      <c r="AG37" s="840" t="n">
        <v>3</v>
      </c>
      <c r="AH37" s="312" t="n">
        <v>13</v>
      </c>
      <c r="AI37" s="840" t="inlineStr">
        <is>
          <t>LEM/LDG</t>
        </is>
      </c>
      <c r="AJ37" t="inlineStr">
        <is>
          <t>Void</t>
        </is>
      </c>
    </row>
    <row r="38">
      <c r="A38" t="inlineStr">
        <is>
          <t>Portland House, 4 Great Portland Street</t>
        </is>
      </c>
      <c r="B38" s="838" t="n"/>
      <c r="C38" s="839" t="inlineStr">
        <is>
          <t>SH</t>
        </is>
      </c>
      <c r="D38" s="839" t="inlineStr">
        <is>
          <t>MEL</t>
        </is>
      </c>
      <c r="E38" s="838" t="n">
        <v>550470</v>
      </c>
      <c r="F38" s="840" t="inlineStr">
        <is>
          <t>Portland House, 4 Great Portland Street</t>
        </is>
      </c>
      <c r="G38" s="840" t="inlineStr">
        <is>
          <t>Third Floor (West)</t>
        </is>
      </c>
      <c r="H38" s="841" t="inlineStr">
        <is>
          <t>Office</t>
        </is>
      </c>
      <c r="I38" s="848" t="n">
        <v>1691</v>
      </c>
      <c r="J38" s="848">
        <f>I38</f>
        <v/>
      </c>
      <c r="K38" s="848" t="n">
        <v>1500</v>
      </c>
      <c r="L38" s="840" t="inlineStr">
        <is>
          <t>J&amp;M Davidson Limited.</t>
        </is>
      </c>
      <c r="M38" s="843" t="n">
        <v>44795</v>
      </c>
      <c r="N38" s="844" t="n">
        <v>46620</v>
      </c>
      <c r="Q38" s="844" t="n">
        <v>45890</v>
      </c>
      <c r="R38" s="842" t="n">
        <v>102705</v>
      </c>
      <c r="S38" s="842">
        <f>R38</f>
        <v/>
      </c>
      <c r="U38" s="842" t="n">
        <v>102705</v>
      </c>
      <c r="V38" s="842">
        <f>U38</f>
        <v/>
      </c>
      <c r="W38" s="842" t="n">
        <v>114100</v>
      </c>
      <c r="X38" s="842">
        <f>W38</f>
        <v/>
      </c>
      <c r="Y38" s="845">
        <f>W38/I38</f>
        <v/>
      </c>
      <c r="Z38" s="846">
        <f>SUM(W38-U38)/U38</f>
        <v/>
      </c>
      <c r="AA38" s="842" t="inlineStr">
        <is>
          <t>B</t>
        </is>
      </c>
      <c r="AB38" s="590" t="n"/>
      <c r="AC38" s="847" t="n"/>
      <c r="AD38" s="841" t="inlineStr">
        <is>
          <t>No</t>
        </is>
      </c>
      <c r="AE38" s="840" t="inlineStr">
        <is>
          <t>Tenant break on 6 months notice.</t>
        </is>
      </c>
      <c r="AH38" s="312" t="n"/>
      <c r="AJ38" t="inlineStr">
        <is>
          <t>Let</t>
        </is>
      </c>
    </row>
    <row r="39">
      <c r="A39" t="inlineStr">
        <is>
          <t>Portland House, 4 Great Portland Street</t>
        </is>
      </c>
      <c r="B39" s="838" t="n"/>
      <c r="C39" s="839" t="inlineStr">
        <is>
          <t>SH</t>
        </is>
      </c>
      <c r="D39" s="839" t="inlineStr">
        <is>
          <t>MEL</t>
        </is>
      </c>
      <c r="E39" s="838" t="n">
        <v>550470</v>
      </c>
      <c r="F39" s="840" t="inlineStr">
        <is>
          <t>Portland House, 4 Great Portland Street</t>
        </is>
      </c>
      <c r="G39" s="840" t="inlineStr">
        <is>
          <t xml:space="preserve">Third Floor (East) </t>
        </is>
      </c>
      <c r="H39" s="841" t="inlineStr">
        <is>
          <t>Office</t>
        </is>
      </c>
      <c r="I39" s="848" t="n">
        <v>2055</v>
      </c>
      <c r="J39" s="848">
        <f>I39</f>
        <v/>
      </c>
      <c r="K39" s="848" t="n">
        <v>2000</v>
      </c>
      <c r="L39" s="840" t="inlineStr">
        <is>
          <t>Media Campaign Limited</t>
        </is>
      </c>
      <c r="M39" s="843" t="n">
        <v>45488</v>
      </c>
      <c r="N39" s="844" t="n">
        <v>47313</v>
      </c>
      <c r="Q39" s="844" t="n">
        <v>46582</v>
      </c>
      <c r="R39" s="842" t="n">
        <v>181050</v>
      </c>
      <c r="S39" s="842">
        <f>R39</f>
        <v/>
      </c>
      <c r="U39" s="842" t="n">
        <v>125050</v>
      </c>
      <c r="V39" s="842">
        <f>U39</f>
        <v/>
      </c>
      <c r="W39" s="842" t="n">
        <v>138700</v>
      </c>
      <c r="X39" s="842">
        <f>W39</f>
        <v/>
      </c>
      <c r="Y39" s="845">
        <f>W39/I39</f>
        <v/>
      </c>
      <c r="Z39" s="846">
        <f>SUM(W39-U39)/U39</f>
        <v/>
      </c>
      <c r="AA39" s="842" t="inlineStr">
        <is>
          <t>B</t>
        </is>
      </c>
      <c r="AB39" s="590" t="n"/>
      <c r="AC39" s="847" t="n"/>
      <c r="AD39" s="841" t="inlineStr">
        <is>
          <t>No</t>
        </is>
      </c>
      <c r="AE39" s="840" t="inlineStr">
        <is>
          <t>Tenant break on 6 months notice. 2 months rent free @ 15/07/27 if not exercised.</t>
        </is>
      </c>
      <c r="AG39" s="29" t="n"/>
      <c r="AH39" s="313" t="n"/>
      <c r="AI39" s="29" t="n"/>
      <c r="AJ39" t="inlineStr">
        <is>
          <t>Let</t>
        </is>
      </c>
    </row>
    <row r="40">
      <c r="A40" t="inlineStr">
        <is>
          <t>Portland House, 4 Great Portland Street</t>
        </is>
      </c>
      <c r="B40" s="838" t="n"/>
      <c r="C40" s="839" t="inlineStr">
        <is>
          <t>SH</t>
        </is>
      </c>
      <c r="D40" s="839" t="inlineStr">
        <is>
          <t>MEL</t>
        </is>
      </c>
      <c r="E40" s="838" t="n">
        <v>550470</v>
      </c>
      <c r="F40" s="840" t="inlineStr">
        <is>
          <t>Portland House, 4 Great Portland Street</t>
        </is>
      </c>
      <c r="G40" s="840" t="inlineStr">
        <is>
          <t>Fourth Floor (West)</t>
        </is>
      </c>
      <c r="H40" s="841" t="inlineStr">
        <is>
          <t>Office</t>
        </is>
      </c>
      <c r="I40" s="848" t="n">
        <v>1548</v>
      </c>
      <c r="J40" s="848">
        <f>I40</f>
        <v/>
      </c>
      <c r="K40" s="848" t="n">
        <v>1500</v>
      </c>
      <c r="L40" s="840" t="inlineStr">
        <is>
          <t>Racoon Media Services Limited</t>
        </is>
      </c>
      <c r="M40" s="843" t="n">
        <v>45609</v>
      </c>
      <c r="N40" s="844" t="n">
        <v>47434</v>
      </c>
      <c r="O40" s="844" t="n"/>
      <c r="P40" s="844" t="n"/>
      <c r="Q40" s="844" t="n">
        <v>46703</v>
      </c>
      <c r="R40" s="842" t="n">
        <v>90090</v>
      </c>
      <c r="S40" s="842">
        <f>R40</f>
        <v/>
      </c>
      <c r="T40" s="842" t="n"/>
      <c r="U40" s="842" t="n">
        <v>90100</v>
      </c>
      <c r="V40" s="842">
        <f>U40</f>
        <v/>
      </c>
      <c r="W40" s="842" t="n">
        <v>104500</v>
      </c>
      <c r="X40" s="842">
        <f>W40</f>
        <v/>
      </c>
      <c r="Y40" s="845">
        <f>W40/I40</f>
        <v/>
      </c>
      <c r="Z40" s="846">
        <f>SUM(W40-U40)/U40</f>
        <v/>
      </c>
      <c r="AA40" s="842" t="inlineStr">
        <is>
          <t>B</t>
        </is>
      </c>
      <c r="AB40" s="590" t="n"/>
      <c r="AC40" s="847" t="n"/>
      <c r="AD40" s="841" t="inlineStr">
        <is>
          <t>No</t>
        </is>
      </c>
      <c r="AE40" s="840" t="inlineStr">
        <is>
          <t>Tenant break on 6 months notice. Rent PA corrected.</t>
        </is>
      </c>
      <c r="AF40" s="849" t="n"/>
      <c r="AG40" s="840" t="n"/>
      <c r="AH40" s="312" t="n"/>
      <c r="AI40" s="840" t="n"/>
      <c r="AJ40" t="inlineStr">
        <is>
          <t>Let</t>
        </is>
      </c>
    </row>
    <row r="41">
      <c r="A41" t="inlineStr">
        <is>
          <t>Portland House, 4 Great Portland Street</t>
        </is>
      </c>
      <c r="B41" s="838" t="n"/>
      <c r="C41" s="839" t="inlineStr">
        <is>
          <t>SH</t>
        </is>
      </c>
      <c r="D41" s="839" t="inlineStr">
        <is>
          <t>MEL</t>
        </is>
      </c>
      <c r="E41" s="838" t="n">
        <v>550470</v>
      </c>
      <c r="F41" s="840" t="inlineStr">
        <is>
          <t>Portland House, 4 Great Portland Street</t>
        </is>
      </c>
      <c r="G41" s="840" t="inlineStr">
        <is>
          <t>Fourth Floor (East)</t>
        </is>
      </c>
      <c r="H41" s="841" t="inlineStr">
        <is>
          <t>Office</t>
        </is>
      </c>
      <c r="I41" s="848" t="n">
        <v>1957</v>
      </c>
      <c r="J41" s="848">
        <f>I41</f>
        <v/>
      </c>
      <c r="K41" s="848" t="n">
        <v>2000</v>
      </c>
      <c r="L41" s="840" t="inlineStr">
        <is>
          <t>Racoon Media Services Limited</t>
        </is>
      </c>
      <c r="M41" s="843" t="n">
        <v>45609</v>
      </c>
      <c r="N41" s="844" t="n">
        <v>47434</v>
      </c>
      <c r="Q41" s="844" t="n">
        <v>46703</v>
      </c>
      <c r="R41" s="842" t="n">
        <v>114253</v>
      </c>
      <c r="S41" s="842">
        <f>R41</f>
        <v/>
      </c>
      <c r="U41" s="842" t="n">
        <v>115800</v>
      </c>
      <c r="V41" s="842">
        <f>U41</f>
        <v/>
      </c>
      <c r="W41" s="842" t="n">
        <v>132100</v>
      </c>
      <c r="X41" s="842">
        <f>W41</f>
        <v/>
      </c>
      <c r="Y41" s="845">
        <f>W41/I41</f>
        <v/>
      </c>
      <c r="Z41" s="846">
        <f>SUM(W41-U41)/U41</f>
        <v/>
      </c>
      <c r="AA41" s="842" t="inlineStr">
        <is>
          <t>B</t>
        </is>
      </c>
      <c r="AB41" s="590" t="n"/>
      <c r="AC41" s="847" t="n"/>
      <c r="AD41" s="841" t="inlineStr">
        <is>
          <t>No</t>
        </is>
      </c>
      <c r="AE41" s="840" t="inlineStr">
        <is>
          <t>Tenant break on 6 months notice.</t>
        </is>
      </c>
      <c r="AF41" s="599" t="n"/>
      <c r="AH41" s="312" t="n"/>
      <c r="AJ41" t="inlineStr">
        <is>
          <t>Let</t>
        </is>
      </c>
    </row>
    <row r="42">
      <c r="A42" t="inlineStr">
        <is>
          <t>Portland House, 4 Great Portland Street</t>
        </is>
      </c>
      <c r="B42" s="838" t="n"/>
      <c r="C42" s="839" t="inlineStr">
        <is>
          <t>SH</t>
        </is>
      </c>
      <c r="D42" s="839" t="inlineStr">
        <is>
          <t>MEL</t>
        </is>
      </c>
      <c r="E42" s="838" t="n">
        <v>550470</v>
      </c>
      <c r="F42" s="840" t="inlineStr">
        <is>
          <t>Portland House, 4 Great Portland Street</t>
        </is>
      </c>
      <c r="G42" s="840" t="inlineStr">
        <is>
          <t>Fifth Floor (East)</t>
        </is>
      </c>
      <c r="H42" s="841" t="inlineStr">
        <is>
          <t>Office</t>
        </is>
      </c>
      <c r="I42" s="848" t="n">
        <v>1845</v>
      </c>
      <c r="J42" s="848">
        <f>I42</f>
        <v/>
      </c>
      <c r="K42" s="848" t="n">
        <v>2000</v>
      </c>
      <c r="L42" s="840" t="inlineStr">
        <is>
          <t>Greek National Tourism Organisation.</t>
        </is>
      </c>
      <c r="M42" s="843" t="n">
        <v>45256</v>
      </c>
      <c r="N42" s="844" t="n">
        <v>47082</v>
      </c>
      <c r="Q42" s="844" t="n">
        <v>46351</v>
      </c>
      <c r="R42" s="842" t="n">
        <v>115500</v>
      </c>
      <c r="S42" s="842">
        <f>R42</f>
        <v/>
      </c>
      <c r="U42" s="842" t="n">
        <v>107400</v>
      </c>
      <c r="V42" s="842">
        <f>U42</f>
        <v/>
      </c>
      <c r="W42" s="842" t="n">
        <v>124500</v>
      </c>
      <c r="X42" s="842">
        <f>W42</f>
        <v/>
      </c>
      <c r="Y42" s="845">
        <f>W42/I42</f>
        <v/>
      </c>
      <c r="Z42" s="846">
        <f>SUM(W42-U42)/U42</f>
        <v/>
      </c>
      <c r="AA42" s="842" t="inlineStr">
        <is>
          <t>B</t>
        </is>
      </c>
      <c r="AB42" s="590" t="n"/>
      <c r="AC42" s="847" t="n"/>
      <c r="AD42" s="841" t="inlineStr">
        <is>
          <t>No</t>
        </is>
      </c>
      <c r="AE42" s="840" t="inlineStr">
        <is>
          <t>Tenant break on 6 months notice.</t>
        </is>
      </c>
      <c r="AH42" s="312" t="n"/>
      <c r="AJ42" t="inlineStr">
        <is>
          <t>Let</t>
        </is>
      </c>
    </row>
    <row r="43">
      <c r="A43" t="inlineStr">
        <is>
          <t>Portland House, 4 Great Portland Street</t>
        </is>
      </c>
      <c r="B43" s="838" t="n"/>
      <c r="C43" s="839" t="inlineStr">
        <is>
          <t>SH</t>
        </is>
      </c>
      <c r="D43" s="839" t="inlineStr">
        <is>
          <t>MEL</t>
        </is>
      </c>
      <c r="E43" s="838" t="n">
        <v>550470</v>
      </c>
      <c r="F43" s="840" t="inlineStr">
        <is>
          <t>Portland House, 4 Great Portland Street</t>
        </is>
      </c>
      <c r="G43" s="840" t="inlineStr">
        <is>
          <t>Fifth Floor (West)</t>
        </is>
      </c>
      <c r="H43" s="841" t="inlineStr">
        <is>
          <t>Office</t>
        </is>
      </c>
      <c r="I43" s="848" t="n">
        <v>1528</v>
      </c>
      <c r="J43" s="848">
        <f>I43</f>
        <v/>
      </c>
      <c r="K43" s="848" t="n">
        <v>1500</v>
      </c>
      <c r="L43" s="840" t="inlineStr">
        <is>
          <t>Rios Designs Ltd</t>
        </is>
      </c>
      <c r="M43" s="843" t="n">
        <v>45622</v>
      </c>
      <c r="N43" s="844" t="n">
        <v>47447</v>
      </c>
      <c r="Q43" s="844" t="n">
        <v>46716</v>
      </c>
      <c r="R43" s="842" t="n">
        <v>54340</v>
      </c>
      <c r="S43" s="842">
        <f>R43</f>
        <v/>
      </c>
      <c r="U43" s="842" t="n">
        <v>76600</v>
      </c>
      <c r="V43" s="842">
        <f>U43</f>
        <v/>
      </c>
      <c r="W43" s="842" t="n">
        <v>103100</v>
      </c>
      <c r="X43" s="842">
        <f>W43</f>
        <v/>
      </c>
      <c r="Y43" s="845">
        <f>W43/I43</f>
        <v/>
      </c>
      <c r="Z43" s="846">
        <f>SUM(W43-U43)/U43</f>
        <v/>
      </c>
      <c r="AA43" s="842" t="inlineStr">
        <is>
          <t>B</t>
        </is>
      </c>
      <c r="AB43" s="590" t="n"/>
      <c r="AC43" s="847" t="n"/>
      <c r="AD43" s="841" t="inlineStr">
        <is>
          <t>No</t>
        </is>
      </c>
      <c r="AE43" s="840" t="inlineStr">
        <is>
          <t>Rent increases to £108,680 wef 26/11/25. Tenant break on 6 months notice.</t>
        </is>
      </c>
      <c r="AF43" s="599" t="n"/>
      <c r="AH43" s="312" t="n">
        <v>2</v>
      </c>
      <c r="AI43" s="840" t="inlineStr">
        <is>
          <t>LEM/LDG</t>
        </is>
      </c>
      <c r="AJ43" t="inlineStr">
        <is>
          <t>Let</t>
        </is>
      </c>
    </row>
    <row r="44">
      <c r="A44" t="inlineStr">
        <is>
          <t>Portland House, 4 Great Portland Street</t>
        </is>
      </c>
      <c r="B44" s="838" t="n"/>
      <c r="C44" s="839" t="inlineStr">
        <is>
          <t>SH</t>
        </is>
      </c>
      <c r="D44" s="839" t="inlineStr">
        <is>
          <t>MEL</t>
        </is>
      </c>
      <c r="E44" s="838" t="n">
        <v>550470</v>
      </c>
      <c r="F44" s="840" t="inlineStr">
        <is>
          <t>Portland House, 4 Great Portland Street</t>
        </is>
      </c>
      <c r="G44" s="850" t="inlineStr">
        <is>
          <t>Sixth Floor (West)</t>
        </is>
      </c>
      <c r="H44" s="841" t="inlineStr">
        <is>
          <t>Office</t>
        </is>
      </c>
      <c r="I44" s="848" t="n">
        <v>1253</v>
      </c>
      <c r="J44" s="848">
        <f>I44</f>
        <v/>
      </c>
      <c r="K44" s="848" t="n">
        <v>1250</v>
      </c>
      <c r="L44" s="840" t="inlineStr">
        <is>
          <t>Directors Cut Films West Limited</t>
        </is>
      </c>
      <c r="M44" s="843" t="n">
        <v>45617</v>
      </c>
      <c r="N44" s="844" t="n">
        <v>47442</v>
      </c>
      <c r="R44" s="842" t="n">
        <v>66700</v>
      </c>
      <c r="S44" s="842">
        <f>R44</f>
        <v/>
      </c>
      <c r="U44" s="842" t="n">
        <v>66700</v>
      </c>
      <c r="V44" s="842">
        <f>U44</f>
        <v/>
      </c>
      <c r="W44" s="842" t="n">
        <v>78300</v>
      </c>
      <c r="X44" s="842">
        <f>W44</f>
        <v/>
      </c>
      <c r="Y44" s="845">
        <f>W44/I44</f>
        <v/>
      </c>
      <c r="Z44" s="846">
        <f>SUM(W44-U44)/U44</f>
        <v/>
      </c>
      <c r="AA44" s="842" t="inlineStr">
        <is>
          <t>D</t>
        </is>
      </c>
      <c r="AB44" s="590" t="n"/>
      <c r="AC44" s="847" t="n"/>
      <c r="AD44" s="841" t="inlineStr">
        <is>
          <t>No</t>
        </is>
      </c>
      <c r="AF44" s="599" t="n"/>
      <c r="AH44" s="312" t="n"/>
      <c r="AJ44" t="inlineStr">
        <is>
          <t>Let</t>
        </is>
      </c>
    </row>
    <row r="45">
      <c r="A45" t="inlineStr">
        <is>
          <t>Portland House, 4 Great Portland Street</t>
        </is>
      </c>
      <c r="B45" s="838" t="n"/>
      <c r="C45" s="839" t="inlineStr">
        <is>
          <t>SH</t>
        </is>
      </c>
      <c r="D45" s="839" t="inlineStr">
        <is>
          <t>MEL</t>
        </is>
      </c>
      <c r="E45" s="838" t="n">
        <v>550470</v>
      </c>
      <c r="F45" s="840" t="inlineStr">
        <is>
          <t>Portland House, 4 Great Portland Street</t>
        </is>
      </c>
      <c r="G45" s="840" t="inlineStr">
        <is>
          <t>Sixth Floor (East)</t>
        </is>
      </c>
      <c r="H45" s="841" t="inlineStr">
        <is>
          <t>Office</t>
        </is>
      </c>
      <c r="I45" s="848" t="n">
        <v>859</v>
      </c>
      <c r="J45" s="848">
        <f>I45</f>
        <v/>
      </c>
      <c r="K45" s="848" t="n">
        <v>1000</v>
      </c>
      <c r="L45" s="840" t="inlineStr">
        <is>
          <t>Vacant</t>
        </is>
      </c>
      <c r="O45" s="844" t="n">
        <v>44609</v>
      </c>
      <c r="R45" s="842" t="n">
        <v>0</v>
      </c>
      <c r="S45" s="842">
        <f>R45</f>
        <v/>
      </c>
      <c r="U45" s="842" t="n">
        <v>65750</v>
      </c>
      <c r="V45" s="842">
        <f>U45</f>
        <v/>
      </c>
      <c r="W45" s="842" t="n">
        <v>53700</v>
      </c>
      <c r="X45" s="842">
        <f>W45</f>
        <v/>
      </c>
      <c r="Y45" s="845">
        <f>W45/I45</f>
        <v/>
      </c>
      <c r="Z45" s="846">
        <f>SUM(W45-U45)/U45</f>
        <v/>
      </c>
      <c r="AA45" s="842" t="inlineStr">
        <is>
          <t>D</t>
        </is>
      </c>
      <c r="AB45" s="590" t="n"/>
      <c r="AC45" s="847" t="n"/>
      <c r="AD45" s="841" t="inlineStr">
        <is>
          <t>No</t>
        </is>
      </c>
      <c r="AE45" s="840" t="inlineStr">
        <is>
          <t>LEM marketing.</t>
        </is>
      </c>
      <c r="AF45" s="849" t="n">
        <v>63</v>
      </c>
      <c r="AH45" s="312" t="n">
        <v>2</v>
      </c>
      <c r="AJ45" t="inlineStr">
        <is>
          <t>Void</t>
        </is>
      </c>
    </row>
    <row r="46">
      <c r="A46" t="inlineStr">
        <is>
          <t>Portland House, 4 Great Portland Street</t>
        </is>
      </c>
      <c r="B46" s="838" t="n"/>
      <c r="C46" s="839" t="inlineStr">
        <is>
          <t>SH</t>
        </is>
      </c>
      <c r="D46" s="839" t="inlineStr">
        <is>
          <t>MEL</t>
        </is>
      </c>
      <c r="E46" s="838" t="n">
        <v>550470</v>
      </c>
      <c r="F46" s="840" t="inlineStr">
        <is>
          <t>Portland House, 4 Great Portland Street</t>
        </is>
      </c>
      <c r="G46" s="840" t="inlineStr">
        <is>
          <t>Cupboards 2nd, 4th, 5th &amp; 6th Floors</t>
        </is>
      </c>
      <c r="H46" s="841" t="inlineStr">
        <is>
          <t>Storage</t>
        </is>
      </c>
      <c r="I46" s="848" t="n">
        <v>0</v>
      </c>
      <c r="J46" s="848">
        <f>I46</f>
        <v/>
      </c>
      <c r="K46" s="848" t="n"/>
      <c r="L46" s="840" t="inlineStr">
        <is>
          <t>Vacant / Landlord</t>
        </is>
      </c>
      <c r="M46" s="843" t="n"/>
      <c r="N46" s="844" t="n"/>
      <c r="O46" s="844" t="inlineStr">
        <is>
          <t>N/A</t>
        </is>
      </c>
      <c r="P46" s="844" t="n"/>
      <c r="Q46" s="844" t="n"/>
      <c r="R46" s="842" t="n">
        <v>0</v>
      </c>
      <c r="S46" s="842">
        <f>R46</f>
        <v/>
      </c>
      <c r="T46" s="842" t="n"/>
      <c r="U46" s="842" t="n">
        <v>1460</v>
      </c>
      <c r="V46" s="842">
        <f>U46</f>
        <v/>
      </c>
      <c r="W46" s="842" t="n">
        <v>0</v>
      </c>
      <c r="X46" s="842">
        <f>W46</f>
        <v/>
      </c>
      <c r="Y46" s="842" t="n"/>
      <c r="Z46" s="846" t="n"/>
      <c r="AA46" s="842" t="n"/>
      <c r="AB46" s="590" t="n"/>
      <c r="AC46" s="847" t="n"/>
      <c r="AD46" s="841" t="n"/>
      <c r="AE46" s="840" t="inlineStr">
        <is>
          <t>To be converted into extra toilet facilities.</t>
        </is>
      </c>
      <c r="AF46" s="849" t="n"/>
      <c r="AG46" s="840" t="n"/>
      <c r="AH46" s="312" t="n"/>
      <c r="AI46" s="840" t="n"/>
      <c r="AJ46" t="inlineStr">
        <is>
          <t>Void</t>
        </is>
      </c>
    </row>
    <row r="47">
      <c r="A47" t="inlineStr">
        <is>
          <t>Portland House, 4 Great Portland Street</t>
        </is>
      </c>
      <c r="B47" s="838" t="n"/>
      <c r="C47" s="839" t="inlineStr">
        <is>
          <t>SH</t>
        </is>
      </c>
      <c r="D47" s="839" t="inlineStr">
        <is>
          <t>MEL</t>
        </is>
      </c>
      <c r="E47" s="838" t="n">
        <v>550470</v>
      </c>
      <c r="F47" s="840" t="inlineStr">
        <is>
          <t>Portland House, 4 Great Portland Street</t>
        </is>
      </c>
      <c r="G47" s="840" t="inlineStr">
        <is>
          <t>Transformer Chamber</t>
        </is>
      </c>
      <c r="H47" s="841" t="inlineStr">
        <is>
          <t>Sub-Station</t>
        </is>
      </c>
      <c r="I47" s="848" t="n">
        <v>0</v>
      </c>
      <c r="J47" s="848">
        <f>I47</f>
        <v/>
      </c>
      <c r="L47" s="840" t="inlineStr">
        <is>
          <t>London Power Networks Plc</t>
        </is>
      </c>
      <c r="M47" s="851" t="n">
        <v>35240</v>
      </c>
      <c r="N47" s="852" t="n">
        <v>68735</v>
      </c>
      <c r="O47" s="852" t="n"/>
      <c r="R47" s="842" t="n">
        <v>0</v>
      </c>
      <c r="S47" s="842">
        <f>R47</f>
        <v/>
      </c>
      <c r="U47" s="842" t="n">
        <v>0</v>
      </c>
      <c r="V47" s="842">
        <f>U47</f>
        <v/>
      </c>
      <c r="W47" s="842" t="n">
        <v>0</v>
      </c>
      <c r="X47" s="842">
        <f>W47</f>
        <v/>
      </c>
      <c r="Y47" s="842" t="n"/>
      <c r="Z47" s="846" t="n"/>
      <c r="AA47" s="842" t="n"/>
      <c r="AB47" s="590" t="n"/>
      <c r="AC47" s="847" t="n"/>
      <c r="AD47" s="841" t="inlineStr">
        <is>
          <t>Yes</t>
        </is>
      </c>
      <c r="AE47" s="840" t="inlineStr">
        <is>
          <t>Rolling redevelopment break on 6 months notice.</t>
        </is>
      </c>
      <c r="AH47" s="312" t="n"/>
      <c r="AJ47" t="inlineStr">
        <is>
          <t>Let</t>
        </is>
      </c>
    </row>
    <row r="48">
      <c r="A48" t="inlineStr">
        <is>
          <t>6-10a Great Portland Street</t>
        </is>
      </c>
      <c r="B48" s="838" t="n"/>
      <c r="C48" s="839" t="inlineStr">
        <is>
          <t>SH</t>
        </is>
      </c>
      <c r="D48" s="839" t="inlineStr">
        <is>
          <t>MEL</t>
        </is>
      </c>
      <c r="E48" s="838" t="n">
        <v>550480</v>
      </c>
      <c r="F48" s="840" t="inlineStr">
        <is>
          <t>6-10a Great Portland Street</t>
        </is>
      </c>
      <c r="G48" s="840" t="inlineStr">
        <is>
          <t>Basement &amp; Ground</t>
        </is>
      </c>
      <c r="H48" s="841" t="inlineStr">
        <is>
          <t>Retail</t>
        </is>
      </c>
      <c r="I48" s="848" t="n">
        <v>4958</v>
      </c>
      <c r="J48" s="848">
        <f>I48</f>
        <v/>
      </c>
      <c r="K48" s="848" t="n">
        <v>5000</v>
      </c>
      <c r="L48" s="840" t="inlineStr">
        <is>
          <t>PrettyLittleThing.com</t>
        </is>
      </c>
      <c r="M48" s="843" t="n">
        <v>45699</v>
      </c>
      <c r="N48" s="844" t="n">
        <v>47524</v>
      </c>
      <c r="Q48" s="844" t="n">
        <v>46793</v>
      </c>
      <c r="R48" s="842" t="n">
        <v>187500</v>
      </c>
      <c r="S48" s="842">
        <f>R48</f>
        <v/>
      </c>
      <c r="U48" s="842" t="n">
        <v>337100</v>
      </c>
      <c r="V48" s="842">
        <f>U48</f>
        <v/>
      </c>
      <c r="W48" s="842" t="n">
        <v>380000</v>
      </c>
      <c r="X48" s="842">
        <f>W48</f>
        <v/>
      </c>
      <c r="Y48" s="845">
        <f>W48/I48</f>
        <v/>
      </c>
      <c r="Z48" s="846">
        <f>SUM(W48-U48)/U48</f>
        <v/>
      </c>
      <c r="AA48" s="842" t="inlineStr">
        <is>
          <t>B</t>
        </is>
      </c>
      <c r="AB48" s="590" t="n"/>
      <c r="AC48" s="847" t="n"/>
      <c r="AD48" s="841" t="inlineStr">
        <is>
          <t>No</t>
        </is>
      </c>
      <c r="AE48" s="840" t="inlineStr">
        <is>
          <t>Rent increasing to £375,000 wef 11/09/25. Tenant break on 6 months notice. 3 months rent free if not exercised.</t>
        </is>
      </c>
      <c r="AF48" s="849" t="n">
        <v>68</v>
      </c>
      <c r="AG48" s="840" t="n">
        <v>1</v>
      </c>
      <c r="AH48" s="312" t="n">
        <v>13</v>
      </c>
      <c r="AI48" s="840" t="inlineStr">
        <is>
          <t>LEM / Colliers</t>
        </is>
      </c>
      <c r="AJ48" t="inlineStr">
        <is>
          <t>Let</t>
        </is>
      </c>
    </row>
    <row r="49">
      <c r="A49" t="inlineStr">
        <is>
          <t>6-10a Great Portland Street</t>
        </is>
      </c>
      <c r="B49" s="838" t="n"/>
      <c r="C49" s="839" t="inlineStr">
        <is>
          <t>SH</t>
        </is>
      </c>
      <c r="D49" s="839" t="inlineStr">
        <is>
          <t>MEL</t>
        </is>
      </c>
      <c r="E49" s="838" t="n">
        <v>550480</v>
      </c>
      <c r="F49" s="840" t="inlineStr">
        <is>
          <t>6-10a Great Portland Street</t>
        </is>
      </c>
      <c r="G49" s="840" t="inlineStr">
        <is>
          <t>First  Floor</t>
        </is>
      </c>
      <c r="H49" s="841" t="inlineStr">
        <is>
          <t>Office</t>
        </is>
      </c>
      <c r="I49" s="848" t="n">
        <v>1862</v>
      </c>
      <c r="J49" s="848">
        <f>I49</f>
        <v/>
      </c>
      <c r="K49" s="848" t="n">
        <v>2000</v>
      </c>
      <c r="L49" s="840" t="inlineStr">
        <is>
          <t>The Yuki Clinic Ltd.</t>
        </is>
      </c>
      <c r="M49" s="843" t="n">
        <v>44452</v>
      </c>
      <c r="N49" s="844" t="n">
        <v>46277</v>
      </c>
      <c r="R49" s="842" t="n">
        <v>108170</v>
      </c>
      <c r="S49" s="842">
        <f>R49</f>
        <v/>
      </c>
      <c r="U49" s="842" t="n">
        <v>107200</v>
      </c>
      <c r="V49" s="842">
        <f>U49</f>
        <v/>
      </c>
      <c r="W49" s="842" t="n">
        <v>114500</v>
      </c>
      <c r="X49" s="842">
        <f>W49</f>
        <v/>
      </c>
      <c r="Y49" s="845">
        <f>W49/I49</f>
        <v/>
      </c>
      <c r="Z49" s="846">
        <f>SUM(W49-U49)/U49</f>
        <v/>
      </c>
      <c r="AA49" s="842" t="inlineStr">
        <is>
          <t>D</t>
        </is>
      </c>
      <c r="AB49" s="590" t="n"/>
      <c r="AC49" s="847" t="n"/>
      <c r="AD49" s="841" t="inlineStr">
        <is>
          <t>No</t>
        </is>
      </c>
      <c r="AH49" s="312" t="n"/>
      <c r="AJ49" t="inlineStr">
        <is>
          <t>Let</t>
        </is>
      </c>
    </row>
    <row r="50">
      <c r="A50" t="inlineStr">
        <is>
          <t>6-10a Great Portland Street</t>
        </is>
      </c>
      <c r="B50" s="838" t="n"/>
      <c r="C50" s="839" t="inlineStr">
        <is>
          <t>SH</t>
        </is>
      </c>
      <c r="D50" s="839" t="inlineStr">
        <is>
          <t>MEL</t>
        </is>
      </c>
      <c r="E50" s="838" t="n">
        <v>550480</v>
      </c>
      <c r="F50" s="840" t="inlineStr">
        <is>
          <t>6-10a Great Portland Street</t>
        </is>
      </c>
      <c r="G50" s="840" t="inlineStr">
        <is>
          <t>Second Floor</t>
        </is>
      </c>
      <c r="H50" s="841" t="inlineStr">
        <is>
          <t>Office</t>
        </is>
      </c>
      <c r="I50" s="848" t="n">
        <v>1818</v>
      </c>
      <c r="J50" s="848">
        <f>I50</f>
        <v/>
      </c>
      <c r="K50" s="848" t="n">
        <v>2000</v>
      </c>
      <c r="L50" s="840" t="inlineStr">
        <is>
          <t>Vacant</t>
        </is>
      </c>
      <c r="O50" s="843" t="n">
        <v>45609</v>
      </c>
      <c r="R50" s="842" t="n">
        <v>0</v>
      </c>
      <c r="S50" s="842">
        <f>R50</f>
        <v/>
      </c>
      <c r="U50" s="842" t="n">
        <v>105500</v>
      </c>
      <c r="V50" s="842">
        <f>U50</f>
        <v/>
      </c>
      <c r="W50" s="842" t="n">
        <v>109100</v>
      </c>
      <c r="X50" s="842">
        <f>W50</f>
        <v/>
      </c>
      <c r="Y50" s="845">
        <f>W50/I50</f>
        <v/>
      </c>
      <c r="Z50" s="846">
        <f>SUM(W50-U50)/U50</f>
        <v/>
      </c>
      <c r="AA50" s="842" t="inlineStr">
        <is>
          <t>E</t>
        </is>
      </c>
      <c r="AB50" s="590" t="n"/>
      <c r="AC50" s="847" t="n"/>
      <c r="AD50" s="841" t="inlineStr">
        <is>
          <t>No</t>
        </is>
      </c>
      <c r="AE50" s="840" t="inlineStr">
        <is>
          <t>LEM marketing.</t>
        </is>
      </c>
      <c r="AF50" s="849" t="n">
        <v>65</v>
      </c>
      <c r="AG50" s="840" t="n">
        <v>4</v>
      </c>
      <c r="AH50" s="312" t="n">
        <v>6</v>
      </c>
      <c r="AJ50" t="inlineStr">
        <is>
          <t>Void</t>
        </is>
      </c>
    </row>
    <row r="51">
      <c r="A51" t="inlineStr">
        <is>
          <t>6-10a Great Portland Street</t>
        </is>
      </c>
      <c r="B51" s="838" t="n"/>
      <c r="C51" s="839" t="inlineStr">
        <is>
          <t>SH</t>
        </is>
      </c>
      <c r="D51" s="839" t="inlineStr">
        <is>
          <t>MEL</t>
        </is>
      </c>
      <c r="E51" s="838" t="n">
        <v>550480</v>
      </c>
      <c r="F51" s="840" t="inlineStr">
        <is>
          <t>6-10a Great Portland Street</t>
        </is>
      </c>
      <c r="G51" s="840" t="inlineStr">
        <is>
          <t>Third Floor</t>
        </is>
      </c>
      <c r="H51" s="841" t="inlineStr">
        <is>
          <t>Office</t>
        </is>
      </c>
      <c r="I51" s="848" t="n">
        <v>1808</v>
      </c>
      <c r="J51" s="848">
        <f>I51</f>
        <v/>
      </c>
      <c r="K51" s="848" t="n">
        <v>2000</v>
      </c>
      <c r="L51" s="840" t="inlineStr">
        <is>
          <t>Vacant</t>
        </is>
      </c>
      <c r="O51" s="843" t="n">
        <v>45609</v>
      </c>
      <c r="R51" s="842" t="n">
        <v>0</v>
      </c>
      <c r="S51" s="842">
        <f>R51</f>
        <v/>
      </c>
      <c r="U51" s="842" t="n">
        <v>108800</v>
      </c>
      <c r="V51" s="842">
        <f>U51</f>
        <v/>
      </c>
      <c r="W51" s="842" t="n">
        <v>108500</v>
      </c>
      <c r="X51" s="842">
        <f>W51</f>
        <v/>
      </c>
      <c r="Y51" s="845">
        <f>W51/I51</f>
        <v/>
      </c>
      <c r="Z51" s="846">
        <f>SUM(W51-U51)/U51</f>
        <v/>
      </c>
      <c r="AA51" s="842" t="inlineStr">
        <is>
          <t>E</t>
        </is>
      </c>
      <c r="AB51" s="590" t="n"/>
      <c r="AC51" s="847" t="n"/>
      <c r="AD51" s="841" t="inlineStr">
        <is>
          <t>No</t>
        </is>
      </c>
      <c r="AE51" s="840" t="inlineStr">
        <is>
          <t>LEM marketing.</t>
        </is>
      </c>
      <c r="AF51" s="849" t="n">
        <v>65</v>
      </c>
      <c r="AG51" s="840" t="n">
        <v>4</v>
      </c>
      <c r="AH51" s="312" t="n">
        <v>6</v>
      </c>
      <c r="AJ51" t="inlineStr">
        <is>
          <t>Void</t>
        </is>
      </c>
    </row>
    <row r="52">
      <c r="A52" t="inlineStr">
        <is>
          <t>6-10a Great Portland Street</t>
        </is>
      </c>
      <c r="B52" s="838" t="n"/>
      <c r="C52" s="839" t="inlineStr">
        <is>
          <t>SH</t>
        </is>
      </c>
      <c r="D52" s="839" t="inlineStr">
        <is>
          <t>MEL</t>
        </is>
      </c>
      <c r="E52" s="838" t="n">
        <v>550480</v>
      </c>
      <c r="F52" s="840" t="inlineStr">
        <is>
          <t>6-10a Great Portland Street</t>
        </is>
      </c>
      <c r="G52" s="840" t="inlineStr">
        <is>
          <t>Fourth Floor</t>
        </is>
      </c>
      <c r="H52" s="841" t="inlineStr">
        <is>
          <t>Office</t>
        </is>
      </c>
      <c r="I52" s="848" t="n">
        <v>1672</v>
      </c>
      <c r="J52" s="848">
        <f>I52</f>
        <v/>
      </c>
      <c r="K52" s="848" t="n">
        <v>1500</v>
      </c>
      <c r="L52" s="840" t="inlineStr">
        <is>
          <t>Vacant</t>
        </is>
      </c>
      <c r="O52" s="844" t="n">
        <v>45457</v>
      </c>
      <c r="R52" s="842" t="n">
        <v>0</v>
      </c>
      <c r="S52" s="842">
        <f>R52</f>
        <v/>
      </c>
      <c r="U52" s="842" t="n">
        <v>94400</v>
      </c>
      <c r="V52" s="842">
        <f>U52</f>
        <v/>
      </c>
      <c r="W52" s="842" t="n">
        <v>97800</v>
      </c>
      <c r="X52" s="842">
        <f>W52</f>
        <v/>
      </c>
      <c r="Y52" s="845">
        <f>W52/I52</f>
        <v/>
      </c>
      <c r="Z52" s="846">
        <f>SUM(W52-U52)/U52</f>
        <v/>
      </c>
      <c r="AA52" s="842" t="inlineStr">
        <is>
          <t>B</t>
        </is>
      </c>
      <c r="AB52" s="590" t="n"/>
      <c r="AC52" s="847" t="n"/>
      <c r="AD52" s="841" t="inlineStr">
        <is>
          <t>No</t>
        </is>
      </c>
      <c r="AE52" s="840" t="inlineStr">
        <is>
          <t>To be refurbished.</t>
        </is>
      </c>
      <c r="AF52" s="849" t="n">
        <v>65</v>
      </c>
      <c r="AG52" s="840" t="n">
        <v>1</v>
      </c>
      <c r="AH52" s="312" t="n">
        <v>2</v>
      </c>
      <c r="AI52" s="840" t="inlineStr">
        <is>
          <t>LEM</t>
        </is>
      </c>
      <c r="AJ52" t="inlineStr">
        <is>
          <t>Void</t>
        </is>
      </c>
    </row>
    <row r="53">
      <c r="A53" t="inlineStr">
        <is>
          <t>6-10a Great Portland Street</t>
        </is>
      </c>
      <c r="B53" s="838" t="n"/>
      <c r="C53" s="839" t="inlineStr">
        <is>
          <t>SH</t>
        </is>
      </c>
      <c r="D53" s="839" t="inlineStr">
        <is>
          <t>MEL</t>
        </is>
      </c>
      <c r="E53" s="838" t="n">
        <v>550480</v>
      </c>
      <c r="F53" s="840" t="inlineStr">
        <is>
          <t>6-10a Great Portland Street</t>
        </is>
      </c>
      <c r="G53" s="840" t="inlineStr">
        <is>
          <t>Fifth Floor</t>
        </is>
      </c>
      <c r="H53" s="841" t="inlineStr">
        <is>
          <t>Office</t>
        </is>
      </c>
      <c r="I53" s="848" t="n">
        <v>995</v>
      </c>
      <c r="J53" s="848">
        <f>I53</f>
        <v/>
      </c>
      <c r="K53" s="848" t="n">
        <v>1000</v>
      </c>
      <c r="L53" s="840" t="inlineStr">
        <is>
          <t>Racoon Media Services Limited</t>
        </is>
      </c>
      <c r="M53" s="843" t="n">
        <v>45609</v>
      </c>
      <c r="N53" s="844" t="n">
        <v>47434</v>
      </c>
      <c r="Q53" s="844" t="n">
        <v>46703</v>
      </c>
      <c r="R53" s="842" t="n">
        <v>61928</v>
      </c>
      <c r="S53" s="842">
        <f>R53</f>
        <v/>
      </c>
      <c r="U53" s="848" t="n">
        <v>61200</v>
      </c>
      <c r="V53" s="842">
        <f>U53</f>
        <v/>
      </c>
      <c r="W53" s="848" t="n">
        <v>57200</v>
      </c>
      <c r="X53" s="842">
        <f>W53</f>
        <v/>
      </c>
      <c r="Y53" s="845">
        <f>W53/I53</f>
        <v/>
      </c>
      <c r="Z53" s="846">
        <f>SUM(W53-U53)/U53</f>
        <v/>
      </c>
      <c r="AA53" s="842" t="inlineStr">
        <is>
          <t>E</t>
        </is>
      </c>
      <c r="AB53" s="590" t="n"/>
      <c r="AC53" s="847" t="n"/>
      <c r="AD53" s="841" t="inlineStr">
        <is>
          <t>No</t>
        </is>
      </c>
      <c r="AE53" s="840" t="inlineStr">
        <is>
          <t>Tenant break on 6 months notice.</t>
        </is>
      </c>
      <c r="AF53" s="599" t="n"/>
      <c r="AH53" s="312" t="n"/>
      <c r="AJ53" t="inlineStr">
        <is>
          <t>Let</t>
        </is>
      </c>
    </row>
    <row r="54">
      <c r="A54" t="inlineStr">
        <is>
          <t>6-10a Great Portland Street</t>
        </is>
      </c>
      <c r="B54" s="838" t="n"/>
      <c r="C54" s="839" t="inlineStr">
        <is>
          <t>SH</t>
        </is>
      </c>
      <c r="D54" s="839" t="inlineStr">
        <is>
          <t>MEL</t>
        </is>
      </c>
      <c r="E54" s="838" t="n">
        <v>550480</v>
      </c>
      <c r="F54" s="840" t="inlineStr">
        <is>
          <t>6-10a Great Portland Street</t>
        </is>
      </c>
      <c r="G54" s="853" t="inlineStr">
        <is>
          <t>Basement</t>
        </is>
      </c>
      <c r="H54" s="841" t="inlineStr">
        <is>
          <t>Sub-Station</t>
        </is>
      </c>
      <c r="I54" s="848" t="n">
        <v>0</v>
      </c>
      <c r="J54" s="848">
        <f>I54</f>
        <v/>
      </c>
      <c r="L54" s="840" t="inlineStr">
        <is>
          <t>London Power Networks Plc</t>
        </is>
      </c>
      <c r="M54" s="843" t="n">
        <v>39295</v>
      </c>
      <c r="N54" s="844" t="n">
        <v>46599</v>
      </c>
      <c r="P54" s="844" t="n">
        <v>45870</v>
      </c>
      <c r="R54" s="842" t="n">
        <v>903</v>
      </c>
      <c r="S54" s="842">
        <f>R54</f>
        <v/>
      </c>
      <c r="U54" s="848" t="n">
        <v>625</v>
      </c>
      <c r="V54" s="842">
        <f>U54</f>
        <v/>
      </c>
      <c r="W54" s="848" t="n">
        <v>625</v>
      </c>
      <c r="X54" s="842">
        <f>W54</f>
        <v/>
      </c>
      <c r="Y54" s="845" t="n"/>
      <c r="Z54" s="846" t="n"/>
      <c r="AA54" s="842" t="n"/>
      <c r="AB54" s="590" t="n"/>
      <c r="AC54" s="847" t="n"/>
      <c r="AD54" s="841" t="inlineStr">
        <is>
          <t>No</t>
        </is>
      </c>
      <c r="AE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H54" s="312" t="n"/>
      <c r="AJ54" t="inlineStr">
        <is>
          <t>Let</t>
        </is>
      </c>
    </row>
    <row r="55">
      <c r="A55" t="inlineStr">
        <is>
          <t>15-17 Great Portland Street &amp; 6-7 Great Castle Street</t>
        </is>
      </c>
      <c r="B55" s="838" t="n"/>
      <c r="C55" s="839" t="inlineStr">
        <is>
          <t>SH</t>
        </is>
      </c>
      <c r="D55" s="839" t="inlineStr">
        <is>
          <t>MEL</t>
        </is>
      </c>
      <c r="E55" s="838" t="n">
        <v>550530</v>
      </c>
      <c r="F55" s="840" t="inlineStr">
        <is>
          <t>15-17 Great Portland Street &amp; 6-7 Great Castle Street</t>
        </is>
      </c>
      <c r="G55" s="840" t="inlineStr">
        <is>
          <t>Whole Building</t>
        </is>
      </c>
      <c r="H55" s="841" t="inlineStr">
        <is>
          <t>Office/Bank</t>
        </is>
      </c>
      <c r="I55" s="18" t="n">
        <v>9884</v>
      </c>
      <c r="J55" s="842">
        <f>I55</f>
        <v/>
      </c>
      <c r="K55" s="842" t="n">
        <v>10000</v>
      </c>
      <c r="L55" s="840" t="inlineStr">
        <is>
          <t>Barclays Bank UK Plc</t>
        </is>
      </c>
      <c r="M55" s="843" t="n">
        <v>44856</v>
      </c>
      <c r="N55" s="844" t="n">
        <v>47411</v>
      </c>
      <c r="P55" s="844" t="n">
        <v>46682</v>
      </c>
      <c r="R55" s="591" t="n">
        <v>580000</v>
      </c>
      <c r="S55" s="842">
        <f>R55</f>
        <v/>
      </c>
      <c r="T55" s="591">
        <f>S55</f>
        <v/>
      </c>
      <c r="U55" s="591" t="n">
        <v>580000</v>
      </c>
      <c r="V55" s="842">
        <f>U55</f>
        <v/>
      </c>
      <c r="W55" s="591" t="n">
        <v>607100</v>
      </c>
      <c r="X55" s="842">
        <f>W55</f>
        <v/>
      </c>
      <c r="Y55" s="845">
        <f>W55/I55</f>
        <v/>
      </c>
      <c r="Z55" s="846">
        <f>SUM(W55-U55)/U55</f>
        <v/>
      </c>
      <c r="AA55" s="842" t="inlineStr">
        <is>
          <t>B</t>
        </is>
      </c>
      <c r="AB55" s="590" t="n"/>
      <c r="AC55" s="18" t="n">
        <v>10650000</v>
      </c>
      <c r="AD55" s="841" t="inlineStr">
        <is>
          <t>Yes</t>
        </is>
      </c>
      <c r="AH55" s="312" t="n"/>
      <c r="AJ55" t="inlineStr">
        <is>
          <t>Let</t>
        </is>
      </c>
    </row>
    <row r="56">
      <c r="A56" t="inlineStr">
        <is>
          <t>19-21 Great Portland Street</t>
        </is>
      </c>
      <c r="B56" s="838" t="n"/>
      <c r="C56" s="839" t="inlineStr">
        <is>
          <t>CD</t>
        </is>
      </c>
      <c r="D56" s="839" t="inlineStr">
        <is>
          <t>MEL</t>
        </is>
      </c>
      <c r="E56" s="838" t="n">
        <v>550410</v>
      </c>
      <c r="F56" s="840" t="inlineStr">
        <is>
          <t>19-21 Great Portland Street .</t>
        </is>
      </c>
      <c r="G56" s="840" t="inlineStr">
        <is>
          <t>Basement, Ground &amp; First Floors</t>
        </is>
      </c>
      <c r="H56" s="841" t="inlineStr">
        <is>
          <t xml:space="preserve">Restaurant </t>
        </is>
      </c>
      <c r="I56" s="848" t="n">
        <v>11225</v>
      </c>
      <c r="J56" s="848">
        <f>I56</f>
        <v/>
      </c>
      <c r="K56" s="848" t="n">
        <v>10000</v>
      </c>
      <c r="L56" s="840" t="inlineStr">
        <is>
          <t>UK VAP GPS</t>
        </is>
      </c>
      <c r="M56" s="843" t="n">
        <v>44729</v>
      </c>
      <c r="N56" s="844" t="n">
        <v>50207</v>
      </c>
      <c r="P56" s="843" t="n">
        <v>46555</v>
      </c>
      <c r="Q56" s="843" t="n">
        <v>48381</v>
      </c>
      <c r="R56" s="842" t="n">
        <v>625000</v>
      </c>
      <c r="S56" s="842">
        <f>R56</f>
        <v/>
      </c>
      <c r="U56" s="842" t="n">
        <v>750000</v>
      </c>
      <c r="V56" s="842">
        <f>U56</f>
        <v/>
      </c>
      <c r="W56" s="842" t="n">
        <v>650000</v>
      </c>
      <c r="X56" s="842">
        <f>W56</f>
        <v/>
      </c>
      <c r="Y56" s="845">
        <f>W56/I56</f>
        <v/>
      </c>
      <c r="Z56" s="846">
        <f>SUM(W56-U56)/U56</f>
        <v/>
      </c>
      <c r="AA56" s="842" t="inlineStr">
        <is>
          <t>B</t>
        </is>
      </c>
      <c r="AB56" s="590" t="n"/>
      <c r="AC56" s="854" t="n"/>
      <c r="AD56" s="841" t="inlineStr">
        <is>
          <t>No</t>
        </is>
      </c>
      <c r="AE56" s="840" t="inlineStr">
        <is>
          <t>Rent increasing to £650,000 wef 25/03/26. Mutual break @ 16/06/32 on 6 months notice.</t>
        </is>
      </c>
      <c r="AJ56" t="inlineStr">
        <is>
          <t>Let</t>
        </is>
      </c>
    </row>
    <row r="57">
      <c r="A57" t="inlineStr">
        <is>
          <t>19-21 Great Portland Street</t>
        </is>
      </c>
      <c r="B57" s="838" t="n"/>
      <c r="C57" s="839" t="inlineStr">
        <is>
          <t>CD</t>
        </is>
      </c>
      <c r="D57" s="839" t="inlineStr">
        <is>
          <t>MEL</t>
        </is>
      </c>
      <c r="E57" s="838" t="n">
        <v>550410</v>
      </c>
      <c r="F57" s="840" t="inlineStr">
        <is>
          <t>19-21 Great Portland Street .</t>
        </is>
      </c>
      <c r="G57" s="840" t="inlineStr">
        <is>
          <t>Second Floor.</t>
        </is>
      </c>
      <c r="H57" s="841" t="inlineStr">
        <is>
          <t>Offices</t>
        </is>
      </c>
      <c r="I57" s="848" t="n">
        <v>2847</v>
      </c>
      <c r="J57" s="848">
        <f>I57</f>
        <v/>
      </c>
      <c r="K57" s="848" t="n">
        <v>3000</v>
      </c>
      <c r="L57" s="840" t="inlineStr">
        <is>
          <t>Vacant</t>
        </is>
      </c>
      <c r="O57" s="844" t="n">
        <v>45219</v>
      </c>
      <c r="R57" s="842" t="n">
        <v>0</v>
      </c>
      <c r="S57" s="842">
        <f>R57</f>
        <v/>
      </c>
      <c r="U57" s="842" t="n">
        <v>170000</v>
      </c>
      <c r="V57" s="842">
        <f>U57</f>
        <v/>
      </c>
      <c r="W57" s="842" t="n">
        <v>185100</v>
      </c>
      <c r="X57" s="842">
        <f>W57</f>
        <v/>
      </c>
      <c r="Y57" s="845">
        <f>W57/I57</f>
        <v/>
      </c>
      <c r="Z57" s="846">
        <f>SUM(W57-U57)/U57</f>
        <v/>
      </c>
      <c r="AA57" s="842" t="inlineStr">
        <is>
          <t>B</t>
        </is>
      </c>
      <c r="AB57" s="590" t="n"/>
      <c r="AC57" s="854" t="n"/>
      <c r="AD57" s="841" t="inlineStr">
        <is>
          <t>No</t>
        </is>
      </c>
      <c r="AE57" s="840" t="inlineStr">
        <is>
          <t>LEM marketing.</t>
        </is>
      </c>
      <c r="AF57" s="849" t="n">
        <v>70</v>
      </c>
      <c r="AG57" s="840" t="n">
        <v>6</v>
      </c>
      <c r="AH57" s="312" t="n">
        <v>20</v>
      </c>
      <c r="AI57" s="840" t="inlineStr">
        <is>
          <t>LEM / Savills</t>
        </is>
      </c>
      <c r="AJ57" t="inlineStr">
        <is>
          <t>Void</t>
        </is>
      </c>
    </row>
    <row r="58">
      <c r="A58" t="inlineStr">
        <is>
          <t>19-21 Great Portland Street</t>
        </is>
      </c>
      <c r="B58" s="838" t="n"/>
      <c r="C58" s="839" t="inlineStr">
        <is>
          <t>CD</t>
        </is>
      </c>
      <c r="D58" s="839" t="inlineStr">
        <is>
          <t>MEL</t>
        </is>
      </c>
      <c r="E58" s="838" t="n">
        <v>550410</v>
      </c>
      <c r="F58" s="840" t="inlineStr">
        <is>
          <t>19-21 Great Portland Street .</t>
        </is>
      </c>
      <c r="G58" s="840" t="inlineStr">
        <is>
          <t>Third Floor</t>
        </is>
      </c>
      <c r="H58" s="841" t="inlineStr">
        <is>
          <t>Offices</t>
        </is>
      </c>
      <c r="I58" s="848" t="n">
        <v>2651</v>
      </c>
      <c r="J58" s="848">
        <f>I58</f>
        <v/>
      </c>
      <c r="K58" s="848" t="n">
        <v>2500</v>
      </c>
      <c r="L58" s="840" t="inlineStr">
        <is>
          <t>Vacant</t>
        </is>
      </c>
      <c r="M58" s="843" t="n"/>
      <c r="N58" s="844" t="n"/>
      <c r="O58" s="844" t="n">
        <v>44124</v>
      </c>
      <c r="P58" s="844" t="n"/>
      <c r="Q58" s="844" t="n"/>
      <c r="R58" s="842" t="n">
        <v>0</v>
      </c>
      <c r="S58" s="842">
        <f>R58</f>
        <v/>
      </c>
      <c r="T58" s="842" t="n"/>
      <c r="U58" s="842" t="n">
        <v>172000</v>
      </c>
      <c r="V58" s="842">
        <f>U58</f>
        <v/>
      </c>
      <c r="W58" s="842" t="n">
        <v>181600</v>
      </c>
      <c r="X58" s="842">
        <f>W58</f>
        <v/>
      </c>
      <c r="Y58" s="845">
        <f>W58/I58</f>
        <v/>
      </c>
      <c r="Z58" s="846">
        <f>SUM(W58-U58)/U58</f>
        <v/>
      </c>
      <c r="AA58" s="842" t="inlineStr">
        <is>
          <t>B</t>
        </is>
      </c>
      <c r="AB58" s="590" t="n"/>
      <c r="AC58" s="854" t="n"/>
      <c r="AD58" s="841" t="inlineStr">
        <is>
          <t>No</t>
        </is>
      </c>
      <c r="AE58" s="840" t="inlineStr">
        <is>
          <t>LEM marketing.</t>
        </is>
      </c>
      <c r="AF58" s="849" t="n">
        <v>72.5</v>
      </c>
      <c r="AG58" s="840" t="n">
        <v>6</v>
      </c>
      <c r="AH58" s="312" t="n">
        <v>20</v>
      </c>
      <c r="AI58" s="840" t="inlineStr">
        <is>
          <t>LEM / Savills</t>
        </is>
      </c>
      <c r="AJ58" t="inlineStr">
        <is>
          <t>Void</t>
        </is>
      </c>
    </row>
    <row r="59">
      <c r="A59" t="inlineStr">
        <is>
          <t>19-21 Great Portland Street</t>
        </is>
      </c>
      <c r="B59" s="838" t="n"/>
      <c r="C59" s="839" t="inlineStr">
        <is>
          <t>CD</t>
        </is>
      </c>
      <c r="D59" s="839" t="inlineStr">
        <is>
          <t>MEL</t>
        </is>
      </c>
      <c r="E59" s="838" t="n">
        <v>550410</v>
      </c>
      <c r="F59" s="840" t="inlineStr">
        <is>
          <t>19-21 Great Portland Street .</t>
        </is>
      </c>
      <c r="G59" s="840" t="inlineStr">
        <is>
          <t>Fourth Floor</t>
        </is>
      </c>
      <c r="H59" s="841" t="inlineStr">
        <is>
          <t>Offices</t>
        </is>
      </c>
      <c r="I59" s="848" t="n">
        <v>1197</v>
      </c>
      <c r="J59" s="848">
        <f>I59</f>
        <v/>
      </c>
      <c r="K59" s="848" t="n">
        <v>1000</v>
      </c>
      <c r="L59" s="840" t="inlineStr">
        <is>
          <t>Factory Studios Limited.</t>
        </is>
      </c>
      <c r="M59" s="843" t="n">
        <v>44362</v>
      </c>
      <c r="N59" s="844" t="n">
        <v>48013</v>
      </c>
      <c r="O59" s="844" t="n"/>
      <c r="P59" s="844" t="n">
        <v>46197</v>
      </c>
      <c r="Q59" s="844" t="n">
        <v>46197</v>
      </c>
      <c r="R59" s="842" t="n">
        <v>80000</v>
      </c>
      <c r="S59" s="842">
        <f>R59</f>
        <v/>
      </c>
      <c r="T59" s="842" t="n"/>
      <c r="U59" s="842" t="n">
        <v>80000</v>
      </c>
      <c r="V59" s="842">
        <f>U59</f>
        <v/>
      </c>
      <c r="W59" s="842" t="n">
        <v>80800</v>
      </c>
      <c r="X59" s="842">
        <f>W59</f>
        <v/>
      </c>
      <c r="Y59" s="845">
        <f>W59/I59</f>
        <v/>
      </c>
      <c r="Z59" s="846">
        <f>SUM(W59-U59)/U59</f>
        <v/>
      </c>
      <c r="AA59" s="842" t="inlineStr">
        <is>
          <t>B</t>
        </is>
      </c>
      <c r="AB59" s="590" t="n"/>
      <c r="AC59" s="854" t="n"/>
      <c r="AD59" s="841" t="inlineStr">
        <is>
          <t>No</t>
        </is>
      </c>
      <c r="AE59" s="840" t="inlineStr">
        <is>
          <t>Tenant break subject to 6 months notice.</t>
        </is>
      </c>
      <c r="AF59" s="849" t="n"/>
      <c r="AG59" s="840" t="n"/>
      <c r="AH59" s="312" t="n"/>
      <c r="AI59" s="840" t="n"/>
      <c r="AJ59" t="inlineStr">
        <is>
          <t>Let</t>
        </is>
      </c>
    </row>
    <row r="60">
      <c r="A60" t="inlineStr">
        <is>
          <t>20 Great Portland Street</t>
        </is>
      </c>
      <c r="B60" s="838" t="n"/>
      <c r="C60" s="839" t="inlineStr">
        <is>
          <t>WS</t>
        </is>
      </c>
      <c r="D60" s="839" t="inlineStr">
        <is>
          <t>MEL</t>
        </is>
      </c>
      <c r="E60" s="838" t="n">
        <v>550795</v>
      </c>
      <c r="F60" s="840" t="inlineStr">
        <is>
          <t>20 Great Portland Street</t>
        </is>
      </c>
      <c r="G60" s="840" t="inlineStr">
        <is>
          <t>Basement</t>
        </is>
      </c>
      <c r="H60" s="841" t="inlineStr">
        <is>
          <t>Studio</t>
        </is>
      </c>
      <c r="I60" s="848" t="n">
        <v>1330</v>
      </c>
      <c r="J60" s="848">
        <f>I60</f>
        <v/>
      </c>
      <c r="L60" s="840" t="inlineStr">
        <is>
          <t>Vacant / Landlord</t>
        </is>
      </c>
      <c r="O60" s="844" t="n">
        <v>43670</v>
      </c>
      <c r="R60" s="842" t="n">
        <v>0</v>
      </c>
      <c r="S60" s="842">
        <f>R60</f>
        <v/>
      </c>
      <c r="U60" s="842" t="n">
        <v>25000</v>
      </c>
      <c r="V60" s="842">
        <f>U60</f>
        <v/>
      </c>
      <c r="W60" s="842" t="n">
        <v>25000</v>
      </c>
      <c r="X60" s="842">
        <f>W60</f>
        <v/>
      </c>
      <c r="Y60" s="845">
        <f>W60/I60</f>
        <v/>
      </c>
      <c r="Z60" s="846">
        <f>SUM(W60-U60)/U60</f>
        <v/>
      </c>
      <c r="AA60" s="842" t="inlineStr">
        <is>
          <t>D</t>
        </is>
      </c>
      <c r="AB60" s="590" t="n"/>
      <c r="AC60" s="847" t="n"/>
      <c r="AD60" s="841" t="inlineStr">
        <is>
          <t>No</t>
        </is>
      </c>
      <c r="AH60" s="312" t="n"/>
      <c r="AJ60" t="inlineStr">
        <is>
          <t>Void</t>
        </is>
      </c>
    </row>
    <row r="61">
      <c r="A61" t="inlineStr">
        <is>
          <t>20 Great Portland Street</t>
        </is>
      </c>
      <c r="B61" s="838" t="n"/>
      <c r="C61" s="839" t="inlineStr">
        <is>
          <t>WS</t>
        </is>
      </c>
      <c r="D61" s="839" t="inlineStr">
        <is>
          <t>MEL</t>
        </is>
      </c>
      <c r="E61" s="838" t="n">
        <v>550795</v>
      </c>
      <c r="F61" s="840" t="inlineStr">
        <is>
          <t>20 Great Portland Street</t>
        </is>
      </c>
      <c r="G61" s="840" t="inlineStr">
        <is>
          <t>Ground Floor Rear</t>
        </is>
      </c>
      <c r="H61" s="841" t="inlineStr">
        <is>
          <t>Retail</t>
        </is>
      </c>
      <c r="I61" s="848" t="n">
        <v>260</v>
      </c>
      <c r="J61" s="848">
        <f>I61</f>
        <v/>
      </c>
      <c r="K61" s="848" t="n">
        <v>250</v>
      </c>
      <c r="L61" s="840" t="inlineStr">
        <is>
          <t>Express Alteration and Tailoring Ltd</t>
        </is>
      </c>
      <c r="M61" s="843" t="n">
        <v>45645</v>
      </c>
      <c r="N61" s="844" t="n">
        <v>46739</v>
      </c>
      <c r="R61" s="842" t="n">
        <v>18000</v>
      </c>
      <c r="S61" s="842">
        <f>R61</f>
        <v/>
      </c>
      <c r="U61" s="842" t="n">
        <v>11700</v>
      </c>
      <c r="V61" s="842">
        <f>U61</f>
        <v/>
      </c>
      <c r="W61" s="842" t="n">
        <v>11700</v>
      </c>
      <c r="X61" s="842">
        <f>W61</f>
        <v/>
      </c>
      <c r="Y61" s="845">
        <f>W61/I61</f>
        <v/>
      </c>
      <c r="Z61" s="846">
        <f>SUM(W61-U61)/U61</f>
        <v/>
      </c>
      <c r="AA61" s="842" t="inlineStr">
        <is>
          <t>C</t>
        </is>
      </c>
      <c r="AB61" s="590" t="n"/>
      <c r="AC61" s="847" t="n"/>
      <c r="AD61" s="841" t="inlineStr">
        <is>
          <t>No</t>
        </is>
      </c>
      <c r="AH61" s="312" t="n">
        <v>1</v>
      </c>
      <c r="AI61" s="840" t="inlineStr">
        <is>
          <t>LEM / RIB</t>
        </is>
      </c>
      <c r="AJ61" t="inlineStr">
        <is>
          <t>Let</t>
        </is>
      </c>
    </row>
    <row r="62">
      <c r="A62" t="inlineStr">
        <is>
          <t>20 Great Portland Street</t>
        </is>
      </c>
      <c r="B62" s="838" t="n"/>
      <c r="C62" s="839" t="inlineStr">
        <is>
          <t>WS</t>
        </is>
      </c>
      <c r="D62" s="839" t="inlineStr">
        <is>
          <t>MEL</t>
        </is>
      </c>
      <c r="E62" s="838" t="n">
        <v>550795</v>
      </c>
      <c r="F62" s="840" t="inlineStr">
        <is>
          <t>20 Great Portland Street</t>
        </is>
      </c>
      <c r="G62" s="840" t="inlineStr">
        <is>
          <t xml:space="preserve">Ground Floor Front </t>
        </is>
      </c>
      <c r="H62" s="841" t="inlineStr">
        <is>
          <t>Retail</t>
        </is>
      </c>
      <c r="I62" s="848" t="n">
        <v>652</v>
      </c>
      <c r="J62" s="848">
        <f>I62</f>
        <v/>
      </c>
      <c r="K62" s="848" t="n">
        <v>750</v>
      </c>
      <c r="L62" s="840" t="inlineStr">
        <is>
          <t>Explore Global Limited</t>
        </is>
      </c>
      <c r="M62" s="843" t="n">
        <v>44851</v>
      </c>
      <c r="N62" s="844" t="n">
        <v>48503</v>
      </c>
      <c r="P62" s="844" t="n">
        <v>46677</v>
      </c>
      <c r="R62" s="842" t="n">
        <v>55000</v>
      </c>
      <c r="S62" s="842">
        <f>R62</f>
        <v/>
      </c>
      <c r="U62" s="842" t="n">
        <v>55000</v>
      </c>
      <c r="V62" s="842">
        <f>U62</f>
        <v/>
      </c>
      <c r="W62" s="842" t="n">
        <v>55000</v>
      </c>
      <c r="X62" s="842">
        <f>W62</f>
        <v/>
      </c>
      <c r="Y62" s="845">
        <f>W62/I62</f>
        <v/>
      </c>
      <c r="Z62" s="846">
        <f>SUM(W62-U62)/U62</f>
        <v/>
      </c>
      <c r="AA62" s="842" t="inlineStr">
        <is>
          <t>D</t>
        </is>
      </c>
      <c r="AB62" s="590" t="n"/>
      <c r="AC62" s="847" t="n"/>
      <c r="AD62" s="841" t="inlineStr">
        <is>
          <t>No</t>
        </is>
      </c>
      <c r="AH62" s="312" t="n"/>
      <c r="AJ62" t="inlineStr">
        <is>
          <t>Let</t>
        </is>
      </c>
    </row>
    <row r="63">
      <c r="A63" t="inlineStr">
        <is>
          <t>20 Great Portland Street</t>
        </is>
      </c>
      <c r="B63" s="838" t="n"/>
      <c r="C63" s="839" t="inlineStr">
        <is>
          <t>WS</t>
        </is>
      </c>
      <c r="D63" s="839" t="inlineStr">
        <is>
          <t>MEL</t>
        </is>
      </c>
      <c r="E63" s="838" t="n">
        <v>550795</v>
      </c>
      <c r="F63" s="840" t="inlineStr">
        <is>
          <t>20 Great Portland Street</t>
        </is>
      </c>
      <c r="G63" s="840" t="inlineStr">
        <is>
          <t>First Floor Front</t>
        </is>
      </c>
      <c r="H63" s="841" t="inlineStr">
        <is>
          <t>Offices</t>
        </is>
      </c>
      <c r="I63" s="848" t="n">
        <v>558</v>
      </c>
      <c r="J63" s="848">
        <f>I63</f>
        <v/>
      </c>
      <c r="K63" s="848" t="n">
        <v>500</v>
      </c>
      <c r="L63" s="840" t="inlineStr">
        <is>
          <t>Des Baines Ltd</t>
        </is>
      </c>
      <c r="M63" s="843" t="n">
        <v>45114</v>
      </c>
      <c r="N63" s="844" t="n">
        <v>46940</v>
      </c>
      <c r="Q63" s="844" t="n">
        <v>46209</v>
      </c>
      <c r="R63" s="842" t="n">
        <v>32400</v>
      </c>
      <c r="S63" s="842">
        <f>R63</f>
        <v/>
      </c>
      <c r="U63" s="842" t="n">
        <v>29300</v>
      </c>
      <c r="V63" s="842">
        <f>U63</f>
        <v/>
      </c>
      <c r="W63" s="842" t="n">
        <v>29300</v>
      </c>
      <c r="X63" s="842">
        <f>W63</f>
        <v/>
      </c>
      <c r="Y63" s="845">
        <f>W63/I63</f>
        <v/>
      </c>
      <c r="Z63" s="846">
        <f>SUM(W63-U63)/U63</f>
        <v/>
      </c>
      <c r="AA63" s="842" t="inlineStr">
        <is>
          <t>C</t>
        </is>
      </c>
      <c r="AB63" s="590" t="n"/>
      <c r="AC63" s="847" t="n"/>
      <c r="AD63" s="841" t="inlineStr">
        <is>
          <t>No</t>
        </is>
      </c>
      <c r="AE63" s="840" t="inlineStr">
        <is>
          <t>Tenant break on 6 months notice.</t>
        </is>
      </c>
      <c r="AH63" s="312" t="n"/>
      <c r="AJ63" t="inlineStr">
        <is>
          <t>Let</t>
        </is>
      </c>
    </row>
    <row r="64">
      <c r="A64" t="inlineStr">
        <is>
          <t>20 Great Portland Street</t>
        </is>
      </c>
      <c r="B64" s="838" t="n"/>
      <c r="C64" s="839" t="inlineStr">
        <is>
          <t>WS</t>
        </is>
      </c>
      <c r="D64" s="839" t="inlineStr">
        <is>
          <t>MEL</t>
        </is>
      </c>
      <c r="E64" s="838" t="n">
        <v>550795</v>
      </c>
      <c r="F64" s="840" t="inlineStr">
        <is>
          <t>20 Great Portland Street</t>
        </is>
      </c>
      <c r="G64" s="840" t="inlineStr">
        <is>
          <t>First Floor Rear</t>
        </is>
      </c>
      <c r="H64" s="841" t="inlineStr">
        <is>
          <t>Offices</t>
        </is>
      </c>
      <c r="I64" s="848" t="n">
        <v>310</v>
      </c>
      <c r="J64" s="848">
        <f>I64</f>
        <v/>
      </c>
      <c r="K64" s="848" t="n">
        <v>250</v>
      </c>
      <c r="L64" s="840" t="inlineStr">
        <is>
          <t>Face2Face Counselling Services Ltd</t>
        </is>
      </c>
      <c r="M64" s="843" t="n">
        <v>44043</v>
      </c>
      <c r="N64" s="844" t="n">
        <v>45868</v>
      </c>
      <c r="R64" s="842" t="n">
        <v>15500</v>
      </c>
      <c r="S64" s="842">
        <f>R64</f>
        <v/>
      </c>
      <c r="U64" s="842" t="n">
        <v>15500</v>
      </c>
      <c r="V64" s="842">
        <f>U64</f>
        <v/>
      </c>
      <c r="W64" s="842" t="n">
        <v>15500</v>
      </c>
      <c r="X64" s="842">
        <f>W64</f>
        <v/>
      </c>
      <c r="Y64" s="845">
        <f>W64/I64</f>
        <v/>
      </c>
      <c r="Z64" s="846">
        <f>SUM(W64-U64)/U64</f>
        <v/>
      </c>
      <c r="AA64" s="842" t="inlineStr">
        <is>
          <t>C</t>
        </is>
      </c>
      <c r="AB64" s="590" t="n"/>
      <c r="AC64" s="847" t="n"/>
      <c r="AD64" s="841" t="inlineStr">
        <is>
          <t>No</t>
        </is>
      </c>
      <c r="AE64" s="840" t="inlineStr">
        <is>
          <t>Tenant break on 6 months notice. 5yr reversionary lease completed. Tenant change of name to One Therapy Ltd on new lease.</t>
        </is>
      </c>
      <c r="AH64" s="312" t="n"/>
      <c r="AJ64" t="inlineStr">
        <is>
          <t>Let</t>
        </is>
      </c>
    </row>
    <row r="65">
      <c r="A65" t="inlineStr">
        <is>
          <t>20 Great Portland Street</t>
        </is>
      </c>
      <c r="B65" s="838" t="n"/>
      <c r="C65" s="839" t="inlineStr">
        <is>
          <t>WS</t>
        </is>
      </c>
      <c r="D65" s="839" t="inlineStr">
        <is>
          <t>MEL</t>
        </is>
      </c>
      <c r="E65" s="838" t="n">
        <v>550795</v>
      </c>
      <c r="F65" s="840" t="inlineStr">
        <is>
          <t>20 Great Portland Street</t>
        </is>
      </c>
      <c r="G65" s="840" t="inlineStr">
        <is>
          <t>Second Floor Front</t>
        </is>
      </c>
      <c r="H65" s="841" t="inlineStr">
        <is>
          <t>Offices</t>
        </is>
      </c>
      <c r="I65" s="848" t="n">
        <v>455</v>
      </c>
      <c r="J65" s="848">
        <f>I65</f>
        <v/>
      </c>
      <c r="K65" s="848" t="n">
        <v>500</v>
      </c>
      <c r="L65" s="840" t="inlineStr">
        <is>
          <t>The Campbell Napier Practice Ltd</t>
        </is>
      </c>
      <c r="M65" s="843" t="n">
        <v>44505</v>
      </c>
      <c r="N65" s="844" t="n">
        <v>45965</v>
      </c>
      <c r="R65" s="842" t="n">
        <v>22800</v>
      </c>
      <c r="S65" s="842">
        <f>R65</f>
        <v/>
      </c>
      <c r="U65" s="842" t="n">
        <v>22800</v>
      </c>
      <c r="V65" s="842">
        <f>U65</f>
        <v/>
      </c>
      <c r="W65" s="842" t="n">
        <v>22800</v>
      </c>
      <c r="X65" s="842">
        <f>W65</f>
        <v/>
      </c>
      <c r="Y65" s="845">
        <f>W65/I65</f>
        <v/>
      </c>
      <c r="Z65" s="846">
        <f>SUM(W65-U65)/U65</f>
        <v/>
      </c>
      <c r="AA65" s="842" t="inlineStr">
        <is>
          <t>E</t>
        </is>
      </c>
      <c r="AB65" s="590" t="n"/>
      <c r="AC65" s="847" t="n"/>
      <c r="AD65" s="841" t="inlineStr">
        <is>
          <t>No</t>
        </is>
      </c>
      <c r="AE65" s="840" t="inlineStr">
        <is>
          <t>Reversionary lease completed. Lease expiring 29/09/26 @ same rent.</t>
        </is>
      </c>
      <c r="AH65" s="312" t="n"/>
      <c r="AJ65" t="inlineStr">
        <is>
          <t>Let</t>
        </is>
      </c>
    </row>
    <row r="66">
      <c r="A66" t="inlineStr">
        <is>
          <t>20 Great Portland Street</t>
        </is>
      </c>
      <c r="B66" s="838" t="n"/>
      <c r="C66" s="839" t="inlineStr">
        <is>
          <t>WS</t>
        </is>
      </c>
      <c r="D66" s="839" t="inlineStr">
        <is>
          <t>MEL</t>
        </is>
      </c>
      <c r="E66" s="838" t="n">
        <v>550795</v>
      </c>
      <c r="F66" s="840" t="inlineStr">
        <is>
          <t>20 Great Portland Street</t>
        </is>
      </c>
      <c r="G66" s="840" t="inlineStr">
        <is>
          <t>Second Floor Rear</t>
        </is>
      </c>
      <c r="H66" s="841" t="inlineStr">
        <is>
          <t>Offices</t>
        </is>
      </c>
      <c r="I66" s="848" t="n">
        <v>310</v>
      </c>
      <c r="J66" s="848">
        <f>I66</f>
        <v/>
      </c>
      <c r="K66" s="848" t="n">
        <v>250</v>
      </c>
      <c r="L66" s="840" t="inlineStr">
        <is>
          <t>PsychotherapyUK Training Ltd.</t>
        </is>
      </c>
      <c r="M66" s="843" t="n">
        <v>44032</v>
      </c>
      <c r="N66" s="844" t="n">
        <v>45857</v>
      </c>
      <c r="R66" s="842" t="n">
        <v>15500</v>
      </c>
      <c r="S66" s="842">
        <f>R66</f>
        <v/>
      </c>
      <c r="U66" s="842" t="n">
        <v>15500</v>
      </c>
      <c r="V66" s="842">
        <f>U66</f>
        <v/>
      </c>
      <c r="W66" s="842" t="n">
        <v>15500</v>
      </c>
      <c r="X66" s="842">
        <f>W66</f>
        <v/>
      </c>
      <c r="Y66" s="845">
        <f>W66/I66</f>
        <v/>
      </c>
      <c r="Z66" s="846">
        <f>SUM(W66-U66)/U66</f>
        <v/>
      </c>
      <c r="AA66" s="842" t="inlineStr">
        <is>
          <t>E</t>
        </is>
      </c>
      <c r="AB66" s="590" t="n"/>
      <c r="AC66" s="847" t="n"/>
      <c r="AD66" s="841" t="inlineStr">
        <is>
          <t>No</t>
        </is>
      </c>
      <c r="AE66" s="840" t="inlineStr">
        <is>
          <t xml:space="preserve">Tenant break on 6 months notice. 5yr reversionary lease completed. </t>
        </is>
      </c>
      <c r="AH66" s="312" t="n"/>
      <c r="AJ66" t="inlineStr">
        <is>
          <t>Let</t>
        </is>
      </c>
    </row>
    <row r="67">
      <c r="A67" t="inlineStr">
        <is>
          <t>20 Great Portland Street</t>
        </is>
      </c>
      <c r="B67" s="838" t="n"/>
      <c r="C67" s="839" t="inlineStr">
        <is>
          <t>WS</t>
        </is>
      </c>
      <c r="D67" s="839" t="inlineStr">
        <is>
          <t>MEL</t>
        </is>
      </c>
      <c r="E67" s="838" t="n">
        <v>550795</v>
      </c>
      <c r="F67" s="840" t="inlineStr">
        <is>
          <t>20 Great Portland Street</t>
        </is>
      </c>
      <c r="G67" s="840" t="inlineStr">
        <is>
          <t>Third Floor Front</t>
        </is>
      </c>
      <c r="H67" s="841" t="inlineStr">
        <is>
          <t>Offices</t>
        </is>
      </c>
      <c r="I67" s="848" t="n">
        <v>450</v>
      </c>
      <c r="J67" s="848">
        <f>I67</f>
        <v/>
      </c>
      <c r="K67" s="848" t="n">
        <v>500</v>
      </c>
      <c r="L67" s="840" t="inlineStr">
        <is>
          <t>The Campbell Napier Practice Ltd</t>
        </is>
      </c>
      <c r="M67" s="843" t="n">
        <v>45199</v>
      </c>
      <c r="N67" s="844" t="n">
        <v>47025</v>
      </c>
      <c r="Q67" s="844" t="n">
        <v>46294</v>
      </c>
      <c r="R67" s="842" t="n">
        <v>24750</v>
      </c>
      <c r="S67" s="842">
        <f>R67</f>
        <v/>
      </c>
      <c r="U67" s="842" t="n">
        <v>22838</v>
      </c>
      <c r="V67" s="842">
        <f>U67</f>
        <v/>
      </c>
      <c r="W67" s="842" t="n">
        <v>22500</v>
      </c>
      <c r="X67" s="842">
        <f>W67</f>
        <v/>
      </c>
      <c r="Y67" s="845">
        <f>W67/I67</f>
        <v/>
      </c>
      <c r="Z67" s="846">
        <f>SUM(W67-U67)/U67</f>
        <v/>
      </c>
      <c r="AA67" s="842" t="inlineStr">
        <is>
          <t>E</t>
        </is>
      </c>
      <c r="AB67" s="590" t="n"/>
      <c r="AC67" s="847" t="n"/>
      <c r="AD67" s="841" t="inlineStr">
        <is>
          <t>No</t>
        </is>
      </c>
      <c r="AE67" s="840" t="inlineStr">
        <is>
          <t>Rent rises to £26,325 wef 29/09/26. Tenant break on 6 months notice.</t>
        </is>
      </c>
      <c r="AH67" s="312" t="n"/>
      <c r="AJ67" t="inlineStr">
        <is>
          <t>Let</t>
        </is>
      </c>
    </row>
    <row r="68">
      <c r="A68" t="inlineStr">
        <is>
          <t>20 Great Portland Street</t>
        </is>
      </c>
      <c r="B68" s="838" t="n"/>
      <c r="C68" s="839" t="inlineStr">
        <is>
          <t>WS</t>
        </is>
      </c>
      <c r="D68" s="839" t="inlineStr">
        <is>
          <t>MEL</t>
        </is>
      </c>
      <c r="E68" s="838" t="n">
        <v>550795</v>
      </c>
      <c r="F68" s="840" t="inlineStr">
        <is>
          <t>20 Great Portland Street</t>
        </is>
      </c>
      <c r="G68" s="840" t="inlineStr">
        <is>
          <t>Third Floor Rear</t>
        </is>
      </c>
      <c r="H68" s="841" t="inlineStr">
        <is>
          <t>Offices</t>
        </is>
      </c>
      <c r="I68" s="848" t="n">
        <v>215</v>
      </c>
      <c r="J68" s="848">
        <f>I68</f>
        <v/>
      </c>
      <c r="K68" s="848" t="n">
        <v>250</v>
      </c>
      <c r="L68" s="840" t="inlineStr">
        <is>
          <t>One Therapy Ltd.</t>
        </is>
      </c>
      <c r="M68" s="843" t="n">
        <v>44043</v>
      </c>
      <c r="N68" s="844" t="n">
        <v>45868</v>
      </c>
      <c r="R68" s="842" t="n">
        <v>11502</v>
      </c>
      <c r="S68" s="842">
        <f>R68</f>
        <v/>
      </c>
      <c r="U68" s="842" t="n">
        <v>10200</v>
      </c>
      <c r="V68" s="842">
        <f>U68</f>
        <v/>
      </c>
      <c r="W68" s="842" t="n">
        <v>10200</v>
      </c>
      <c r="X68" s="842">
        <f>W68</f>
        <v/>
      </c>
      <c r="Y68" s="845">
        <f>W68/I68</f>
        <v/>
      </c>
      <c r="Z68" s="846">
        <f>SUM(W68-U68)/U68</f>
        <v/>
      </c>
      <c r="AA68" s="842" t="inlineStr">
        <is>
          <t>E</t>
        </is>
      </c>
      <c r="AB68" s="590" t="n"/>
      <c r="AC68" s="847" t="n"/>
      <c r="AD68" s="841" t="inlineStr">
        <is>
          <t>No</t>
        </is>
      </c>
      <c r="AE68" s="840" t="inlineStr">
        <is>
          <t>Tenant break on 6 months notice. 5yr reversionary lease completed.</t>
        </is>
      </c>
      <c r="AH68" s="312" t="n"/>
      <c r="AJ68" t="inlineStr">
        <is>
          <t>Let</t>
        </is>
      </c>
    </row>
    <row r="69">
      <c r="A69" t="inlineStr">
        <is>
          <t>20 Great Portland Street</t>
        </is>
      </c>
      <c r="B69" s="838" t="n"/>
      <c r="C69" s="839" t="inlineStr">
        <is>
          <t>WS</t>
        </is>
      </c>
      <c r="D69" s="839" t="inlineStr">
        <is>
          <t>MEL</t>
        </is>
      </c>
      <c r="E69" s="838" t="n">
        <v>550795</v>
      </c>
      <c r="F69" s="840" t="inlineStr">
        <is>
          <t>20 Great Portland Street</t>
        </is>
      </c>
      <c r="G69" s="840" t="inlineStr">
        <is>
          <t>Fourth Floor</t>
        </is>
      </c>
      <c r="H69" s="841" t="inlineStr">
        <is>
          <t>Offices</t>
        </is>
      </c>
      <c r="I69" s="848" t="n">
        <v>410</v>
      </c>
      <c r="J69" s="848">
        <f>I69</f>
        <v/>
      </c>
      <c r="K69" s="848" t="n">
        <v>500</v>
      </c>
      <c r="L69" s="840" t="inlineStr">
        <is>
          <t>The Campbell Napier Practice Ltd</t>
        </is>
      </c>
      <c r="M69" s="843" t="n">
        <v>45199</v>
      </c>
      <c r="N69" s="844" t="n">
        <v>47025</v>
      </c>
      <c r="Q69" s="844" t="n">
        <v>46294</v>
      </c>
      <c r="R69" s="842" t="n">
        <v>22550</v>
      </c>
      <c r="S69" s="842">
        <f>R69</f>
        <v/>
      </c>
      <c r="U69" s="842" t="n">
        <v>21100</v>
      </c>
      <c r="V69" s="842">
        <f>U69</f>
        <v/>
      </c>
      <c r="W69" s="842" t="n">
        <v>21100</v>
      </c>
      <c r="X69" s="842">
        <f>W69</f>
        <v/>
      </c>
      <c r="Y69" s="845">
        <f>W69/I69</f>
        <v/>
      </c>
      <c r="Z69" s="846">
        <f>SUM(W69-U69)/U69</f>
        <v/>
      </c>
      <c r="AA69" s="842" t="inlineStr">
        <is>
          <t>D</t>
        </is>
      </c>
      <c r="AB69" s="590" t="n"/>
      <c r="AC69" s="847" t="n"/>
      <c r="AD69" s="841" t="inlineStr">
        <is>
          <t>No</t>
        </is>
      </c>
      <c r="AE69" s="840" t="inlineStr">
        <is>
          <t>Rent rises to £23,985 wef 29/09/26. Tenant break on 6 months notice.</t>
        </is>
      </c>
      <c r="AH69" s="312" t="n"/>
      <c r="AJ69" t="inlineStr">
        <is>
          <t>Let</t>
        </is>
      </c>
    </row>
    <row r="70">
      <c r="A70" t="inlineStr">
        <is>
          <t>Highlight House, 22-24 Great Portland Street</t>
        </is>
      </c>
      <c r="B70" s="838" t="n"/>
      <c r="C70" s="839" t="inlineStr">
        <is>
          <t>WS</t>
        </is>
      </c>
      <c r="D70" s="839" t="inlineStr">
        <is>
          <t>MEL</t>
        </is>
      </c>
      <c r="E70" s="838" t="n">
        <v>550080</v>
      </c>
      <c r="F70" s="840" t="inlineStr">
        <is>
          <t>Highlight House, 22-24 Great Portland Street</t>
        </is>
      </c>
      <c r="G70" s="840" t="inlineStr">
        <is>
          <t>Basement &amp; Ground Floor</t>
        </is>
      </c>
      <c r="H70" s="841" t="inlineStr">
        <is>
          <t>Restaurant</t>
        </is>
      </c>
      <c r="I70" s="848" t="n">
        <v>3626</v>
      </c>
      <c r="J70" s="848">
        <f>I70</f>
        <v/>
      </c>
      <c r="K70" s="848" t="n">
        <v>3500</v>
      </c>
      <c r="L70" s="840" t="inlineStr">
        <is>
          <t>Mamaye UK Limited.</t>
        </is>
      </c>
      <c r="M70" s="843" t="n">
        <v>44635</v>
      </c>
      <c r="N70" s="844" t="n">
        <v>48287</v>
      </c>
      <c r="P70" s="844" t="n">
        <v>46461</v>
      </c>
      <c r="Q70" s="844" t="n">
        <v>46460</v>
      </c>
      <c r="R70" s="842" t="n">
        <v>220000</v>
      </c>
      <c r="S70" s="842">
        <f>R70</f>
        <v/>
      </c>
      <c r="U70" s="842" t="n">
        <v>210000</v>
      </c>
      <c r="V70" s="842">
        <f>U70</f>
        <v/>
      </c>
      <c r="W70" s="842" t="n">
        <v>227900</v>
      </c>
      <c r="X70" s="842">
        <f>W70</f>
        <v/>
      </c>
      <c r="Y70" s="845">
        <f>W70/I70</f>
        <v/>
      </c>
      <c r="Z70" s="846">
        <f>SUM(W70-U70)/U70</f>
        <v/>
      </c>
      <c r="AA70" s="842" t="inlineStr">
        <is>
          <t>D</t>
        </is>
      </c>
      <c r="AB70" s="590" t="n"/>
      <c r="AC70" s="847" t="n"/>
      <c r="AD70" s="841" t="inlineStr">
        <is>
          <t>No</t>
        </is>
      </c>
      <c r="AE70" s="840" t="inlineStr">
        <is>
          <t>Rent rises to £237,500 wef 15/03/26.</t>
        </is>
      </c>
      <c r="AH70" s="312" t="n"/>
      <c r="AJ70" t="inlineStr">
        <is>
          <t>Let</t>
        </is>
      </c>
    </row>
    <row r="71">
      <c r="A71" t="inlineStr">
        <is>
          <t>Highlight House, 22-24 Great Portland Street</t>
        </is>
      </c>
      <c r="B71" s="838" t="n"/>
      <c r="C71" s="839" t="inlineStr">
        <is>
          <t>WS</t>
        </is>
      </c>
      <c r="D71" s="839" t="inlineStr">
        <is>
          <t>MEL</t>
        </is>
      </c>
      <c r="E71" s="838" t="n">
        <v>550080</v>
      </c>
      <c r="F71" s="840" t="inlineStr">
        <is>
          <t>Highlight House, 22-24 Great Portland Street</t>
        </is>
      </c>
      <c r="G71" s="840" t="inlineStr">
        <is>
          <t>First Floor</t>
        </is>
      </c>
      <c r="H71" s="841" t="inlineStr">
        <is>
          <t xml:space="preserve"> Office</t>
        </is>
      </c>
      <c r="I71" s="848" t="n">
        <v>1493</v>
      </c>
      <c r="J71" s="848">
        <f>I71</f>
        <v/>
      </c>
      <c r="K71" s="848" t="n">
        <v>1500</v>
      </c>
      <c r="L71" s="840" t="inlineStr">
        <is>
          <t>Vacant</t>
        </is>
      </c>
      <c r="O71" s="844" t="n">
        <v>43279</v>
      </c>
      <c r="R71" s="842" t="n">
        <v>0</v>
      </c>
      <c r="S71" s="842">
        <f>R71</f>
        <v/>
      </c>
      <c r="U71" s="842" t="n">
        <v>86600</v>
      </c>
      <c r="V71" s="842">
        <f>U71</f>
        <v/>
      </c>
      <c r="W71" s="842" t="n">
        <v>93300</v>
      </c>
      <c r="X71" s="842">
        <f>W71</f>
        <v/>
      </c>
      <c r="Y71" s="845">
        <f>W71/I71</f>
        <v/>
      </c>
      <c r="Z71" s="846">
        <f>SUM(W71-U71)/U71</f>
        <v/>
      </c>
      <c r="AA71" s="842" t="inlineStr">
        <is>
          <t>D</t>
        </is>
      </c>
      <c r="AB71" s="590" t="n"/>
      <c r="AC71" s="847" t="n"/>
      <c r="AD71" s="841" t="inlineStr">
        <is>
          <t>No</t>
        </is>
      </c>
      <c r="AE71" s="840" t="inlineStr">
        <is>
          <t>Mothballed.</t>
        </is>
      </c>
      <c r="AG71" s="29" t="n"/>
      <c r="AH71" s="313" t="n">
        <v>2</v>
      </c>
      <c r="AI71" s="29" t="n"/>
      <c r="AJ71" t="inlineStr">
        <is>
          <t>Void</t>
        </is>
      </c>
    </row>
    <row r="72">
      <c r="A72" t="inlineStr">
        <is>
          <t>Highlight House, 22-24 Great Portland Street</t>
        </is>
      </c>
      <c r="B72" s="838" t="n"/>
      <c r="C72" s="839" t="inlineStr">
        <is>
          <t>WS</t>
        </is>
      </c>
      <c r="D72" s="839" t="inlineStr">
        <is>
          <t>MEL</t>
        </is>
      </c>
      <c r="E72" s="838" t="n">
        <v>550080</v>
      </c>
      <c r="F72" s="840" t="inlineStr">
        <is>
          <t>Highlight House, 22-24 Great Portland Street</t>
        </is>
      </c>
      <c r="G72" s="840" t="inlineStr">
        <is>
          <t>Second Floor</t>
        </is>
      </c>
      <c r="H72" s="841" t="inlineStr">
        <is>
          <t>Office</t>
        </is>
      </c>
      <c r="I72" s="848" t="n">
        <v>1503</v>
      </c>
      <c r="J72" s="848">
        <f>I72</f>
        <v/>
      </c>
      <c r="K72" s="848" t="n">
        <v>1500</v>
      </c>
      <c r="L72" s="840" t="inlineStr">
        <is>
          <t>Vacant</t>
        </is>
      </c>
      <c r="O72" s="844" t="n">
        <v>43354</v>
      </c>
      <c r="R72" s="842" t="n">
        <v>0</v>
      </c>
      <c r="S72" s="842">
        <f>R72</f>
        <v/>
      </c>
      <c r="U72" s="842" t="n">
        <v>88100</v>
      </c>
      <c r="V72" s="842">
        <f>U72</f>
        <v/>
      </c>
      <c r="W72" s="842" t="n">
        <v>93900</v>
      </c>
      <c r="X72" s="842">
        <f>W72</f>
        <v/>
      </c>
      <c r="Y72" s="845">
        <f>W72/I72</f>
        <v/>
      </c>
      <c r="Z72" s="846">
        <f>SUM(W72-U72)/U72</f>
        <v/>
      </c>
      <c r="AA72" s="842" t="inlineStr">
        <is>
          <t>D</t>
        </is>
      </c>
      <c r="AB72" s="590" t="n"/>
      <c r="AC72" s="847" t="n"/>
      <c r="AD72" s="841" t="inlineStr">
        <is>
          <t>No</t>
        </is>
      </c>
      <c r="AE72" s="840" t="inlineStr">
        <is>
          <t>Mothballed.</t>
        </is>
      </c>
      <c r="AG72" s="29" t="n"/>
      <c r="AH72" s="313" t="n">
        <v>2</v>
      </c>
      <c r="AI72" s="29" t="n"/>
      <c r="AJ72" t="inlineStr">
        <is>
          <t>Void</t>
        </is>
      </c>
    </row>
    <row r="73">
      <c r="A73" t="inlineStr">
        <is>
          <t>Highlight House, 22-24 Great Portland Street</t>
        </is>
      </c>
      <c r="B73" s="838" t="n"/>
      <c r="C73" s="839" t="inlineStr">
        <is>
          <t>WS</t>
        </is>
      </c>
      <c r="D73" s="839" t="inlineStr">
        <is>
          <t>MEL</t>
        </is>
      </c>
      <c r="E73" s="838" t="n">
        <v>550080</v>
      </c>
      <c r="F73" s="840" t="inlineStr">
        <is>
          <t>Highlight House, 22-24 Great Portland Street</t>
        </is>
      </c>
      <c r="G73" s="840" t="inlineStr">
        <is>
          <t>Third Floor</t>
        </is>
      </c>
      <c r="H73" s="841" t="inlineStr">
        <is>
          <t>Office</t>
        </is>
      </c>
      <c r="I73" s="848" t="n">
        <v>1519</v>
      </c>
      <c r="J73" s="848">
        <f>I73</f>
        <v/>
      </c>
      <c r="K73" s="848" t="n">
        <v>1500</v>
      </c>
      <c r="L73" s="840" t="inlineStr">
        <is>
          <t>Vacant</t>
        </is>
      </c>
      <c r="O73" s="844" t="n">
        <v>43354</v>
      </c>
      <c r="R73" s="842" t="n">
        <v>0</v>
      </c>
      <c r="S73" s="842">
        <f>R73</f>
        <v/>
      </c>
      <c r="U73" s="842" t="n">
        <v>83100</v>
      </c>
      <c r="V73" s="842">
        <f>U73</f>
        <v/>
      </c>
      <c r="W73" s="842" t="n">
        <v>91100</v>
      </c>
      <c r="X73" s="842">
        <f>W73</f>
        <v/>
      </c>
      <c r="Y73" s="845">
        <f>W73/I73</f>
        <v/>
      </c>
      <c r="Z73" s="846">
        <f>SUM(W73-U73)/U73</f>
        <v/>
      </c>
      <c r="AA73" s="842" t="inlineStr">
        <is>
          <t>D</t>
        </is>
      </c>
      <c r="AB73" s="590" t="n"/>
      <c r="AC73" s="847" t="n"/>
      <c r="AD73" s="841" t="inlineStr">
        <is>
          <t>No</t>
        </is>
      </c>
      <c r="AE73" s="840" t="inlineStr">
        <is>
          <t>Mothballed.</t>
        </is>
      </c>
      <c r="AG73" s="29" t="n"/>
      <c r="AH73" s="313" t="n">
        <v>2</v>
      </c>
      <c r="AI73" s="29" t="n"/>
      <c r="AJ73" t="inlineStr">
        <is>
          <t>Void</t>
        </is>
      </c>
    </row>
    <row r="74">
      <c r="A74" t="inlineStr">
        <is>
          <t>Highlight House, 22-24 Great Portland Street</t>
        </is>
      </c>
      <c r="B74" s="838" t="n"/>
      <c r="C74" s="839" t="inlineStr">
        <is>
          <t>WS</t>
        </is>
      </c>
      <c r="D74" s="839" t="inlineStr">
        <is>
          <t>MEL</t>
        </is>
      </c>
      <c r="E74" s="838" t="n">
        <v>550080</v>
      </c>
      <c r="F74" s="840" t="inlineStr">
        <is>
          <t>Highlight House, 22-24 Great Portland Street</t>
        </is>
      </c>
      <c r="G74" s="840" t="inlineStr">
        <is>
          <t>Fourth Floor</t>
        </is>
      </c>
      <c r="H74" s="841" t="inlineStr">
        <is>
          <t>Office</t>
        </is>
      </c>
      <c r="I74" s="848" t="n">
        <v>1505</v>
      </c>
      <c r="J74" s="848">
        <f>I74</f>
        <v/>
      </c>
      <c r="K74" s="848" t="n">
        <v>1500</v>
      </c>
      <c r="L74" s="840" t="inlineStr">
        <is>
          <t>Vacant</t>
        </is>
      </c>
      <c r="O74" s="844" t="n">
        <v>43354</v>
      </c>
      <c r="R74" s="842" t="n">
        <v>0</v>
      </c>
      <c r="S74" s="842">
        <f>R74</f>
        <v/>
      </c>
      <c r="U74" s="842" t="n">
        <v>83800</v>
      </c>
      <c r="V74" s="842">
        <f>U74</f>
        <v/>
      </c>
      <c r="W74" s="842" t="n">
        <v>90300</v>
      </c>
      <c r="X74" s="842">
        <f>W74</f>
        <v/>
      </c>
      <c r="Y74" s="845">
        <f>W74/I74</f>
        <v/>
      </c>
      <c r="Z74" s="846">
        <f>SUM(W74-U74)/U74</f>
        <v/>
      </c>
      <c r="AA74" s="842" t="inlineStr">
        <is>
          <t>D</t>
        </is>
      </c>
      <c r="AB74" s="590" t="n"/>
      <c r="AC74" s="847" t="n"/>
      <c r="AD74" s="841" t="inlineStr">
        <is>
          <t>No</t>
        </is>
      </c>
      <c r="AE74" s="840" t="inlineStr">
        <is>
          <t>Mothballed.</t>
        </is>
      </c>
      <c r="AG74" s="29" t="n"/>
      <c r="AH74" s="313" t="n">
        <v>2</v>
      </c>
      <c r="AI74" s="29" t="n"/>
      <c r="AJ74" t="inlineStr">
        <is>
          <t>Void</t>
        </is>
      </c>
    </row>
    <row r="75">
      <c r="A75" t="inlineStr">
        <is>
          <t>23-25 Great Portland Street &amp; 54-55 Margaret Street</t>
        </is>
      </c>
      <c r="B75" s="838" t="n"/>
      <c r="C75" s="839" t="inlineStr">
        <is>
          <t>CD</t>
        </is>
      </c>
      <c r="D75" s="839" t="inlineStr">
        <is>
          <t>MEL</t>
        </is>
      </c>
      <c r="E75" s="838" t="n">
        <v>550400</v>
      </c>
      <c r="F75" s="840" t="inlineStr">
        <is>
          <t>23-25 Great Portland Street &amp; 54-55 Margaret Street</t>
        </is>
      </c>
      <c r="G75" s="840" t="inlineStr">
        <is>
          <t>Basement &amp; Ground Floor</t>
        </is>
      </c>
      <c r="H75" s="841" t="inlineStr">
        <is>
          <t>Shop/Cafe</t>
        </is>
      </c>
      <c r="I75" s="848" t="n">
        <v>2164</v>
      </c>
      <c r="J75" s="848">
        <f>I75</f>
        <v/>
      </c>
      <c r="K75" s="848" t="n">
        <v>2000</v>
      </c>
      <c r="L75" s="840" t="inlineStr">
        <is>
          <t>Florian James Limited</t>
        </is>
      </c>
      <c r="M75" s="843" t="n">
        <v>44995</v>
      </c>
      <c r="N75" s="844" t="n">
        <v>48647</v>
      </c>
      <c r="P75" s="844" t="n">
        <v>46822</v>
      </c>
      <c r="R75" s="842" t="n">
        <v>165000</v>
      </c>
      <c r="S75" s="842">
        <f>R75</f>
        <v/>
      </c>
      <c r="U75" s="842" t="n">
        <v>165000</v>
      </c>
      <c r="V75" s="842">
        <f>U75</f>
        <v/>
      </c>
      <c r="W75" s="842" t="n">
        <v>165000</v>
      </c>
      <c r="X75" s="842">
        <f>W75</f>
        <v/>
      </c>
      <c r="Y75" s="845">
        <f>W75/I75</f>
        <v/>
      </c>
      <c r="Z75" s="846">
        <f>SUM(W75-U75)/U75</f>
        <v/>
      </c>
      <c r="AA75" s="842" t="inlineStr">
        <is>
          <t>D</t>
        </is>
      </c>
      <c r="AB75" s="590" t="n"/>
      <c r="AC75" s="847" t="n"/>
      <c r="AD75" s="841" t="inlineStr">
        <is>
          <t>No</t>
        </is>
      </c>
      <c r="AH75" s="312" t="n"/>
      <c r="AJ75" t="inlineStr">
        <is>
          <t>Let</t>
        </is>
      </c>
    </row>
    <row r="76">
      <c r="A76" t="inlineStr">
        <is>
          <t>23-25 Great Portland Street &amp; 54-55 Margaret Street</t>
        </is>
      </c>
      <c r="B76" s="838" t="n"/>
      <c r="C76" s="839" t="inlineStr">
        <is>
          <t>CD</t>
        </is>
      </c>
      <c r="D76" s="839" t="inlineStr">
        <is>
          <t>MEL</t>
        </is>
      </c>
      <c r="E76" s="838" t="n">
        <v>550400</v>
      </c>
      <c r="F76" s="840" t="inlineStr">
        <is>
          <t>23-25 Great Portland Street &amp; 54-55 Margaret Street</t>
        </is>
      </c>
      <c r="G76" s="850" t="inlineStr">
        <is>
          <t>First to Fourth Floors</t>
        </is>
      </c>
      <c r="H76" s="841" t="inlineStr">
        <is>
          <t>Office</t>
        </is>
      </c>
      <c r="I76" s="848" t="n">
        <v>3545</v>
      </c>
      <c r="J76" s="848">
        <f>I76</f>
        <v/>
      </c>
      <c r="K76" s="848" t="n">
        <v>3500</v>
      </c>
      <c r="L76" s="840" t="inlineStr">
        <is>
          <t>Factory Studios Limited.</t>
        </is>
      </c>
      <c r="M76" s="843" t="n">
        <v>44362</v>
      </c>
      <c r="N76" s="844" t="n">
        <v>48013</v>
      </c>
      <c r="P76" s="844" t="n">
        <v>46197</v>
      </c>
      <c r="Q76" s="844" t="n">
        <v>46197</v>
      </c>
      <c r="R76" s="842" t="n">
        <v>220000</v>
      </c>
      <c r="S76" s="842">
        <f>R76</f>
        <v/>
      </c>
      <c r="U76" s="842" t="n">
        <v>220000</v>
      </c>
      <c r="V76" s="842">
        <f>U76</f>
        <v/>
      </c>
      <c r="W76" s="842" t="n">
        <v>220000</v>
      </c>
      <c r="X76" s="842">
        <f>W76</f>
        <v/>
      </c>
      <c r="Y76" s="845">
        <f>W76/I76</f>
        <v/>
      </c>
      <c r="Z76" s="846">
        <f>SUM(W76-U76)/U76</f>
        <v/>
      </c>
      <c r="AA76" s="842" t="inlineStr">
        <is>
          <t>C</t>
        </is>
      </c>
      <c r="AB76" s="590" t="n"/>
      <c r="AC76" s="847" t="n"/>
      <c r="AD76" s="841" t="inlineStr">
        <is>
          <t>No</t>
        </is>
      </c>
      <c r="AE76" s="840" t="inlineStr">
        <is>
          <t>Tenant break on 6 months notice.</t>
        </is>
      </c>
      <c r="AH76" s="312" t="n"/>
      <c r="AJ76" t="inlineStr">
        <is>
          <t>Let</t>
        </is>
      </c>
    </row>
    <row r="77">
      <c r="A77" t="inlineStr">
        <is>
          <t>39 Great Portland Street</t>
        </is>
      </c>
      <c r="B77" s="838" t="n"/>
      <c r="C77" s="839" t="inlineStr">
        <is>
          <t>CM</t>
        </is>
      </c>
      <c r="D77" s="839" t="inlineStr">
        <is>
          <t>MEL</t>
        </is>
      </c>
      <c r="E77" s="838" t="n">
        <v>550740</v>
      </c>
      <c r="F77" s="840" t="inlineStr">
        <is>
          <t>39 Great Portland Street</t>
        </is>
      </c>
      <c r="G77" s="840" t="inlineStr">
        <is>
          <t>Basement &amp; Ground Floor</t>
        </is>
      </c>
      <c r="H77" s="841" t="inlineStr">
        <is>
          <t>Showroom</t>
        </is>
      </c>
      <c r="I77" s="848" t="n">
        <v>1524</v>
      </c>
      <c r="J77" s="848">
        <f>I77</f>
        <v/>
      </c>
      <c r="K77" s="848" t="n">
        <v>1500</v>
      </c>
      <c r="L77" s="840" t="inlineStr">
        <is>
          <t>Fads Boutique Limited</t>
        </is>
      </c>
      <c r="M77" s="843" t="n">
        <v>44833</v>
      </c>
      <c r="N77" s="844" t="n">
        <v>45928</v>
      </c>
      <c r="R77" s="842" t="n">
        <v>72000</v>
      </c>
      <c r="S77" s="842">
        <f>R77</f>
        <v/>
      </c>
      <c r="U77" s="842" t="n">
        <v>72000</v>
      </c>
      <c r="V77" s="842">
        <f>U77</f>
        <v/>
      </c>
      <c r="W77" s="842" t="n">
        <v>72038</v>
      </c>
      <c r="X77" s="842">
        <f>W77</f>
        <v/>
      </c>
      <c r="Y77" s="845">
        <f>W77/I77</f>
        <v/>
      </c>
      <c r="Z77" s="846">
        <f>SUM(W77-U77)/U77</f>
        <v/>
      </c>
      <c r="AA77" s="842" t="inlineStr">
        <is>
          <t>D</t>
        </is>
      </c>
      <c r="AB77" s="590" t="n"/>
      <c r="AC77" s="847" t="n"/>
      <c r="AD77" s="841" t="inlineStr">
        <is>
          <t>No</t>
        </is>
      </c>
      <c r="AE77" s="840" t="n"/>
      <c r="AF77" s="849" t="n"/>
      <c r="AG77" s="840" t="n">
        <v>1</v>
      </c>
      <c r="AH77" s="312" t="n">
        <v>1</v>
      </c>
      <c r="AI77" s="840" t="n"/>
      <c r="AJ77" t="inlineStr">
        <is>
          <t>Let</t>
        </is>
      </c>
    </row>
    <row r="78">
      <c r="A78" t="inlineStr">
        <is>
          <t>39 Great Portland Street</t>
        </is>
      </c>
      <c r="B78" s="838" t="n"/>
      <c r="C78" s="839" t="inlineStr">
        <is>
          <t>CM</t>
        </is>
      </c>
      <c r="D78" s="839" t="inlineStr">
        <is>
          <t>MEL</t>
        </is>
      </c>
      <c r="E78" s="838" t="n">
        <v>550740</v>
      </c>
      <c r="F78" s="840" t="inlineStr">
        <is>
          <t>39 Great Portland Street</t>
        </is>
      </c>
      <c r="G78" s="840" t="inlineStr">
        <is>
          <t>First Floor</t>
        </is>
      </c>
      <c r="H78" s="841" t="inlineStr">
        <is>
          <t>Office</t>
        </is>
      </c>
      <c r="I78" s="848" t="n">
        <v>730</v>
      </c>
      <c r="J78" s="848">
        <f>I78</f>
        <v/>
      </c>
      <c r="K78" s="848" t="n">
        <v>750</v>
      </c>
      <c r="L78" s="840" t="inlineStr">
        <is>
          <t>Studio Boum Limited.</t>
        </is>
      </c>
      <c r="M78" s="843" t="n">
        <v>45271</v>
      </c>
      <c r="N78" s="844" t="n">
        <v>46561</v>
      </c>
      <c r="R78" s="842" t="n">
        <v>42705</v>
      </c>
      <c r="S78" s="842">
        <f>R78</f>
        <v/>
      </c>
      <c r="U78" s="842" t="n">
        <v>42000</v>
      </c>
      <c r="V78" s="842">
        <f>U78</f>
        <v/>
      </c>
      <c r="W78" s="842" t="n">
        <v>41975</v>
      </c>
      <c r="X78" s="842">
        <f>W78</f>
        <v/>
      </c>
      <c r="Y78" s="845">
        <f>W78/I78</f>
        <v/>
      </c>
      <c r="Z78" s="846">
        <f>SUM(W78-U78)/U78</f>
        <v/>
      </c>
      <c r="AA78" s="842" t="inlineStr">
        <is>
          <t>D</t>
        </is>
      </c>
      <c r="AB78" s="590" t="n"/>
      <c r="AC78" s="847" t="n"/>
      <c r="AD78" s="841" t="inlineStr">
        <is>
          <t>No</t>
        </is>
      </c>
      <c r="AE78" s="29" t="inlineStr">
        <is>
          <t>Tenant break passed.</t>
        </is>
      </c>
      <c r="AF78" s="849" t="n"/>
      <c r="AG78" s="840" t="n"/>
      <c r="AH78" s="312" t="n"/>
      <c r="AI78" s="840" t="n"/>
      <c r="AJ78" t="inlineStr">
        <is>
          <t>Let</t>
        </is>
      </c>
    </row>
    <row r="79">
      <c r="A79" t="inlineStr">
        <is>
          <t>39 Great Portland Street</t>
        </is>
      </c>
      <c r="B79" s="838" t="n"/>
      <c r="C79" s="839" t="inlineStr">
        <is>
          <t>CM</t>
        </is>
      </c>
      <c r="D79" s="839" t="inlineStr">
        <is>
          <t>MEL</t>
        </is>
      </c>
      <c r="E79" s="838" t="n">
        <v>550740</v>
      </c>
      <c r="F79" s="840" t="inlineStr">
        <is>
          <t>39 Great Portland Street</t>
        </is>
      </c>
      <c r="G79" s="840" t="inlineStr">
        <is>
          <t>Second Floor</t>
        </is>
      </c>
      <c r="H79" s="841" t="inlineStr">
        <is>
          <t>Office</t>
        </is>
      </c>
      <c r="I79" s="848" t="n">
        <v>730</v>
      </c>
      <c r="J79" s="848">
        <f>I79</f>
        <v/>
      </c>
      <c r="K79" s="848" t="n">
        <v>750</v>
      </c>
      <c r="L79" s="840" t="inlineStr">
        <is>
          <t>David Walker Architects Ltd.</t>
        </is>
      </c>
      <c r="M79" s="843" t="n">
        <v>44833</v>
      </c>
      <c r="N79" s="844" t="n">
        <v>46658</v>
      </c>
      <c r="R79" s="842" t="n">
        <v>42000</v>
      </c>
      <c r="S79" s="842">
        <f>R79</f>
        <v/>
      </c>
      <c r="U79" s="842" t="n">
        <v>42000</v>
      </c>
      <c r="V79" s="842">
        <f>U79</f>
        <v/>
      </c>
      <c r="W79" s="842" t="n">
        <v>41975</v>
      </c>
      <c r="X79" s="842">
        <f>W79</f>
        <v/>
      </c>
      <c r="Y79" s="845">
        <f>W79/I79</f>
        <v/>
      </c>
      <c r="Z79" s="846">
        <f>SUM(W79-U79)/U79</f>
        <v/>
      </c>
      <c r="AA79" s="842" t="inlineStr">
        <is>
          <t>D</t>
        </is>
      </c>
      <c r="AB79" s="590" t="n"/>
      <c r="AC79" s="847" t="n"/>
      <c r="AD79" s="841" t="inlineStr">
        <is>
          <t>No</t>
        </is>
      </c>
      <c r="AH79" s="312" t="n"/>
      <c r="AJ79" t="inlineStr">
        <is>
          <t>Let</t>
        </is>
      </c>
    </row>
    <row r="80">
      <c r="A80" t="inlineStr">
        <is>
          <t>39 Great Portland Street</t>
        </is>
      </c>
      <c r="B80" s="838" t="n"/>
      <c r="C80" s="839" t="inlineStr">
        <is>
          <t>CM</t>
        </is>
      </c>
      <c r="D80" s="839" t="inlineStr">
        <is>
          <t>MEL</t>
        </is>
      </c>
      <c r="E80" s="838" t="n">
        <v>550740</v>
      </c>
      <c r="F80" s="840" t="inlineStr">
        <is>
          <t>39 Great Portland Street</t>
        </is>
      </c>
      <c r="G80" s="840" t="inlineStr">
        <is>
          <t>Third Floor</t>
        </is>
      </c>
      <c r="H80" s="841" t="inlineStr">
        <is>
          <t>Office</t>
        </is>
      </c>
      <c r="I80" s="848" t="n">
        <v>730</v>
      </c>
      <c r="J80" s="848">
        <f>I80</f>
        <v/>
      </c>
      <c r="K80" s="848" t="n">
        <v>750</v>
      </c>
      <c r="L80" s="840" t="inlineStr">
        <is>
          <t>Studio Boum Limited.</t>
        </is>
      </c>
      <c r="M80" s="843" t="n">
        <v>45271</v>
      </c>
      <c r="N80" s="844" t="n">
        <v>46561</v>
      </c>
      <c r="R80" s="842" t="n">
        <v>42705</v>
      </c>
      <c r="S80" s="842">
        <f>R80</f>
        <v/>
      </c>
      <c r="U80" s="842" t="n">
        <v>42000</v>
      </c>
      <c r="V80" s="842">
        <f>U80</f>
        <v/>
      </c>
      <c r="W80" s="842" t="n">
        <v>41975</v>
      </c>
      <c r="X80" s="842">
        <f>W80</f>
        <v/>
      </c>
      <c r="Y80" s="845">
        <f>W80/I80</f>
        <v/>
      </c>
      <c r="Z80" s="846">
        <f>SUM(W80-U80)/U80</f>
        <v/>
      </c>
      <c r="AA80" s="842" t="inlineStr">
        <is>
          <t>D</t>
        </is>
      </c>
      <c r="AB80" s="590" t="n"/>
      <c r="AC80" s="847" t="n"/>
      <c r="AD80" s="841" t="inlineStr">
        <is>
          <t>No</t>
        </is>
      </c>
      <c r="AE80" s="29" t="inlineStr">
        <is>
          <t>Tenant break passed.</t>
        </is>
      </c>
      <c r="AH80" s="312" t="n"/>
      <c r="AJ80" t="inlineStr">
        <is>
          <t>Let</t>
        </is>
      </c>
    </row>
    <row r="81">
      <c r="A81" t="inlineStr">
        <is>
          <t>39 Great Portland Street</t>
        </is>
      </c>
      <c r="B81" s="838" t="n"/>
      <c r="C81" s="839" t="inlineStr">
        <is>
          <t>CM</t>
        </is>
      </c>
      <c r="D81" s="839" t="inlineStr">
        <is>
          <t>MEL</t>
        </is>
      </c>
      <c r="E81" s="838" t="n">
        <v>550740</v>
      </c>
      <c r="F81" s="840" t="inlineStr">
        <is>
          <t>39 Great Portland Street</t>
        </is>
      </c>
      <c r="G81" s="840" t="inlineStr">
        <is>
          <t>Fourth &amp; Fifth Floors</t>
        </is>
      </c>
      <c r="H81" s="841" t="inlineStr">
        <is>
          <t>Residential</t>
        </is>
      </c>
      <c r="I81" s="848" t="n">
        <v>1180</v>
      </c>
      <c r="J81" s="848">
        <f>I81</f>
        <v/>
      </c>
      <c r="K81" s="848" t="n">
        <v>1000</v>
      </c>
      <c r="L81" s="840" t="inlineStr">
        <is>
          <t>T. Ciss, E. Moser</t>
        </is>
      </c>
      <c r="M81" s="843" t="n">
        <v>45480</v>
      </c>
      <c r="N81" s="844" t="n">
        <v>45844</v>
      </c>
      <c r="R81" s="842" t="n">
        <v>65000</v>
      </c>
      <c r="S81" s="842">
        <f>R81</f>
        <v/>
      </c>
      <c r="U81" s="842" t="n">
        <v>61360</v>
      </c>
      <c r="V81" s="842">
        <f>U81</f>
        <v/>
      </c>
      <c r="W81" s="842" t="n">
        <v>63177</v>
      </c>
      <c r="X81" s="842">
        <f>W81</f>
        <v/>
      </c>
      <c r="Y81" s="845">
        <f>W81/I81</f>
        <v/>
      </c>
      <c r="Z81" s="846">
        <f>SUM(W81-U81)/U81</f>
        <v/>
      </c>
      <c r="AA81" s="842" t="inlineStr">
        <is>
          <t>C</t>
        </is>
      </c>
      <c r="AB81" s="590" t="n"/>
      <c r="AC81" s="847" t="n"/>
      <c r="AD81" s="841" t="inlineStr">
        <is>
          <t>No</t>
        </is>
      </c>
      <c r="AE81" s="840" t="inlineStr">
        <is>
          <t>Lease renewal agreed.</t>
        </is>
      </c>
      <c r="AH81" s="312" t="n"/>
      <c r="AJ81" t="inlineStr">
        <is>
          <t>Let</t>
        </is>
      </c>
    </row>
    <row r="82">
      <c r="A82" t="inlineStr">
        <is>
          <t>41 Great Portland Street</t>
        </is>
      </c>
      <c r="B82" s="838" t="n"/>
      <c r="C82" s="839" t="inlineStr">
        <is>
          <t>CD</t>
        </is>
      </c>
      <c r="D82" s="839" t="inlineStr">
        <is>
          <t>MEL</t>
        </is>
      </c>
      <c r="E82" s="838" t="n">
        <v>550840</v>
      </c>
      <c r="F82" s="840" t="inlineStr">
        <is>
          <t>41 Great Portland Street</t>
        </is>
      </c>
      <c r="G82" s="840" t="inlineStr">
        <is>
          <t>Basement to Fourth</t>
        </is>
      </c>
      <c r="H82" s="841" t="inlineStr">
        <is>
          <t>Offices</t>
        </is>
      </c>
      <c r="I82" s="18" t="n">
        <v>2313</v>
      </c>
      <c r="J82" s="842">
        <f>I82</f>
        <v/>
      </c>
      <c r="K82" s="842" t="n">
        <v>2250</v>
      </c>
      <c r="L82" s="840" t="inlineStr">
        <is>
          <t>S.Hardwick &amp; L.Morris (t/a Hardwick &amp; Morris Chartered Accountants)</t>
        </is>
      </c>
      <c r="M82" s="843" t="n">
        <v>42339</v>
      </c>
      <c r="N82" s="844" t="n">
        <v>45991</v>
      </c>
      <c r="P82" s="844" t="n">
        <v>44166</v>
      </c>
      <c r="R82" s="591" t="n">
        <v>112000</v>
      </c>
      <c r="S82" s="842">
        <f>R82</f>
        <v/>
      </c>
      <c r="T82" s="591">
        <f>S82</f>
        <v/>
      </c>
      <c r="U82" s="18" t="n">
        <v>106600</v>
      </c>
      <c r="V82" s="842">
        <f>U82</f>
        <v/>
      </c>
      <c r="W82" s="18" t="n">
        <v>102100</v>
      </c>
      <c r="X82" s="842">
        <f>W82</f>
        <v/>
      </c>
      <c r="Y82" s="845">
        <f>W82/I82</f>
        <v/>
      </c>
      <c r="Z82" s="846">
        <f>SUM(W82-U82)/U82</f>
        <v/>
      </c>
      <c r="AA82" s="842" t="inlineStr">
        <is>
          <t>E</t>
        </is>
      </c>
      <c r="AB82" s="590" t="n"/>
      <c r="AC82" s="18" t="n">
        <v>1750000</v>
      </c>
      <c r="AD82" s="841" t="inlineStr">
        <is>
          <t>No</t>
        </is>
      </c>
      <c r="AH82" s="312" t="n"/>
      <c r="AJ82" t="inlineStr">
        <is>
          <t>Let</t>
        </is>
      </c>
    </row>
    <row r="83">
      <c r="A83" t="inlineStr">
        <is>
          <t>42-48 Great Portland Street</t>
        </is>
      </c>
      <c r="B83" s="838" t="n"/>
      <c r="C83" s="839" t="inlineStr">
        <is>
          <t>CM</t>
        </is>
      </c>
      <c r="D83" s="839" t="inlineStr">
        <is>
          <t>MEL</t>
        </is>
      </c>
      <c r="E83" s="838" t="n">
        <v>550830</v>
      </c>
      <c r="F83" s="840" t="inlineStr">
        <is>
          <t>42-48 Great Portland Street</t>
        </is>
      </c>
      <c r="G83" s="840" t="inlineStr">
        <is>
          <t xml:space="preserve">Basement &amp; Ground Floor </t>
        </is>
      </c>
      <c r="H83" s="839" t="inlineStr">
        <is>
          <t>Shop</t>
        </is>
      </c>
      <c r="I83" s="848" t="n">
        <v>4259</v>
      </c>
      <c r="J83" s="848">
        <f>I83</f>
        <v/>
      </c>
      <c r="K83" s="848" t="n">
        <v>4250</v>
      </c>
      <c r="L83" s="840" t="inlineStr">
        <is>
          <t>GP Acoustics (UK) Limited</t>
        </is>
      </c>
      <c r="M83" s="843" t="n">
        <v>44967</v>
      </c>
      <c r="N83" s="844" t="n">
        <v>48619</v>
      </c>
      <c r="P83" s="844" t="n">
        <v>46793</v>
      </c>
      <c r="Q83" s="844" t="n">
        <v>46792</v>
      </c>
      <c r="R83" s="842" t="n">
        <v>215000</v>
      </c>
      <c r="S83" s="842">
        <f>R83</f>
        <v/>
      </c>
      <c r="U83" s="848" t="n">
        <v>215000</v>
      </c>
      <c r="V83" s="842">
        <f>U83</f>
        <v/>
      </c>
      <c r="W83" s="848" t="n">
        <v>215000</v>
      </c>
      <c r="X83" s="842">
        <f>W83</f>
        <v/>
      </c>
      <c r="Y83" s="845">
        <f>W83/I83</f>
        <v/>
      </c>
      <c r="Z83" s="846">
        <f>SUM(W83-U83)/U83</f>
        <v/>
      </c>
      <c r="AA83" s="842" t="inlineStr">
        <is>
          <t>C</t>
        </is>
      </c>
      <c r="AB83" s="67" t="n"/>
      <c r="AC83" s="847" t="n"/>
      <c r="AD83" s="841" t="inlineStr">
        <is>
          <t>No</t>
        </is>
      </c>
      <c r="AE83" s="840" t="inlineStr">
        <is>
          <t>Tenant break on 6 months notice.</t>
        </is>
      </c>
      <c r="AH83" s="312" t="n"/>
      <c r="AJ83" t="inlineStr">
        <is>
          <t>Let</t>
        </is>
      </c>
    </row>
    <row r="84">
      <c r="A84" t="inlineStr">
        <is>
          <t>42-48 Great Portland Street</t>
        </is>
      </c>
      <c r="B84" s="838" t="n"/>
      <c r="C84" s="839" t="inlineStr">
        <is>
          <t>CM</t>
        </is>
      </c>
      <c r="D84" s="839" t="inlineStr">
        <is>
          <t>MEL</t>
        </is>
      </c>
      <c r="E84" s="838" t="n">
        <v>550830</v>
      </c>
      <c r="F84" s="840" t="inlineStr">
        <is>
          <t>42-48 Great Portland Street</t>
        </is>
      </c>
      <c r="G84" s="840" t="inlineStr">
        <is>
          <t>First Floor</t>
        </is>
      </c>
      <c r="H84" s="839" t="inlineStr">
        <is>
          <t>Office</t>
        </is>
      </c>
      <c r="I84" s="848" t="n">
        <v>1902</v>
      </c>
      <c r="J84" s="848">
        <f>I84</f>
        <v/>
      </c>
      <c r="K84" s="848" t="n">
        <v>2000</v>
      </c>
      <c r="L84" s="840" t="inlineStr">
        <is>
          <t>GP Acoustics (UK) Limited</t>
        </is>
      </c>
      <c r="M84" s="843" t="n">
        <v>44967</v>
      </c>
      <c r="N84" s="844" t="n">
        <v>48619</v>
      </c>
      <c r="P84" s="844" t="n">
        <v>46793</v>
      </c>
      <c r="Q84" s="844" t="n">
        <v>46792</v>
      </c>
      <c r="R84" s="842" t="n">
        <v>109620</v>
      </c>
      <c r="S84" s="842">
        <f>R84</f>
        <v/>
      </c>
      <c r="U84" s="848" t="n">
        <v>109620</v>
      </c>
      <c r="V84" s="842">
        <f>U84</f>
        <v/>
      </c>
      <c r="W84" s="848" t="n">
        <v>123600</v>
      </c>
      <c r="X84" s="842">
        <f>W84</f>
        <v/>
      </c>
      <c r="Y84" s="845">
        <f>W84/I84</f>
        <v/>
      </c>
      <c r="Z84" s="846">
        <f>SUM(W84-U84)/U84</f>
        <v/>
      </c>
      <c r="AA84" s="842" t="inlineStr">
        <is>
          <t>C</t>
        </is>
      </c>
      <c r="AB84" s="590" t="n"/>
      <c r="AC84" s="847" t="n"/>
      <c r="AD84" s="841" t="inlineStr">
        <is>
          <t>No</t>
        </is>
      </c>
      <c r="AE84" s="840" t="inlineStr">
        <is>
          <t>Tenant break on 6 months notice.</t>
        </is>
      </c>
      <c r="AH84" s="312" t="n"/>
      <c r="AJ84" t="inlineStr">
        <is>
          <t>Let</t>
        </is>
      </c>
    </row>
    <row r="85">
      <c r="A85" t="inlineStr">
        <is>
          <t>42-48 Great Portland Street</t>
        </is>
      </c>
      <c r="B85" s="838" t="n"/>
      <c r="C85" s="839" t="inlineStr">
        <is>
          <t>CM</t>
        </is>
      </c>
      <c r="D85" s="839" t="inlineStr">
        <is>
          <t>MEL</t>
        </is>
      </c>
      <c r="E85" s="838" t="n">
        <v>550830</v>
      </c>
      <c r="F85" s="840" t="inlineStr">
        <is>
          <t>42-48 Great Portland Street</t>
        </is>
      </c>
      <c r="G85" s="840" t="inlineStr">
        <is>
          <t>Second Floor</t>
        </is>
      </c>
      <c r="H85" s="839" t="inlineStr">
        <is>
          <t>Office</t>
        </is>
      </c>
      <c r="I85" s="848" t="n">
        <v>1440</v>
      </c>
      <c r="J85" s="848">
        <f>I85</f>
        <v/>
      </c>
      <c r="K85" s="848" t="n">
        <v>1500</v>
      </c>
      <c r="L85" s="840" t="inlineStr">
        <is>
          <t>Vacant</t>
        </is>
      </c>
      <c r="O85" s="844" t="n">
        <v>44593</v>
      </c>
      <c r="R85" s="842" t="n">
        <v>0</v>
      </c>
      <c r="S85" s="842">
        <f>R85</f>
        <v/>
      </c>
      <c r="U85" s="848" t="n">
        <v>79800</v>
      </c>
      <c r="V85" s="842">
        <f>U85</f>
        <v/>
      </c>
      <c r="W85" s="848" t="n">
        <v>93600</v>
      </c>
      <c r="X85" s="842">
        <f>W85</f>
        <v/>
      </c>
      <c r="Y85" s="845">
        <f>W85/I85</f>
        <v/>
      </c>
      <c r="Z85" s="846">
        <f>SUM(W85-U85)/U85</f>
        <v/>
      </c>
      <c r="AA85" s="842" t="inlineStr">
        <is>
          <t>D</t>
        </is>
      </c>
      <c r="AB85" s="590" t="n"/>
      <c r="AC85" s="847" t="n"/>
      <c r="AD85" s="841" t="inlineStr">
        <is>
          <t>No</t>
        </is>
      </c>
      <c r="AE85" s="840" t="inlineStr">
        <is>
          <t>To be refurbished.</t>
        </is>
      </c>
      <c r="AH85" s="312" t="n"/>
      <c r="AJ85" t="inlineStr">
        <is>
          <t>Void</t>
        </is>
      </c>
    </row>
    <row r="86">
      <c r="A86" t="inlineStr">
        <is>
          <t>42-48 Great Portland Street</t>
        </is>
      </c>
      <c r="B86" s="838" t="n"/>
      <c r="C86" s="839" t="inlineStr">
        <is>
          <t>CM</t>
        </is>
      </c>
      <c r="D86" s="839" t="inlineStr">
        <is>
          <t>MEL</t>
        </is>
      </c>
      <c r="E86" s="838" t="n">
        <v>550830</v>
      </c>
      <c r="F86" s="840" t="inlineStr">
        <is>
          <t>42-48 Great Portland Street</t>
        </is>
      </c>
      <c r="G86" s="840" t="inlineStr">
        <is>
          <t>Third Floor</t>
        </is>
      </c>
      <c r="H86" s="839" t="inlineStr">
        <is>
          <t>Office</t>
        </is>
      </c>
      <c r="I86" s="848" t="n">
        <v>1433</v>
      </c>
      <c r="J86" s="848">
        <f>I86</f>
        <v/>
      </c>
      <c r="K86" s="848" t="n">
        <v>1500</v>
      </c>
      <c r="L86" s="840" t="inlineStr">
        <is>
          <t>Vacant</t>
        </is>
      </c>
      <c r="O86" s="844" t="n">
        <v>43313</v>
      </c>
      <c r="R86" s="842" t="n">
        <v>0</v>
      </c>
      <c r="S86" s="842">
        <f>R86</f>
        <v/>
      </c>
      <c r="U86" s="848" t="n">
        <v>79750</v>
      </c>
      <c r="V86" s="842">
        <f>U86</f>
        <v/>
      </c>
      <c r="W86" s="848" t="n">
        <v>93100</v>
      </c>
      <c r="X86" s="842">
        <f>W86</f>
        <v/>
      </c>
      <c r="Y86" s="845">
        <f>W86/I86</f>
        <v/>
      </c>
      <c r="Z86" s="846">
        <f>SUM(W86-U86)/U86</f>
        <v/>
      </c>
      <c r="AA86" s="842" t="inlineStr">
        <is>
          <t>D</t>
        </is>
      </c>
      <c r="AB86" s="590" t="n"/>
      <c r="AC86" s="847" t="n"/>
      <c r="AD86" s="841" t="inlineStr">
        <is>
          <t>No</t>
        </is>
      </c>
      <c r="AE86" s="840" t="inlineStr">
        <is>
          <t>To be refurbished.</t>
        </is>
      </c>
      <c r="AH86" s="312" t="n"/>
      <c r="AJ86" t="inlineStr">
        <is>
          <t>Void</t>
        </is>
      </c>
    </row>
    <row r="87">
      <c r="A87" t="inlineStr">
        <is>
          <t>42-48 Great Portland Street</t>
        </is>
      </c>
      <c r="B87" s="838" t="n"/>
      <c r="C87" s="839" t="inlineStr">
        <is>
          <t>CM</t>
        </is>
      </c>
      <c r="D87" s="839" t="inlineStr">
        <is>
          <t>MEL</t>
        </is>
      </c>
      <c r="E87" s="838" t="n">
        <v>550830</v>
      </c>
      <c r="F87" s="840" t="inlineStr">
        <is>
          <t>42-48 Great Portland Street</t>
        </is>
      </c>
      <c r="G87" s="840" t="inlineStr">
        <is>
          <t>Fourth Floor</t>
        </is>
      </c>
      <c r="H87" s="839" t="inlineStr">
        <is>
          <t>Office</t>
        </is>
      </c>
      <c r="I87" s="848" t="n">
        <v>1480</v>
      </c>
      <c r="J87" s="848">
        <f>I87</f>
        <v/>
      </c>
      <c r="K87" s="848" t="n">
        <v>1500</v>
      </c>
      <c r="L87" s="840" t="inlineStr">
        <is>
          <t>Vacant</t>
        </is>
      </c>
      <c r="O87" s="844" t="n">
        <v>44409</v>
      </c>
      <c r="R87" s="842" t="n">
        <v>0</v>
      </c>
      <c r="S87" s="842">
        <f>R87</f>
        <v/>
      </c>
      <c r="U87" s="848" t="n">
        <v>79800</v>
      </c>
      <c r="V87" s="842">
        <f>U87</f>
        <v/>
      </c>
      <c r="W87" s="848" t="n">
        <v>96200</v>
      </c>
      <c r="X87" s="842">
        <f>W87</f>
        <v/>
      </c>
      <c r="Y87" s="845">
        <f>W87/I87</f>
        <v/>
      </c>
      <c r="Z87" s="846">
        <f>SUM(W87-U87)/U87</f>
        <v/>
      </c>
      <c r="AA87" s="842" t="inlineStr">
        <is>
          <t>E</t>
        </is>
      </c>
      <c r="AB87" s="590" t="n"/>
      <c r="AC87" s="847" t="n"/>
      <c r="AD87" s="841" t="inlineStr">
        <is>
          <t>No</t>
        </is>
      </c>
      <c r="AE87" s="840" t="inlineStr">
        <is>
          <t>To be refurbished.</t>
        </is>
      </c>
      <c r="AH87" s="312" t="n"/>
      <c r="AJ87" t="inlineStr">
        <is>
          <t>Void</t>
        </is>
      </c>
    </row>
    <row r="88">
      <c r="A88" t="inlineStr">
        <is>
          <t>42-48 Great Portland Street</t>
        </is>
      </c>
      <c r="B88" s="838" t="n"/>
      <c r="C88" s="839" t="inlineStr">
        <is>
          <t>CM</t>
        </is>
      </c>
      <c r="D88" s="839" t="inlineStr">
        <is>
          <t>MEL</t>
        </is>
      </c>
      <c r="E88" s="838" t="n">
        <v>550830</v>
      </c>
      <c r="F88" s="840" t="inlineStr">
        <is>
          <t>42-48 Great Portland Street</t>
        </is>
      </c>
      <c r="G88" s="840" t="inlineStr">
        <is>
          <t>Fifth Floor</t>
        </is>
      </c>
      <c r="H88" s="839" t="inlineStr">
        <is>
          <t>Office</t>
        </is>
      </c>
      <c r="I88" s="848" t="n">
        <v>784</v>
      </c>
      <c r="J88" s="848">
        <f>I88</f>
        <v/>
      </c>
      <c r="K88" s="848" t="n">
        <v>750</v>
      </c>
      <c r="L88" s="840" t="inlineStr">
        <is>
          <t>Vacant</t>
        </is>
      </c>
      <c r="O88" s="844" t="n">
        <v>44734</v>
      </c>
      <c r="R88" s="842" t="n">
        <v>0</v>
      </c>
      <c r="S88" s="842">
        <f>R88</f>
        <v/>
      </c>
      <c r="U88" s="848" t="n">
        <v>39030</v>
      </c>
      <c r="V88" s="842">
        <f>U88</f>
        <v/>
      </c>
      <c r="W88" s="848" t="n">
        <v>49000</v>
      </c>
      <c r="X88" s="842">
        <f>W88</f>
        <v/>
      </c>
      <c r="Y88" s="845">
        <f>W88/I88</f>
        <v/>
      </c>
      <c r="Z88" s="846">
        <f>SUM(W88-U88)/U88</f>
        <v/>
      </c>
      <c r="AA88" s="842" t="inlineStr">
        <is>
          <t>D</t>
        </is>
      </c>
      <c r="AB88" s="590" t="n"/>
      <c r="AC88" s="847" t="n"/>
      <c r="AD88" s="841" t="inlineStr">
        <is>
          <t>No</t>
        </is>
      </c>
      <c r="AE88" s="840" t="inlineStr">
        <is>
          <t>To be refurbished.</t>
        </is>
      </c>
      <c r="AH88" s="312" t="n"/>
      <c r="AJ88" t="inlineStr">
        <is>
          <t>Void</t>
        </is>
      </c>
    </row>
    <row r="89">
      <c r="A89" t="inlineStr">
        <is>
          <t>45-49 Great Portland Street</t>
        </is>
      </c>
      <c r="B89" s="838" t="n"/>
      <c r="C89" s="839" t="inlineStr">
        <is>
          <t>SH</t>
        </is>
      </c>
      <c r="D89" s="839" t="inlineStr">
        <is>
          <t>MEL</t>
        </is>
      </c>
      <c r="E89" s="838" t="n">
        <v>550600</v>
      </c>
      <c r="F89" s="840" t="inlineStr">
        <is>
          <t>45-49 Great Portland Street</t>
        </is>
      </c>
      <c r="G89" s="840" t="inlineStr">
        <is>
          <t>Ground Floor &amp; Basement (North)</t>
        </is>
      </c>
      <c r="H89" s="841" t="inlineStr">
        <is>
          <t>Showroom</t>
        </is>
      </c>
      <c r="I89" s="848" t="n">
        <v>1449</v>
      </c>
      <c r="J89" s="848">
        <f>I89</f>
        <v/>
      </c>
      <c r="K89" s="848" t="n">
        <v>1500</v>
      </c>
      <c r="L89" s="840" t="inlineStr">
        <is>
          <t>Straight Forward Retail Ltd.</t>
        </is>
      </c>
      <c r="M89" s="843" t="n">
        <v>45624</v>
      </c>
      <c r="N89" s="844" t="n">
        <v>49275</v>
      </c>
      <c r="R89" s="842" t="n">
        <v>70000</v>
      </c>
      <c r="S89" s="842">
        <f>R89</f>
        <v/>
      </c>
      <c r="U89" s="842" t="n">
        <v>76500</v>
      </c>
      <c r="V89" s="842">
        <f>U89</f>
        <v/>
      </c>
      <c r="W89" s="842" t="n">
        <v>76800</v>
      </c>
      <c r="X89" s="842">
        <f>W89</f>
        <v/>
      </c>
      <c r="Y89" s="845">
        <f>W89/I89</f>
        <v/>
      </c>
      <c r="Z89" s="846">
        <f>SUM(W89-U89)/U89</f>
        <v/>
      </c>
      <c r="AA89" s="842" t="inlineStr">
        <is>
          <t>C</t>
        </is>
      </c>
      <c r="AB89" s="590" t="n"/>
      <c r="AC89" s="847" t="n"/>
      <c r="AD89" s="841" t="inlineStr">
        <is>
          <t>No</t>
        </is>
      </c>
      <c r="AE89" s="840" t="inlineStr">
        <is>
          <t>Rent increasing to £73,000 @ 28/11/27, £77,500 @ 28/11/30. Landlord break 27/11/27 on 6 months notice.</t>
        </is>
      </c>
      <c r="AF89" s="599" t="n"/>
      <c r="AH89" s="312" t="n"/>
      <c r="AJ89" t="inlineStr">
        <is>
          <t>Let</t>
        </is>
      </c>
    </row>
    <row r="90">
      <c r="A90" t="inlineStr">
        <is>
          <t>45-49 Great Portland Street</t>
        </is>
      </c>
      <c r="B90" s="838" t="n"/>
      <c r="C90" s="839" t="inlineStr">
        <is>
          <t>SH</t>
        </is>
      </c>
      <c r="D90" s="839" t="inlineStr">
        <is>
          <t>MEL</t>
        </is>
      </c>
      <c r="E90" s="838" t="n">
        <v>550600</v>
      </c>
      <c r="F90" s="840" t="inlineStr">
        <is>
          <t>45-49 Great Portland Street</t>
        </is>
      </c>
      <c r="G90" s="840" t="inlineStr">
        <is>
          <t>Ground Floor &amp; Basement (South</t>
        </is>
      </c>
      <c r="H90" s="841" t="inlineStr">
        <is>
          <t>A1/D1</t>
        </is>
      </c>
      <c r="I90" s="848" t="n">
        <v>1550</v>
      </c>
      <c r="J90" s="848">
        <f>I90</f>
        <v/>
      </c>
      <c r="K90" s="848" t="n">
        <v>1500</v>
      </c>
      <c r="L90" s="840" t="inlineStr">
        <is>
          <t>Reviv Global Ltd</t>
        </is>
      </c>
      <c r="M90" s="843" t="n">
        <v>43293</v>
      </c>
      <c r="N90" s="844" t="n">
        <v>46214</v>
      </c>
      <c r="R90" s="842" t="n">
        <v>120000</v>
      </c>
      <c r="S90" s="842">
        <f>R90</f>
        <v/>
      </c>
      <c r="U90" s="842" t="n">
        <v>81000</v>
      </c>
      <c r="V90" s="842">
        <f>U90</f>
        <v/>
      </c>
      <c r="W90" s="842" t="n">
        <v>97300</v>
      </c>
      <c r="X90" s="842">
        <f>W90</f>
        <v/>
      </c>
      <c r="Y90" s="845">
        <f>W90/I90</f>
        <v/>
      </c>
      <c r="Z90" s="846">
        <f>SUM(W90-U90)/U90</f>
        <v/>
      </c>
      <c r="AA90" s="842" t="inlineStr">
        <is>
          <t>C</t>
        </is>
      </c>
      <c r="AB90" s="590" t="n"/>
      <c r="AC90" s="847" t="n"/>
      <c r="AD90" s="841" t="inlineStr">
        <is>
          <t>No</t>
        </is>
      </c>
      <c r="AH90" s="312" t="n"/>
      <c r="AJ90" t="inlineStr">
        <is>
          <t>Let</t>
        </is>
      </c>
    </row>
    <row r="91">
      <c r="A91" t="inlineStr">
        <is>
          <t>45-49 Great Portland Street</t>
        </is>
      </c>
      <c r="B91" s="838" t="n"/>
      <c r="C91" s="839" t="inlineStr">
        <is>
          <t>SH</t>
        </is>
      </c>
      <c r="D91" s="839" t="inlineStr">
        <is>
          <t>MEL</t>
        </is>
      </c>
      <c r="E91" s="838" t="n">
        <v>550600</v>
      </c>
      <c r="F91" s="840" t="inlineStr">
        <is>
          <t>45-49 Great Portland Street</t>
        </is>
      </c>
      <c r="G91" s="840" t="inlineStr">
        <is>
          <t>First, Second &amp; Third Floors</t>
        </is>
      </c>
      <c r="H91" s="841" t="inlineStr">
        <is>
          <t>Office</t>
        </is>
      </c>
      <c r="I91" s="848" t="n">
        <v>3441</v>
      </c>
      <c r="J91" s="848">
        <f>I91</f>
        <v/>
      </c>
      <c r="K91" s="848" t="n">
        <v>3500</v>
      </c>
      <c r="L91" s="840" t="inlineStr">
        <is>
          <t>DMR Film Ventures (Facilities) Ltd.</t>
        </is>
      </c>
      <c r="M91" s="843" t="n">
        <v>44358</v>
      </c>
      <c r="N91" s="844" t="n">
        <v>48009</v>
      </c>
      <c r="P91" s="844" t="n">
        <v>46184</v>
      </c>
      <c r="Q91" s="844" t="n">
        <v>46183</v>
      </c>
      <c r="R91" s="842" t="n">
        <v>189000</v>
      </c>
      <c r="S91" s="842">
        <f>R91</f>
        <v/>
      </c>
      <c r="U91" s="842" t="n">
        <v>189300</v>
      </c>
      <c r="V91" s="842">
        <f>U91</f>
        <v/>
      </c>
      <c r="W91" s="842" t="n">
        <v>189300</v>
      </c>
      <c r="X91" s="842">
        <f>W91</f>
        <v/>
      </c>
      <c r="Y91" s="845">
        <f>W91/I91</f>
        <v/>
      </c>
      <c r="Z91" s="846">
        <f>SUM(W91-U91)/U91</f>
        <v/>
      </c>
      <c r="AA91" s="842" t="inlineStr">
        <is>
          <t>E</t>
        </is>
      </c>
      <c r="AB91" s="590" t="n"/>
      <c r="AC91" s="847" t="n"/>
      <c r="AD91" s="841" t="inlineStr">
        <is>
          <t>No</t>
        </is>
      </c>
      <c r="AE91" s="840" t="inlineStr">
        <is>
          <t>Tenant break on 6 months notice. 6 months rent free if not exercised.</t>
        </is>
      </c>
      <c r="AH91" s="312" t="n"/>
      <c r="AJ91" t="inlineStr">
        <is>
          <t>Let</t>
        </is>
      </c>
    </row>
    <row r="92">
      <c r="A92" t="inlineStr">
        <is>
          <t>50 Great Portland Street</t>
        </is>
      </c>
      <c r="B92" s="838" t="n"/>
      <c r="C92" s="839" t="inlineStr">
        <is>
          <t>CD</t>
        </is>
      </c>
      <c r="D92" s="839" t="inlineStr">
        <is>
          <t>MEL</t>
        </is>
      </c>
      <c r="E92" s="838" t="n">
        <v>550990</v>
      </c>
      <c r="F92" s="840" t="inlineStr">
        <is>
          <t>50 Great Portland Street</t>
        </is>
      </c>
      <c r="G92" s="840" t="inlineStr">
        <is>
          <t>Ground Floor &amp; Basement</t>
        </is>
      </c>
      <c r="H92" s="841" t="inlineStr">
        <is>
          <t>Retail</t>
        </is>
      </c>
      <c r="I92" s="848" t="n">
        <v>1361</v>
      </c>
      <c r="J92" s="848">
        <f>I92</f>
        <v/>
      </c>
      <c r="L92" s="840" t="inlineStr">
        <is>
          <t>Beautify LDN Ltd.</t>
        </is>
      </c>
      <c r="M92" s="843" t="n">
        <v>45352</v>
      </c>
      <c r="N92" s="844" t="n">
        <v>49003</v>
      </c>
      <c r="P92" s="844" t="n">
        <v>47178</v>
      </c>
      <c r="Q92" s="844" t="n">
        <v>47177</v>
      </c>
      <c r="R92" s="842" t="n">
        <v>60000</v>
      </c>
      <c r="S92" s="842">
        <f>R92</f>
        <v/>
      </c>
      <c r="U92" s="842" t="n">
        <v>55600</v>
      </c>
      <c r="V92" s="842">
        <f>U92</f>
        <v/>
      </c>
      <c r="W92" s="842" t="n">
        <v>59000</v>
      </c>
      <c r="X92" s="842">
        <f>W92</f>
        <v/>
      </c>
      <c r="Y92" s="845">
        <f>W92/I92</f>
        <v/>
      </c>
      <c r="Z92" s="846">
        <f>SUM(W92-U92)/U92</f>
        <v/>
      </c>
      <c r="AA92" s="842" t="inlineStr">
        <is>
          <t>B</t>
        </is>
      </c>
      <c r="AB92" s="590" t="n"/>
      <c r="AC92" s="847" t="n"/>
      <c r="AD92" s="841" t="inlineStr">
        <is>
          <t>No</t>
        </is>
      </c>
      <c r="AE92" s="840" t="inlineStr">
        <is>
          <t>Mutual break 28/02/29 on 6 months notice. 3 months rent free if break not exercised.</t>
        </is>
      </c>
      <c r="AH92" s="312" t="n"/>
      <c r="AJ92" t="inlineStr">
        <is>
          <t>Let</t>
        </is>
      </c>
    </row>
    <row r="93">
      <c r="A93" t="inlineStr">
        <is>
          <t>50 Great Portland Street</t>
        </is>
      </c>
      <c r="B93" s="838" t="n"/>
      <c r="C93" s="839" t="inlineStr">
        <is>
          <t>CD</t>
        </is>
      </c>
      <c r="D93" s="839" t="inlineStr">
        <is>
          <t>MEL</t>
        </is>
      </c>
      <c r="E93" s="838" t="n">
        <v>550990</v>
      </c>
      <c r="F93" s="840" t="inlineStr">
        <is>
          <t>50 Great Portland Street</t>
        </is>
      </c>
      <c r="G93" s="840" t="inlineStr">
        <is>
          <t>First Floor</t>
        </is>
      </c>
      <c r="H93" s="841" t="inlineStr">
        <is>
          <t>Office</t>
        </is>
      </c>
      <c r="I93" s="848" t="n">
        <v>552</v>
      </c>
      <c r="J93" s="848">
        <f>I93</f>
        <v/>
      </c>
      <c r="L93" s="840" t="inlineStr">
        <is>
          <t>Fresh Film Productions Ltd.</t>
        </is>
      </c>
      <c r="M93" s="843" t="n">
        <v>45579</v>
      </c>
      <c r="N93" s="844" t="n">
        <v>47404</v>
      </c>
      <c r="Q93" s="844" t="n">
        <v>46673</v>
      </c>
      <c r="R93" s="842" t="n">
        <v>33000</v>
      </c>
      <c r="S93" s="842">
        <f>R93</f>
        <v/>
      </c>
      <c r="U93" s="842" t="n">
        <v>29700</v>
      </c>
      <c r="V93" s="842">
        <f>U93</f>
        <v/>
      </c>
      <c r="W93" s="842" t="n">
        <v>30400</v>
      </c>
      <c r="X93" s="842">
        <f>W93</f>
        <v/>
      </c>
      <c r="Y93" s="845">
        <f>W93/I93</f>
        <v/>
      </c>
      <c r="Z93" s="846">
        <f>SUM(W93-U93)/U93</f>
        <v/>
      </c>
      <c r="AA93" s="842" t="inlineStr">
        <is>
          <t>D</t>
        </is>
      </c>
      <c r="AB93" s="590" t="n"/>
      <c r="AC93" s="847" t="n"/>
      <c r="AD93" s="841" t="inlineStr">
        <is>
          <t>No</t>
        </is>
      </c>
      <c r="AE93" s="840" t="inlineStr">
        <is>
          <t>Tenant break on 6 months notice.</t>
        </is>
      </c>
      <c r="AF93" s="599" t="n"/>
      <c r="AH93" s="312" t="n"/>
      <c r="AJ93" t="inlineStr">
        <is>
          <t>Let</t>
        </is>
      </c>
    </row>
    <row r="94">
      <c r="A94" t="inlineStr">
        <is>
          <t>50 Great Portland Street</t>
        </is>
      </c>
      <c r="B94" s="838" t="n"/>
      <c r="C94" s="839" t="inlineStr">
        <is>
          <t>CD</t>
        </is>
      </c>
      <c r="D94" s="839" t="inlineStr">
        <is>
          <t>MEL</t>
        </is>
      </c>
      <c r="E94" s="838" t="n">
        <v>550990</v>
      </c>
      <c r="F94" s="840" t="inlineStr">
        <is>
          <t>50 Great Portland Street</t>
        </is>
      </c>
      <c r="G94" s="840" t="inlineStr">
        <is>
          <t>Second Floor</t>
        </is>
      </c>
      <c r="H94" s="841" t="inlineStr">
        <is>
          <t>Office</t>
        </is>
      </c>
      <c r="I94" s="848" t="n">
        <v>304</v>
      </c>
      <c r="J94" s="848">
        <f>I94</f>
        <v/>
      </c>
      <c r="K94" s="848" t="n">
        <v>250</v>
      </c>
      <c r="L94" s="840" t="inlineStr">
        <is>
          <t>Vacant</t>
        </is>
      </c>
      <c r="O94" s="844" t="n">
        <v>43256</v>
      </c>
      <c r="R94" s="842" t="n">
        <v>0</v>
      </c>
      <c r="S94" s="842">
        <f>R94</f>
        <v/>
      </c>
      <c r="U94" s="842" t="n">
        <v>15800</v>
      </c>
      <c r="V94" s="842">
        <f>U94</f>
        <v/>
      </c>
      <c r="W94" s="842" t="n">
        <v>16700</v>
      </c>
      <c r="X94" s="842">
        <f>W94</f>
        <v/>
      </c>
      <c r="Y94" s="845">
        <f>W94/I94</f>
        <v/>
      </c>
      <c r="Z94" s="846">
        <f>SUM(W94-U94)/U94</f>
        <v/>
      </c>
      <c r="AA94" s="842" t="inlineStr">
        <is>
          <t>D</t>
        </is>
      </c>
      <c r="AB94" s="590" t="n"/>
      <c r="AC94" s="847" t="n"/>
      <c r="AD94" s="841" t="inlineStr">
        <is>
          <t>No</t>
        </is>
      </c>
      <c r="AE94" s="840" t="inlineStr">
        <is>
          <t>To be refurbished.</t>
        </is>
      </c>
      <c r="AH94" s="312" t="n"/>
      <c r="AJ94" t="inlineStr">
        <is>
          <t>Void</t>
        </is>
      </c>
    </row>
    <row r="95">
      <c r="A95" t="inlineStr">
        <is>
          <t>50 Great Portland Street</t>
        </is>
      </c>
      <c r="B95" s="838" t="n"/>
      <c r="C95" s="839" t="inlineStr">
        <is>
          <t>CD</t>
        </is>
      </c>
      <c r="D95" s="839" t="inlineStr">
        <is>
          <t>MEL</t>
        </is>
      </c>
      <c r="E95" s="838" t="n">
        <v>550990</v>
      </c>
      <c r="F95" s="840" t="inlineStr">
        <is>
          <t>50 Great Portland Street</t>
        </is>
      </c>
      <c r="G95" s="840" t="inlineStr">
        <is>
          <t>Third Floor</t>
        </is>
      </c>
      <c r="H95" s="841" t="inlineStr">
        <is>
          <t>Office</t>
        </is>
      </c>
      <c r="I95" s="848" t="n">
        <v>314</v>
      </c>
      <c r="J95" s="848">
        <f>I95</f>
        <v/>
      </c>
      <c r="L95" s="840" t="inlineStr">
        <is>
          <t>Therapy Central LLP</t>
        </is>
      </c>
      <c r="M95" s="843" t="n">
        <v>45476</v>
      </c>
      <c r="N95" s="844" t="n">
        <v>47301</v>
      </c>
      <c r="Q95" s="844" t="n">
        <v>46570</v>
      </c>
      <c r="R95" s="842" t="n">
        <v>17500</v>
      </c>
      <c r="S95" s="842">
        <f>R95</f>
        <v/>
      </c>
      <c r="U95" s="842" t="n">
        <v>15000</v>
      </c>
      <c r="V95" s="842">
        <f>U95</f>
        <v/>
      </c>
      <c r="W95" s="842" t="n">
        <v>18100</v>
      </c>
      <c r="X95" s="842">
        <f>W95</f>
        <v/>
      </c>
      <c r="Y95" s="845">
        <f>W95/I95</f>
        <v/>
      </c>
      <c r="Z95" s="846">
        <f>SUM(W95-U95)/U95</f>
        <v/>
      </c>
      <c r="AA95" s="842" t="inlineStr">
        <is>
          <t>C</t>
        </is>
      </c>
      <c r="AB95" s="590" t="n"/>
      <c r="AC95" s="847" t="n"/>
      <c r="AD95" s="841" t="inlineStr">
        <is>
          <t>No</t>
        </is>
      </c>
      <c r="AE95" s="840" t="inlineStr">
        <is>
          <t>Tenant break on 4 months notice.</t>
        </is>
      </c>
      <c r="AG95" s="29" t="n"/>
      <c r="AH95" s="313" t="n"/>
      <c r="AI95" s="29" t="n"/>
      <c r="AJ95" t="inlineStr">
        <is>
          <t>Let</t>
        </is>
      </c>
    </row>
    <row r="96">
      <c r="A96" t="inlineStr">
        <is>
          <t>50 Great Portland Street</t>
        </is>
      </c>
      <c r="B96" s="838" t="n"/>
      <c r="C96" s="839" t="inlineStr">
        <is>
          <t>CD</t>
        </is>
      </c>
      <c r="D96" s="839" t="inlineStr">
        <is>
          <t>MEL</t>
        </is>
      </c>
      <c r="E96" s="838" t="n">
        <v>550990</v>
      </c>
      <c r="F96" s="840" t="inlineStr">
        <is>
          <t>50 Great Portland Street</t>
        </is>
      </c>
      <c r="G96" s="840" t="inlineStr">
        <is>
          <t>Fourth Floor</t>
        </is>
      </c>
      <c r="H96" s="841" t="inlineStr">
        <is>
          <t>Office</t>
        </is>
      </c>
      <c r="I96" s="848" t="n">
        <v>314</v>
      </c>
      <c r="J96" s="848">
        <f>I96</f>
        <v/>
      </c>
      <c r="L96" s="840" t="inlineStr">
        <is>
          <t>James Boatman</t>
        </is>
      </c>
      <c r="M96" s="843" t="n">
        <v>45754</v>
      </c>
      <c r="N96" s="844" t="n">
        <v>46849</v>
      </c>
      <c r="R96" s="842" t="n">
        <v>17500</v>
      </c>
      <c r="S96" s="842">
        <f>R96</f>
        <v/>
      </c>
      <c r="U96" s="842" t="n">
        <v>15500</v>
      </c>
      <c r="V96" s="842">
        <f>U96</f>
        <v/>
      </c>
      <c r="W96" s="842" t="n">
        <v>17300</v>
      </c>
      <c r="X96" s="842">
        <f>W96</f>
        <v/>
      </c>
      <c r="Y96" s="845">
        <f>W96/I96</f>
        <v/>
      </c>
      <c r="Z96" s="846">
        <f>SUM(W96-U96)/U96</f>
        <v/>
      </c>
      <c r="AA96" s="842" t="inlineStr">
        <is>
          <t>C</t>
        </is>
      </c>
      <c r="AB96" s="590" t="n"/>
      <c r="AC96" s="847" t="n"/>
      <c r="AD96" s="841" t="inlineStr">
        <is>
          <t>No</t>
        </is>
      </c>
      <c r="AH96" s="312" t="n"/>
      <c r="AJ96" t="inlineStr">
        <is>
          <t>Let</t>
        </is>
      </c>
    </row>
    <row r="97">
      <c r="A97" t="inlineStr">
        <is>
          <t>50 Great Portland Street</t>
        </is>
      </c>
      <c r="B97" s="838" t="n"/>
      <c r="C97" s="839" t="inlineStr">
        <is>
          <t>CD</t>
        </is>
      </c>
      <c r="D97" s="839" t="inlineStr">
        <is>
          <t>MEL</t>
        </is>
      </c>
      <c r="E97" s="838" t="n">
        <v>550990</v>
      </c>
      <c r="F97" s="840" t="inlineStr">
        <is>
          <t>50 Great Portland Street</t>
        </is>
      </c>
      <c r="G97" s="840" t="inlineStr">
        <is>
          <t>Fifth Floor</t>
        </is>
      </c>
      <c r="H97" s="841" t="inlineStr">
        <is>
          <t>Office</t>
        </is>
      </c>
      <c r="I97" s="848" t="n">
        <v>309</v>
      </c>
      <c r="J97" s="848">
        <f>I97</f>
        <v/>
      </c>
      <c r="L97" s="840" t="inlineStr">
        <is>
          <t>OpenStudio Architects Ltd.</t>
        </is>
      </c>
      <c r="M97" s="843" t="n">
        <v>44767</v>
      </c>
      <c r="N97" s="844" t="n">
        <v>45862</v>
      </c>
      <c r="R97" s="842" t="n">
        <v>16000</v>
      </c>
      <c r="S97" s="842">
        <f>R97</f>
        <v/>
      </c>
      <c r="U97" s="842" t="n">
        <v>15000</v>
      </c>
      <c r="V97" s="842">
        <f>U97</f>
        <v/>
      </c>
      <c r="W97" s="842" t="n">
        <v>15500</v>
      </c>
      <c r="X97" s="842">
        <f>W97</f>
        <v/>
      </c>
      <c r="Y97" s="845">
        <f>W97/I97</f>
        <v/>
      </c>
      <c r="Z97" s="846">
        <f>SUM(W97-U97)/U97</f>
        <v/>
      </c>
      <c r="AA97" s="842" t="inlineStr">
        <is>
          <t>C</t>
        </is>
      </c>
      <c r="AB97" s="590" t="n"/>
      <c r="AC97" s="847" t="n"/>
      <c r="AD97" s="841" t="inlineStr">
        <is>
          <t>No</t>
        </is>
      </c>
      <c r="AE97" s="840" t="inlineStr">
        <is>
          <t>Lease renewal terms agreed.</t>
        </is>
      </c>
      <c r="AH97" s="312" t="n"/>
      <c r="AJ97" t="inlineStr">
        <is>
          <t>Let</t>
        </is>
      </c>
    </row>
    <row r="98">
      <c r="A98" t="inlineStr">
        <is>
          <t>51 Great Portland Street</t>
        </is>
      </c>
      <c r="B98" s="838" t="n"/>
      <c r="C98" s="839" t="inlineStr">
        <is>
          <t>WS</t>
        </is>
      </c>
      <c r="D98" s="839" t="inlineStr">
        <is>
          <t>MEL</t>
        </is>
      </c>
      <c r="E98" s="838" t="n">
        <v>550700</v>
      </c>
      <c r="F98" s="840" t="inlineStr">
        <is>
          <t>51 Great Portland Street</t>
        </is>
      </c>
      <c r="G98" s="840" t="inlineStr">
        <is>
          <t>Ground Floor &amp; Basement</t>
        </is>
      </c>
      <c r="H98" s="841" t="inlineStr">
        <is>
          <t>Retail</t>
        </is>
      </c>
      <c r="I98" s="848" t="n">
        <v>750</v>
      </c>
      <c r="J98" s="848">
        <f>I98</f>
        <v/>
      </c>
      <c r="L98" s="840" t="inlineStr">
        <is>
          <t>Bernardo Vasconcelos Ltd</t>
        </is>
      </c>
      <c r="M98" s="843" t="n">
        <v>45377</v>
      </c>
      <c r="N98" s="844" t="n">
        <v>49028</v>
      </c>
      <c r="P98" s="844" t="n">
        <v>47203</v>
      </c>
      <c r="R98" s="842" t="n">
        <v>45000</v>
      </c>
      <c r="S98" s="842">
        <f>R98</f>
        <v/>
      </c>
      <c r="U98" s="842" t="n">
        <v>39000</v>
      </c>
      <c r="V98" s="842">
        <f>U98</f>
        <v/>
      </c>
      <c r="W98" s="842" t="n">
        <v>39000</v>
      </c>
      <c r="X98" s="842">
        <f>W98</f>
        <v/>
      </c>
      <c r="Y98" s="845">
        <f>W98/I98</f>
        <v/>
      </c>
      <c r="Z98" s="846">
        <f>SUM(W98-U98)/U98</f>
        <v/>
      </c>
      <c r="AA98" s="842" t="inlineStr">
        <is>
          <t>D</t>
        </is>
      </c>
      <c r="AB98" s="590" t="n"/>
      <c r="AC98" s="847" t="n"/>
      <c r="AD98" s="841" t="inlineStr">
        <is>
          <t>No</t>
        </is>
      </c>
      <c r="AJ98" t="inlineStr">
        <is>
          <t>Let</t>
        </is>
      </c>
    </row>
    <row r="99">
      <c r="A99" t="inlineStr">
        <is>
          <t>51 Great Portland Street</t>
        </is>
      </c>
      <c r="B99" s="838" t="n"/>
      <c r="C99" s="839" t="inlineStr">
        <is>
          <t>WS</t>
        </is>
      </c>
      <c r="D99" s="839" t="inlineStr">
        <is>
          <t>MEL</t>
        </is>
      </c>
      <c r="E99" s="838" t="n">
        <v>550700</v>
      </c>
      <c r="F99" s="840" t="inlineStr">
        <is>
          <t>51 Great Portland Street</t>
        </is>
      </c>
      <c r="G99" s="840" t="inlineStr">
        <is>
          <t>First Floor</t>
        </is>
      </c>
      <c r="H99" s="841" t="inlineStr">
        <is>
          <t>Office</t>
        </is>
      </c>
      <c r="I99" s="848" t="n">
        <v>325</v>
      </c>
      <c r="J99" s="848">
        <f>I99</f>
        <v/>
      </c>
      <c r="K99" s="848" t="n">
        <v>500</v>
      </c>
      <c r="L99" s="840" t="inlineStr">
        <is>
          <t>Vacant</t>
        </is>
      </c>
      <c r="O99" s="844" t="n">
        <v>45282</v>
      </c>
      <c r="R99" s="842" t="n">
        <v>0</v>
      </c>
      <c r="S99" s="842">
        <f>R99</f>
        <v/>
      </c>
      <c r="U99" s="842" t="n">
        <v>17100</v>
      </c>
      <c r="V99" s="842">
        <f>U99</f>
        <v/>
      </c>
      <c r="W99" s="842" t="n">
        <v>17100</v>
      </c>
      <c r="X99" s="842">
        <f>W99</f>
        <v/>
      </c>
      <c r="Y99" s="845">
        <f>W99/I99</f>
        <v/>
      </c>
      <c r="Z99" s="846">
        <f>SUM(W99-U99)/U99</f>
        <v/>
      </c>
      <c r="AA99" s="842" t="inlineStr">
        <is>
          <t>E</t>
        </is>
      </c>
      <c r="AB99" s="590" t="n"/>
      <c r="AC99" s="847" t="n"/>
      <c r="AD99" s="841" t="inlineStr">
        <is>
          <t>No</t>
        </is>
      </c>
      <c r="AE99" s="840" t="inlineStr">
        <is>
          <t>To be refurbished.</t>
        </is>
      </c>
      <c r="AF99" s="849" t="n">
        <v>58</v>
      </c>
      <c r="AH99" s="312" t="n">
        <v>4</v>
      </c>
      <c r="AJ99" t="inlineStr">
        <is>
          <t>Void</t>
        </is>
      </c>
    </row>
    <row r="100">
      <c r="A100" t="inlineStr">
        <is>
          <t>51 Great Portland Street</t>
        </is>
      </c>
      <c r="B100" s="838" t="n"/>
      <c r="C100" s="839" t="inlineStr">
        <is>
          <t>WS</t>
        </is>
      </c>
      <c r="D100" s="839" t="inlineStr">
        <is>
          <t>MEL</t>
        </is>
      </c>
      <c r="E100" s="838" t="n">
        <v>550700</v>
      </c>
      <c r="F100" s="840" t="inlineStr">
        <is>
          <t>51 Great Portland Street</t>
        </is>
      </c>
      <c r="G100" s="840" t="inlineStr">
        <is>
          <t>Second Floor</t>
        </is>
      </c>
      <c r="H100" s="841" t="inlineStr">
        <is>
          <t>Office</t>
        </is>
      </c>
      <c r="I100" s="848" t="n">
        <v>325</v>
      </c>
      <c r="J100" s="848">
        <f>I100</f>
        <v/>
      </c>
      <c r="K100" s="848" t="n">
        <v>500</v>
      </c>
      <c r="L100" s="840" t="inlineStr">
        <is>
          <t>Learn Lab Language School Ltd</t>
        </is>
      </c>
      <c r="M100" s="843" t="n">
        <v>45698</v>
      </c>
      <c r="N100" s="844" t="n">
        <v>46427</v>
      </c>
      <c r="R100" s="842" t="n">
        <v>22069</v>
      </c>
      <c r="S100" s="842">
        <f>R100</f>
        <v/>
      </c>
      <c r="U100" s="842" t="n">
        <v>17100</v>
      </c>
      <c r="V100" s="842">
        <f>U100</f>
        <v/>
      </c>
      <c r="W100" s="842" t="n">
        <v>17100</v>
      </c>
      <c r="X100" s="842">
        <f>W100</f>
        <v/>
      </c>
      <c r="Y100" s="845">
        <f>W100/I100</f>
        <v/>
      </c>
      <c r="Z100" s="846">
        <f>SUM(W100-U100)/U100</f>
        <v/>
      </c>
      <c r="AA100" s="842" t="inlineStr">
        <is>
          <t>D</t>
        </is>
      </c>
      <c r="AB100" s="590" t="n"/>
      <c r="AC100" s="847" t="n"/>
      <c r="AD100" s="841" t="inlineStr">
        <is>
          <t>No</t>
        </is>
      </c>
      <c r="AE100" s="840" t="inlineStr">
        <is>
          <t>Rent all inclusive (excl rates).</t>
        </is>
      </c>
      <c r="AH100" s="312" t="n">
        <v>1</v>
      </c>
      <c r="AJ100" t="inlineStr">
        <is>
          <t>Let</t>
        </is>
      </c>
    </row>
    <row r="101">
      <c r="A101" t="inlineStr">
        <is>
          <t>51 Great Portland Street</t>
        </is>
      </c>
      <c r="B101" s="838" t="n"/>
      <c r="C101" s="839" t="inlineStr">
        <is>
          <t>WS</t>
        </is>
      </c>
      <c r="D101" s="839" t="inlineStr">
        <is>
          <t>MEL</t>
        </is>
      </c>
      <c r="E101" s="838" t="n">
        <v>550700</v>
      </c>
      <c r="F101" s="840" t="inlineStr">
        <is>
          <t>51 Great Portland Street</t>
        </is>
      </c>
      <c r="G101" s="840" t="inlineStr">
        <is>
          <t>Third Floor</t>
        </is>
      </c>
      <c r="H101" s="841" t="inlineStr">
        <is>
          <t>Office</t>
        </is>
      </c>
      <c r="I101" s="848" t="n">
        <v>325</v>
      </c>
      <c r="J101" s="848">
        <f>I101</f>
        <v/>
      </c>
      <c r="K101" s="848" t="n">
        <v>500</v>
      </c>
      <c r="L101" s="840" t="inlineStr">
        <is>
          <t>Vacant</t>
        </is>
      </c>
      <c r="O101" s="844" t="n">
        <v>44714</v>
      </c>
      <c r="R101" s="842" t="n">
        <v>0</v>
      </c>
      <c r="S101" s="842">
        <f>R101</f>
        <v/>
      </c>
      <c r="U101" s="842" t="n">
        <v>16300</v>
      </c>
      <c r="V101" s="842">
        <f>U101</f>
        <v/>
      </c>
      <c r="W101" s="842" t="n">
        <v>16300</v>
      </c>
      <c r="X101" s="842">
        <f>W101</f>
        <v/>
      </c>
      <c r="Y101" s="845">
        <f>W101/I101</f>
        <v/>
      </c>
      <c r="Z101" s="846">
        <f>SUM(W101-U101)/U101</f>
        <v/>
      </c>
      <c r="AA101" s="842" t="inlineStr">
        <is>
          <t>C</t>
        </is>
      </c>
      <c r="AB101" s="590" t="n"/>
      <c r="AC101" s="847" t="n"/>
      <c r="AD101" s="841" t="inlineStr">
        <is>
          <t>No</t>
        </is>
      </c>
      <c r="AE101" s="840" t="inlineStr">
        <is>
          <t>To be refurbished.</t>
        </is>
      </c>
      <c r="AF101" s="849" t="n">
        <v>52.5</v>
      </c>
      <c r="AH101" s="312" t="n"/>
      <c r="AJ101" t="inlineStr">
        <is>
          <t>Void</t>
        </is>
      </c>
    </row>
    <row r="102">
      <c r="A102" t="inlineStr">
        <is>
          <t>53 Great Portland Street</t>
        </is>
      </c>
      <c r="B102" s="838" t="n"/>
      <c r="C102" s="839" t="inlineStr">
        <is>
          <t>WS</t>
        </is>
      </c>
      <c r="D102" s="839" t="inlineStr">
        <is>
          <t>MEL</t>
        </is>
      </c>
      <c r="E102" s="838" t="n">
        <v>550710</v>
      </c>
      <c r="F102" s="840" t="inlineStr">
        <is>
          <t>53 Great Portland Street</t>
        </is>
      </c>
      <c r="G102" s="840" t="inlineStr">
        <is>
          <t>Ground Floor &amp; Basement</t>
        </is>
      </c>
      <c r="H102" s="841" t="inlineStr">
        <is>
          <t>Café</t>
        </is>
      </c>
      <c r="I102" s="848" t="n">
        <v>807</v>
      </c>
      <c r="J102" s="848">
        <f>I102</f>
        <v/>
      </c>
      <c r="K102" s="848" t="n">
        <v>1000</v>
      </c>
      <c r="L102" s="840" t="inlineStr">
        <is>
          <t>O-Chaa Thai Ltd.</t>
        </is>
      </c>
      <c r="M102" s="843" t="n">
        <v>42179</v>
      </c>
      <c r="N102" s="844" t="n">
        <v>45831</v>
      </c>
      <c r="R102" s="842" t="n">
        <v>34320</v>
      </c>
      <c r="S102" s="842">
        <f>R102</f>
        <v/>
      </c>
      <c r="U102" s="842" t="n">
        <v>34320</v>
      </c>
      <c r="V102" s="842">
        <f>U102</f>
        <v/>
      </c>
      <c r="W102" s="842" t="n">
        <v>34481</v>
      </c>
      <c r="X102" s="842">
        <f>W102</f>
        <v/>
      </c>
      <c r="Y102" s="845">
        <f>W102/I102</f>
        <v/>
      </c>
      <c r="Z102" s="846">
        <f>SUM(W102-U102)/U102</f>
        <v/>
      </c>
      <c r="AA102" s="842" t="inlineStr">
        <is>
          <t>E</t>
        </is>
      </c>
      <c r="AB102" s="590" t="n"/>
      <c r="AC102" s="847" t="n"/>
      <c r="AD102" s="841" t="inlineStr">
        <is>
          <t>No</t>
        </is>
      </c>
      <c r="AE102" s="840" t="inlineStr">
        <is>
          <t>Lease renewal terms being discussed.</t>
        </is>
      </c>
      <c r="AH102" s="312" t="n"/>
      <c r="AJ102" t="inlineStr">
        <is>
          <t>Let</t>
        </is>
      </c>
    </row>
    <row r="103">
      <c r="A103" t="inlineStr">
        <is>
          <t>53 Great Portland Street</t>
        </is>
      </c>
      <c r="B103" s="838" t="n"/>
      <c r="C103" s="839" t="inlineStr">
        <is>
          <t>WS</t>
        </is>
      </c>
      <c r="D103" s="839" t="inlineStr">
        <is>
          <t>MEL</t>
        </is>
      </c>
      <c r="E103" s="838" t="n">
        <v>550710</v>
      </c>
      <c r="F103" s="840" t="inlineStr">
        <is>
          <t>53 Great Portland Street</t>
        </is>
      </c>
      <c r="G103" s="840" t="inlineStr">
        <is>
          <t>Ground Floor</t>
        </is>
      </c>
      <c r="H103" s="841" t="inlineStr">
        <is>
          <t>Kiosk</t>
        </is>
      </c>
      <c r="I103" s="848" t="n">
        <v>60</v>
      </c>
      <c r="J103" s="848">
        <f>I103</f>
        <v/>
      </c>
      <c r="L103" s="840" t="inlineStr">
        <is>
          <t>J C Patel</t>
        </is>
      </c>
      <c r="M103" s="843" t="n">
        <v>44075</v>
      </c>
      <c r="N103" s="844" t="n">
        <v>45900</v>
      </c>
      <c r="R103" s="842" t="n">
        <v>12500</v>
      </c>
      <c r="S103" s="842">
        <f>R103</f>
        <v/>
      </c>
      <c r="U103" s="842" t="n">
        <v>12000</v>
      </c>
      <c r="V103" s="842">
        <f>U103</f>
        <v/>
      </c>
      <c r="W103" s="842" t="n">
        <v>12000</v>
      </c>
      <c r="X103" s="842">
        <f>W103</f>
        <v/>
      </c>
      <c r="Y103" s="845">
        <f>W103/I103</f>
        <v/>
      </c>
      <c r="Z103" s="846">
        <f>SUM(W103-U103)/U103</f>
        <v/>
      </c>
      <c r="AA103" s="842" t="inlineStr">
        <is>
          <t>E</t>
        </is>
      </c>
      <c r="AB103" s="590" t="n"/>
      <c r="AC103" s="847" t="n"/>
      <c r="AD103" s="841" t="inlineStr">
        <is>
          <t>No</t>
        </is>
      </c>
      <c r="AE103" s="840" t="inlineStr">
        <is>
          <t>All Inclusive. Lease renewal being discussed.</t>
        </is>
      </c>
      <c r="AH103" s="312" t="n"/>
      <c r="AJ103" t="inlineStr">
        <is>
          <t>Let</t>
        </is>
      </c>
    </row>
    <row r="104">
      <c r="A104" t="inlineStr">
        <is>
          <t>53 Great Portland Street</t>
        </is>
      </c>
      <c r="B104" s="838" t="n"/>
      <c r="C104" s="839" t="inlineStr">
        <is>
          <t>WS</t>
        </is>
      </c>
      <c r="D104" s="839" t="inlineStr">
        <is>
          <t>MEL</t>
        </is>
      </c>
      <c r="E104" s="838" t="n">
        <v>550710</v>
      </c>
      <c r="F104" s="840" t="inlineStr">
        <is>
          <t>53 Great Portland Street</t>
        </is>
      </c>
      <c r="G104" s="840" t="inlineStr">
        <is>
          <t>First Floor</t>
        </is>
      </c>
      <c r="H104" s="841" t="inlineStr">
        <is>
          <t>Office</t>
        </is>
      </c>
      <c r="I104" s="848" t="n">
        <v>370</v>
      </c>
      <c r="J104" s="848">
        <f>I104</f>
        <v/>
      </c>
      <c r="K104" s="848" t="n">
        <v>500</v>
      </c>
      <c r="L104" s="840" t="inlineStr">
        <is>
          <t>Vacant</t>
        </is>
      </c>
      <c r="O104" s="844" t="n">
        <v>43738</v>
      </c>
      <c r="R104" s="842" t="n">
        <v>0</v>
      </c>
      <c r="S104" s="842">
        <f>R104</f>
        <v/>
      </c>
      <c r="U104" s="842" t="n">
        <v>18500</v>
      </c>
      <c r="V104" s="842">
        <f>U104</f>
        <v/>
      </c>
      <c r="W104" s="842" t="n">
        <v>18500</v>
      </c>
      <c r="X104" s="842">
        <f>W104</f>
        <v/>
      </c>
      <c r="Y104" s="845">
        <f>W104/I104</f>
        <v/>
      </c>
      <c r="Z104" s="846">
        <f>SUM(W104-U104)/U104</f>
        <v/>
      </c>
      <c r="AA104" s="842" t="inlineStr">
        <is>
          <t>E</t>
        </is>
      </c>
      <c r="AB104" s="590" t="n"/>
      <c r="AC104" s="847" t="n"/>
      <c r="AD104" s="841" t="inlineStr">
        <is>
          <t>No</t>
        </is>
      </c>
      <c r="AE104" s="840" t="inlineStr">
        <is>
          <t>To be refurbished.</t>
        </is>
      </c>
      <c r="AF104" s="849" t="n">
        <v>52.5</v>
      </c>
      <c r="AG104" s="840" t="n">
        <v>1</v>
      </c>
      <c r="AH104" s="312" t="n">
        <v>3</v>
      </c>
      <c r="AJ104" t="inlineStr">
        <is>
          <t>Void</t>
        </is>
      </c>
    </row>
    <row r="105">
      <c r="A105" t="inlineStr">
        <is>
          <t>53 Great Portland Street</t>
        </is>
      </c>
      <c r="B105" s="838" t="n"/>
      <c r="C105" s="839" t="inlineStr">
        <is>
          <t>WS</t>
        </is>
      </c>
      <c r="D105" s="839" t="inlineStr">
        <is>
          <t>MEL</t>
        </is>
      </c>
      <c r="E105" s="838" t="n">
        <v>550710</v>
      </c>
      <c r="F105" s="840" t="inlineStr">
        <is>
          <t>53 Great Portland Street</t>
        </is>
      </c>
      <c r="G105" s="840" t="inlineStr">
        <is>
          <t>Second Floor</t>
        </is>
      </c>
      <c r="H105" s="841" t="inlineStr">
        <is>
          <t>Office</t>
        </is>
      </c>
      <c r="I105" s="848" t="n">
        <v>325</v>
      </c>
      <c r="J105" s="848">
        <f>I105</f>
        <v/>
      </c>
      <c r="K105" s="848" t="n">
        <v>500</v>
      </c>
      <c r="L105" s="840" t="inlineStr">
        <is>
          <t>Vacant</t>
        </is>
      </c>
      <c r="O105" s="844" t="n">
        <v>45379</v>
      </c>
      <c r="R105" s="842" t="n">
        <v>0</v>
      </c>
      <c r="S105" s="842">
        <f>R105</f>
        <v/>
      </c>
      <c r="U105" s="842" t="n">
        <v>17000</v>
      </c>
      <c r="V105" s="842">
        <f>U105</f>
        <v/>
      </c>
      <c r="W105" s="842" t="n">
        <v>17062</v>
      </c>
      <c r="X105" s="842">
        <f>W105</f>
        <v/>
      </c>
      <c r="Y105" s="845">
        <f>W105/I105</f>
        <v/>
      </c>
      <c r="Z105" s="846">
        <f>SUM(W105-U105)/U105</f>
        <v/>
      </c>
      <c r="AA105" s="842" t="inlineStr">
        <is>
          <t>E</t>
        </is>
      </c>
      <c r="AB105" s="590" t="n"/>
      <c r="AC105" s="847" t="n"/>
      <c r="AD105" s="841" t="inlineStr">
        <is>
          <t>No</t>
        </is>
      </c>
      <c r="AE105" s="840" t="inlineStr">
        <is>
          <t>To be refurbished.</t>
        </is>
      </c>
      <c r="AF105" s="849" t="n">
        <v>53</v>
      </c>
      <c r="AH105" s="312" t="n"/>
      <c r="AJ105" t="inlineStr">
        <is>
          <t>Void</t>
        </is>
      </c>
    </row>
    <row r="106">
      <c r="A106" t="inlineStr">
        <is>
          <t>53 Great Portland Street</t>
        </is>
      </c>
      <c r="B106" s="838" t="n"/>
      <c r="C106" s="839" t="inlineStr">
        <is>
          <t>WS</t>
        </is>
      </c>
      <c r="D106" s="839" t="inlineStr">
        <is>
          <t>MEL</t>
        </is>
      </c>
      <c r="E106" s="838" t="n">
        <v>550710</v>
      </c>
      <c r="F106" s="840" t="inlineStr">
        <is>
          <t>53 Great Portland Street</t>
        </is>
      </c>
      <c r="G106" s="840" t="inlineStr">
        <is>
          <t>Third Floor</t>
        </is>
      </c>
      <c r="H106" s="841" t="inlineStr">
        <is>
          <t>Office</t>
        </is>
      </c>
      <c r="I106" s="848" t="n">
        <v>321</v>
      </c>
      <c r="J106" s="848">
        <f>I106</f>
        <v/>
      </c>
      <c r="K106" s="848" t="n">
        <v>500</v>
      </c>
      <c r="L106" s="840" t="inlineStr">
        <is>
          <t>Vacant</t>
        </is>
      </c>
      <c r="O106" s="844" t="n">
        <v>45170</v>
      </c>
      <c r="R106" s="842" t="n">
        <v>0</v>
      </c>
      <c r="S106" s="842">
        <f>R106</f>
        <v/>
      </c>
      <c r="U106" s="842" t="n">
        <v>17000</v>
      </c>
      <c r="V106" s="842">
        <f>U106</f>
        <v/>
      </c>
      <c r="W106" s="842" t="n">
        <v>16852</v>
      </c>
      <c r="X106" s="842">
        <f>W106</f>
        <v/>
      </c>
      <c r="Y106" s="845">
        <f>W106/I106</f>
        <v/>
      </c>
      <c r="Z106" s="846">
        <f>SUM(W106-U106)/U106</f>
        <v/>
      </c>
      <c r="AA106" s="842" t="inlineStr">
        <is>
          <t>E</t>
        </is>
      </c>
      <c r="AB106" s="590" t="n"/>
      <c r="AC106" s="847" t="n"/>
      <c r="AD106" s="841" t="inlineStr">
        <is>
          <t>No</t>
        </is>
      </c>
      <c r="AE106" s="840" t="inlineStr">
        <is>
          <t>To be refurbished.</t>
        </is>
      </c>
      <c r="AF106" s="849" t="n">
        <v>53</v>
      </c>
      <c r="AG106" s="840" t="n">
        <v>2</v>
      </c>
      <c r="AH106" s="312" t="n">
        <v>2</v>
      </c>
      <c r="AJ106" t="inlineStr">
        <is>
          <t>Void</t>
        </is>
      </c>
    </row>
    <row r="107">
      <c r="A107" t="inlineStr">
        <is>
          <t>76 Great Portland Street</t>
        </is>
      </c>
      <c r="B107" s="838" t="n"/>
      <c r="C107" s="839" t="inlineStr">
        <is>
          <t>CM</t>
        </is>
      </c>
      <c r="D107" s="839" t="inlineStr">
        <is>
          <t>MEL</t>
        </is>
      </c>
      <c r="E107" s="838" t="n">
        <v>550090</v>
      </c>
      <c r="F107" s="840" t="inlineStr">
        <is>
          <t>76 Great Portland Street</t>
        </is>
      </c>
      <c r="G107" s="840" t="inlineStr">
        <is>
          <t>Basement &amp; Ground Floor (Front)</t>
        </is>
      </c>
      <c r="H107" s="841" t="inlineStr">
        <is>
          <t>Showroom</t>
        </is>
      </c>
      <c r="I107" s="848" t="n">
        <v>607</v>
      </c>
      <c r="J107" s="848">
        <f>I107</f>
        <v/>
      </c>
      <c r="K107" s="848" t="n">
        <v>500</v>
      </c>
      <c r="L107" s="840" t="inlineStr">
        <is>
          <t>O-Chaa Thai Ltd.</t>
        </is>
      </c>
      <c r="M107" s="843" t="n">
        <v>45706</v>
      </c>
      <c r="N107" s="844" t="n">
        <v>49357</v>
      </c>
      <c r="P107" s="844" t="n">
        <v>47532</v>
      </c>
      <c r="Q107" s="844" t="n">
        <v>47531</v>
      </c>
      <c r="R107" s="842" t="n">
        <v>27000</v>
      </c>
      <c r="S107" s="842">
        <f>R107</f>
        <v/>
      </c>
      <c r="U107" s="842" t="n">
        <v>25000</v>
      </c>
      <c r="V107" s="842">
        <f>U107</f>
        <v/>
      </c>
      <c r="W107" s="842" t="n">
        <v>25000</v>
      </c>
      <c r="X107" s="842">
        <f>W107</f>
        <v/>
      </c>
      <c r="Y107" s="845">
        <f>W107/I107</f>
        <v/>
      </c>
      <c r="Z107" s="846">
        <f>SUM(W107-U107)/U107</f>
        <v/>
      </c>
      <c r="AA107" s="842" t="inlineStr">
        <is>
          <t>B</t>
        </is>
      </c>
      <c r="AB107" s="590" t="n"/>
      <c r="AC107" s="847" t="n"/>
      <c r="AD107" s="841" t="inlineStr">
        <is>
          <t>No</t>
        </is>
      </c>
      <c r="AE107" s="840" t="inlineStr">
        <is>
          <t xml:space="preserve">Tenant break on 6 months notice. </t>
        </is>
      </c>
      <c r="AH107" s="312" t="n"/>
      <c r="AJ107" t="inlineStr">
        <is>
          <t>Let</t>
        </is>
      </c>
    </row>
    <row r="108">
      <c r="A108" t="inlineStr">
        <is>
          <t>76 Great Portland Street</t>
        </is>
      </c>
      <c r="B108" s="838" t="n"/>
      <c r="C108" s="839" t="inlineStr">
        <is>
          <t>CM</t>
        </is>
      </c>
      <c r="D108" s="839" t="inlineStr">
        <is>
          <t>MEL</t>
        </is>
      </c>
      <c r="E108" s="838" t="n">
        <v>550090</v>
      </c>
      <c r="F108" s="840" t="inlineStr">
        <is>
          <t>76 Great Portland Street</t>
        </is>
      </c>
      <c r="G108" s="840" t="inlineStr">
        <is>
          <t>Basement &amp; Ground Floor (Rear)</t>
        </is>
      </c>
      <c r="H108" s="841" t="inlineStr">
        <is>
          <t>Restaurant</t>
        </is>
      </c>
      <c r="I108" s="848" t="n">
        <v>662</v>
      </c>
      <c r="J108" s="848">
        <f>I108</f>
        <v/>
      </c>
      <c r="K108" s="848" t="n">
        <v>500</v>
      </c>
      <c r="L108" s="840" t="inlineStr">
        <is>
          <t>O-Chaa Thai Ltd.</t>
        </is>
      </c>
      <c r="M108" s="843" t="n">
        <v>45706</v>
      </c>
      <c r="N108" s="844" t="n">
        <v>49357</v>
      </c>
      <c r="P108" s="844" t="n">
        <v>47532</v>
      </c>
      <c r="Q108" s="844" t="n">
        <v>47531</v>
      </c>
      <c r="R108" s="842" t="n">
        <v>22000</v>
      </c>
      <c r="S108" s="842">
        <f>R108</f>
        <v/>
      </c>
      <c r="U108" s="842" t="n">
        <v>20000</v>
      </c>
      <c r="V108" s="842">
        <f>U108</f>
        <v/>
      </c>
      <c r="W108" s="842" t="n">
        <v>20000</v>
      </c>
      <c r="X108" s="842">
        <f>W108</f>
        <v/>
      </c>
      <c r="Y108" s="845">
        <f>W108/I108</f>
        <v/>
      </c>
      <c r="Z108" s="846">
        <f>SUM(W108-U108)/U108</f>
        <v/>
      </c>
      <c r="AA108" s="842" t="inlineStr">
        <is>
          <t>B</t>
        </is>
      </c>
      <c r="AB108" s="590" t="n"/>
      <c r="AC108" s="847" t="n"/>
      <c r="AD108" s="841" t="inlineStr">
        <is>
          <t>No</t>
        </is>
      </c>
      <c r="AE108" s="840" t="inlineStr">
        <is>
          <t>Tenant break on 6 months notice.</t>
        </is>
      </c>
      <c r="AH108" s="312" t="n"/>
      <c r="AJ108" t="inlineStr">
        <is>
          <t>Let</t>
        </is>
      </c>
    </row>
    <row r="109">
      <c r="A109" t="inlineStr">
        <is>
          <t>76 Great Portland Street</t>
        </is>
      </c>
      <c r="B109" s="838" t="n"/>
      <c r="C109" s="839" t="inlineStr">
        <is>
          <t>CM</t>
        </is>
      </c>
      <c r="D109" s="839" t="inlineStr">
        <is>
          <t>MEL</t>
        </is>
      </c>
      <c r="E109" s="838" t="n">
        <v>550090</v>
      </c>
      <c r="F109" s="840" t="inlineStr">
        <is>
          <t>76 Great Portland Street</t>
        </is>
      </c>
      <c r="G109" s="840" t="inlineStr">
        <is>
          <t>First to Fourth Floor</t>
        </is>
      </c>
      <c r="H109" s="841" t="inlineStr">
        <is>
          <t>Office</t>
        </is>
      </c>
      <c r="I109" s="848" t="n">
        <v>1765</v>
      </c>
      <c r="J109" s="848">
        <f>I109</f>
        <v/>
      </c>
      <c r="K109" s="848" t="n">
        <v>1750</v>
      </c>
      <c r="L109" s="840" t="inlineStr">
        <is>
          <t>Vacant</t>
        </is>
      </c>
      <c r="O109" s="844" t="n">
        <v>43256</v>
      </c>
      <c r="R109" s="842" t="n">
        <v>0</v>
      </c>
      <c r="S109" s="842">
        <f>R109</f>
        <v/>
      </c>
      <c r="U109" s="842" t="n">
        <v>90000</v>
      </c>
      <c r="V109" s="842">
        <f>U109</f>
        <v/>
      </c>
      <c r="W109" s="842" t="n">
        <v>85000</v>
      </c>
      <c r="X109" s="842">
        <f>W109</f>
        <v/>
      </c>
      <c r="Y109" s="845">
        <f>W109/I109</f>
        <v/>
      </c>
      <c r="Z109" s="846">
        <f>SUM(W109-U109)/U109</f>
        <v/>
      </c>
      <c r="AA109" s="842" t="inlineStr">
        <is>
          <t>E</t>
        </is>
      </c>
      <c r="AB109" s="590" t="n"/>
      <c r="AC109" s="847" t="n"/>
      <c r="AD109" s="841" t="inlineStr">
        <is>
          <t>No</t>
        </is>
      </c>
      <c r="AE109" s="840" t="inlineStr">
        <is>
          <t>Mothballed.</t>
        </is>
      </c>
      <c r="AG109" s="29" t="n"/>
      <c r="AH109" s="313" t="n"/>
      <c r="AI109" s="29" t="n"/>
      <c r="AJ109" t="inlineStr">
        <is>
          <t>Void</t>
        </is>
      </c>
    </row>
    <row r="110">
      <c r="A110" t="inlineStr">
        <is>
          <t>1 Great Titchfield Street</t>
        </is>
      </c>
      <c r="B110" s="838" t="n"/>
      <c r="C110" s="839" t="inlineStr">
        <is>
          <t>WS</t>
        </is>
      </c>
      <c r="D110" s="839" t="inlineStr">
        <is>
          <t>MEL</t>
        </is>
      </c>
      <c r="E110" s="838" t="n">
        <v>550750</v>
      </c>
      <c r="F110" s="840" t="inlineStr">
        <is>
          <t>1 Great Titchfield Street</t>
        </is>
      </c>
      <c r="G110" s="840" t="inlineStr">
        <is>
          <t>Basement to Third Floor</t>
        </is>
      </c>
      <c r="H110" s="841" t="inlineStr">
        <is>
          <t>Shop/Snack Bar</t>
        </is>
      </c>
      <c r="I110" s="18" t="n">
        <v>1305</v>
      </c>
      <c r="J110" s="842">
        <f>I110</f>
        <v/>
      </c>
      <c r="K110" s="842" t="n">
        <v>1250</v>
      </c>
      <c r="L110" s="840" t="inlineStr">
        <is>
          <t>Tikkas Group Ltd</t>
        </is>
      </c>
      <c r="M110" s="843" t="n">
        <v>45748</v>
      </c>
      <c r="N110" s="844" t="n">
        <v>49399</v>
      </c>
      <c r="P110" s="844" t="n">
        <v>47574</v>
      </c>
      <c r="Q110" s="844" t="n">
        <v>47573</v>
      </c>
      <c r="R110" s="842" t="n">
        <v>0</v>
      </c>
      <c r="S110" s="842">
        <f>R110</f>
        <v/>
      </c>
      <c r="T110" s="591">
        <f>S110</f>
        <v/>
      </c>
      <c r="U110" s="591" t="n">
        <v>90000</v>
      </c>
      <c r="V110" s="842">
        <f>U110</f>
        <v/>
      </c>
      <c r="W110" s="591" t="n">
        <v>90000</v>
      </c>
      <c r="X110" s="842">
        <f>W110</f>
        <v/>
      </c>
      <c r="Y110" s="845">
        <f>W110/I110</f>
        <v/>
      </c>
      <c r="Z110" s="846">
        <f>SUM(W110-U110)/U110</f>
        <v/>
      </c>
      <c r="AA110" s="842" t="inlineStr">
        <is>
          <t>D</t>
        </is>
      </c>
      <c r="AB110" s="590" t="n"/>
      <c r="AC110" s="591" t="n">
        <v>1630000</v>
      </c>
      <c r="AD110" s="841" t="inlineStr">
        <is>
          <t>No</t>
        </is>
      </c>
      <c r="AE110" s="840" t="inlineStr">
        <is>
          <t>Rent £90,000 wef 01/09/25. Tenant break on 6 months notice. 2 months rent free if break not exercised.</t>
        </is>
      </c>
      <c r="AF110" s="849" t="n">
        <v>69</v>
      </c>
      <c r="AH110" s="312" t="n">
        <v>10</v>
      </c>
      <c r="AI110" s="840" t="inlineStr">
        <is>
          <t>LEM</t>
        </is>
      </c>
      <c r="AJ110" t="inlineStr">
        <is>
          <t>Let</t>
        </is>
      </c>
    </row>
    <row r="111">
      <c r="A111" t="inlineStr">
        <is>
          <t>3 Great Titchfield Street</t>
        </is>
      </c>
      <c r="B111" s="838" t="n"/>
      <c r="C111" s="839" t="inlineStr">
        <is>
          <t>CM</t>
        </is>
      </c>
      <c r="D111" s="839" t="inlineStr">
        <is>
          <t>MEL</t>
        </is>
      </c>
      <c r="E111" s="838" t="n">
        <v>550880</v>
      </c>
      <c r="F111" s="840" t="inlineStr">
        <is>
          <t>3 Great Titchfield Street</t>
        </is>
      </c>
      <c r="G111" s="840" t="inlineStr">
        <is>
          <t>Basement &amp; Ground</t>
        </is>
      </c>
      <c r="H111" s="841" t="inlineStr">
        <is>
          <t>Restaurant</t>
        </is>
      </c>
      <c r="I111" s="855" t="n">
        <v>1440</v>
      </c>
      <c r="J111" s="842">
        <f>I111</f>
        <v/>
      </c>
      <c r="K111" s="842" t="n">
        <v>1500</v>
      </c>
      <c r="L111" s="840" t="inlineStr">
        <is>
          <t>Pho Trading Ltd.</t>
        </is>
      </c>
      <c r="M111" s="844" t="n">
        <v>43430</v>
      </c>
      <c r="N111" s="844" t="n">
        <v>47082</v>
      </c>
      <c r="P111" s="844" t="n">
        <v>45256</v>
      </c>
      <c r="R111" s="842" t="n">
        <v>100000</v>
      </c>
      <c r="S111" s="842">
        <f>R111</f>
        <v/>
      </c>
      <c r="U111" s="842" t="n">
        <v>100000</v>
      </c>
      <c r="V111" s="842">
        <f>U111</f>
        <v/>
      </c>
      <c r="W111" s="842" t="n">
        <v>100000</v>
      </c>
      <c r="X111" s="842">
        <f>W111</f>
        <v/>
      </c>
      <c r="Y111" s="845">
        <f>W111/I111</f>
        <v/>
      </c>
      <c r="Z111" s="846">
        <f>SUM(W111-U111)/U111</f>
        <v/>
      </c>
      <c r="AA111" s="842" t="inlineStr">
        <is>
          <t>C</t>
        </is>
      </c>
      <c r="AB111" s="590" t="n"/>
      <c r="AC111" s="847" t="n"/>
      <c r="AD111" s="841" t="inlineStr">
        <is>
          <t>No</t>
        </is>
      </c>
      <c r="AE111" s="840" t="inlineStr">
        <is>
          <t>Rent review not activated due to level of passing rent.</t>
        </is>
      </c>
      <c r="AH111" s="312" t="n"/>
      <c r="AJ111" t="inlineStr">
        <is>
          <t>Let</t>
        </is>
      </c>
    </row>
    <row r="112">
      <c r="A112" t="inlineStr">
        <is>
          <t>3 Great Titchfield Street</t>
        </is>
      </c>
      <c r="B112" s="838" t="n"/>
      <c r="C112" s="839" t="inlineStr">
        <is>
          <t>CM</t>
        </is>
      </c>
      <c r="D112" s="839" t="inlineStr">
        <is>
          <t>MEL</t>
        </is>
      </c>
      <c r="E112" s="838" t="n">
        <v>550880</v>
      </c>
      <c r="F112" s="840" t="inlineStr">
        <is>
          <t>3 Great Titchfield Street</t>
        </is>
      </c>
      <c r="G112" s="840" t="inlineStr">
        <is>
          <t xml:space="preserve">First to Third Floor </t>
        </is>
      </c>
      <c r="H112" s="839" t="inlineStr">
        <is>
          <t>Flat</t>
        </is>
      </c>
      <c r="I112" s="848" t="n">
        <v>1082</v>
      </c>
      <c r="J112" s="842">
        <f>I112</f>
        <v/>
      </c>
      <c r="K112" s="842" t="n">
        <v>1000</v>
      </c>
      <c r="L112" s="856" t="inlineStr">
        <is>
          <t>Hewson Independent Trading Company Ltd</t>
        </is>
      </c>
      <c r="M112" s="844" t="n">
        <v>45065</v>
      </c>
      <c r="N112" s="844" t="n">
        <v>46160</v>
      </c>
      <c r="R112" s="842" t="n">
        <v>88400</v>
      </c>
      <c r="S112" s="842">
        <f>R112</f>
        <v/>
      </c>
      <c r="U112" s="842" t="n">
        <v>58968</v>
      </c>
      <c r="V112" s="842">
        <f>U112</f>
        <v/>
      </c>
      <c r="W112" s="842" t="n">
        <v>58968</v>
      </c>
      <c r="X112" s="842">
        <f>W112</f>
        <v/>
      </c>
      <c r="Y112" s="845">
        <f>W112/I112</f>
        <v/>
      </c>
      <c r="Z112" s="846">
        <f>SUM(W112-U112)/U112</f>
        <v/>
      </c>
      <c r="AA112" s="842" t="inlineStr">
        <is>
          <t>D</t>
        </is>
      </c>
      <c r="AB112" s="590" t="n"/>
      <c r="AC112" s="847" t="n"/>
      <c r="AD112" s="841" t="inlineStr">
        <is>
          <t>No</t>
        </is>
      </c>
      <c r="AH112" s="312" t="n"/>
      <c r="AJ112" t="inlineStr">
        <is>
          <t>Let</t>
        </is>
      </c>
    </row>
    <row r="113">
      <c r="A113" t="inlineStr">
        <is>
          <t>Great Titchfield House,  14-18 Great Titchfield Street</t>
        </is>
      </c>
      <c r="B113" s="838" t="n"/>
      <c r="C113" s="839" t="inlineStr">
        <is>
          <t>WS</t>
        </is>
      </c>
      <c r="D113" s="839" t="inlineStr">
        <is>
          <t>MEL</t>
        </is>
      </c>
      <c r="E113" s="838" t="n">
        <v>550180</v>
      </c>
      <c r="F113" s="840" t="inlineStr">
        <is>
          <t>Great Titchfield House,  14-18 Great Titchfield Street</t>
        </is>
      </c>
      <c r="G113" s="840" t="inlineStr">
        <is>
          <t>Ground Floor &amp; Basement (South)</t>
        </is>
      </c>
      <c r="H113" s="841" t="inlineStr">
        <is>
          <t>Showroom</t>
        </is>
      </c>
      <c r="I113" s="848" t="n">
        <v>2026</v>
      </c>
      <c r="J113" s="848">
        <f>I113</f>
        <v/>
      </c>
      <c r="K113" s="848" t="n">
        <v>2000</v>
      </c>
      <c r="L113" s="840" t="inlineStr">
        <is>
          <t>Sound Disposition Limited</t>
        </is>
      </c>
      <c r="M113" s="843" t="n">
        <v>45247</v>
      </c>
      <c r="N113" s="844" t="n">
        <v>48899</v>
      </c>
      <c r="P113" s="844" t="n">
        <v>47074</v>
      </c>
      <c r="Q113" s="844" t="n">
        <v>47073</v>
      </c>
      <c r="R113" s="842" t="n">
        <v>100000</v>
      </c>
      <c r="S113" s="842">
        <f>R113</f>
        <v/>
      </c>
      <c r="U113" s="842" t="n">
        <v>71800</v>
      </c>
      <c r="V113" s="842">
        <f>U113</f>
        <v/>
      </c>
      <c r="W113" s="842" t="n">
        <v>100000</v>
      </c>
      <c r="X113" s="842">
        <f>W113</f>
        <v/>
      </c>
      <c r="Y113" s="845">
        <f>W113/I113</f>
        <v/>
      </c>
      <c r="Z113" s="846">
        <f>SUM(W113-U113)/U113</f>
        <v/>
      </c>
      <c r="AA113" s="842" t="inlineStr">
        <is>
          <t>C</t>
        </is>
      </c>
      <c r="AB113" s="590" t="n"/>
      <c r="AC113" s="847" t="n"/>
      <c r="AD113" s="841" t="inlineStr">
        <is>
          <t>No</t>
        </is>
      </c>
      <c r="AE113" s="840" t="inlineStr">
        <is>
          <t>Tenant break on 6 months notice. 5 months rent free if not exercised (spread over 12 months).</t>
        </is>
      </c>
      <c r="AH113" s="312" t="n"/>
      <c r="AJ113" t="inlineStr">
        <is>
          <t>Let</t>
        </is>
      </c>
    </row>
    <row r="114">
      <c r="A114" t="inlineStr">
        <is>
          <t>Great Titchfield House,  14-18 Great Titchfield Street</t>
        </is>
      </c>
      <c r="B114" s="838" t="n"/>
      <c r="C114" s="839" t="inlineStr">
        <is>
          <t>WS</t>
        </is>
      </c>
      <c r="D114" s="839" t="inlineStr">
        <is>
          <t>MEL</t>
        </is>
      </c>
      <c r="E114" s="838" t="n">
        <v>550180</v>
      </c>
      <c r="F114" s="840" t="inlineStr">
        <is>
          <t>Great Titchfield House,  14-18 Great Titchfield Street</t>
        </is>
      </c>
      <c r="G114" s="840" t="inlineStr">
        <is>
          <t>Ground Floor &amp; Basement (North)</t>
        </is>
      </c>
      <c r="H114" s="841" t="inlineStr">
        <is>
          <t>Showroom</t>
        </is>
      </c>
      <c r="I114" s="848" t="n">
        <v>2202</v>
      </c>
      <c r="J114" s="848">
        <f>I114</f>
        <v/>
      </c>
      <c r="K114" s="848" t="n">
        <v>2000</v>
      </c>
      <c r="L114" s="840" t="inlineStr">
        <is>
          <t>Godske Group A/S</t>
        </is>
      </c>
      <c r="M114" s="843" t="n">
        <v>44497</v>
      </c>
      <c r="N114" s="844" t="n">
        <v>46322</v>
      </c>
      <c r="R114" s="842" t="n">
        <v>96000</v>
      </c>
      <c r="S114" s="842">
        <f>R114</f>
        <v/>
      </c>
      <c r="U114" s="842" t="n">
        <v>78600</v>
      </c>
      <c r="V114" s="842">
        <f>U114</f>
        <v/>
      </c>
      <c r="W114" s="842" t="n">
        <v>96000</v>
      </c>
      <c r="X114" s="842">
        <f>W114</f>
        <v/>
      </c>
      <c r="Y114" s="845">
        <f>W114/I114</f>
        <v/>
      </c>
      <c r="Z114" s="846">
        <f>SUM(W114-U114)/U114</f>
        <v/>
      </c>
      <c r="AA114" s="842" t="inlineStr">
        <is>
          <t>C</t>
        </is>
      </c>
      <c r="AB114" s="590" t="n"/>
      <c r="AC114" s="847" t="n"/>
      <c r="AD114" s="841" t="inlineStr">
        <is>
          <t>No</t>
        </is>
      </c>
      <c r="AH114" s="312" t="n"/>
      <c r="AJ114" t="inlineStr">
        <is>
          <t>Let</t>
        </is>
      </c>
    </row>
    <row r="115">
      <c r="A115" t="inlineStr">
        <is>
          <t>Great Titchfield House,  14-18 Great Titchfield Street</t>
        </is>
      </c>
      <c r="B115" s="838" t="n"/>
      <c r="C115" s="839" t="inlineStr">
        <is>
          <t>WS</t>
        </is>
      </c>
      <c r="D115" s="839" t="inlineStr">
        <is>
          <t>MEL</t>
        </is>
      </c>
      <c r="E115" s="838" t="n">
        <v>550180</v>
      </c>
      <c r="F115" s="840" t="inlineStr">
        <is>
          <t>Great Titchfield House,  14-18 Great Titchfield Street</t>
        </is>
      </c>
      <c r="G115" s="840" t="inlineStr">
        <is>
          <t>First Floor</t>
        </is>
      </c>
      <c r="H115" s="841" t="inlineStr">
        <is>
          <t>Recording Studio /Office</t>
        </is>
      </c>
      <c r="I115" s="848" t="n">
        <v>1977</v>
      </c>
      <c r="J115" s="848">
        <f>I115</f>
        <v/>
      </c>
      <c r="K115" s="848" t="n">
        <v>2000</v>
      </c>
      <c r="L115" s="840" t="inlineStr">
        <is>
          <t>Sound Disposition Limited</t>
        </is>
      </c>
      <c r="M115" s="843" t="n">
        <v>45441</v>
      </c>
      <c r="R115" s="842" t="n">
        <v>96000</v>
      </c>
      <c r="S115" s="842">
        <f>R115</f>
        <v/>
      </c>
      <c r="U115" s="842" t="n">
        <v>121900</v>
      </c>
      <c r="V115" s="842">
        <f>U115</f>
        <v/>
      </c>
      <c r="W115" s="842" t="n">
        <v>133400</v>
      </c>
      <c r="X115" s="842">
        <f>W115</f>
        <v/>
      </c>
      <c r="Y115" s="845">
        <f>W115/I115</f>
        <v/>
      </c>
      <c r="Z115" s="846">
        <f>SUM(W115-U115)/U115</f>
        <v/>
      </c>
      <c r="AA115" s="842" t="inlineStr">
        <is>
          <t>D</t>
        </is>
      </c>
      <c r="AB115" s="590" t="n"/>
      <c r="AC115" s="847" t="n"/>
      <c r="AD115" s="841" t="inlineStr">
        <is>
          <t>No</t>
        </is>
      </c>
      <c r="AE115" s="840" t="inlineStr">
        <is>
          <t>Tenancy at will.</t>
        </is>
      </c>
      <c r="AG115" s="29" t="n"/>
      <c r="AH115" s="313" t="n"/>
      <c r="AI115" s="29" t="n"/>
      <c r="AJ115" t="inlineStr">
        <is>
          <t>Let</t>
        </is>
      </c>
    </row>
    <row r="116">
      <c r="A116" t="inlineStr">
        <is>
          <t>Great Titchfield House,  14-18 Great Titchfield Street</t>
        </is>
      </c>
      <c r="B116" s="838" t="n"/>
      <c r="C116" s="839" t="inlineStr">
        <is>
          <t>WS</t>
        </is>
      </c>
      <c r="D116" s="839" t="inlineStr">
        <is>
          <t>MEL</t>
        </is>
      </c>
      <c r="E116" s="838" t="n">
        <v>550180</v>
      </c>
      <c r="F116" s="840" t="inlineStr">
        <is>
          <t>Great Titchfield House,  14-18 Great Titchfield Street</t>
        </is>
      </c>
      <c r="G116" s="840" t="inlineStr">
        <is>
          <t>Second Floor</t>
        </is>
      </c>
      <c r="H116" s="841" t="inlineStr">
        <is>
          <t>Office</t>
        </is>
      </c>
      <c r="I116" s="848" t="n">
        <v>1938</v>
      </c>
      <c r="J116" s="848">
        <f>I116</f>
        <v/>
      </c>
      <c r="K116" s="848" t="n">
        <v>2000</v>
      </c>
      <c r="L116" s="840" t="inlineStr">
        <is>
          <t>Infront Sports &amp; Media UK Ltd</t>
        </is>
      </c>
      <c r="M116" s="843" t="n">
        <v>44768</v>
      </c>
      <c r="N116" s="844" t="n">
        <v>45863</v>
      </c>
      <c r="R116" s="842" t="n">
        <v>152250</v>
      </c>
      <c r="S116" s="842">
        <f>R116</f>
        <v/>
      </c>
      <c r="U116" s="842" t="n">
        <v>121800</v>
      </c>
      <c r="V116" s="842">
        <f>U116</f>
        <v/>
      </c>
      <c r="W116" s="842" t="n">
        <v>130800</v>
      </c>
      <c r="X116" s="842">
        <f>W116</f>
        <v/>
      </c>
      <c r="Y116" s="845">
        <f>W116/I116</f>
        <v/>
      </c>
      <c r="Z116" s="846">
        <f>SUM(W116-U116)/U116</f>
        <v/>
      </c>
      <c r="AA116" s="842" t="inlineStr">
        <is>
          <t>D</t>
        </is>
      </c>
      <c r="AB116" s="590" t="n"/>
      <c r="AC116" s="847" t="n"/>
      <c r="AD116" s="841" t="inlineStr">
        <is>
          <t>No</t>
        </is>
      </c>
      <c r="AE116" s="840" t="inlineStr">
        <is>
          <t>Tenanct vacating on expiry.</t>
        </is>
      </c>
      <c r="AH116" s="312" t="n"/>
      <c r="AJ116" t="inlineStr">
        <is>
          <t>Let</t>
        </is>
      </c>
    </row>
    <row r="117">
      <c r="A117" t="inlineStr">
        <is>
          <t>Great Titchfield House,  14-18 Great Titchfield Street</t>
        </is>
      </c>
      <c r="B117" s="838" t="n"/>
      <c r="C117" s="839" t="inlineStr">
        <is>
          <t>WS</t>
        </is>
      </c>
      <c r="D117" s="839" t="inlineStr">
        <is>
          <t>MEL</t>
        </is>
      </c>
      <c r="E117" s="838" t="n">
        <v>550180</v>
      </c>
      <c r="F117" s="840" t="inlineStr">
        <is>
          <t>Great Titchfield House,  14-18 Great Titchfield Street</t>
        </is>
      </c>
      <c r="G117" s="840" t="inlineStr">
        <is>
          <t>Third Floor</t>
        </is>
      </c>
      <c r="H117" s="841" t="inlineStr">
        <is>
          <t>Showroom/ Office</t>
        </is>
      </c>
      <c r="I117" s="848" t="n">
        <v>1961</v>
      </c>
      <c r="J117" s="848">
        <f>I117</f>
        <v/>
      </c>
      <c r="K117" s="848" t="n">
        <v>2000</v>
      </c>
      <c r="L117" s="840" t="inlineStr">
        <is>
          <t>Sam Rogoff &amp; Co Ltd</t>
        </is>
      </c>
      <c r="M117" s="843" t="n">
        <v>45357</v>
      </c>
      <c r="N117" s="844" t="n">
        <v>47182</v>
      </c>
      <c r="R117" s="842" t="n">
        <v>137025</v>
      </c>
      <c r="S117" s="842">
        <f>R117</f>
        <v/>
      </c>
      <c r="U117" s="842" t="n">
        <v>121800</v>
      </c>
      <c r="V117" s="842">
        <f>U117</f>
        <v/>
      </c>
      <c r="W117" s="842" t="n">
        <v>137035</v>
      </c>
      <c r="X117" s="842">
        <f>W117</f>
        <v/>
      </c>
      <c r="Y117" s="845">
        <f>W117/I117</f>
        <v/>
      </c>
      <c r="Z117" s="846">
        <f>SUM(W117-U117)/U117</f>
        <v/>
      </c>
      <c r="AA117" s="842" t="inlineStr">
        <is>
          <t>B</t>
        </is>
      </c>
      <c r="AB117" s="590" t="n"/>
      <c r="AC117" s="847" t="n"/>
      <c r="AD117" s="841" t="inlineStr">
        <is>
          <t>No</t>
        </is>
      </c>
      <c r="AE117" s="840" t="inlineStr">
        <is>
          <t>Rent PA corrected</t>
        </is>
      </c>
      <c r="AH117" s="312" t="n"/>
      <c r="AJ117" t="inlineStr">
        <is>
          <t>Let</t>
        </is>
      </c>
    </row>
    <row r="118">
      <c r="A118" t="inlineStr">
        <is>
          <t>Great Titchfield House,  14-18 Great Titchfield Street</t>
        </is>
      </c>
      <c r="B118" s="838" t="n"/>
      <c r="C118" s="839" t="inlineStr">
        <is>
          <t>WS</t>
        </is>
      </c>
      <c r="D118" s="839" t="inlineStr">
        <is>
          <t>MEL</t>
        </is>
      </c>
      <c r="E118" s="838" t="n">
        <v>550180</v>
      </c>
      <c r="F118" s="840" t="inlineStr">
        <is>
          <t>Great Titchfield House,  14-18 Great Titchfield Street</t>
        </is>
      </c>
      <c r="G118" s="840" t="inlineStr">
        <is>
          <t>Fourth Floor</t>
        </is>
      </c>
      <c r="H118" s="841" t="inlineStr">
        <is>
          <t>Showroom/ Office</t>
        </is>
      </c>
      <c r="I118" s="848" t="n">
        <v>1992</v>
      </c>
      <c r="J118" s="848">
        <f>I118</f>
        <v/>
      </c>
      <c r="K118" s="848" t="n">
        <v>2000</v>
      </c>
      <c r="L118" s="840" t="inlineStr">
        <is>
          <t>Vacant</t>
        </is>
      </c>
      <c r="M118" s="844" t="n"/>
      <c r="O118" s="844" t="n">
        <v>45596</v>
      </c>
      <c r="R118" s="842" t="n">
        <v>0</v>
      </c>
      <c r="S118" s="842">
        <f>R118</f>
        <v/>
      </c>
      <c r="U118" s="842" t="n">
        <v>117300</v>
      </c>
      <c r="V118" s="842">
        <f>U118</f>
        <v/>
      </c>
      <c r="W118" s="842" t="n">
        <v>130325</v>
      </c>
      <c r="X118" s="842">
        <f>W118</f>
        <v/>
      </c>
      <c r="Y118" s="845">
        <f>W118/I118</f>
        <v/>
      </c>
      <c r="Z118" s="846">
        <f>SUM(W118-U118)/U118</f>
        <v/>
      </c>
      <c r="AA118" s="842" t="inlineStr">
        <is>
          <t>D</t>
        </is>
      </c>
      <c r="AB118" s="590" t="n"/>
      <c r="AC118" s="847" t="n"/>
      <c r="AD118" s="841" t="inlineStr">
        <is>
          <t>No</t>
        </is>
      </c>
      <c r="AE118" s="840" t="inlineStr">
        <is>
          <t>To be refurbished.</t>
        </is>
      </c>
      <c r="AF118" s="849" t="n">
        <v>72.5</v>
      </c>
      <c r="AG118" s="840" t="n">
        <v>4</v>
      </c>
      <c r="AH118" s="312" t="n">
        <v>9</v>
      </c>
      <c r="AI118" s="840" t="inlineStr">
        <is>
          <t>LEM</t>
        </is>
      </c>
      <c r="AJ118" t="inlineStr">
        <is>
          <t>Void</t>
        </is>
      </c>
    </row>
    <row r="119">
      <c r="A119" t="inlineStr">
        <is>
          <t>Great Titchfield House,  14-18 Great Titchfield Street</t>
        </is>
      </c>
      <c r="B119" s="838" t="n"/>
      <c r="C119" s="839" t="inlineStr">
        <is>
          <t>WS</t>
        </is>
      </c>
      <c r="D119" s="839" t="inlineStr">
        <is>
          <t>MEL</t>
        </is>
      </c>
      <c r="E119" s="838" t="n">
        <v>550180</v>
      </c>
      <c r="F119" s="840" t="inlineStr">
        <is>
          <t>Great Titchfield House,  14-18 Great Titchfield Street</t>
        </is>
      </c>
      <c r="G119" s="840" t="inlineStr">
        <is>
          <t>Fifth Floor</t>
        </is>
      </c>
      <c r="H119" s="841" t="inlineStr">
        <is>
          <t>Recording Studio/ Office</t>
        </is>
      </c>
      <c r="I119" s="848" t="n">
        <v>1468</v>
      </c>
      <c r="J119" s="848">
        <f>I119</f>
        <v/>
      </c>
      <c r="K119" s="848" t="n">
        <v>1500</v>
      </c>
      <c r="L119" s="840" t="inlineStr">
        <is>
          <t>Sine Audio Post Production Ltd</t>
        </is>
      </c>
      <c r="M119" s="843" t="n">
        <v>44805</v>
      </c>
      <c r="N119" s="844" t="n">
        <v>46630</v>
      </c>
      <c r="Q119" s="844" t="n">
        <v>45900</v>
      </c>
      <c r="R119" s="842" t="n">
        <v>98280</v>
      </c>
      <c r="S119" s="842">
        <f>R119</f>
        <v/>
      </c>
      <c r="U119" s="842" t="n">
        <v>100400</v>
      </c>
      <c r="V119" s="842">
        <f>U119</f>
        <v/>
      </c>
      <c r="W119" s="842" t="n">
        <v>99100</v>
      </c>
      <c r="X119" s="842">
        <f>W119</f>
        <v/>
      </c>
      <c r="Y119" s="845">
        <f>W119/I119</f>
        <v/>
      </c>
      <c r="Z119" s="846">
        <f>SUM(W119-U119)/U119</f>
        <v/>
      </c>
      <c r="AA119" s="617" t="inlineStr">
        <is>
          <t>B</t>
        </is>
      </c>
      <c r="AB119" s="590" t="n"/>
      <c r="AC119" s="847" t="n"/>
      <c r="AD119" s="841" t="inlineStr">
        <is>
          <t>No</t>
        </is>
      </c>
      <c r="AE119" s="840" t="inlineStr">
        <is>
          <t>Tenant break on 6 months notice. Rent concession to be granted to reflect cost of tenant installing air-con.</t>
        </is>
      </c>
      <c r="AH119" s="312" t="n"/>
      <c r="AJ119" t="inlineStr">
        <is>
          <t>Let</t>
        </is>
      </c>
    </row>
    <row r="120">
      <c r="A120" t="inlineStr">
        <is>
          <t>Golderbrock House,  15-19 Great Titchfield Street</t>
        </is>
      </c>
      <c r="B120" s="838" t="n"/>
      <c r="C120" s="839" t="inlineStr">
        <is>
          <t>WS</t>
        </is>
      </c>
      <c r="D120" s="839" t="inlineStr">
        <is>
          <t>MEL</t>
        </is>
      </c>
      <c r="E120" s="838" t="n">
        <v>550420</v>
      </c>
      <c r="F120" s="840" t="inlineStr">
        <is>
          <t>Golderbrock House,  15-19 Great Titchfield Street</t>
        </is>
      </c>
      <c r="G120" s="840" t="inlineStr">
        <is>
          <t>Ground &amp; Basement (South)</t>
        </is>
      </c>
      <c r="H120" s="841" t="inlineStr">
        <is>
          <t>Showroom</t>
        </is>
      </c>
      <c r="I120" s="848" t="n">
        <v>1115</v>
      </c>
      <c r="J120" s="848">
        <f>I120</f>
        <v/>
      </c>
      <c r="K120" s="848" t="n">
        <v>1000</v>
      </c>
      <c r="L120" s="29" t="inlineStr">
        <is>
          <t>Dal Fiorentino Ltd</t>
        </is>
      </c>
      <c r="M120" s="843" t="n">
        <v>45504</v>
      </c>
      <c r="N120" s="844" t="n">
        <v>47329</v>
      </c>
      <c r="Q120" s="844" t="n">
        <v>46599</v>
      </c>
      <c r="R120" s="842" t="n">
        <v>60000</v>
      </c>
      <c r="S120" s="842">
        <f>R120</f>
        <v/>
      </c>
      <c r="U120" s="842" t="n">
        <v>50400</v>
      </c>
      <c r="V120" s="842">
        <f>U120</f>
        <v/>
      </c>
      <c r="W120" s="842" t="n">
        <v>63500</v>
      </c>
      <c r="X120" s="842">
        <f>W120</f>
        <v/>
      </c>
      <c r="Y120" s="845">
        <f>W120/I120</f>
        <v/>
      </c>
      <c r="Z120" s="846">
        <f>SUM(W120-U120)/U120</f>
        <v/>
      </c>
      <c r="AA120" s="842" t="inlineStr">
        <is>
          <t>C</t>
        </is>
      </c>
      <c r="AB120" s="590" t="n"/>
      <c r="AC120" s="847" t="n"/>
      <c r="AD120" s="841" t="inlineStr">
        <is>
          <t>No</t>
        </is>
      </c>
      <c r="AE120" s="840" t="inlineStr">
        <is>
          <t>Rent increasing to £65,000 wef 31/07/25. Tenant break on 6 months notice. Tenant name corrected.</t>
        </is>
      </c>
      <c r="AG120" s="29" t="n"/>
      <c r="AH120" s="313" t="n"/>
      <c r="AI120" s="29" t="n"/>
      <c r="AJ120" t="inlineStr">
        <is>
          <t>Let</t>
        </is>
      </c>
    </row>
    <row r="121">
      <c r="A121" t="inlineStr">
        <is>
          <t>Golderbrock House,  15-19 Great Titchfield Street</t>
        </is>
      </c>
      <c r="B121" s="838" t="n"/>
      <c r="C121" s="839" t="inlineStr">
        <is>
          <t>WS</t>
        </is>
      </c>
      <c r="D121" s="839" t="inlineStr">
        <is>
          <t>MEL</t>
        </is>
      </c>
      <c r="E121" s="838" t="n">
        <v>550420</v>
      </c>
      <c r="F121" s="840" t="inlineStr">
        <is>
          <t>Golderbrock House,  15-19 Great Titchfield Street</t>
        </is>
      </c>
      <c r="G121" s="840" t="inlineStr">
        <is>
          <t>Basement (Rear)</t>
        </is>
      </c>
      <c r="H121" s="841" t="inlineStr">
        <is>
          <t>Recording Studio</t>
        </is>
      </c>
      <c r="I121" s="848" t="n">
        <v>488</v>
      </c>
      <c r="J121" s="848">
        <f>I121</f>
        <v/>
      </c>
      <c r="K121" s="848" t="n">
        <v>500</v>
      </c>
      <c r="L121" s="840" t="inlineStr">
        <is>
          <t>Soho Sonic Ltd.</t>
        </is>
      </c>
      <c r="M121" s="843" t="n">
        <v>45439</v>
      </c>
      <c r="N121" s="844" t="n">
        <v>47264</v>
      </c>
      <c r="R121" s="842" t="n">
        <v>16000</v>
      </c>
      <c r="S121" s="842">
        <f>R121</f>
        <v/>
      </c>
      <c r="U121" s="842" t="n">
        <v>13100</v>
      </c>
      <c r="V121" s="842">
        <f>U121</f>
        <v/>
      </c>
      <c r="W121" s="842" t="n">
        <v>14600</v>
      </c>
      <c r="X121" s="842">
        <f>W121</f>
        <v/>
      </c>
      <c r="Y121" s="845">
        <f>W121/I121</f>
        <v/>
      </c>
      <c r="Z121" s="846">
        <f>SUM(W121-U121)/U121</f>
        <v/>
      </c>
      <c r="AA121" s="842" t="inlineStr">
        <is>
          <t>C</t>
        </is>
      </c>
      <c r="AB121" s="590" t="n"/>
      <c r="AC121" s="847" t="n"/>
      <c r="AD121" s="841" t="inlineStr">
        <is>
          <t>No</t>
        </is>
      </c>
      <c r="AE121" s="850" t="n"/>
      <c r="AG121" s="850" t="n"/>
      <c r="AH121" s="619" t="n"/>
      <c r="AI121" s="850" t="n"/>
      <c r="AJ121" t="inlineStr">
        <is>
          <t>Let</t>
        </is>
      </c>
    </row>
    <row r="122">
      <c r="A122" t="inlineStr">
        <is>
          <t>Golderbrock House,  15-19 Great Titchfield Street</t>
        </is>
      </c>
      <c r="B122" s="838" t="n"/>
      <c r="C122" s="839" t="inlineStr">
        <is>
          <t>WS</t>
        </is>
      </c>
      <c r="D122" s="839" t="inlineStr">
        <is>
          <t>MEL</t>
        </is>
      </c>
      <c r="E122" s="838" t="n">
        <v>550420</v>
      </c>
      <c r="F122" s="840" t="inlineStr">
        <is>
          <t>Golderbrock House,  15-19 Great Titchfield Street</t>
        </is>
      </c>
      <c r="G122" s="840" t="inlineStr">
        <is>
          <t>Ground &amp; Basement (North)</t>
        </is>
      </c>
      <c r="H122" s="841" t="inlineStr">
        <is>
          <t>Showroom</t>
        </is>
      </c>
      <c r="I122" s="848" t="n">
        <v>1064</v>
      </c>
      <c r="J122" s="848">
        <f>I122</f>
        <v/>
      </c>
      <c r="K122" s="848" t="n">
        <v>100</v>
      </c>
      <c r="L122" s="840" t="inlineStr">
        <is>
          <t>Gillian Jason Modern &amp; Contemporary Art Ltd</t>
        </is>
      </c>
      <c r="M122" s="843" t="n">
        <v>44515</v>
      </c>
      <c r="N122" s="844" t="n">
        <v>46340</v>
      </c>
      <c r="R122" s="842" t="n">
        <v>48000</v>
      </c>
      <c r="S122" s="842">
        <f>R122</f>
        <v/>
      </c>
      <c r="U122" s="842" t="n">
        <v>48000</v>
      </c>
      <c r="V122" s="842">
        <f>U122</f>
        <v/>
      </c>
      <c r="W122" s="842" t="n">
        <v>48000</v>
      </c>
      <c r="X122" s="842">
        <f>W122</f>
        <v/>
      </c>
      <c r="Y122" s="845">
        <f>W122/I122</f>
        <v/>
      </c>
      <c r="Z122" s="846">
        <f>SUM(W122-U122)/U122</f>
        <v/>
      </c>
      <c r="AA122" s="842" t="inlineStr">
        <is>
          <t>D</t>
        </is>
      </c>
      <c r="AB122" s="590" t="n"/>
      <c r="AC122" s="847" t="n"/>
      <c r="AD122" s="841" t="inlineStr">
        <is>
          <t>No</t>
        </is>
      </c>
      <c r="AH122" s="312" t="n"/>
      <c r="AJ122" t="inlineStr">
        <is>
          <t>Let</t>
        </is>
      </c>
    </row>
    <row r="123">
      <c r="A123" t="inlineStr">
        <is>
          <t>Golderbrock House,  15-19 Great Titchfield Street</t>
        </is>
      </c>
      <c r="B123" s="838" t="n"/>
      <c r="C123" s="839" t="inlineStr">
        <is>
          <t>WS</t>
        </is>
      </c>
      <c r="D123" s="839" t="inlineStr">
        <is>
          <t>MEL</t>
        </is>
      </c>
      <c r="E123" s="838" t="n">
        <v>550420</v>
      </c>
      <c r="F123" s="840" t="inlineStr">
        <is>
          <t>Golderbrock House,  15-19 Great Titchfield Street</t>
        </is>
      </c>
      <c r="G123" s="840" t="inlineStr">
        <is>
          <t xml:space="preserve">Ground Floor (Rear) </t>
        </is>
      </c>
      <c r="H123" s="841" t="inlineStr">
        <is>
          <t>Office</t>
        </is>
      </c>
      <c r="I123" s="848" t="n">
        <v>325</v>
      </c>
      <c r="J123" s="848">
        <f>I123</f>
        <v/>
      </c>
      <c r="K123" s="848" t="n">
        <v>500</v>
      </c>
      <c r="L123" s="840" t="inlineStr">
        <is>
          <t>Arlettie London Ltd.</t>
        </is>
      </c>
      <c r="M123" s="843" t="n">
        <v>45709</v>
      </c>
      <c r="N123" s="844" t="n">
        <v>47066</v>
      </c>
      <c r="R123" s="842" t="n">
        <v>25310</v>
      </c>
      <c r="S123" s="842">
        <f>R123</f>
        <v/>
      </c>
      <c r="U123" s="842" t="n">
        <v>28000</v>
      </c>
      <c r="V123" s="842">
        <f>U123</f>
        <v/>
      </c>
      <c r="W123" s="842" t="n">
        <v>27600</v>
      </c>
      <c r="X123" s="842">
        <f>W123</f>
        <v/>
      </c>
      <c r="Y123" s="845">
        <f>W123/I123</f>
        <v/>
      </c>
      <c r="Z123" s="846">
        <f>SUM(W123-U123)/U123</f>
        <v/>
      </c>
      <c r="AA123" s="617" t="inlineStr">
        <is>
          <t>B</t>
        </is>
      </c>
      <c r="AB123" s="590" t="n"/>
      <c r="AC123" s="847" t="n"/>
      <c r="AD123" s="841" t="inlineStr">
        <is>
          <t>No</t>
        </is>
      </c>
      <c r="AE123" s="840" t="inlineStr">
        <is>
          <t>All inclusive excluding rates.</t>
        </is>
      </c>
      <c r="AH123" s="312" t="n">
        <v>1</v>
      </c>
      <c r="AI123" s="840" t="inlineStr">
        <is>
          <t>LEM</t>
        </is>
      </c>
      <c r="AJ123" t="inlineStr">
        <is>
          <t>Let</t>
        </is>
      </c>
    </row>
    <row r="124">
      <c r="A124" t="inlineStr">
        <is>
          <t>Golderbrock House,  15-19 Great Titchfield Street</t>
        </is>
      </c>
      <c r="B124" s="838" t="n"/>
      <c r="C124" s="839" t="inlineStr">
        <is>
          <t>WS</t>
        </is>
      </c>
      <c r="D124" s="839" t="inlineStr">
        <is>
          <t>MEL</t>
        </is>
      </c>
      <c r="E124" s="838" t="n">
        <v>550420</v>
      </c>
      <c r="F124" s="840" t="inlineStr">
        <is>
          <t>Golderbrock House,  15-19 Great Titchfield Street</t>
        </is>
      </c>
      <c r="G124" s="840" t="inlineStr">
        <is>
          <t>First Floor (Front)</t>
        </is>
      </c>
      <c r="H124" s="841" t="inlineStr">
        <is>
          <t>Office</t>
        </is>
      </c>
      <c r="I124" s="848" t="n">
        <v>1335</v>
      </c>
      <c r="J124" s="848">
        <f>I124</f>
        <v/>
      </c>
      <c r="K124" s="848" t="n">
        <v>1250</v>
      </c>
      <c r="L124" s="840" t="inlineStr">
        <is>
          <t>Space Workplace Ltd</t>
        </is>
      </c>
      <c r="M124" s="843" t="n">
        <v>45624</v>
      </c>
      <c r="N124" s="844" t="n">
        <v>47449</v>
      </c>
      <c r="Q124" s="844" t="n">
        <v>46718</v>
      </c>
      <c r="R124" s="842" t="n">
        <v>40200</v>
      </c>
      <c r="S124" s="842">
        <f>R124</f>
        <v/>
      </c>
      <c r="U124" s="842" t="n">
        <v>73700</v>
      </c>
      <c r="V124" s="842">
        <f>U124</f>
        <v/>
      </c>
      <c r="W124" s="842" t="n">
        <v>75710</v>
      </c>
      <c r="X124" s="842">
        <f>W124</f>
        <v/>
      </c>
      <c r="Y124" s="845">
        <f>W124/I124</f>
        <v/>
      </c>
      <c r="Z124" s="846">
        <f>SUM(W124-U124)/U124</f>
        <v/>
      </c>
      <c r="AA124" s="617" t="inlineStr">
        <is>
          <t>B</t>
        </is>
      </c>
      <c r="AB124" s="590" t="n"/>
      <c r="AC124" s="847" t="n"/>
      <c r="AD124" s="841" t="inlineStr">
        <is>
          <t>No</t>
        </is>
      </c>
      <c r="AE124" s="840" t="inlineStr">
        <is>
          <t>Rent increases to £80,400 wef 28/11/25. Tenant break on 6 months notice.</t>
        </is>
      </c>
      <c r="AH124" s="312" t="n">
        <v>1</v>
      </c>
      <c r="AI124" s="840" t="inlineStr">
        <is>
          <t>LEM</t>
        </is>
      </c>
      <c r="AJ124" t="inlineStr">
        <is>
          <t>Let</t>
        </is>
      </c>
    </row>
    <row r="125">
      <c r="A125" t="inlineStr">
        <is>
          <t>Golderbrock House,  15-19 Great Titchfield Street</t>
        </is>
      </c>
      <c r="B125" s="838" t="n"/>
      <c r="C125" s="839" t="inlineStr">
        <is>
          <t>WS</t>
        </is>
      </c>
      <c r="D125" s="839" t="inlineStr">
        <is>
          <t>MEL</t>
        </is>
      </c>
      <c r="E125" s="838" t="n">
        <v>550420</v>
      </c>
      <c r="F125" s="840" t="inlineStr">
        <is>
          <t>Golderbrock House,  15-19 Great Titchfield Street</t>
        </is>
      </c>
      <c r="G125" s="840" t="inlineStr">
        <is>
          <t>First Floor (Rear)</t>
        </is>
      </c>
      <c r="H125" s="841" t="inlineStr">
        <is>
          <t>Office</t>
        </is>
      </c>
      <c r="I125" s="848" t="n">
        <v>533</v>
      </c>
      <c r="J125" s="848">
        <f>I125</f>
        <v/>
      </c>
      <c r="K125" s="848" t="n">
        <v>500</v>
      </c>
      <c r="L125" s="840" t="inlineStr">
        <is>
          <t>Vacant</t>
        </is>
      </c>
      <c r="O125" s="844" t="n">
        <v>44536</v>
      </c>
      <c r="R125" s="842" t="n">
        <v>0</v>
      </c>
      <c r="S125" s="842">
        <f>R125</f>
        <v/>
      </c>
      <c r="U125" s="842" t="n">
        <v>28900</v>
      </c>
      <c r="V125" s="842">
        <f>U125</f>
        <v/>
      </c>
      <c r="W125" s="842" t="n">
        <v>29300</v>
      </c>
      <c r="X125" s="842">
        <f>W125</f>
        <v/>
      </c>
      <c r="Y125" s="845">
        <f>W125/I125</f>
        <v/>
      </c>
      <c r="Z125" s="846">
        <f>SUM(W125-U125)/U125</f>
        <v/>
      </c>
      <c r="AA125" s="842" t="inlineStr">
        <is>
          <t>C</t>
        </is>
      </c>
      <c r="AB125" s="590" t="n"/>
      <c r="AC125" s="847" t="n"/>
      <c r="AD125" s="841" t="inlineStr">
        <is>
          <t>No</t>
        </is>
      </c>
      <c r="AE125" s="840" t="inlineStr">
        <is>
          <t>To be refurbished.</t>
        </is>
      </c>
      <c r="AG125" s="840" t="n">
        <v>1</v>
      </c>
      <c r="AH125" s="312" t="n">
        <v>1</v>
      </c>
      <c r="AJ125" t="inlineStr">
        <is>
          <t>Void</t>
        </is>
      </c>
    </row>
    <row r="126">
      <c r="A126" t="inlineStr">
        <is>
          <t>Golderbrock House,  15-19 Great Titchfield Street</t>
        </is>
      </c>
      <c r="B126" s="838" t="n"/>
      <c r="C126" s="839" t="inlineStr">
        <is>
          <t>WS</t>
        </is>
      </c>
      <c r="D126" s="839" t="inlineStr">
        <is>
          <t>MEL</t>
        </is>
      </c>
      <c r="E126" s="838" t="n">
        <v>550420</v>
      </c>
      <c r="F126" s="840" t="inlineStr">
        <is>
          <t>Golderbrock House,  15-19 Great Titchfield Street</t>
        </is>
      </c>
      <c r="G126" s="840" t="inlineStr">
        <is>
          <t>Second Floor</t>
        </is>
      </c>
      <c r="H126" s="841" t="inlineStr">
        <is>
          <t>Office</t>
        </is>
      </c>
      <c r="I126" s="848" t="n">
        <v>1404</v>
      </c>
      <c r="J126" s="848">
        <f>I126</f>
        <v/>
      </c>
      <c r="K126" s="848" t="n">
        <v>1500</v>
      </c>
      <c r="L126" s="840" t="inlineStr">
        <is>
          <t>Final Cut Ltd.</t>
        </is>
      </c>
      <c r="M126" s="843" t="n">
        <v>44490</v>
      </c>
      <c r="N126" s="844" t="n">
        <v>45930</v>
      </c>
      <c r="P126" s="844" t="n">
        <v>45258</v>
      </c>
      <c r="R126" s="842" t="n">
        <v>78000</v>
      </c>
      <c r="S126" s="842">
        <f>R126</f>
        <v/>
      </c>
      <c r="U126" s="842" t="n">
        <v>79100</v>
      </c>
      <c r="V126" s="842">
        <f>U126</f>
        <v/>
      </c>
      <c r="W126" s="842" t="n">
        <v>80700</v>
      </c>
      <c r="X126" s="842">
        <f>W126</f>
        <v/>
      </c>
      <c r="Y126" s="845">
        <f>W126/I126</f>
        <v/>
      </c>
      <c r="Z126" s="846">
        <f>SUM(W126-U126)/U126</f>
        <v/>
      </c>
      <c r="AA126" s="842" t="inlineStr">
        <is>
          <t>C</t>
        </is>
      </c>
      <c r="AB126" s="590" t="n"/>
      <c r="AC126" s="847" t="n"/>
      <c r="AD126" s="841" t="inlineStr">
        <is>
          <t>No</t>
        </is>
      </c>
      <c r="AH126" s="312" t="n"/>
      <c r="AJ126" t="inlineStr">
        <is>
          <t>Let</t>
        </is>
      </c>
    </row>
    <row r="127">
      <c r="A127" t="inlineStr">
        <is>
          <t>Golderbrock House,  15-19 Great Titchfield Street</t>
        </is>
      </c>
      <c r="B127" s="838" t="n"/>
      <c r="C127" s="839" t="inlineStr">
        <is>
          <t>WS</t>
        </is>
      </c>
      <c r="D127" s="839" t="inlineStr">
        <is>
          <t>MEL</t>
        </is>
      </c>
      <c r="E127" s="838" t="n">
        <v>550420</v>
      </c>
      <c r="F127" s="840" t="inlineStr">
        <is>
          <t>Golderbrock House,  15-19 Great Titchfield Street</t>
        </is>
      </c>
      <c r="G127" s="840" t="inlineStr">
        <is>
          <t>Third Floor</t>
        </is>
      </c>
      <c r="H127" s="841" t="inlineStr">
        <is>
          <t>Office</t>
        </is>
      </c>
      <c r="I127" s="848" t="n">
        <v>1404</v>
      </c>
      <c r="J127" s="848">
        <f>I127</f>
        <v/>
      </c>
      <c r="K127" s="848" t="n">
        <v>1500</v>
      </c>
      <c r="L127" s="840" t="inlineStr">
        <is>
          <t>Final Cut Ltd.</t>
        </is>
      </c>
      <c r="M127" s="843" t="n">
        <v>45259</v>
      </c>
      <c r="N127" s="844" t="n">
        <v>45930</v>
      </c>
      <c r="O127" s="844" t="n"/>
      <c r="P127" s="844" t="n"/>
      <c r="Q127" s="844" t="n">
        <v>45930</v>
      </c>
      <c r="R127" s="842" t="n">
        <v>78800</v>
      </c>
      <c r="S127" s="842">
        <f>R127</f>
        <v/>
      </c>
      <c r="T127" s="842" t="n"/>
      <c r="U127" s="842" t="n">
        <v>79600</v>
      </c>
      <c r="V127" s="842">
        <f>U127</f>
        <v/>
      </c>
      <c r="W127" s="842" t="n">
        <v>80700</v>
      </c>
      <c r="X127" s="842">
        <f>W127</f>
        <v/>
      </c>
      <c r="Y127" s="845">
        <f>W127/I127</f>
        <v/>
      </c>
      <c r="Z127" s="846">
        <f>SUM(W127-U127)/U127</f>
        <v/>
      </c>
      <c r="AA127" s="842" t="inlineStr">
        <is>
          <t>C</t>
        </is>
      </c>
      <c r="AB127" s="590" t="n"/>
      <c r="AC127" s="847" t="n"/>
      <c r="AD127" s="841" t="inlineStr">
        <is>
          <t>No</t>
        </is>
      </c>
      <c r="AE127" s="840" t="inlineStr">
        <is>
          <t>Tenant break on 6 months notice. Tenant break exercised. Lease to end on 30/09/25 if conditions met.</t>
        </is>
      </c>
      <c r="AF127" s="849" t="n"/>
      <c r="AG127" s="840" t="n"/>
      <c r="AH127" s="312" t="n"/>
      <c r="AI127" s="840" t="n"/>
      <c r="AJ127" t="inlineStr">
        <is>
          <t>Let</t>
        </is>
      </c>
    </row>
    <row r="128">
      <c r="A128" t="inlineStr">
        <is>
          <t>Golderbrock House,  15-19 Great Titchfield Street</t>
        </is>
      </c>
      <c r="B128" s="838" t="n"/>
      <c r="C128" s="839" t="inlineStr">
        <is>
          <t>WS</t>
        </is>
      </c>
      <c r="D128" s="839" t="inlineStr">
        <is>
          <t>MEL</t>
        </is>
      </c>
      <c r="E128" s="838" t="n">
        <v>550420</v>
      </c>
      <c r="F128" s="840" t="inlineStr">
        <is>
          <t>Golderbrock House,  15-19 Great Titchfield Street</t>
        </is>
      </c>
      <c r="G128" s="840" t="inlineStr">
        <is>
          <t>Fourth Floor</t>
        </is>
      </c>
      <c r="H128" s="841" t="inlineStr">
        <is>
          <t>Office</t>
        </is>
      </c>
      <c r="I128" s="848" t="n">
        <v>1330</v>
      </c>
      <c r="J128" s="848">
        <f>I128</f>
        <v/>
      </c>
      <c r="K128" s="848" t="n">
        <v>1250</v>
      </c>
      <c r="L128" s="840" t="inlineStr">
        <is>
          <t>Autonomous UK Operations Ltd</t>
        </is>
      </c>
      <c r="M128" s="843" t="n">
        <v>45762</v>
      </c>
      <c r="N128" s="844" t="n">
        <v>47587</v>
      </c>
      <c r="O128" s="844" t="n"/>
      <c r="P128" s="844" t="n"/>
      <c r="Q128" s="844" t="n">
        <v>46857</v>
      </c>
      <c r="R128" s="842" t="n">
        <v>86450</v>
      </c>
      <c r="S128" s="842">
        <f>R128</f>
        <v/>
      </c>
      <c r="T128" s="842" t="n"/>
      <c r="U128" s="842" t="n">
        <v>78200</v>
      </c>
      <c r="V128" s="842">
        <f>U128</f>
        <v/>
      </c>
      <c r="W128" s="842" t="n">
        <v>76500</v>
      </c>
      <c r="X128" s="842">
        <f>W128</f>
        <v/>
      </c>
      <c r="Y128" s="845">
        <f>W128/I128</f>
        <v/>
      </c>
      <c r="Z128" s="846">
        <f>SUM(W128-U128)/U128</f>
        <v/>
      </c>
      <c r="AA128" s="842" t="inlineStr">
        <is>
          <t>B</t>
        </is>
      </c>
      <c r="AB128" s="590" t="n"/>
      <c r="AC128" s="847" t="n"/>
      <c r="AD128" s="841" t="inlineStr">
        <is>
          <t>No</t>
        </is>
      </c>
      <c r="AE128" s="840" t="inlineStr">
        <is>
          <t>Tenant break on 6 months notice.</t>
        </is>
      </c>
      <c r="AF128" s="849" t="n">
        <v>63</v>
      </c>
      <c r="AG128" s="840" t="n"/>
      <c r="AH128" s="312" t="n">
        <v>4</v>
      </c>
      <c r="AI128" s="840" t="inlineStr">
        <is>
          <t>LEM</t>
        </is>
      </c>
      <c r="AJ128" t="inlineStr">
        <is>
          <t>Let</t>
        </is>
      </c>
    </row>
    <row r="129">
      <c r="A129" t="inlineStr">
        <is>
          <t>Circus House,  21 Great Titchfield Street</t>
        </is>
      </c>
      <c r="B129" s="838" t="n"/>
      <c r="C129" s="839" t="inlineStr">
        <is>
          <t>SH</t>
        </is>
      </c>
      <c r="D129" s="839" t="inlineStr">
        <is>
          <t>MEL</t>
        </is>
      </c>
      <c r="E129" s="838" t="n">
        <v>550190</v>
      </c>
      <c r="F129" s="840" t="inlineStr">
        <is>
          <t>Circus House,  21 Great Titchfield Street</t>
        </is>
      </c>
      <c r="G129" s="840" t="inlineStr">
        <is>
          <t>Basement &amp; Ground (East)</t>
        </is>
      </c>
      <c r="H129" s="841" t="inlineStr">
        <is>
          <t>Showroom/ Office</t>
        </is>
      </c>
      <c r="I129" s="848" t="n">
        <v>3443</v>
      </c>
      <c r="J129" s="848">
        <f>I129</f>
        <v/>
      </c>
      <c r="K129" s="848" t="n">
        <v>3500</v>
      </c>
      <c r="L129" s="840" t="inlineStr">
        <is>
          <t>The Graphical Tree Ltd</t>
        </is>
      </c>
      <c r="M129" s="843" t="n">
        <v>44348</v>
      </c>
      <c r="N129" s="844" t="n">
        <v>47999</v>
      </c>
      <c r="P129" s="844" t="n">
        <v>46174</v>
      </c>
      <c r="Q129" s="844" t="n">
        <v>46173</v>
      </c>
      <c r="R129" s="842" t="n">
        <v>75000</v>
      </c>
      <c r="S129" s="842">
        <f>R129</f>
        <v/>
      </c>
      <c r="U129" s="842" t="n">
        <v>75800</v>
      </c>
      <c r="V129" s="842">
        <f>U129</f>
        <v/>
      </c>
      <c r="W129" s="842" t="n">
        <v>75000</v>
      </c>
      <c r="X129" s="842">
        <f>W129</f>
        <v/>
      </c>
      <c r="Y129" s="845">
        <f>W129/I129</f>
        <v/>
      </c>
      <c r="Z129" s="846">
        <f>SUM(W129-U129)/U129</f>
        <v/>
      </c>
      <c r="AA129" s="842" t="inlineStr">
        <is>
          <t>B</t>
        </is>
      </c>
      <c r="AB129" s="590" t="n"/>
      <c r="AC129" s="847" t="n"/>
      <c r="AD129" s="841" t="inlineStr">
        <is>
          <t>No</t>
        </is>
      </c>
      <c r="AE129" s="840" t="inlineStr">
        <is>
          <t>Tenant break on 6 months notice. Rent free 01/06/26 to 31/08/26 if not exercised. Landlord rolling break from 07/10/25.</t>
        </is>
      </c>
      <c r="AH129" s="312" t="n"/>
      <c r="AJ129" t="inlineStr">
        <is>
          <t>Let</t>
        </is>
      </c>
    </row>
    <row r="130">
      <c r="A130" t="inlineStr">
        <is>
          <t>Circus House,  21 Great Titchfield Street</t>
        </is>
      </c>
      <c r="B130" s="838" t="n"/>
      <c r="C130" s="839" t="inlineStr">
        <is>
          <t>SH</t>
        </is>
      </c>
      <c r="D130" s="839" t="inlineStr">
        <is>
          <t>MEL</t>
        </is>
      </c>
      <c r="E130" s="838" t="n">
        <v>550190</v>
      </c>
      <c r="F130" s="840" t="inlineStr">
        <is>
          <t>Circus House,  21 Great Titchfield Street</t>
        </is>
      </c>
      <c r="G130" s="840" t="inlineStr">
        <is>
          <t>Ground Floor (West)</t>
        </is>
      </c>
      <c r="H130" s="841" t="inlineStr">
        <is>
          <t>Office</t>
        </is>
      </c>
      <c r="I130" s="848" t="n">
        <v>1946</v>
      </c>
      <c r="J130" s="848">
        <f>I130</f>
        <v/>
      </c>
      <c r="K130" s="848" t="n">
        <v>2000</v>
      </c>
      <c r="L130" s="840" t="inlineStr">
        <is>
          <t>Vacant</t>
        </is>
      </c>
      <c r="O130" s="844" t="n">
        <v>45154</v>
      </c>
      <c r="R130" s="842" t="n">
        <v>0</v>
      </c>
      <c r="S130" s="842">
        <f>R130</f>
        <v/>
      </c>
      <c r="U130" s="842" t="n">
        <v>113900</v>
      </c>
      <c r="V130" s="842">
        <f>U130</f>
        <v/>
      </c>
      <c r="W130" s="842" t="n">
        <v>116800</v>
      </c>
      <c r="X130" s="842">
        <f>W130</f>
        <v/>
      </c>
      <c r="Y130" s="845">
        <f>W130/I130</f>
        <v/>
      </c>
      <c r="Z130" s="846">
        <f>SUM(W130-U130)/U130</f>
        <v/>
      </c>
      <c r="AA130" s="842" t="inlineStr">
        <is>
          <t>E</t>
        </is>
      </c>
      <c r="AB130" s="590" t="n"/>
      <c r="AC130" s="847" t="n"/>
      <c r="AD130" s="841" t="inlineStr">
        <is>
          <t>No</t>
        </is>
      </c>
      <c r="AE130" s="840" t="inlineStr">
        <is>
          <t>LEM marketing.</t>
        </is>
      </c>
      <c r="AF130" s="849" t="n">
        <v>60</v>
      </c>
      <c r="AG130" s="840" t="n">
        <v>5</v>
      </c>
      <c r="AH130" s="312" t="n">
        <v>11</v>
      </c>
      <c r="AI130" s="840" t="inlineStr">
        <is>
          <t>LEM</t>
        </is>
      </c>
      <c r="AJ130" t="inlineStr">
        <is>
          <t>Void</t>
        </is>
      </c>
    </row>
    <row r="131">
      <c r="A131" t="inlineStr">
        <is>
          <t>Circus House,  21 Great Titchfield Street</t>
        </is>
      </c>
      <c r="B131" s="838" t="n"/>
      <c r="C131" s="839" t="inlineStr">
        <is>
          <t>SH</t>
        </is>
      </c>
      <c r="D131" s="839" t="inlineStr">
        <is>
          <t>MEL</t>
        </is>
      </c>
      <c r="E131" s="838" t="n">
        <v>550190</v>
      </c>
      <c r="F131" s="840" t="inlineStr">
        <is>
          <t>Circus House,  21 Great Titchfield Street</t>
        </is>
      </c>
      <c r="G131" s="840" t="inlineStr">
        <is>
          <t>First Floor</t>
        </is>
      </c>
      <c r="H131" s="841" t="inlineStr">
        <is>
          <t>Office</t>
        </is>
      </c>
      <c r="I131" s="848" t="n">
        <v>2319</v>
      </c>
      <c r="J131" s="848">
        <f>I131</f>
        <v/>
      </c>
      <c r="K131" s="848" t="n">
        <v>2250</v>
      </c>
      <c r="L131" s="840" t="inlineStr">
        <is>
          <t>Dawbell Limited</t>
        </is>
      </c>
      <c r="M131" s="843" t="n">
        <v>44839</v>
      </c>
      <c r="N131" s="844" t="n">
        <v>46664</v>
      </c>
      <c r="Q131" s="844" t="n">
        <v>45935</v>
      </c>
      <c r="R131" s="842" t="n">
        <v>153216</v>
      </c>
      <c r="S131" s="842">
        <f>R131</f>
        <v/>
      </c>
      <c r="U131" s="842" t="n">
        <v>153600</v>
      </c>
      <c r="V131" s="842">
        <f>U131</f>
        <v/>
      </c>
      <c r="W131" s="842" t="n">
        <v>151900</v>
      </c>
      <c r="X131" s="842">
        <f>W131</f>
        <v/>
      </c>
      <c r="Y131" s="845">
        <f>W131/I131</f>
        <v/>
      </c>
      <c r="Z131" s="846">
        <f>SUM(W131-U131)/U131</f>
        <v/>
      </c>
      <c r="AA131" s="842" t="inlineStr">
        <is>
          <t>D</t>
        </is>
      </c>
      <c r="AB131" s="590" t="n"/>
      <c r="AC131" s="847" t="n"/>
      <c r="AD131" s="841" t="inlineStr">
        <is>
          <t>No</t>
        </is>
      </c>
      <c r="AE131" s="840" t="inlineStr">
        <is>
          <t>Rent reducing to £134,064 wef 05/10/25. Tenant break on 6 months notice.</t>
        </is>
      </c>
      <c r="AH131" s="312" t="n"/>
      <c r="AJ131" t="inlineStr">
        <is>
          <t>Let</t>
        </is>
      </c>
    </row>
    <row r="132">
      <c r="A132" t="inlineStr">
        <is>
          <t>Circus House,  21 Great Titchfield Street</t>
        </is>
      </c>
      <c r="B132" s="838" t="n"/>
      <c r="C132" s="839" t="inlineStr">
        <is>
          <t>SH</t>
        </is>
      </c>
      <c r="D132" s="839" t="inlineStr">
        <is>
          <t>MEL</t>
        </is>
      </c>
      <c r="E132" s="838" t="n">
        <v>550190</v>
      </c>
      <c r="F132" s="840" t="inlineStr">
        <is>
          <t>Circus House,  21 Great Titchfield Street</t>
        </is>
      </c>
      <c r="G132" s="840" t="inlineStr">
        <is>
          <t>Second &amp; Third Floors</t>
        </is>
      </c>
      <c r="H132" s="841" t="inlineStr">
        <is>
          <t>Office</t>
        </is>
      </c>
      <c r="I132" s="848" t="n">
        <v>4653</v>
      </c>
      <c r="J132" s="848">
        <f>I132</f>
        <v/>
      </c>
      <c r="K132" s="848" t="n">
        <v>4500</v>
      </c>
      <c r="L132" s="840" t="inlineStr">
        <is>
          <t>Mesmerise Global Limited</t>
        </is>
      </c>
      <c r="M132" s="843" t="n">
        <v>44879</v>
      </c>
      <c r="N132" s="844" t="n">
        <v>46704</v>
      </c>
      <c r="Q132" s="844" t="n">
        <v>45974</v>
      </c>
      <c r="R132" s="842" t="n">
        <v>310500</v>
      </c>
      <c r="S132" s="842">
        <f>R132</f>
        <v/>
      </c>
      <c r="U132" s="842" t="n">
        <v>310800</v>
      </c>
      <c r="V132" s="842">
        <f>U132</f>
        <v/>
      </c>
      <c r="W132" s="842" t="n">
        <v>316400</v>
      </c>
      <c r="X132" s="842">
        <f>W132</f>
        <v/>
      </c>
      <c r="Y132" s="845">
        <f>W132/I132</f>
        <v/>
      </c>
      <c r="Z132" s="846">
        <f>SUM(W132-U132)/U132</f>
        <v/>
      </c>
      <c r="AA132" s="842" t="inlineStr">
        <is>
          <t>D</t>
        </is>
      </c>
      <c r="AB132" s="590" t="n"/>
      <c r="AC132" s="847" t="n"/>
      <c r="AD132" s="841" t="inlineStr">
        <is>
          <t>No</t>
        </is>
      </c>
      <c r="AE132" s="840" t="inlineStr">
        <is>
          <t>Tenant break on 6 months notice. 3 months rent free if not exercised. Break notice served. Ongoing discussions regarding renewal of one floor.</t>
        </is>
      </c>
      <c r="AH132" s="312" t="n"/>
      <c r="AJ132" t="inlineStr">
        <is>
          <t>Let</t>
        </is>
      </c>
    </row>
    <row r="133">
      <c r="A133" t="inlineStr">
        <is>
          <t>Circus House,  21 Great Titchfield Street</t>
        </is>
      </c>
      <c r="B133" s="838" t="n"/>
      <c r="C133" s="839" t="inlineStr">
        <is>
          <t>SH</t>
        </is>
      </c>
      <c r="D133" s="839" t="inlineStr">
        <is>
          <t>MEL</t>
        </is>
      </c>
      <c r="E133" s="838" t="n">
        <v>550190</v>
      </c>
      <c r="F133" s="840" t="inlineStr">
        <is>
          <t>Circus House,  21 Great Titchfield Street</t>
        </is>
      </c>
      <c r="G133" s="840" t="inlineStr">
        <is>
          <t>Fourth Floor</t>
        </is>
      </c>
      <c r="H133" s="841" t="inlineStr">
        <is>
          <t>Office</t>
        </is>
      </c>
      <c r="I133" s="848" t="n">
        <v>2316</v>
      </c>
      <c r="J133" s="848">
        <f>I133</f>
        <v/>
      </c>
      <c r="K133" s="848" t="n">
        <v>2250</v>
      </c>
      <c r="L133" s="840" t="inlineStr">
        <is>
          <t>Marstead Living Limited</t>
        </is>
      </c>
      <c r="M133" s="843" t="n">
        <v>44883</v>
      </c>
      <c r="N133" s="844" t="n">
        <v>46708</v>
      </c>
      <c r="Q133" s="844" t="n">
        <v>45978</v>
      </c>
      <c r="R133" s="842" t="n">
        <v>151875</v>
      </c>
      <c r="S133" s="842">
        <f>R133</f>
        <v/>
      </c>
      <c r="U133" s="842" t="n">
        <v>152900</v>
      </c>
      <c r="V133" s="842">
        <f>U133</f>
        <v/>
      </c>
      <c r="W133" s="842" t="n">
        <v>157500</v>
      </c>
      <c r="X133" s="842">
        <f>W133</f>
        <v/>
      </c>
      <c r="Y133" s="845">
        <f>W133/I133</f>
        <v/>
      </c>
      <c r="Z133" s="846">
        <f>SUM(W133-U133)/U133</f>
        <v/>
      </c>
      <c r="AA133" s="842" t="inlineStr">
        <is>
          <t>E</t>
        </is>
      </c>
      <c r="AB133" s="590" t="n"/>
      <c r="AC133" s="847" t="n"/>
      <c r="AD133" s="841" t="inlineStr">
        <is>
          <t>No</t>
        </is>
      </c>
      <c r="AE133" s="840" t="inlineStr">
        <is>
          <t>Tenant break on 6 months notice. 3 months rent free if not exercised.</t>
        </is>
      </c>
      <c r="AH133" s="312" t="n"/>
      <c r="AJ133" t="inlineStr">
        <is>
          <t>Let</t>
        </is>
      </c>
    </row>
    <row r="134">
      <c r="A134" t="inlineStr">
        <is>
          <t>Circus House,  21 Great Titchfield Street</t>
        </is>
      </c>
      <c r="B134" s="838" t="n"/>
      <c r="C134" s="839" t="inlineStr">
        <is>
          <t>SH</t>
        </is>
      </c>
      <c r="D134" s="839" t="inlineStr">
        <is>
          <t>MEL</t>
        </is>
      </c>
      <c r="E134" s="838" t="n">
        <v>550190</v>
      </c>
      <c r="F134" s="840" t="inlineStr">
        <is>
          <t>Circus House,  21 Great Titchfield Street</t>
        </is>
      </c>
      <c r="G134" s="840" t="inlineStr">
        <is>
          <t>Fifth Floor</t>
        </is>
      </c>
      <c r="H134" s="841" t="inlineStr">
        <is>
          <t>Office</t>
        </is>
      </c>
      <c r="I134" s="848" t="n">
        <v>2096</v>
      </c>
      <c r="J134" s="848">
        <f>I134</f>
        <v/>
      </c>
      <c r="K134" s="848" t="n">
        <v>2000</v>
      </c>
      <c r="L134" s="840" t="inlineStr">
        <is>
          <t>NSL Limited</t>
        </is>
      </c>
      <c r="M134" s="843" t="n">
        <v>44470</v>
      </c>
      <c r="N134" s="844" t="n">
        <v>46295</v>
      </c>
      <c r="R134" s="842" t="n">
        <v>120750</v>
      </c>
      <c r="S134" s="842">
        <f>R134</f>
        <v/>
      </c>
      <c r="U134" s="842" t="n">
        <v>141800</v>
      </c>
      <c r="V134" s="842">
        <f>U134</f>
        <v/>
      </c>
      <c r="W134" s="842" t="n">
        <v>142500</v>
      </c>
      <c r="X134" s="842">
        <f>W134</f>
        <v/>
      </c>
      <c r="Y134" s="845">
        <f>W134/I134</f>
        <v/>
      </c>
      <c r="Z134" s="846">
        <f>SUM(W134-U134)/U134</f>
        <v/>
      </c>
      <c r="AA134" s="842" t="inlineStr">
        <is>
          <t>E</t>
        </is>
      </c>
      <c r="AB134" s="590" t="n"/>
      <c r="AC134" s="847" t="n"/>
      <c r="AD134" s="841" t="inlineStr">
        <is>
          <t>No</t>
        </is>
      </c>
      <c r="AE134" s="840" t="inlineStr">
        <is>
          <t>Ongoing legal action withdrawn. Rent stop removed. Tenant repaid all arrears.</t>
        </is>
      </c>
      <c r="AH134" s="312" t="n"/>
      <c r="AJ134" t="inlineStr">
        <is>
          <t>Let</t>
        </is>
      </c>
    </row>
    <row r="135">
      <c r="A135" t="inlineStr">
        <is>
          <t>Moray House, 23-35 Great Titchfield Street &amp; 63-65 Mortimer Street</t>
        </is>
      </c>
      <c r="B135" s="838" t="n"/>
      <c r="C135" s="839" t="inlineStr">
        <is>
          <t>WS</t>
        </is>
      </c>
      <c r="D135" s="839" t="inlineStr">
        <is>
          <t>MEL</t>
        </is>
      </c>
      <c r="E135" s="838" t="n">
        <v>550570</v>
      </c>
      <c r="F135" s="840" t="inlineStr">
        <is>
          <t>Moray House, 23-35 Great Titchfield Street &amp; 63-65 Mortimer Street</t>
        </is>
      </c>
      <c r="G135" s="840" t="inlineStr">
        <is>
          <t>Part Lower Ground</t>
        </is>
      </c>
      <c r="H135" s="841" t="inlineStr">
        <is>
          <t>Gym / D1</t>
        </is>
      </c>
      <c r="I135" s="848" t="n">
        <v>2604</v>
      </c>
      <c r="J135" s="848">
        <f>I135</f>
        <v/>
      </c>
      <c r="K135" s="848" t="n">
        <v>2500</v>
      </c>
      <c r="L135" s="840" t="inlineStr">
        <is>
          <t>Rehabilitation &amp; Athletics Performance UK Ltd.</t>
        </is>
      </c>
      <c r="M135" s="843" t="n">
        <v>44941</v>
      </c>
      <c r="N135" s="844" t="n">
        <v>47057</v>
      </c>
      <c r="R135" s="842" t="n">
        <v>80000</v>
      </c>
      <c r="S135" s="842">
        <f>R135</f>
        <v/>
      </c>
      <c r="U135" s="842" t="n">
        <v>80000</v>
      </c>
      <c r="V135" s="842">
        <f>U135</f>
        <v/>
      </c>
      <c r="W135" s="842" t="n">
        <v>70000</v>
      </c>
      <c r="X135" s="842">
        <f>W135</f>
        <v/>
      </c>
      <c r="Y135" s="845">
        <f>W135/I135</f>
        <v/>
      </c>
      <c r="Z135" s="846">
        <f>SUM(W135-U135)/U135</f>
        <v/>
      </c>
      <c r="AA135" s="842" t="inlineStr">
        <is>
          <t>D</t>
        </is>
      </c>
      <c r="AB135" s="590" t="n"/>
      <c r="AC135" s="847" t="n"/>
      <c r="AD135" s="841" t="inlineStr">
        <is>
          <t>No</t>
        </is>
      </c>
      <c r="AE135" s="840" t="inlineStr">
        <is>
          <t>Fixed increases 01/05/26 wef  £85,000, 01/05/27 wef £90,000 and 01/05/28 wef £95,000.</t>
        </is>
      </c>
      <c r="AH135" s="312" t="n"/>
      <c r="AJ135" t="inlineStr">
        <is>
          <t>Let</t>
        </is>
      </c>
    </row>
    <row r="136">
      <c r="A136" t="inlineStr">
        <is>
          <t>Moray House, 23-35 Great Titchfield Street &amp; 63-65 Mortimer Street</t>
        </is>
      </c>
      <c r="B136" s="838" t="n"/>
      <c r="C136" s="839" t="inlineStr">
        <is>
          <t>WS</t>
        </is>
      </c>
      <c r="D136" s="839" t="inlineStr">
        <is>
          <t>MEL</t>
        </is>
      </c>
      <c r="E136" s="838" t="n">
        <v>550570</v>
      </c>
      <c r="F136" s="840" t="inlineStr">
        <is>
          <t>Moray House, 23-35 Great Titchfield Street &amp; 63-65 Mortimer Street</t>
        </is>
      </c>
      <c r="G136" s="840" t="inlineStr">
        <is>
          <t>Unit A &amp; B. Ground Floor</t>
        </is>
      </c>
      <c r="H136" s="841" t="inlineStr">
        <is>
          <t>Shop/Showroom</t>
        </is>
      </c>
      <c r="I136" s="848" t="n">
        <v>1452</v>
      </c>
      <c r="J136" s="848">
        <f>I136</f>
        <v/>
      </c>
      <c r="K136" s="848" t="n">
        <v>1500</v>
      </c>
      <c r="L136" s="840" t="inlineStr">
        <is>
          <t>Medialab Group Ltd.</t>
        </is>
      </c>
      <c r="M136" s="843" t="n">
        <v>45586</v>
      </c>
      <c r="N136" s="844" t="n">
        <v>46827</v>
      </c>
      <c r="Q136" s="844" t="n">
        <v>46097</v>
      </c>
      <c r="R136" s="842" t="n">
        <v>117500</v>
      </c>
      <c r="S136" s="842">
        <f>R136</f>
        <v/>
      </c>
      <c r="U136" s="842" t="n">
        <v>115000</v>
      </c>
      <c r="V136" s="842">
        <f>U136</f>
        <v/>
      </c>
      <c r="W136" s="842" t="n">
        <v>115000</v>
      </c>
      <c r="X136" s="842">
        <f>W136</f>
        <v/>
      </c>
      <c r="Y136" s="845">
        <f>W136/I136</f>
        <v/>
      </c>
      <c r="Z136" s="846">
        <f>SUM(W136-U136)/U136</f>
        <v/>
      </c>
      <c r="AA136" s="842" t="inlineStr">
        <is>
          <t>B</t>
        </is>
      </c>
      <c r="AB136" s="590" t="n"/>
      <c r="AC136" s="847" t="n"/>
      <c r="AD136" s="841" t="inlineStr">
        <is>
          <t>No</t>
        </is>
      </c>
      <c r="AE136" s="840" t="inlineStr">
        <is>
          <t>Tenant break on 6 months notice.</t>
        </is>
      </c>
      <c r="AH136" s="312" t="n"/>
      <c r="AJ136" t="inlineStr">
        <is>
          <t>Let</t>
        </is>
      </c>
    </row>
    <row r="137">
      <c r="A137" t="inlineStr">
        <is>
          <t>Moray House, 23-35 Great Titchfield Street &amp; 63-65 Mortimer Street</t>
        </is>
      </c>
      <c r="B137" s="838" t="n"/>
      <c r="C137" s="839" t="inlineStr">
        <is>
          <t>WS</t>
        </is>
      </c>
      <c r="D137" s="839" t="inlineStr">
        <is>
          <t>MEL</t>
        </is>
      </c>
      <c r="E137" s="838" t="n">
        <v>550570</v>
      </c>
      <c r="F137" s="840" t="inlineStr">
        <is>
          <t>Moray House, 23-35 Great Titchfield Street &amp; 63-65 Mortimer Street</t>
        </is>
      </c>
      <c r="G137" s="840" t="inlineStr">
        <is>
          <t>Unit C. Ground Floor &amp; Basement</t>
        </is>
      </c>
      <c r="H137" s="841" t="inlineStr">
        <is>
          <t>Office/ Showroom</t>
        </is>
      </c>
      <c r="I137" s="848" t="n">
        <v>1949</v>
      </c>
      <c r="J137" s="848">
        <f>I137</f>
        <v/>
      </c>
      <c r="K137" s="848" t="n">
        <v>2000</v>
      </c>
      <c r="L137" s="840" t="inlineStr">
        <is>
          <t>H Illume Ltd (t/a LAPO)</t>
        </is>
      </c>
      <c r="M137" s="843" t="n">
        <v>45687</v>
      </c>
      <c r="N137" s="844" t="n">
        <v>49338</v>
      </c>
      <c r="P137" s="844" t="n">
        <v>47513</v>
      </c>
      <c r="R137" s="842" t="n">
        <v>59000</v>
      </c>
      <c r="S137" s="842">
        <f>R137</f>
        <v/>
      </c>
      <c r="U137" s="842" t="n">
        <v>91000</v>
      </c>
      <c r="V137" s="842">
        <f>U137</f>
        <v/>
      </c>
      <c r="W137" s="842" t="n">
        <v>115000</v>
      </c>
      <c r="X137" s="842">
        <f>W137</f>
        <v/>
      </c>
      <c r="Y137" s="845">
        <f>W137/I137</f>
        <v/>
      </c>
      <c r="Z137" s="846">
        <f>SUM(W137-U137)/U137</f>
        <v/>
      </c>
      <c r="AA137" s="842" t="inlineStr">
        <is>
          <t>D</t>
        </is>
      </c>
      <c r="AB137" s="590" t="n"/>
      <c r="AC137" s="847" t="n"/>
      <c r="AD137" s="841" t="inlineStr">
        <is>
          <t>No</t>
        </is>
      </c>
      <c r="AE137" s="840" t="inlineStr">
        <is>
          <t>Rent increasing to £118,000 wef 30/04/26.</t>
        </is>
      </c>
      <c r="AH137" s="312" t="n">
        <v>3</v>
      </c>
      <c r="AI137" s="840" t="inlineStr">
        <is>
          <t>LEM</t>
        </is>
      </c>
      <c r="AJ137" t="inlineStr">
        <is>
          <t>Let</t>
        </is>
      </c>
    </row>
    <row r="138">
      <c r="A138" t="inlineStr">
        <is>
          <t>Moray House, 23-35 Great Titchfield Street &amp; 63-65 Mortimer Street</t>
        </is>
      </c>
      <c r="B138" s="838" t="n"/>
      <c r="C138" s="839" t="inlineStr">
        <is>
          <t>WS</t>
        </is>
      </c>
      <c r="D138" s="839" t="inlineStr">
        <is>
          <t>MEL</t>
        </is>
      </c>
      <c r="E138" s="838" t="n">
        <v>550570</v>
      </c>
      <c r="F138" s="840" t="inlineStr">
        <is>
          <t>Moray House, 23-35 Great Titchfield Street &amp; 63-65 Mortimer Street</t>
        </is>
      </c>
      <c r="G138" s="840" t="inlineStr">
        <is>
          <t>Unit D &amp; E. Ground Floor &amp; Part Basement</t>
        </is>
      </c>
      <c r="H138" s="841" t="inlineStr">
        <is>
          <t>Gym / D1</t>
        </is>
      </c>
      <c r="I138" s="848" t="n">
        <v>4976</v>
      </c>
      <c r="J138" s="848">
        <f>I138</f>
        <v/>
      </c>
      <c r="K138" s="848" t="n">
        <v>5000</v>
      </c>
      <c r="L138" s="840" t="inlineStr">
        <is>
          <t>CSS F45 UK Ltd</t>
        </is>
      </c>
      <c r="M138" s="843" t="n">
        <v>44722</v>
      </c>
      <c r="N138" s="844" t="n">
        <v>48374</v>
      </c>
      <c r="P138" s="844" t="n">
        <v>46548</v>
      </c>
      <c r="Q138" s="844" t="n">
        <v>46547</v>
      </c>
      <c r="R138" s="842" t="n">
        <v>230000</v>
      </c>
      <c r="S138" s="842">
        <f>R138</f>
        <v/>
      </c>
      <c r="U138" s="842" t="n">
        <v>230000</v>
      </c>
      <c r="V138" s="842">
        <f>U138</f>
        <v/>
      </c>
      <c r="W138" s="842" t="n">
        <v>230000</v>
      </c>
      <c r="X138" s="842">
        <f>W138</f>
        <v/>
      </c>
      <c r="Y138" s="845">
        <f>W138/I138</f>
        <v/>
      </c>
      <c r="Z138" s="846">
        <f>SUM(W138-U138)/U138</f>
        <v/>
      </c>
      <c r="AA138" s="842" t="inlineStr">
        <is>
          <t>B</t>
        </is>
      </c>
      <c r="AB138" s="590" t="n"/>
      <c r="AC138" s="847" t="n"/>
      <c r="AD138" s="841" t="inlineStr">
        <is>
          <t>No</t>
        </is>
      </c>
      <c r="AE138" s="850" t="inlineStr">
        <is>
          <t xml:space="preserve">Tenant break on 6 months notice. </t>
        </is>
      </c>
      <c r="AG138" s="850" t="n"/>
      <c r="AH138" s="619" t="n"/>
      <c r="AI138" s="850" t="n"/>
      <c r="AJ138" t="inlineStr">
        <is>
          <t>Let</t>
        </is>
      </c>
    </row>
    <row r="139">
      <c r="A139" t="inlineStr">
        <is>
          <t>Moray House, 23-35 Great Titchfield Street &amp; 63-65 Mortimer Street</t>
        </is>
      </c>
      <c r="B139" s="838" t="n"/>
      <c r="C139" s="839" t="inlineStr">
        <is>
          <t>WS</t>
        </is>
      </c>
      <c r="D139" s="839" t="inlineStr">
        <is>
          <t>MEL</t>
        </is>
      </c>
      <c r="E139" s="838" t="n">
        <v>550570</v>
      </c>
      <c r="F139" s="840" t="inlineStr">
        <is>
          <t>Moray House, 23-35 Great Titchfield Street &amp; 63-65 Mortimer Street</t>
        </is>
      </c>
      <c r="G139" s="840" t="inlineStr">
        <is>
          <t>Suite 1.1 First Floor</t>
        </is>
      </c>
      <c r="H139" s="841" t="inlineStr">
        <is>
          <t>Office</t>
        </is>
      </c>
      <c r="I139" s="848" t="n">
        <v>1443</v>
      </c>
      <c r="J139" s="848">
        <f>I139</f>
        <v/>
      </c>
      <c r="K139" s="848" t="n">
        <v>1500</v>
      </c>
      <c r="L139" s="840" t="inlineStr">
        <is>
          <t>Vacant</t>
        </is>
      </c>
      <c r="O139" s="844" t="n">
        <v>44121</v>
      </c>
      <c r="R139" s="842" t="n">
        <v>0</v>
      </c>
      <c r="S139" s="842">
        <f>R139</f>
        <v/>
      </c>
      <c r="U139" s="842" t="n">
        <v>87800</v>
      </c>
      <c r="V139" s="842">
        <f>U139</f>
        <v/>
      </c>
      <c r="W139" s="842" t="n">
        <v>90200</v>
      </c>
      <c r="X139" s="842">
        <f>W139</f>
        <v/>
      </c>
      <c r="Y139" s="845">
        <f>W139/I139</f>
        <v/>
      </c>
      <c r="Z139" s="846">
        <f>SUM(W139-U139)/U139</f>
        <v/>
      </c>
      <c r="AA139" s="842" t="inlineStr">
        <is>
          <t>D</t>
        </is>
      </c>
      <c r="AB139" s="590" t="n"/>
      <c r="AC139" s="847" t="n"/>
      <c r="AD139" s="841" t="inlineStr">
        <is>
          <t>No</t>
        </is>
      </c>
      <c r="AE139" s="840" t="inlineStr">
        <is>
          <t>To be refurbished.</t>
        </is>
      </c>
      <c r="AF139" s="849" t="n">
        <v>65</v>
      </c>
      <c r="AH139" s="312" t="n">
        <v>3</v>
      </c>
      <c r="AI139" s="840" t="inlineStr">
        <is>
          <t>LEM</t>
        </is>
      </c>
      <c r="AJ139" t="inlineStr">
        <is>
          <t>Void</t>
        </is>
      </c>
    </row>
    <row r="140">
      <c r="A140" t="inlineStr">
        <is>
          <t>Moray House, 23-35 Great Titchfield Street &amp; 63-65 Mortimer Street</t>
        </is>
      </c>
      <c r="B140" s="838" t="n"/>
      <c r="C140" s="839" t="inlineStr">
        <is>
          <t>WS</t>
        </is>
      </c>
      <c r="D140" s="839" t="inlineStr">
        <is>
          <t>MEL</t>
        </is>
      </c>
      <c r="E140" s="838" t="n">
        <v>550570</v>
      </c>
      <c r="F140" s="840" t="inlineStr">
        <is>
          <t>Moray House, 23-35 Great Titchfield Street &amp; 63-65 Mortimer Street</t>
        </is>
      </c>
      <c r="G140" s="840" t="inlineStr">
        <is>
          <t xml:space="preserve">Suites 2 &amp; 3 First Floor  </t>
        </is>
      </c>
      <c r="H140" s="841" t="inlineStr">
        <is>
          <t>Showroom/Office</t>
        </is>
      </c>
      <c r="I140" s="848" t="n">
        <v>2851</v>
      </c>
      <c r="J140" s="848">
        <f>I140</f>
        <v/>
      </c>
      <c r="K140" s="848" t="n">
        <v>2750</v>
      </c>
      <c r="L140" s="840" t="inlineStr">
        <is>
          <t>Wacoal Emea Ltd.</t>
        </is>
      </c>
      <c r="M140" s="843" t="n">
        <v>42192</v>
      </c>
      <c r="N140" s="844" t="n">
        <v>45844</v>
      </c>
      <c r="P140" s="844" t="n">
        <v>44019</v>
      </c>
      <c r="R140" s="842" t="n">
        <v>156000</v>
      </c>
      <c r="S140" s="842">
        <f>R140</f>
        <v/>
      </c>
      <c r="U140" s="842" t="n">
        <v>151300</v>
      </c>
      <c r="V140" s="842">
        <f>U140</f>
        <v/>
      </c>
      <c r="W140" s="842" t="n">
        <v>178200</v>
      </c>
      <c r="X140" s="842">
        <f>W140</f>
        <v/>
      </c>
      <c r="Y140" s="845">
        <f>W140/I140</f>
        <v/>
      </c>
      <c r="Z140" s="846">
        <f>SUM(W140-U140)/U140</f>
        <v/>
      </c>
      <c r="AA140" s="842" t="inlineStr">
        <is>
          <t>C</t>
        </is>
      </c>
      <c r="AB140" s="590" t="n"/>
      <c r="AC140" s="847" t="n"/>
      <c r="AD140" s="841" t="inlineStr">
        <is>
          <t>No</t>
        </is>
      </c>
      <c r="AE140" s="840" t="inlineStr">
        <is>
          <t>Tenant vacating on expiry. Renewal discussions ended.</t>
        </is>
      </c>
      <c r="AH140" s="312" t="n"/>
      <c r="AJ140" t="inlineStr">
        <is>
          <t>Let</t>
        </is>
      </c>
    </row>
    <row r="141">
      <c r="A141" t="inlineStr">
        <is>
          <t>Moray House, 23-35 Great Titchfield Street &amp; 63-65 Mortimer Street</t>
        </is>
      </c>
      <c r="B141" s="838" t="n"/>
      <c r="C141" s="839" t="inlineStr">
        <is>
          <t>WS</t>
        </is>
      </c>
      <c r="D141" s="839" t="inlineStr">
        <is>
          <t>MEL</t>
        </is>
      </c>
      <c r="E141" s="838" t="n">
        <v>550570</v>
      </c>
      <c r="F141" s="840" t="inlineStr">
        <is>
          <t>Moray House, 23-35 Great Titchfield Street &amp; 63-65 Mortimer Street</t>
        </is>
      </c>
      <c r="G141" s="840" t="inlineStr">
        <is>
          <t>Suite 4 First Floor</t>
        </is>
      </c>
      <c r="H141" s="841" t="inlineStr">
        <is>
          <t>Showroom/Office</t>
        </is>
      </c>
      <c r="I141" s="848" t="n">
        <v>483</v>
      </c>
      <c r="J141" s="848">
        <f>I141</f>
        <v/>
      </c>
      <c r="K141" s="848" t="n">
        <v>500</v>
      </c>
      <c r="L141" s="840" t="inlineStr">
        <is>
          <t>Oldie Publications Ltd</t>
        </is>
      </c>
      <c r="M141" s="843" t="n">
        <v>44272</v>
      </c>
      <c r="N141" s="844" t="n">
        <v>46097</v>
      </c>
      <c r="R141" s="842" t="n">
        <v>52200</v>
      </c>
      <c r="S141" s="842">
        <f>R141</f>
        <v/>
      </c>
      <c r="U141" s="842" t="n">
        <v>54900</v>
      </c>
      <c r="V141" s="842">
        <f>U141</f>
        <v/>
      </c>
      <c r="W141" s="842" t="n">
        <v>30200</v>
      </c>
      <c r="X141" s="842">
        <f>W141</f>
        <v/>
      </c>
      <c r="Y141" s="845">
        <f>W141/I141</f>
        <v/>
      </c>
      <c r="Z141" s="846">
        <f>SUM(W141-U141)/U141</f>
        <v/>
      </c>
      <c r="AA141" s="842" t="inlineStr">
        <is>
          <t>E</t>
        </is>
      </c>
      <c r="AB141" s="590" t="n"/>
      <c r="AC141" s="847" t="n"/>
      <c r="AD141" s="841" t="inlineStr">
        <is>
          <t>No</t>
        </is>
      </c>
      <c r="AH141" s="312" t="n"/>
      <c r="AJ141" t="inlineStr">
        <is>
          <t>Let</t>
        </is>
      </c>
    </row>
    <row r="142">
      <c r="A142" t="inlineStr">
        <is>
          <t>Moray House, 23-35 Great Titchfield Street &amp; 63-65 Mortimer Street</t>
        </is>
      </c>
      <c r="B142" s="838" t="n"/>
      <c r="C142" s="839" t="inlineStr">
        <is>
          <t>WS</t>
        </is>
      </c>
      <c r="D142" s="839" t="inlineStr">
        <is>
          <t>MEL</t>
        </is>
      </c>
      <c r="E142" s="838" t="n">
        <v>550570</v>
      </c>
      <c r="F142" s="840" t="inlineStr">
        <is>
          <t>Moray House, 23-35 Great Titchfield Street &amp; 63-65 Mortimer Street</t>
        </is>
      </c>
      <c r="G142" s="840" t="inlineStr">
        <is>
          <t>Suites 1, 2, 3 &amp; 4, Second Floor</t>
        </is>
      </c>
      <c r="H142" s="841" t="inlineStr">
        <is>
          <t>Showroom</t>
        </is>
      </c>
      <c r="I142" s="848" t="n">
        <v>3299</v>
      </c>
      <c r="J142" s="848">
        <f>I142</f>
        <v/>
      </c>
      <c r="K142" s="848" t="n">
        <v>3250</v>
      </c>
      <c r="L142" s="840" t="inlineStr">
        <is>
          <t>InPost UK Limited</t>
        </is>
      </c>
      <c r="M142" s="843" t="n">
        <v>45807</v>
      </c>
      <c r="N142" s="844" t="n">
        <v>47143</v>
      </c>
      <c r="Q142" s="844" t="n">
        <v>46408</v>
      </c>
      <c r="R142" s="842" t="n">
        <v>0</v>
      </c>
      <c r="S142" s="842">
        <f>R142</f>
        <v/>
      </c>
      <c r="U142" s="842" t="n">
        <v>193200</v>
      </c>
      <c r="V142" s="842">
        <f>U142</f>
        <v/>
      </c>
      <c r="W142" s="842" t="n">
        <v>209500</v>
      </c>
      <c r="X142" s="842">
        <f>W142</f>
        <v/>
      </c>
      <c r="Y142" s="845">
        <f>W142/I142</f>
        <v/>
      </c>
      <c r="Z142" s="846">
        <f>SUM(W142-U142)/U142</f>
        <v/>
      </c>
      <c r="AA142" s="617" t="inlineStr">
        <is>
          <t>B</t>
        </is>
      </c>
      <c r="AB142" s="590" t="n"/>
      <c r="AC142" s="847" t="n"/>
      <c r="AD142" s="841" t="inlineStr">
        <is>
          <t>No</t>
        </is>
      </c>
      <c r="AE142" s="840" t="inlineStr">
        <is>
          <t>Rent £231,000 wef 30/07/25. Tenant break on 6 months notice. 1 month rent free wef 22/01/27 if break not exercised.</t>
        </is>
      </c>
      <c r="AG142" s="840" t="n">
        <v>3</v>
      </c>
      <c r="AH142" s="312" t="n">
        <v>5</v>
      </c>
      <c r="AJ142" t="inlineStr">
        <is>
          <t>Let</t>
        </is>
      </c>
    </row>
    <row r="143">
      <c r="A143" t="inlineStr">
        <is>
          <t>Moray House, 23-35 Great Titchfield Street &amp; 63-65 Mortimer Street</t>
        </is>
      </c>
      <c r="B143" s="838" t="n"/>
      <c r="C143" s="839" t="inlineStr">
        <is>
          <t>WS</t>
        </is>
      </c>
      <c r="D143" s="839" t="inlineStr">
        <is>
          <t>MEL</t>
        </is>
      </c>
      <c r="E143" s="838" t="n">
        <v>550570</v>
      </c>
      <c r="F143" s="840" t="inlineStr">
        <is>
          <t>Moray House, 23-35 Great Titchfield Street &amp; 63-65 Mortimer Street</t>
        </is>
      </c>
      <c r="G143" s="840" t="inlineStr">
        <is>
          <t>Suite 5, Second Floor</t>
        </is>
      </c>
      <c r="H143" s="841" t="inlineStr">
        <is>
          <t>Showroom/ Office</t>
        </is>
      </c>
      <c r="I143" s="848" t="n">
        <v>882</v>
      </c>
      <c r="J143" s="848">
        <f>I143</f>
        <v/>
      </c>
      <c r="K143" s="848" t="n">
        <v>1000</v>
      </c>
      <c r="L143" s="840" t="inlineStr">
        <is>
          <t>Carbonaires Ltd</t>
        </is>
      </c>
      <c r="M143" s="843" t="n">
        <v>45114</v>
      </c>
      <c r="N143" s="844" t="n">
        <v>46209</v>
      </c>
      <c r="Q143" s="844" t="n">
        <v>45844</v>
      </c>
      <c r="R143" s="842" t="n">
        <v>56225</v>
      </c>
      <c r="S143" s="842">
        <f>R143</f>
        <v/>
      </c>
      <c r="U143" s="842" t="n">
        <v>52800</v>
      </c>
      <c r="V143" s="842">
        <f>U143</f>
        <v/>
      </c>
      <c r="W143" s="842" t="n">
        <v>56225</v>
      </c>
      <c r="X143" s="842">
        <f>W143</f>
        <v/>
      </c>
      <c r="Y143" s="845">
        <f>W143/I143</f>
        <v/>
      </c>
      <c r="Z143" s="846">
        <f>SUM(W143-U143)/U143</f>
        <v/>
      </c>
      <c r="AA143" s="842" t="inlineStr">
        <is>
          <t>D</t>
        </is>
      </c>
      <c r="AB143" s="590" t="n"/>
      <c r="AC143" s="847" t="n"/>
      <c r="AD143" s="841" t="inlineStr">
        <is>
          <t>No</t>
        </is>
      </c>
      <c r="AE143" s="840" t="inlineStr">
        <is>
          <t>Tenant break on 6 months notice. Rent free @ 07/07/25 to 20/09/25 if not exercised.</t>
        </is>
      </c>
      <c r="AH143" s="312" t="n"/>
      <c r="AJ143" t="inlineStr">
        <is>
          <t>Let</t>
        </is>
      </c>
    </row>
    <row r="144">
      <c r="A144" t="inlineStr">
        <is>
          <t>Moray House, 23-35 Great Titchfield Street &amp; 63-65 Mortimer Street</t>
        </is>
      </c>
      <c r="B144" s="838" t="n"/>
      <c r="C144" s="839" t="inlineStr">
        <is>
          <t>WS</t>
        </is>
      </c>
      <c r="D144" s="839" t="inlineStr">
        <is>
          <t>MEL</t>
        </is>
      </c>
      <c r="E144" s="838" t="n">
        <v>550570</v>
      </c>
      <c r="F144" s="840" t="inlineStr">
        <is>
          <t>Moray House, 23-35 Great Titchfield Street &amp; 63-65 Mortimer Street</t>
        </is>
      </c>
      <c r="G144" s="840" t="inlineStr">
        <is>
          <t>Third Floor</t>
        </is>
      </c>
      <c r="H144" s="841" t="inlineStr">
        <is>
          <t>Showroom/ Office</t>
        </is>
      </c>
      <c r="I144" s="848" t="n">
        <v>4169</v>
      </c>
      <c r="J144" s="848">
        <f>I144</f>
        <v/>
      </c>
      <c r="K144" s="848" t="n">
        <v>4000</v>
      </c>
      <c r="L144" s="840" t="inlineStr">
        <is>
          <t>Knotel Moray House Ltd.</t>
        </is>
      </c>
      <c r="M144" s="843" t="n">
        <v>43378</v>
      </c>
      <c r="N144" s="844" t="n">
        <v>47030</v>
      </c>
      <c r="P144" s="844" t="n">
        <v>45204</v>
      </c>
      <c r="R144" s="842" t="n">
        <v>257635</v>
      </c>
      <c r="S144" s="842">
        <f>R144</f>
        <v/>
      </c>
      <c r="U144" s="842" t="n">
        <v>264100</v>
      </c>
      <c r="V144" s="842">
        <f>U144</f>
        <v/>
      </c>
      <c r="W144" s="842" t="n">
        <v>271000</v>
      </c>
      <c r="X144" s="842">
        <f>W144</f>
        <v/>
      </c>
      <c r="Y144" s="845">
        <f>W144/I144</f>
        <v/>
      </c>
      <c r="Z144" s="846">
        <f>SUM(W144-U144)/U144</f>
        <v/>
      </c>
      <c r="AA144" s="842" t="inlineStr">
        <is>
          <t>D</t>
        </is>
      </c>
      <c r="AB144" s="590" t="n"/>
      <c r="AC144" s="847" t="n"/>
      <c r="AD144" s="841" t="inlineStr">
        <is>
          <t>No</t>
        </is>
      </c>
      <c r="AE144" s="840" t="inlineStr">
        <is>
          <t>Landlords redevelopment break @ 04/10/26 on 9 months notice.</t>
        </is>
      </c>
      <c r="AG144" s="840" t="n">
        <v>1</v>
      </c>
      <c r="AH144" s="312" t="n">
        <v>1</v>
      </c>
      <c r="AJ144" t="inlineStr">
        <is>
          <t>Let</t>
        </is>
      </c>
    </row>
    <row r="145">
      <c r="A145" t="inlineStr">
        <is>
          <t>Moray House, 23-35 Great Titchfield Street &amp; 63-65 Mortimer Street</t>
        </is>
      </c>
      <c r="B145" s="838" t="n"/>
      <c r="C145" s="839" t="inlineStr">
        <is>
          <t>WS</t>
        </is>
      </c>
      <c r="D145" s="839" t="inlineStr">
        <is>
          <t>MEL</t>
        </is>
      </c>
      <c r="E145" s="838" t="n">
        <v>550570</v>
      </c>
      <c r="F145" s="840" t="inlineStr">
        <is>
          <t>Moray House, 23-35 Great Titchfield Street &amp; 63-65 Mortimer Street</t>
        </is>
      </c>
      <c r="G145" s="840" t="inlineStr">
        <is>
          <t>Suite 1, 2 &amp; 3  Fourth Floor</t>
        </is>
      </c>
      <c r="H145" s="841" t="inlineStr">
        <is>
          <t>Office</t>
        </is>
      </c>
      <c r="I145" s="848" t="n">
        <v>4098</v>
      </c>
      <c r="J145" s="848">
        <f>I145</f>
        <v/>
      </c>
      <c r="K145" s="848" t="n">
        <v>4000</v>
      </c>
      <c r="L145" s="840" t="inlineStr">
        <is>
          <t>InPost UK Limited</t>
        </is>
      </c>
      <c r="M145" s="843" t="n">
        <v>45317</v>
      </c>
      <c r="N145" s="844" t="n">
        <v>47143</v>
      </c>
      <c r="Q145" s="844" t="n">
        <v>46047</v>
      </c>
      <c r="R145" s="842" t="n">
        <v>304500</v>
      </c>
      <c r="S145" s="842">
        <f>R145</f>
        <v/>
      </c>
      <c r="U145" s="842" t="n">
        <v>255600</v>
      </c>
      <c r="V145" s="842">
        <f>U145</f>
        <v/>
      </c>
      <c r="W145" s="842" t="n">
        <v>304500</v>
      </c>
      <c r="X145" s="842">
        <f>W145</f>
        <v/>
      </c>
      <c r="Y145" s="845">
        <f>W145/I145</f>
        <v/>
      </c>
      <c r="Z145" s="846">
        <f>SUM(W145-U145)/U145</f>
        <v/>
      </c>
      <c r="AA145" s="842" t="inlineStr">
        <is>
          <t>B</t>
        </is>
      </c>
      <c r="AB145" s="590" t="n"/>
      <c r="AC145" s="847" t="n"/>
      <c r="AD145" s="841" t="inlineStr">
        <is>
          <t>No</t>
        </is>
      </c>
      <c r="AE145" s="840" t="inlineStr">
        <is>
          <t>Tenant breaks @ 26/01/26 &amp; 21/01/27 on 3 months notice. One month rent free if not exercised.</t>
        </is>
      </c>
      <c r="AH145" s="312" t="n"/>
      <c r="AJ145" t="inlineStr">
        <is>
          <t>Let</t>
        </is>
      </c>
    </row>
    <row r="146">
      <c r="A146" t="inlineStr">
        <is>
          <t>Moray House, 23-35 Great Titchfield Street &amp; 63-65 Mortimer Street</t>
        </is>
      </c>
      <c r="B146" s="838" t="n"/>
      <c r="C146" s="839" t="inlineStr">
        <is>
          <t>WS</t>
        </is>
      </c>
      <c r="D146" s="839" t="inlineStr">
        <is>
          <t>MEL</t>
        </is>
      </c>
      <c r="E146" s="838" t="n">
        <v>550570</v>
      </c>
      <c r="F146" s="840" t="inlineStr">
        <is>
          <t>Moray House, 23-35 Great Titchfield Street &amp; 63-65 Mortimer Street</t>
        </is>
      </c>
      <c r="G146" s="840" t="inlineStr">
        <is>
          <t>Fifth Floor</t>
        </is>
      </c>
      <c r="H146" s="841" t="inlineStr">
        <is>
          <t>Office</t>
        </is>
      </c>
      <c r="I146" s="848" t="n">
        <v>3179</v>
      </c>
      <c r="J146" s="848">
        <f>I146</f>
        <v/>
      </c>
      <c r="K146" s="848" t="n">
        <v>3000</v>
      </c>
      <c r="L146" s="840" t="inlineStr">
        <is>
          <t xml:space="preserve">ACP Ltd &amp; ACM Ltd </t>
        </is>
      </c>
      <c r="M146" s="843" t="n">
        <v>45086</v>
      </c>
      <c r="N146" s="844" t="n">
        <v>46912</v>
      </c>
      <c r="Q146" s="844" t="n">
        <v>46181</v>
      </c>
      <c r="R146" s="842" t="n">
        <v>225875</v>
      </c>
      <c r="S146" s="842">
        <f>R146</f>
        <v/>
      </c>
      <c r="U146" s="842" t="n">
        <v>196883</v>
      </c>
      <c r="V146" s="842">
        <f>U146</f>
        <v/>
      </c>
      <c r="W146" s="842" t="n">
        <v>230500</v>
      </c>
      <c r="X146" s="842">
        <f>W146</f>
        <v/>
      </c>
      <c r="Y146" s="845">
        <f>W146/I146</f>
        <v/>
      </c>
      <c r="Z146" s="846">
        <f>SUM(W146-U146)/U146</f>
        <v/>
      </c>
      <c r="AA146" s="842" t="inlineStr">
        <is>
          <t>D</t>
        </is>
      </c>
      <c r="AB146" s="590" t="n"/>
      <c r="AC146" s="847" t="n"/>
      <c r="AD146" s="841" t="inlineStr">
        <is>
          <t>No</t>
        </is>
      </c>
      <c r="AE146" s="840" t="inlineStr">
        <is>
          <t>Tenant break on 6 months notice. Rent free @ 09/06/26 to 23/09/26 if not exercised.</t>
        </is>
      </c>
      <c r="AH146" s="312" t="n"/>
      <c r="AJ146" t="inlineStr">
        <is>
          <t>Let</t>
        </is>
      </c>
    </row>
    <row r="147">
      <c r="A147" t="inlineStr">
        <is>
          <t>Moray House, 23-35 Great Titchfield Street &amp; 63-65 Mortimer Street</t>
        </is>
      </c>
      <c r="B147" s="838" t="n"/>
      <c r="C147" s="839" t="inlineStr">
        <is>
          <t>WS</t>
        </is>
      </c>
      <c r="D147" s="839" t="inlineStr">
        <is>
          <t>MEL</t>
        </is>
      </c>
      <c r="E147" s="838" t="n">
        <v>550570</v>
      </c>
      <c r="F147" s="840" t="inlineStr">
        <is>
          <t>Moray House, 23-35 Great Titchfield Street &amp; 63-65 Mortimer Street</t>
        </is>
      </c>
      <c r="G147" s="840" t="inlineStr">
        <is>
          <t>Suites 1 &amp; 2 , Sixth Floor</t>
        </is>
      </c>
      <c r="H147" s="841" t="inlineStr">
        <is>
          <t>Office</t>
        </is>
      </c>
      <c r="I147" s="848" t="n">
        <v>2099</v>
      </c>
      <c r="J147" s="848">
        <f>I147</f>
        <v/>
      </c>
      <c r="K147" s="848" t="n">
        <v>2000</v>
      </c>
      <c r="L147" s="840" t="inlineStr">
        <is>
          <t>Katch Investment Management Ltd</t>
        </is>
      </c>
      <c r="M147" s="843" t="n">
        <v>45019</v>
      </c>
      <c r="N147" s="844" t="n">
        <v>46845</v>
      </c>
      <c r="Q147" s="844" t="n">
        <v>46114</v>
      </c>
      <c r="R147" s="842" t="n">
        <v>133250</v>
      </c>
      <c r="S147" s="842">
        <f>R147</f>
        <v/>
      </c>
      <c r="U147" s="842" t="n">
        <v>135167</v>
      </c>
      <c r="V147" s="842">
        <f>U147</f>
        <v/>
      </c>
      <c r="W147" s="842" t="n">
        <v>152200</v>
      </c>
      <c r="X147" s="842">
        <f>W147</f>
        <v/>
      </c>
      <c r="Y147" s="845">
        <f>W147/I147</f>
        <v/>
      </c>
      <c r="Z147" s="846">
        <f>SUM(W147-U147)/U147</f>
        <v/>
      </c>
      <c r="AA147" s="842" t="inlineStr">
        <is>
          <t>D</t>
        </is>
      </c>
      <c r="AB147" s="590" t="n"/>
      <c r="AC147" s="847" t="n"/>
      <c r="AD147" s="841" t="inlineStr">
        <is>
          <t>No</t>
        </is>
      </c>
      <c r="AE147" s="840" t="inlineStr">
        <is>
          <t>Tenant break on 6 months notice. Rent reduces to £66,625 for 2 months if not exercised.</t>
        </is>
      </c>
      <c r="AH147" s="312" t="n"/>
      <c r="AJ147" t="inlineStr">
        <is>
          <t>Let</t>
        </is>
      </c>
    </row>
    <row r="148">
      <c r="A148" t="inlineStr">
        <is>
          <t>Moray House, 23-35 Great Titchfield Street &amp; 63-65 Mortimer Street</t>
        </is>
      </c>
      <c r="B148" s="838" t="n"/>
      <c r="C148" s="839" t="inlineStr">
        <is>
          <t>WS</t>
        </is>
      </c>
      <c r="D148" s="839" t="inlineStr">
        <is>
          <t>MEL</t>
        </is>
      </c>
      <c r="E148" s="838" t="n">
        <v>550570</v>
      </c>
      <c r="F148" s="840" t="inlineStr">
        <is>
          <t>Moray House, 23-35 Great Titchfield Street &amp; 63-65 Mortimer Street</t>
        </is>
      </c>
      <c r="G148" s="840" t="inlineStr">
        <is>
          <t>Sixth Floor</t>
        </is>
      </c>
      <c r="H148" s="841" t="inlineStr">
        <is>
          <t>Residential</t>
        </is>
      </c>
      <c r="I148" s="848" t="n">
        <v>580</v>
      </c>
      <c r="J148" s="848">
        <f>I148</f>
        <v/>
      </c>
      <c r="K148" s="848" t="n">
        <v>500</v>
      </c>
      <c r="L148" s="840" t="inlineStr">
        <is>
          <t>Mr M Versteegh &amp; Mr W Antell</t>
        </is>
      </c>
      <c r="M148" s="843" t="n">
        <v>45546</v>
      </c>
      <c r="N148" s="844" t="n">
        <v>45910</v>
      </c>
      <c r="R148" s="842" t="n">
        <v>42016</v>
      </c>
      <c r="S148" s="842">
        <f>R148</f>
        <v/>
      </c>
      <c r="U148" s="842" t="n">
        <v>26496</v>
      </c>
      <c r="V148" s="842">
        <f>U148</f>
        <v/>
      </c>
      <c r="W148" s="842" t="n">
        <v>26496</v>
      </c>
      <c r="X148" s="842">
        <f>W148</f>
        <v/>
      </c>
      <c r="Y148" s="845">
        <f>W148/I148</f>
        <v/>
      </c>
      <c r="Z148" s="846">
        <f>SUM(W148-U148)/U148</f>
        <v/>
      </c>
      <c r="AA148" s="842" t="inlineStr">
        <is>
          <t>E</t>
        </is>
      </c>
      <c r="AB148" s="590" t="n"/>
      <c r="AC148" s="847" t="n"/>
      <c r="AD148" s="841" t="inlineStr">
        <is>
          <t>No</t>
        </is>
      </c>
      <c r="AG148" s="29" t="n"/>
      <c r="AH148" s="313" t="n"/>
      <c r="AI148" s="29" t="n"/>
      <c r="AJ148" t="inlineStr">
        <is>
          <t>Let</t>
        </is>
      </c>
    </row>
    <row r="149">
      <c r="A149" t="inlineStr">
        <is>
          <t>56 Great Titchfield Street</t>
        </is>
      </c>
      <c r="B149" s="838" t="n"/>
      <c r="C149" s="839" t="inlineStr">
        <is>
          <t>CD</t>
        </is>
      </c>
      <c r="D149" s="839" t="inlineStr">
        <is>
          <t>MEL</t>
        </is>
      </c>
      <c r="E149" s="838" t="n">
        <v>550430</v>
      </c>
      <c r="F149" s="840" t="inlineStr">
        <is>
          <t>56 Great Titchfield Street</t>
        </is>
      </c>
      <c r="G149" s="840" t="inlineStr">
        <is>
          <t>Whole Building</t>
        </is>
      </c>
      <c r="H149" s="841" t="inlineStr">
        <is>
          <t>Retail</t>
        </is>
      </c>
      <c r="I149" s="18" t="n">
        <v>2692</v>
      </c>
      <c r="J149" s="842">
        <f>I149</f>
        <v/>
      </c>
      <c r="K149" s="842" t="n">
        <v>2750</v>
      </c>
      <c r="L149" s="840" t="inlineStr">
        <is>
          <t>Morplan Ltd.</t>
        </is>
      </c>
      <c r="M149" s="843" t="n">
        <v>39814</v>
      </c>
      <c r="N149" s="620" t="n">
        <v>45747</v>
      </c>
      <c r="R149" s="591" t="n">
        <v>104500</v>
      </c>
      <c r="S149" s="842">
        <f>R149</f>
        <v/>
      </c>
      <c r="T149" s="591">
        <f>S149</f>
        <v/>
      </c>
      <c r="U149" s="591" t="n">
        <v>94400</v>
      </c>
      <c r="V149" s="842">
        <f>U149</f>
        <v/>
      </c>
      <c r="W149" s="591" t="n">
        <v>94400</v>
      </c>
      <c r="X149" s="842">
        <f>W149</f>
        <v/>
      </c>
      <c r="Y149" s="845">
        <f>W149/I149</f>
        <v/>
      </c>
      <c r="Z149" s="846">
        <f>SUM(W149-U149)/U149</f>
        <v/>
      </c>
      <c r="AA149" s="842" t="inlineStr">
        <is>
          <t>B</t>
        </is>
      </c>
      <c r="AB149" s="590" t="n"/>
      <c r="AC149" s="591" t="n">
        <v>1425000</v>
      </c>
      <c r="AD149" s="841" t="inlineStr">
        <is>
          <t>Yes</t>
        </is>
      </c>
      <c r="AE149" s="840" t="inlineStr">
        <is>
          <t>Tenant holding over. S25 served terminating tenancy @ 12/10/24. Lease renewal agreed. Awaiting completion. Lease extension agreed to 31/03/25</t>
        </is>
      </c>
      <c r="AH149" s="312" t="n"/>
      <c r="AJ149" t="inlineStr">
        <is>
          <t>Let</t>
        </is>
      </c>
    </row>
    <row r="150">
      <c r="A150" t="inlineStr">
        <is>
          <t>58 Great Titchfield Street</t>
        </is>
      </c>
      <c r="B150" s="838" t="n"/>
      <c r="C150" s="839" t="inlineStr">
        <is>
          <t>CD</t>
        </is>
      </c>
      <c r="D150" s="839" t="inlineStr">
        <is>
          <t>MEL</t>
        </is>
      </c>
      <c r="E150" s="838" t="n">
        <v>550440</v>
      </c>
      <c r="F150" s="840" t="inlineStr">
        <is>
          <t>58 Great Titchfield Street</t>
        </is>
      </c>
      <c r="G150" s="840" t="inlineStr">
        <is>
          <t>Basement &amp; Ground Floor</t>
        </is>
      </c>
      <c r="H150" s="841" t="inlineStr">
        <is>
          <t>Retail</t>
        </is>
      </c>
      <c r="I150" s="848" t="n">
        <v>1171</v>
      </c>
      <c r="J150" s="842">
        <f>I150</f>
        <v/>
      </c>
      <c r="K150" s="842" t="n">
        <v>1000</v>
      </c>
      <c r="L150" s="840" t="inlineStr">
        <is>
          <t>Morplan Ltd.</t>
        </is>
      </c>
      <c r="M150" s="843" t="n">
        <v>39814</v>
      </c>
      <c r="N150" s="620" t="n">
        <v>45747</v>
      </c>
      <c r="R150" s="842" t="n">
        <v>50425</v>
      </c>
      <c r="S150" s="842">
        <f>R150</f>
        <v/>
      </c>
      <c r="U150" s="842" t="n">
        <v>41000</v>
      </c>
      <c r="V150" s="842">
        <f>U150</f>
        <v/>
      </c>
      <c r="W150" s="842" t="n">
        <v>41000</v>
      </c>
      <c r="X150" s="842">
        <f>W150</f>
        <v/>
      </c>
      <c r="Y150" s="845">
        <f>W150/I150</f>
        <v/>
      </c>
      <c r="Z150" s="846">
        <f>SUM(W150-U150)/U150</f>
        <v/>
      </c>
      <c r="AA150" s="842" t="inlineStr">
        <is>
          <t>B</t>
        </is>
      </c>
      <c r="AB150" s="590" t="n"/>
      <c r="AC150" s="591" t="n"/>
      <c r="AD150" s="841" t="inlineStr">
        <is>
          <t>Yes</t>
        </is>
      </c>
      <c r="AE150" s="840" t="inlineStr">
        <is>
          <t>Tenant holding over. S25 served terminating tenancy @ 12/10/24. Lease renewal agreed. Awaiting completion. Lease extension agreed to 31/03/25</t>
        </is>
      </c>
      <c r="AH150" s="312" t="n"/>
      <c r="AJ150" t="inlineStr">
        <is>
          <t>Let</t>
        </is>
      </c>
    </row>
    <row r="151">
      <c r="A151" t="inlineStr">
        <is>
          <t>58 Great Titchfield Street</t>
        </is>
      </c>
      <c r="B151" s="838" t="n"/>
      <c r="C151" s="839" t="inlineStr">
        <is>
          <t>CD</t>
        </is>
      </c>
      <c r="D151" s="839" t="inlineStr">
        <is>
          <t>MEL</t>
        </is>
      </c>
      <c r="E151" s="838" t="n">
        <v>550440</v>
      </c>
      <c r="F151" s="840" t="inlineStr">
        <is>
          <t>58 Great Titchfield Street</t>
        </is>
      </c>
      <c r="G151" s="840" t="inlineStr">
        <is>
          <t>First, Second &amp; Third Floors</t>
        </is>
      </c>
      <c r="H151" s="841" t="inlineStr">
        <is>
          <t>Retail/Showroom/Office</t>
        </is>
      </c>
      <c r="I151" s="848" t="n">
        <v>1120</v>
      </c>
      <c r="J151" s="842">
        <f>I151</f>
        <v/>
      </c>
      <c r="K151" s="842" t="n">
        <v>1000</v>
      </c>
      <c r="L151" s="840" t="inlineStr">
        <is>
          <t>Morplan Ltd.</t>
        </is>
      </c>
      <c r="M151" s="843" t="n">
        <v>45292</v>
      </c>
      <c r="R151" s="842" t="n">
        <v>61575</v>
      </c>
      <c r="S151" s="842">
        <f>R151</f>
        <v/>
      </c>
      <c r="U151" s="842" t="n">
        <v>58800</v>
      </c>
      <c r="V151" s="842">
        <f>U151</f>
        <v/>
      </c>
      <c r="W151" s="842" t="n">
        <v>58800</v>
      </c>
      <c r="X151" s="842">
        <f>W151</f>
        <v/>
      </c>
      <c r="Y151" s="845">
        <f>W151/I151</f>
        <v/>
      </c>
      <c r="Z151" s="846" t="n"/>
      <c r="AA151" s="842" t="inlineStr">
        <is>
          <t>E</t>
        </is>
      </c>
      <c r="AB151" s="590" t="n"/>
      <c r="AC151" s="591" t="n"/>
      <c r="AD151" s="841" t="inlineStr">
        <is>
          <t>No</t>
        </is>
      </c>
      <c r="AE151" s="840" t="inlineStr">
        <is>
          <t>Lease renewal terms being discussed.</t>
        </is>
      </c>
      <c r="AH151" s="312" t="n"/>
      <c r="AJ151" t="inlineStr">
        <is>
          <t>Let</t>
        </is>
      </c>
    </row>
    <row r="152">
      <c r="A152" t="inlineStr">
        <is>
          <t>12 Hallam Street (The Hallam Hotel)</t>
        </is>
      </c>
      <c r="B152" s="838" t="n"/>
      <c r="C152" s="839" t="inlineStr">
        <is>
          <t>WS</t>
        </is>
      </c>
      <c r="D152" s="839" t="inlineStr">
        <is>
          <t>MEL</t>
        </is>
      </c>
      <c r="E152" s="838" t="n">
        <v>550220</v>
      </c>
      <c r="F152" s="840" t="inlineStr">
        <is>
          <t>12 Hallam Street (The Hallam Hotel)</t>
        </is>
      </c>
      <c r="G152" s="840" t="inlineStr">
        <is>
          <t xml:space="preserve">Whole Building </t>
        </is>
      </c>
      <c r="H152" s="841" t="inlineStr">
        <is>
          <t>Hotel                       25 Beds</t>
        </is>
      </c>
      <c r="I152" s="18" t="n">
        <v>4284</v>
      </c>
      <c r="J152" s="842">
        <f>I152</f>
        <v/>
      </c>
      <c r="K152" s="842" t="n">
        <v>4250</v>
      </c>
      <c r="L152" s="840" t="inlineStr">
        <is>
          <t>Vacant</t>
        </is>
      </c>
      <c r="O152" s="844" t="n">
        <v>44387</v>
      </c>
      <c r="R152" s="591" t="n">
        <v>0</v>
      </c>
      <c r="S152" s="842">
        <f>R152</f>
        <v/>
      </c>
      <c r="T152" s="591">
        <f>S152</f>
        <v/>
      </c>
      <c r="U152" s="591" t="n">
        <v>0</v>
      </c>
      <c r="V152" s="842">
        <f>U152</f>
        <v/>
      </c>
      <c r="W152" s="591" t="n">
        <v>0</v>
      </c>
      <c r="X152" s="842">
        <f>W152</f>
        <v/>
      </c>
      <c r="Y152" s="842" t="n"/>
      <c r="Z152" s="846" t="n"/>
      <c r="AA152" s="842" t="n"/>
      <c r="AB152" s="590" t="n"/>
      <c r="AC152" s="591" t="n">
        <v>1500000</v>
      </c>
      <c r="AD152" s="841" t="inlineStr">
        <is>
          <t>No</t>
        </is>
      </c>
      <c r="AE152" s="840" t="inlineStr">
        <is>
          <t>Mothballed.</t>
        </is>
      </c>
      <c r="AG152" s="29" t="n"/>
      <c r="AH152" s="313" t="n"/>
      <c r="AI152" s="29" t="n"/>
      <c r="AJ152" t="inlineStr">
        <is>
          <t>Void</t>
        </is>
      </c>
    </row>
    <row r="153">
      <c r="A153" t="inlineStr">
        <is>
          <t>16-20 Hallam Street  (Astor Court Hotel)</t>
        </is>
      </c>
      <c r="B153" s="838" t="n"/>
      <c r="C153" s="839" t="inlineStr">
        <is>
          <t>WS</t>
        </is>
      </c>
      <c r="D153" s="839" t="inlineStr">
        <is>
          <t>MEL</t>
        </is>
      </c>
      <c r="E153" s="838" t="n">
        <v>550890</v>
      </c>
      <c r="F153" s="840" t="inlineStr">
        <is>
          <t>16-20 Hallam Street  (Astor Court Hotel)</t>
        </is>
      </c>
      <c r="G153" s="840" t="inlineStr">
        <is>
          <t>Whole Building</t>
        </is>
      </c>
      <c r="H153" s="841" t="inlineStr">
        <is>
          <t>Hotel 52 Beds</t>
        </is>
      </c>
      <c r="I153" s="18" t="n">
        <v>23500</v>
      </c>
      <c r="J153" s="842">
        <f>I153</f>
        <v/>
      </c>
      <c r="K153" s="842" t="n">
        <v>23500</v>
      </c>
      <c r="L153" s="840" t="inlineStr">
        <is>
          <t>Wesdom Investments Ltd.</t>
        </is>
      </c>
      <c r="M153" s="843" t="n">
        <v>45651</v>
      </c>
      <c r="N153" s="844" t="n">
        <v>49302</v>
      </c>
      <c r="P153" s="843" t="n">
        <v>47477</v>
      </c>
      <c r="Q153" s="843" t="n"/>
      <c r="R153" s="591" t="n">
        <v>660000</v>
      </c>
      <c r="S153" s="842">
        <f>R153</f>
        <v/>
      </c>
      <c r="T153" s="591">
        <f>S153</f>
        <v/>
      </c>
      <c r="U153" s="591" t="n">
        <v>0</v>
      </c>
      <c r="V153" s="842">
        <f>U153</f>
        <v/>
      </c>
      <c r="W153" s="591" t="n">
        <v>0</v>
      </c>
      <c r="X153" s="842">
        <f>W153</f>
        <v/>
      </c>
      <c r="Y153" s="842" t="n"/>
      <c r="Z153" s="846" t="n"/>
      <c r="AA153" s="842" t="inlineStr">
        <is>
          <t>B</t>
        </is>
      </c>
      <c r="AB153" s="590" t="n"/>
      <c r="AC153" s="591" t="n">
        <v>17500000</v>
      </c>
      <c r="AD153" s="841" t="inlineStr">
        <is>
          <t>No</t>
        </is>
      </c>
      <c r="AE153" s="857" t="inlineStr">
        <is>
          <t>Internal Lease to another Lee Family Group Company. CBRE value on a DCF basis and do not adopt ERV for valuation purposes. Guide ERV is £660,000 pa. Rent review is CPI indexed.</t>
        </is>
      </c>
      <c r="AF153" s="858" t="n"/>
      <c r="AG153" s="857" t="n"/>
      <c r="AH153" s="317" t="n"/>
      <c r="AI153" s="857" t="n"/>
      <c r="AJ153" t="inlineStr">
        <is>
          <t>Let</t>
        </is>
      </c>
    </row>
    <row r="154">
      <c r="A154" t="inlineStr">
        <is>
          <t>Flat 1, 2 Little Portland Street</t>
        </is>
      </c>
      <c r="B154" s="838" t="n"/>
      <c r="C154" s="839" t="inlineStr">
        <is>
          <t>CM</t>
        </is>
      </c>
      <c r="D154" s="839" t="inlineStr">
        <is>
          <t>MEL</t>
        </is>
      </c>
      <c r="E154" s="838" t="n">
        <v>550586</v>
      </c>
      <c r="F154" s="840" t="inlineStr">
        <is>
          <t>Flat 1, 2 Little Portland Street</t>
        </is>
      </c>
      <c r="G154" s="840" t="inlineStr">
        <is>
          <t>Flat 1</t>
        </is>
      </c>
      <c r="H154" s="841" t="inlineStr">
        <is>
          <t>Residential</t>
        </is>
      </c>
      <c r="I154" s="18" t="n">
        <v>420</v>
      </c>
      <c r="J154" s="842">
        <f>I154</f>
        <v/>
      </c>
      <c r="K154" s="842" t="n">
        <v>500</v>
      </c>
      <c r="L154" s="840" t="inlineStr">
        <is>
          <t>Miss Julia Tressler</t>
        </is>
      </c>
      <c r="M154" s="843" t="n">
        <v>45664</v>
      </c>
      <c r="N154" s="844" t="n">
        <v>46028</v>
      </c>
      <c r="R154" s="591" t="n">
        <v>25220</v>
      </c>
      <c r="S154" s="842">
        <f>R154</f>
        <v/>
      </c>
      <c r="T154" s="591">
        <f>S154</f>
        <v/>
      </c>
      <c r="U154" s="591" t="n">
        <v>27000</v>
      </c>
      <c r="V154" s="842">
        <f>U154</f>
        <v/>
      </c>
      <c r="W154" s="591" t="n">
        <v>27000</v>
      </c>
      <c r="X154" s="842">
        <f>W154</f>
        <v/>
      </c>
      <c r="Y154" s="842" t="n"/>
      <c r="Z154" s="846">
        <f>SUM(W154-U154)/U154</f>
        <v/>
      </c>
      <c r="AA154" s="842" t="inlineStr">
        <is>
          <t>D</t>
        </is>
      </c>
      <c r="AB154" s="590" t="n"/>
      <c r="AC154" s="591" t="n">
        <v>590000</v>
      </c>
      <c r="AD154" s="841" t="inlineStr">
        <is>
          <t>No</t>
        </is>
      </c>
      <c r="AE154" s="29" t="inlineStr">
        <is>
          <t>Tenant break passed.</t>
        </is>
      </c>
      <c r="AG154" s="29" t="n"/>
      <c r="AH154" s="313" t="n"/>
      <c r="AI154" s="29" t="n"/>
      <c r="AJ154" t="inlineStr">
        <is>
          <t>Let</t>
        </is>
      </c>
    </row>
    <row r="155">
      <c r="A155" t="inlineStr">
        <is>
          <t>3/4/4a Little Portland Street</t>
        </is>
      </c>
      <c r="B155" s="838" t="n"/>
      <c r="C155" s="839" t="inlineStr">
        <is>
          <t>CD</t>
        </is>
      </c>
      <c r="D155" s="839" t="inlineStr">
        <is>
          <t>MEL</t>
        </is>
      </c>
      <c r="E155" s="838" t="n">
        <v>550300</v>
      </c>
      <c r="F155" s="840" t="inlineStr">
        <is>
          <t>3/4/4a Little Portland Street</t>
        </is>
      </c>
      <c r="G155" s="840" t="inlineStr">
        <is>
          <t>Basement (North &amp; Centre) Part Ground</t>
        </is>
      </c>
      <c r="H155" s="841" t="inlineStr">
        <is>
          <t>Storage/Cloakroom</t>
        </is>
      </c>
      <c r="I155" s="848" t="n">
        <v>1911</v>
      </c>
      <c r="J155" s="848">
        <f>I155</f>
        <v/>
      </c>
      <c r="K155" s="848" t="n">
        <v>2000</v>
      </c>
      <c r="L155" s="840" t="inlineStr">
        <is>
          <t>Pure Public Relations Ltd.</t>
        </is>
      </c>
      <c r="M155" s="843" t="n">
        <v>44774</v>
      </c>
      <c r="N155" s="844" t="n">
        <v>46599</v>
      </c>
      <c r="Q155" s="844" t="n">
        <v>45870</v>
      </c>
      <c r="R155" s="842" t="n">
        <v>44735</v>
      </c>
      <c r="S155" s="842">
        <f>R155</f>
        <v/>
      </c>
      <c r="U155" s="842" t="n">
        <v>45700</v>
      </c>
      <c r="V155" s="842">
        <f>U155</f>
        <v/>
      </c>
      <c r="W155" s="842" t="n">
        <v>47800</v>
      </c>
      <c r="X155" s="842">
        <f>W155</f>
        <v/>
      </c>
      <c r="Y155" s="845">
        <f>W155/I155</f>
        <v/>
      </c>
      <c r="Z155" s="846">
        <f>SUM(W155-U155)/U155</f>
        <v/>
      </c>
      <c r="AA155" s="842" t="inlineStr">
        <is>
          <t>E</t>
        </is>
      </c>
      <c r="AB155" s="590" t="n"/>
      <c r="AC155" s="847" t="n"/>
      <c r="AD155" s="841" t="inlineStr">
        <is>
          <t>No</t>
        </is>
      </c>
      <c r="AE155" s="840" t="inlineStr">
        <is>
          <t>Tenant break on 6 months notice. 3 months rent free if not exercised.</t>
        </is>
      </c>
      <c r="AH155" s="312" t="n"/>
      <c r="AJ155" t="inlineStr">
        <is>
          <t>Let</t>
        </is>
      </c>
    </row>
    <row r="156">
      <c r="A156" t="inlineStr">
        <is>
          <t>3/4/4a Little Portland Street</t>
        </is>
      </c>
      <c r="B156" s="838" t="n"/>
      <c r="C156" s="839" t="inlineStr">
        <is>
          <t>CD</t>
        </is>
      </c>
      <c r="D156" s="839" t="inlineStr">
        <is>
          <t>MEL</t>
        </is>
      </c>
      <c r="E156" s="838" t="n">
        <v>550300</v>
      </c>
      <c r="F156" s="840" t="inlineStr">
        <is>
          <t>3/4/4a Little Portland Street</t>
        </is>
      </c>
      <c r="G156" s="840" t="inlineStr">
        <is>
          <t>Ground Floor (Rear)</t>
        </is>
      </c>
      <c r="H156" s="841" t="inlineStr">
        <is>
          <t>Cloakroom</t>
        </is>
      </c>
      <c r="I156" s="848" t="n">
        <v>0</v>
      </c>
      <c r="J156" s="848">
        <f>I156</f>
        <v/>
      </c>
      <c r="L156" s="840" t="inlineStr">
        <is>
          <t>Vacant / Landlord</t>
        </is>
      </c>
      <c r="O156" s="844" t="n">
        <v>45456</v>
      </c>
      <c r="R156" s="842" t="n">
        <v>0</v>
      </c>
      <c r="S156" s="842">
        <f>R156</f>
        <v/>
      </c>
      <c r="U156" s="842" t="n">
        <v>0</v>
      </c>
      <c r="V156" s="842">
        <f>U156</f>
        <v/>
      </c>
      <c r="W156" s="842" t="n">
        <v>0</v>
      </c>
      <c r="X156" s="842">
        <f>W156</f>
        <v/>
      </c>
      <c r="Y156" s="845" t="n"/>
      <c r="Z156" s="846" t="n"/>
      <c r="AA156" s="842" t="inlineStr">
        <is>
          <t>E</t>
        </is>
      </c>
      <c r="AB156" s="590" t="n"/>
      <c r="AC156" s="847" t="n"/>
      <c r="AD156" s="841" t="inlineStr">
        <is>
          <t>No</t>
        </is>
      </c>
      <c r="AH156" s="312" t="n"/>
      <c r="AJ156" t="inlineStr">
        <is>
          <t>Void</t>
        </is>
      </c>
    </row>
    <row r="157">
      <c r="A157" t="inlineStr">
        <is>
          <t>3/4/4a Little Portland Street</t>
        </is>
      </c>
      <c r="B157" s="838" t="n"/>
      <c r="C157" s="839" t="inlineStr">
        <is>
          <t>CD</t>
        </is>
      </c>
      <c r="D157" s="839" t="inlineStr">
        <is>
          <t>MEL</t>
        </is>
      </c>
      <c r="E157" s="838" t="n">
        <v>550300</v>
      </c>
      <c r="F157" s="840" t="inlineStr">
        <is>
          <t>3/4/4a Little Portland Street</t>
        </is>
      </c>
      <c r="G157" s="840" t="inlineStr">
        <is>
          <t>Ground Floor (East)</t>
        </is>
      </c>
      <c r="H157" s="841" t="inlineStr">
        <is>
          <t>Showroom</t>
        </is>
      </c>
      <c r="I157" s="848" t="n">
        <v>495</v>
      </c>
      <c r="J157" s="848">
        <f>I157</f>
        <v/>
      </c>
      <c r="K157" s="848" t="n">
        <v>500</v>
      </c>
      <c r="L157" s="840" t="inlineStr">
        <is>
          <t>Econnective UK Ltd.</t>
        </is>
      </c>
      <c r="M157" s="843" t="n">
        <v>45010</v>
      </c>
      <c r="N157" s="844" t="n">
        <v>48662</v>
      </c>
      <c r="P157" s="844" t="n">
        <v>46837</v>
      </c>
      <c r="R157" s="842" t="n">
        <v>35000</v>
      </c>
      <c r="S157" s="842">
        <f>R157</f>
        <v/>
      </c>
      <c r="U157" s="842" t="n">
        <v>35400</v>
      </c>
      <c r="V157" s="842">
        <f>U157</f>
        <v/>
      </c>
      <c r="W157" s="842" t="n">
        <v>35000</v>
      </c>
      <c r="X157" s="842">
        <f>W157</f>
        <v/>
      </c>
      <c r="Y157" s="845">
        <f>W157/I157</f>
        <v/>
      </c>
      <c r="Z157" s="846">
        <f>SUM(W157-U157)/U157</f>
        <v/>
      </c>
      <c r="AA157" s="842" t="inlineStr">
        <is>
          <t>E</t>
        </is>
      </c>
      <c r="AB157" s="590" t="n"/>
      <c r="AC157" s="847" t="n"/>
      <c r="AD157" s="841" t="inlineStr">
        <is>
          <t>No</t>
        </is>
      </c>
      <c r="AH157" s="312" t="n"/>
      <c r="AJ157" t="inlineStr">
        <is>
          <t>Let</t>
        </is>
      </c>
    </row>
    <row r="158">
      <c r="A158" t="inlineStr">
        <is>
          <t>3/4/4a Little Portland Street</t>
        </is>
      </c>
      <c r="B158" s="838" t="n"/>
      <c r="C158" s="839" t="inlineStr">
        <is>
          <t>CD</t>
        </is>
      </c>
      <c r="D158" s="839" t="inlineStr">
        <is>
          <t>MEL</t>
        </is>
      </c>
      <c r="E158" s="838" t="n">
        <v>550300</v>
      </c>
      <c r="F158" s="840" t="inlineStr">
        <is>
          <t>3/4/4a Little Portland Street</t>
        </is>
      </c>
      <c r="G158" s="840" t="inlineStr">
        <is>
          <t>Basement (South) (Front)</t>
        </is>
      </c>
      <c r="H158" s="841" t="inlineStr">
        <is>
          <t>Workshop</t>
        </is>
      </c>
      <c r="I158" s="848" t="n">
        <v>1051</v>
      </c>
      <c r="J158" s="848">
        <f>I158</f>
        <v/>
      </c>
      <c r="K158" s="848" t="n">
        <v>1000</v>
      </c>
      <c r="L158" s="840" t="inlineStr">
        <is>
          <t>Langham Estate Management Ltd</t>
        </is>
      </c>
      <c r="M158" s="843" t="n">
        <v>43549</v>
      </c>
      <c r="N158" s="844" t="n">
        <v>46836</v>
      </c>
      <c r="P158" s="844" t="n">
        <v>45010</v>
      </c>
      <c r="R158" s="842" t="n">
        <v>28200</v>
      </c>
      <c r="S158" s="842">
        <f>R158</f>
        <v/>
      </c>
      <c r="U158" s="842" t="n">
        <v>32000</v>
      </c>
      <c r="V158" s="842">
        <f>U158</f>
        <v/>
      </c>
      <c r="W158" s="842" t="n">
        <v>21000</v>
      </c>
      <c r="X158" s="842">
        <f>W158</f>
        <v/>
      </c>
      <c r="Y158" s="845">
        <f>W158/I158</f>
        <v/>
      </c>
      <c r="Z158" s="846">
        <f>SUM(W158-U158)/U158</f>
        <v/>
      </c>
      <c r="AA158" s="842" t="inlineStr">
        <is>
          <t>E</t>
        </is>
      </c>
      <c r="AB158" s="590" t="n"/>
      <c r="AC158" s="847" t="n"/>
      <c r="AD158" s="841" t="inlineStr">
        <is>
          <t>No</t>
        </is>
      </c>
      <c r="AE158" s="840" t="inlineStr">
        <is>
          <t>Mutual rolling break on 6 months notice. Internal Lease to another Lee Family Group Company.</t>
        </is>
      </c>
      <c r="AH158" s="312" t="n"/>
      <c r="AJ158" t="inlineStr">
        <is>
          <t>Let</t>
        </is>
      </c>
    </row>
    <row r="159">
      <c r="A159" t="inlineStr">
        <is>
          <t>3/4/4a Little Portland Street</t>
        </is>
      </c>
      <c r="B159" s="838" t="n"/>
      <c r="C159" s="839" t="inlineStr">
        <is>
          <t>CD</t>
        </is>
      </c>
      <c r="D159" s="839" t="inlineStr">
        <is>
          <t>MEL</t>
        </is>
      </c>
      <c r="E159" s="838" t="n">
        <v>550300</v>
      </c>
      <c r="F159" s="840" t="inlineStr">
        <is>
          <t>3/4/4a Little Portland Street</t>
        </is>
      </c>
      <c r="G159" s="840" t="inlineStr">
        <is>
          <t>Ground Floor (West)</t>
        </is>
      </c>
      <c r="H159" s="841" t="inlineStr">
        <is>
          <t>Offices</t>
        </is>
      </c>
      <c r="I159" s="848" t="n">
        <v>2254</v>
      </c>
      <c r="J159" s="848">
        <f>I159</f>
        <v/>
      </c>
      <c r="K159" s="848" t="n">
        <v>2250</v>
      </c>
      <c r="L159" s="840" t="inlineStr">
        <is>
          <t>Medialab Group Ltd.</t>
        </is>
      </c>
      <c r="M159" s="843" t="n">
        <v>45001</v>
      </c>
      <c r="N159" s="844" t="n">
        <v>46827</v>
      </c>
      <c r="O159" s="844" t="n"/>
      <c r="Q159" s="844" t="n">
        <v>46097</v>
      </c>
      <c r="R159" s="842" t="n">
        <v>148590</v>
      </c>
      <c r="S159" s="842">
        <f>R159</f>
        <v/>
      </c>
      <c r="U159" s="842" t="n">
        <v>148600</v>
      </c>
      <c r="V159" s="842">
        <f>U159</f>
        <v/>
      </c>
      <c r="W159" s="842" t="n">
        <v>148590</v>
      </c>
      <c r="X159" s="842">
        <f>W159</f>
        <v/>
      </c>
      <c r="Y159" s="845">
        <f>W159/I159</f>
        <v/>
      </c>
      <c r="Z159" s="846">
        <f>SUM(W159-U159)/U159</f>
        <v/>
      </c>
      <c r="AA159" s="842" t="inlineStr">
        <is>
          <t>E</t>
        </is>
      </c>
      <c r="AB159" s="590" t="n"/>
      <c r="AC159" s="847" t="n"/>
      <c r="AD159" s="841" t="inlineStr">
        <is>
          <t>No</t>
        </is>
      </c>
      <c r="AE159" s="840" t="inlineStr">
        <is>
          <t>Mutual break in the event of planning enforcement. Tenant break on 6 months notice. 3 months rent free if not exercised.</t>
        </is>
      </c>
      <c r="AH159" s="312" t="n"/>
      <c r="AJ159" t="inlineStr">
        <is>
          <t>Let</t>
        </is>
      </c>
    </row>
    <row r="160">
      <c r="A160" t="inlineStr">
        <is>
          <t>3/4/4a Little Portland Street</t>
        </is>
      </c>
      <c r="B160" s="838" t="n"/>
      <c r="C160" s="839" t="inlineStr">
        <is>
          <t>CD</t>
        </is>
      </c>
      <c r="D160" s="839" t="inlineStr">
        <is>
          <t>MEL</t>
        </is>
      </c>
      <c r="E160" s="838" t="n">
        <v>550300</v>
      </c>
      <c r="F160" s="840" t="inlineStr">
        <is>
          <t>3/4/4a Little Portland Street</t>
        </is>
      </c>
      <c r="G160" s="840" t="inlineStr">
        <is>
          <t>First Floor</t>
        </is>
      </c>
      <c r="H160" s="841" t="inlineStr">
        <is>
          <t>Office</t>
        </is>
      </c>
      <c r="I160" s="848" t="n">
        <v>3205</v>
      </c>
      <c r="J160" s="848">
        <f>I160</f>
        <v/>
      </c>
      <c r="K160" s="848" t="n">
        <v>3250</v>
      </c>
      <c r="L160" s="840" t="inlineStr">
        <is>
          <t>Medialab Group Ltd.</t>
        </is>
      </c>
      <c r="M160" s="843" t="n">
        <v>45000</v>
      </c>
      <c r="N160" s="844" t="n">
        <v>46827</v>
      </c>
      <c r="O160" s="844" t="n"/>
      <c r="Q160" s="844" t="n">
        <v>46097</v>
      </c>
      <c r="R160" s="842" t="n">
        <v>218325</v>
      </c>
      <c r="S160" s="842">
        <f>R160</f>
        <v/>
      </c>
      <c r="U160" s="842" t="n">
        <v>218300</v>
      </c>
      <c r="V160" s="842">
        <f>U160</f>
        <v/>
      </c>
      <c r="W160" s="842" t="n">
        <v>218325</v>
      </c>
      <c r="X160" s="842">
        <f>W160</f>
        <v/>
      </c>
      <c r="Y160" s="845">
        <f>W160/I160</f>
        <v/>
      </c>
      <c r="Z160" s="846">
        <f>SUM(W160-U160)/U160</f>
        <v/>
      </c>
      <c r="AA160" s="842" t="inlineStr">
        <is>
          <t>E</t>
        </is>
      </c>
      <c r="AB160" s="590" t="n"/>
      <c r="AC160" s="847" t="n"/>
      <c r="AD160" s="841" t="inlineStr">
        <is>
          <t>No</t>
        </is>
      </c>
      <c r="AE160" s="840" t="inlineStr">
        <is>
          <t>Mutual break in the event of planning enforcement. Tenant break on 6 months notice. 3 months rent free if not exercised.</t>
        </is>
      </c>
      <c r="AH160" s="312" t="n"/>
      <c r="AJ160" t="inlineStr">
        <is>
          <t>Let</t>
        </is>
      </c>
    </row>
    <row r="161">
      <c r="A161" t="inlineStr">
        <is>
          <t>3/4/4a Little Portland Street</t>
        </is>
      </c>
      <c r="B161" s="838" t="n"/>
      <c r="C161" s="839" t="inlineStr">
        <is>
          <t>CD</t>
        </is>
      </c>
      <c r="D161" s="839" t="inlineStr">
        <is>
          <t>MEL</t>
        </is>
      </c>
      <c r="E161" s="838" t="n">
        <v>550300</v>
      </c>
      <c r="F161" s="840" t="inlineStr">
        <is>
          <t>3/4/4a Little Portland Street</t>
        </is>
      </c>
      <c r="G161" s="840" t="inlineStr">
        <is>
          <t>Second Floor (Middle &amp; West)</t>
        </is>
      </c>
      <c r="H161" s="841" t="inlineStr">
        <is>
          <t>Office</t>
        </is>
      </c>
      <c r="I161" s="848" t="n">
        <v>1510</v>
      </c>
      <c r="J161" s="848">
        <f>I161</f>
        <v/>
      </c>
      <c r="K161" s="848" t="n">
        <v>1500</v>
      </c>
      <c r="L161" s="840" t="inlineStr">
        <is>
          <t>Medialab Group Ltd.</t>
        </is>
      </c>
      <c r="M161" s="843" t="n">
        <v>45200</v>
      </c>
      <c r="N161" s="844" t="n">
        <v>46827</v>
      </c>
      <c r="O161" s="844" t="n"/>
      <c r="Q161" s="844" t="n">
        <v>46097</v>
      </c>
      <c r="R161" s="842" t="n">
        <v>92250</v>
      </c>
      <c r="S161" s="842">
        <f>R161</f>
        <v/>
      </c>
      <c r="U161" s="842" t="n">
        <v>92300</v>
      </c>
      <c r="V161" s="842">
        <f>U161</f>
        <v/>
      </c>
      <c r="W161" s="842" t="n">
        <v>92250</v>
      </c>
      <c r="X161" s="842">
        <f>W161</f>
        <v/>
      </c>
      <c r="Y161" s="845">
        <f>W161/I161</f>
        <v/>
      </c>
      <c r="Z161" s="846">
        <f>SUM(W161-U161)/U161</f>
        <v/>
      </c>
      <c r="AA161" s="842" t="inlineStr">
        <is>
          <t>E</t>
        </is>
      </c>
      <c r="AB161" s="590" t="n"/>
      <c r="AC161" s="847" t="n"/>
      <c r="AD161" s="841" t="inlineStr">
        <is>
          <t>No</t>
        </is>
      </c>
      <c r="AE161" s="840" t="inlineStr">
        <is>
          <t>Tenant break on 6 months notice with £7.7k penalty clause.</t>
        </is>
      </c>
      <c r="AH161" s="312" t="n"/>
      <c r="AJ161" t="inlineStr">
        <is>
          <t>Let</t>
        </is>
      </c>
    </row>
    <row r="162">
      <c r="A162" t="inlineStr">
        <is>
          <t>3/4/4a Little Portland Street</t>
        </is>
      </c>
      <c r="B162" s="838" t="n"/>
      <c r="C162" s="839" t="inlineStr">
        <is>
          <t>CD</t>
        </is>
      </c>
      <c r="D162" s="839" t="inlineStr">
        <is>
          <t>MEL</t>
        </is>
      </c>
      <c r="E162" s="838" t="n">
        <v>550300</v>
      </c>
      <c r="F162" s="840" t="inlineStr">
        <is>
          <t>3/4/4a Little Portland Street</t>
        </is>
      </c>
      <c r="G162" s="840" t="inlineStr">
        <is>
          <t xml:space="preserve">Second Floor (East) </t>
        </is>
      </c>
      <c r="H162" s="841" t="inlineStr">
        <is>
          <t>Office</t>
        </is>
      </c>
      <c r="I162" s="848" t="n">
        <v>130</v>
      </c>
      <c r="J162" s="848">
        <f>I162</f>
        <v/>
      </c>
      <c r="K162" s="848" t="n">
        <v>250</v>
      </c>
      <c r="L162" s="840" t="inlineStr">
        <is>
          <t>Vacant</t>
        </is>
      </c>
      <c r="O162" s="844" t="n">
        <v>45173</v>
      </c>
      <c r="R162" s="842" t="n">
        <v>0</v>
      </c>
      <c r="S162" s="842">
        <f>R162</f>
        <v/>
      </c>
      <c r="U162" s="842" t="n">
        <v>8120</v>
      </c>
      <c r="V162" s="842">
        <f>U162</f>
        <v/>
      </c>
      <c r="W162" s="842" t="n">
        <v>8000</v>
      </c>
      <c r="X162" s="842">
        <f>W162</f>
        <v/>
      </c>
      <c r="Y162" s="845">
        <f>W162/I162</f>
        <v/>
      </c>
      <c r="Z162" s="846">
        <f>SUM(W162-U162)/U162</f>
        <v/>
      </c>
      <c r="AA162" s="842" t="inlineStr">
        <is>
          <t>E</t>
        </is>
      </c>
      <c r="AB162" s="590" t="n"/>
      <c r="AC162" s="847" t="n"/>
      <c r="AD162" s="841" t="inlineStr">
        <is>
          <t>No</t>
        </is>
      </c>
      <c r="AE162" s="840" t="inlineStr">
        <is>
          <t>LEM marketing.</t>
        </is>
      </c>
      <c r="AH162" s="312" t="n"/>
      <c r="AJ162" t="inlineStr">
        <is>
          <t>Void</t>
        </is>
      </c>
    </row>
    <row r="163">
      <c r="A163" t="inlineStr">
        <is>
          <t>3/4/4a Little Portland Street</t>
        </is>
      </c>
      <c r="B163" s="838" t="n"/>
      <c r="C163" s="839" t="inlineStr">
        <is>
          <t>CD</t>
        </is>
      </c>
      <c r="D163" s="839" t="inlineStr">
        <is>
          <t>MEL</t>
        </is>
      </c>
      <c r="E163" s="838" t="n">
        <v>550300</v>
      </c>
      <c r="F163" s="840" t="inlineStr">
        <is>
          <t>3/4/4a Little Portland Street</t>
        </is>
      </c>
      <c r="G163" s="121" t="inlineStr">
        <is>
          <t>Second (Rear) &amp; Part Ground (Storage)</t>
        </is>
      </c>
      <c r="H163" s="841" t="inlineStr">
        <is>
          <t xml:space="preserve"> Office &amp; Storage</t>
        </is>
      </c>
      <c r="I163" s="848" t="n">
        <v>1074</v>
      </c>
      <c r="J163" s="848">
        <f>I163</f>
        <v/>
      </c>
      <c r="K163" s="848" t="n">
        <v>1000</v>
      </c>
      <c r="L163" s="840" t="inlineStr">
        <is>
          <t>Vacant</t>
        </is>
      </c>
      <c r="O163" s="844" t="n">
        <v>45003</v>
      </c>
      <c r="R163" s="842" t="n">
        <v>0</v>
      </c>
      <c r="S163" s="842">
        <f>R163</f>
        <v/>
      </c>
      <c r="U163" s="842" t="n">
        <v>72100</v>
      </c>
      <c r="V163" s="842">
        <f>U163</f>
        <v/>
      </c>
      <c r="W163" s="842" t="n">
        <v>66100</v>
      </c>
      <c r="X163" s="842">
        <f>W163</f>
        <v/>
      </c>
      <c r="Y163" s="845">
        <f>W163/I163</f>
        <v/>
      </c>
      <c r="Z163" s="846">
        <f>SUM(W163-U163)/U163</f>
        <v/>
      </c>
      <c r="AA163" s="842" t="inlineStr">
        <is>
          <t>E</t>
        </is>
      </c>
      <c r="AB163" s="590" t="inlineStr">
        <is>
          <t>*</t>
        </is>
      </c>
      <c r="AC163" s="847" t="n"/>
      <c r="AD163" s="841" t="inlineStr">
        <is>
          <t>No</t>
        </is>
      </c>
      <c r="AE163" s="840" t="inlineStr">
        <is>
          <t>LEM marketing.</t>
        </is>
      </c>
      <c r="AF163" s="849" t="n">
        <v>67.5</v>
      </c>
      <c r="AG163" s="840" t="n">
        <v>2</v>
      </c>
      <c r="AH163" s="312" t="n">
        <v>5</v>
      </c>
      <c r="AJ163" t="inlineStr">
        <is>
          <t>Void</t>
        </is>
      </c>
    </row>
    <row r="164">
      <c r="A164" t="inlineStr">
        <is>
          <t>3/4/4a Little Portland Street</t>
        </is>
      </c>
      <c r="B164" s="838" t="n"/>
      <c r="C164" s="839" t="inlineStr">
        <is>
          <t>CD</t>
        </is>
      </c>
      <c r="D164" s="839" t="inlineStr">
        <is>
          <t>MEL</t>
        </is>
      </c>
      <c r="E164" s="838" t="n">
        <v>550300</v>
      </c>
      <c r="F164" s="840" t="inlineStr">
        <is>
          <t>3/4/4a Little Portland Street</t>
        </is>
      </c>
      <c r="G164" s="840" t="inlineStr">
        <is>
          <t>Third Floor</t>
        </is>
      </c>
      <c r="H164" s="841" t="inlineStr">
        <is>
          <t>Office</t>
        </is>
      </c>
      <c r="I164" s="848" t="n">
        <v>2018</v>
      </c>
      <c r="J164" s="848">
        <f>I164</f>
        <v/>
      </c>
      <c r="K164" s="848" t="n">
        <v>2000</v>
      </c>
      <c r="L164" s="840" t="inlineStr">
        <is>
          <t>Total Recruitment Specialists Ltd</t>
        </is>
      </c>
      <c r="M164" s="843" t="n">
        <v>45456</v>
      </c>
      <c r="N164" s="844" t="n">
        <v>47281</v>
      </c>
      <c r="Q164" s="844" t="n">
        <v>46550</v>
      </c>
      <c r="R164" s="842" t="n">
        <v>140315</v>
      </c>
      <c r="S164" s="842">
        <f>R164</f>
        <v/>
      </c>
      <c r="U164" s="842" t="n">
        <v>129800</v>
      </c>
      <c r="V164" s="842">
        <f>U164</f>
        <v/>
      </c>
      <c r="W164" s="842" t="n">
        <v>140315</v>
      </c>
      <c r="X164" s="842">
        <f>W164</f>
        <v/>
      </c>
      <c r="Y164" s="845">
        <f>W164/I164</f>
        <v/>
      </c>
      <c r="Z164" s="846">
        <f>SUM(W164-U164)/U164</f>
        <v/>
      </c>
      <c r="AA164" s="842" t="inlineStr">
        <is>
          <t>E</t>
        </is>
      </c>
      <c r="AB164" s="590" t="n"/>
      <c r="AC164" s="847" t="n"/>
      <c r="AD164" s="841" t="inlineStr">
        <is>
          <t>No</t>
        </is>
      </c>
      <c r="AE164" s="840" t="inlineStr">
        <is>
          <t>Tenant break on 6 months notice.</t>
        </is>
      </c>
      <c r="AH164" s="312" t="n"/>
      <c r="AJ164" t="inlineStr">
        <is>
          <t>Let</t>
        </is>
      </c>
    </row>
    <row r="165">
      <c r="A165" t="inlineStr">
        <is>
          <t>3/4/4a Little Portland Street</t>
        </is>
      </c>
      <c r="B165" s="838" t="n"/>
      <c r="C165" s="839" t="inlineStr">
        <is>
          <t>CD</t>
        </is>
      </c>
      <c r="D165" s="839" t="inlineStr">
        <is>
          <t>MEL</t>
        </is>
      </c>
      <c r="E165" s="838" t="n">
        <v>550300</v>
      </c>
      <c r="F165" s="840" t="inlineStr">
        <is>
          <t>3/4/4a Little Portland Street</t>
        </is>
      </c>
      <c r="G165" s="840" t="inlineStr">
        <is>
          <t>Electricity Sub-Station</t>
        </is>
      </c>
      <c r="H165" s="841" t="inlineStr">
        <is>
          <t>Sub-Station</t>
        </is>
      </c>
      <c r="I165" s="848" t="n">
        <v>0</v>
      </c>
      <c r="J165" s="848">
        <f>I165</f>
        <v/>
      </c>
      <c r="L165" s="840" t="inlineStr">
        <is>
          <t>London Power Networks Plc</t>
        </is>
      </c>
      <c r="M165" s="843" t="n">
        <v>43866</v>
      </c>
      <c r="N165" s="844" t="n">
        <v>47518</v>
      </c>
      <c r="P165" s="844" t="n">
        <v>45693</v>
      </c>
      <c r="R165" s="842" t="n">
        <v>1000</v>
      </c>
      <c r="S165" s="842">
        <f>R165</f>
        <v/>
      </c>
      <c r="U165" s="842" t="n">
        <v>1000</v>
      </c>
      <c r="V165" s="842">
        <f>U165</f>
        <v/>
      </c>
      <c r="W165" s="842" t="n">
        <v>1000</v>
      </c>
      <c r="X165" s="842">
        <f>W165</f>
        <v/>
      </c>
      <c r="Y165" s="845" t="n"/>
      <c r="Z165" s="846" t="n"/>
      <c r="AA165" s="842" t="n"/>
      <c r="AB165" s="590" t="n"/>
      <c r="AC165" s="847" t="n"/>
      <c r="AD165" s="841" t="inlineStr">
        <is>
          <t>Yes</t>
        </is>
      </c>
      <c r="AE165" s="840" t="inlineStr">
        <is>
          <t>Rent review is RPI. Rolling landlords redevelopment break after 04/02/25 on 9 months notice.</t>
        </is>
      </c>
      <c r="AH165" s="312" t="n"/>
      <c r="AJ165" t="inlineStr">
        <is>
          <t>Let</t>
        </is>
      </c>
    </row>
    <row r="166">
      <c r="A166" t="inlineStr">
        <is>
          <t>5 Little Portland Street</t>
        </is>
      </c>
      <c r="B166" s="838" t="n"/>
      <c r="C166" s="839" t="inlineStr">
        <is>
          <t>CD</t>
        </is>
      </c>
      <c r="D166" s="839" t="inlineStr">
        <is>
          <t>MEL</t>
        </is>
      </c>
      <c r="E166" s="838" t="n">
        <v>550500</v>
      </c>
      <c r="F166" s="840" t="inlineStr">
        <is>
          <t>5 Little Portland Street</t>
        </is>
      </c>
      <c r="G166" s="840" t="inlineStr">
        <is>
          <t>Ground &amp; Basement</t>
        </is>
      </c>
      <c r="H166" s="841" t="inlineStr">
        <is>
          <t>Bar</t>
        </is>
      </c>
      <c r="I166" s="848" t="n">
        <v>2520</v>
      </c>
      <c r="J166" s="842">
        <f>I166</f>
        <v/>
      </c>
      <c r="K166" s="842" t="n">
        <v>2500</v>
      </c>
      <c r="L166" s="840" t="inlineStr">
        <is>
          <t>The Social Little Portland Street Ltd.</t>
        </is>
      </c>
      <c r="M166" s="843" t="n">
        <v>43571</v>
      </c>
      <c r="N166" s="844" t="n">
        <v>47223</v>
      </c>
      <c r="P166" s="844" t="n">
        <v>45398</v>
      </c>
      <c r="R166" s="842" t="n">
        <v>82500</v>
      </c>
      <c r="S166" s="842">
        <f>R166</f>
        <v/>
      </c>
      <c r="U166" s="842" t="n">
        <v>70000</v>
      </c>
      <c r="V166" s="842">
        <f>U166</f>
        <v/>
      </c>
      <c r="W166" s="842" t="n">
        <v>70000</v>
      </c>
      <c r="X166" s="842">
        <f>W166</f>
        <v/>
      </c>
      <c r="Y166" s="845">
        <f>W166/I166</f>
        <v/>
      </c>
      <c r="Z166" s="846">
        <f>SUM(W166-U166)/U166</f>
        <v/>
      </c>
      <c r="AA166" s="842" t="inlineStr">
        <is>
          <t>B</t>
        </is>
      </c>
      <c r="AB166" s="590" t="n"/>
      <c r="AC166" s="591" t="n"/>
      <c r="AD166" s="841" t="inlineStr">
        <is>
          <t>No</t>
        </is>
      </c>
      <c r="AH166" s="312" t="n"/>
      <c r="AJ166" t="inlineStr">
        <is>
          <t>Let</t>
        </is>
      </c>
    </row>
    <row r="167">
      <c r="A167" t="inlineStr">
        <is>
          <t>5 Little Portland Street</t>
        </is>
      </c>
      <c r="B167" s="838" t="n"/>
      <c r="C167" s="839" t="inlineStr">
        <is>
          <t>CD</t>
        </is>
      </c>
      <c r="D167" s="839" t="inlineStr">
        <is>
          <t>MEL</t>
        </is>
      </c>
      <c r="E167" s="838" t="n">
        <v>550500</v>
      </c>
      <c r="F167" s="840" t="inlineStr">
        <is>
          <t>5 Little Portland Street</t>
        </is>
      </c>
      <c r="G167" s="840" t="inlineStr">
        <is>
          <t>First to Third Floors</t>
        </is>
      </c>
      <c r="H167" s="841" t="inlineStr">
        <is>
          <t>Office</t>
        </is>
      </c>
      <c r="I167" s="848" t="n">
        <v>2186</v>
      </c>
      <c r="J167" s="842">
        <f>I167</f>
        <v/>
      </c>
      <c r="K167" s="842" t="n">
        <v>2000</v>
      </c>
      <c r="L167" s="840" t="inlineStr">
        <is>
          <t>Oaxaca Ltd.</t>
        </is>
      </c>
      <c r="M167" s="843" t="n">
        <v>43398</v>
      </c>
      <c r="N167" s="844" t="n">
        <v>47050</v>
      </c>
      <c r="P167" s="844" t="n">
        <v>45955</v>
      </c>
      <c r="Q167" s="844" t="n">
        <v>45954</v>
      </c>
      <c r="R167" s="842" t="n">
        <v>101200</v>
      </c>
      <c r="S167" s="842">
        <f>R167</f>
        <v/>
      </c>
      <c r="U167" s="842" t="n">
        <v>117100</v>
      </c>
      <c r="V167" s="842">
        <f>U167</f>
        <v/>
      </c>
      <c r="W167" s="842" t="n">
        <v>117100</v>
      </c>
      <c r="X167" s="842">
        <f>W167</f>
        <v/>
      </c>
      <c r="Y167" s="845">
        <f>W167/I167</f>
        <v/>
      </c>
      <c r="Z167" s="846">
        <f>SUM(W167-U167)/U167</f>
        <v/>
      </c>
      <c r="AA167" s="842" t="inlineStr">
        <is>
          <t>E</t>
        </is>
      </c>
      <c r="AB167" s="590" t="n"/>
      <c r="AC167" s="591" t="n"/>
      <c r="AD167" s="841" t="inlineStr">
        <is>
          <t>No</t>
        </is>
      </c>
      <c r="AE167" s="840" t="inlineStr">
        <is>
          <t>Tenant break on 6 months notice. Tenant has a 20% concession reducing the rent until the 25/10/25 review date, after this date it reverts to £126,500 pa.</t>
        </is>
      </c>
      <c r="AH167" s="312" t="n"/>
      <c r="AJ167" t="inlineStr">
        <is>
          <t>Let</t>
        </is>
      </c>
    </row>
    <row r="168">
      <c r="A168" t="inlineStr">
        <is>
          <t>Alexandra House, 6 Little Portland Street</t>
        </is>
      </c>
      <c r="B168" s="838" t="n"/>
      <c r="C168" s="839" t="inlineStr">
        <is>
          <t>CD</t>
        </is>
      </c>
      <c r="D168" s="839" t="inlineStr">
        <is>
          <t>MEL</t>
        </is>
      </c>
      <c r="E168" s="838" t="n">
        <v>550310</v>
      </c>
      <c r="F168" s="840" t="inlineStr">
        <is>
          <t>Alexandra House, 6 Little Portland Street</t>
        </is>
      </c>
      <c r="G168" s="840" t="inlineStr">
        <is>
          <t>Ground Floor &amp; Part Basement</t>
        </is>
      </c>
      <c r="H168" s="841" t="inlineStr">
        <is>
          <t>Restaurant</t>
        </is>
      </c>
      <c r="I168" s="848" t="n">
        <v>4430</v>
      </c>
      <c r="J168" s="842">
        <f>I168</f>
        <v/>
      </c>
      <c r="K168" s="842" t="n">
        <v>4500</v>
      </c>
      <c r="L168" s="840" t="inlineStr">
        <is>
          <t>Burger &amp; Lobster Restaurant Group Ltd.</t>
        </is>
      </c>
      <c r="M168" s="843" t="n">
        <v>41585</v>
      </c>
      <c r="N168" s="844" t="n">
        <v>47063</v>
      </c>
      <c r="P168" s="844" t="n">
        <v>45237</v>
      </c>
      <c r="R168" s="842" t="n">
        <v>170000</v>
      </c>
      <c r="S168" s="842">
        <f>R168</f>
        <v/>
      </c>
      <c r="U168" s="842" t="n">
        <v>146900</v>
      </c>
      <c r="V168" s="842">
        <f>U168</f>
        <v/>
      </c>
      <c r="W168" s="842" t="n">
        <v>152100</v>
      </c>
      <c r="X168" s="842">
        <f>W168</f>
        <v/>
      </c>
      <c r="Y168" s="845">
        <f>W168/I168</f>
        <v/>
      </c>
      <c r="Z168" s="846">
        <f>SUM(W168-U168)/U168</f>
        <v/>
      </c>
      <c r="AA168" s="842" t="inlineStr">
        <is>
          <t>B</t>
        </is>
      </c>
      <c r="AB168" s="590" t="n"/>
      <c r="AC168" s="591" t="n"/>
      <c r="AD168" s="841" t="inlineStr">
        <is>
          <t>No</t>
        </is>
      </c>
      <c r="AE168" s="840" t="inlineStr">
        <is>
          <t>Rent review not yet activated due to level of passing rent.</t>
        </is>
      </c>
      <c r="AH168" s="312" t="n"/>
      <c r="AJ168" t="inlineStr">
        <is>
          <t>Let</t>
        </is>
      </c>
    </row>
    <row r="169">
      <c r="A169" t="inlineStr">
        <is>
          <t>Alexandra House, 6 Little Portland Street</t>
        </is>
      </c>
      <c r="B169" s="838" t="n"/>
      <c r="C169" s="839" t="inlineStr">
        <is>
          <t>CD</t>
        </is>
      </c>
      <c r="D169" s="839" t="inlineStr">
        <is>
          <t>MEL</t>
        </is>
      </c>
      <c r="E169" s="838" t="n">
        <v>550310</v>
      </c>
      <c r="F169" s="840" t="inlineStr">
        <is>
          <t>Alexandra House, 6 Little Portland Street</t>
        </is>
      </c>
      <c r="G169" s="840" t="inlineStr">
        <is>
          <t>First to Fourth Floors</t>
        </is>
      </c>
      <c r="H169" s="841" t="inlineStr">
        <is>
          <t>Office</t>
        </is>
      </c>
      <c r="I169" s="848" t="n">
        <v>10421</v>
      </c>
      <c r="J169" s="842">
        <f>I169</f>
        <v/>
      </c>
      <c r="K169" s="842" t="n">
        <v>10500</v>
      </c>
      <c r="L169" s="840" t="inlineStr">
        <is>
          <t>Exposure Promotions Ltd.</t>
        </is>
      </c>
      <c r="M169" s="843" t="n">
        <v>44552</v>
      </c>
      <c r="N169" s="844" t="n">
        <v>46377</v>
      </c>
      <c r="R169" s="842" t="n">
        <v>573565</v>
      </c>
      <c r="S169" s="842">
        <f>R169</f>
        <v/>
      </c>
      <c r="U169" s="842" t="n">
        <v>572700</v>
      </c>
      <c r="V169" s="842">
        <f>U169</f>
        <v/>
      </c>
      <c r="W169" s="842" t="n">
        <v>589700</v>
      </c>
      <c r="X169" s="842">
        <f>W169</f>
        <v/>
      </c>
      <c r="Y169" s="845">
        <f>W169/I169</f>
        <v/>
      </c>
      <c r="Z169" s="846">
        <f>SUM(W169-U169)/U169</f>
        <v/>
      </c>
      <c r="AA169" s="842" t="inlineStr">
        <is>
          <t>C</t>
        </is>
      </c>
      <c r="AB169" s="590" t="n"/>
      <c r="AC169" s="591" t="n"/>
      <c r="AD169" s="841" t="inlineStr">
        <is>
          <t>No</t>
        </is>
      </c>
      <c r="AE169" s="840" t="inlineStr">
        <is>
          <t>Tenant break on 6 months notice. 3 months rent free if not exercised.</t>
        </is>
      </c>
      <c r="AH169" s="312" t="n"/>
      <c r="AJ169" t="inlineStr">
        <is>
          <t>Let</t>
        </is>
      </c>
    </row>
    <row r="170">
      <c r="A170" t="inlineStr">
        <is>
          <t>9 Little Portland Street</t>
        </is>
      </c>
      <c r="B170" s="838" t="n"/>
      <c r="C170" s="839" t="inlineStr">
        <is>
          <t>CD</t>
        </is>
      </c>
      <c r="D170" s="839" t="inlineStr">
        <is>
          <t>MEL</t>
        </is>
      </c>
      <c r="E170" s="838" t="n">
        <v>551010</v>
      </c>
      <c r="F170" s="856" t="inlineStr">
        <is>
          <t>9 Little Portland Street</t>
        </is>
      </c>
      <c r="G170" s="840" t="inlineStr">
        <is>
          <t>Lower Ground and Ground Floors</t>
        </is>
      </c>
      <c r="H170" s="841" t="inlineStr">
        <is>
          <t>Showroom / Office</t>
        </is>
      </c>
      <c r="I170" s="848" t="n">
        <v>747</v>
      </c>
      <c r="J170" s="842">
        <f>I170</f>
        <v/>
      </c>
      <c r="K170" s="842" t="n">
        <v>750</v>
      </c>
      <c r="L170" s="840" t="inlineStr">
        <is>
          <t>Order Line Ltd</t>
        </is>
      </c>
      <c r="M170" s="843" t="n">
        <v>44724</v>
      </c>
      <c r="R170" s="842" t="n">
        <v>45000</v>
      </c>
      <c r="S170" s="842">
        <f>R170</f>
        <v/>
      </c>
      <c r="U170" s="842" t="n">
        <v>41700</v>
      </c>
      <c r="V170" s="842">
        <f>U170</f>
        <v/>
      </c>
      <c r="W170" s="842" t="n">
        <v>45000</v>
      </c>
      <c r="X170" s="842">
        <f>W170</f>
        <v/>
      </c>
      <c r="Y170" s="845">
        <f>W170/I170</f>
        <v/>
      </c>
      <c r="Z170" s="846">
        <f>SUM(W170-U170)/U170</f>
        <v/>
      </c>
      <c r="AA170" s="842" t="inlineStr">
        <is>
          <t>E</t>
        </is>
      </c>
      <c r="AB170" s="590" t="n"/>
      <c r="AC170" s="847" t="n"/>
      <c r="AD170" s="841" t="inlineStr">
        <is>
          <t>No</t>
        </is>
      </c>
      <c r="AE170" s="840" t="inlineStr">
        <is>
          <t>Tenancy at will granted based at existing rent.</t>
        </is>
      </c>
      <c r="AH170" s="312" t="n"/>
      <c r="AJ170" t="inlineStr">
        <is>
          <t>Let</t>
        </is>
      </c>
    </row>
    <row r="171">
      <c r="A171" t="inlineStr">
        <is>
          <t>9 Little Portland Street</t>
        </is>
      </c>
      <c r="B171" s="838" t="n"/>
      <c r="C171" s="839" t="inlineStr">
        <is>
          <t>CD</t>
        </is>
      </c>
      <c r="D171" s="839" t="inlineStr">
        <is>
          <t>MEL</t>
        </is>
      </c>
      <c r="E171" s="838" t="n">
        <v>551010</v>
      </c>
      <c r="F171" s="856" t="inlineStr">
        <is>
          <t>9 Little Portland Street</t>
        </is>
      </c>
      <c r="G171" s="840" t="inlineStr">
        <is>
          <t>First Floor</t>
        </is>
      </c>
      <c r="H171" s="841" t="inlineStr">
        <is>
          <t>Office</t>
        </is>
      </c>
      <c r="I171" s="848" t="n">
        <v>452</v>
      </c>
      <c r="J171" s="842">
        <f>I171</f>
        <v/>
      </c>
      <c r="K171" s="842" t="n">
        <v>500</v>
      </c>
      <c r="L171" s="840" t="inlineStr">
        <is>
          <t>Vacant</t>
        </is>
      </c>
      <c r="O171" s="844" t="n">
        <v>43466</v>
      </c>
      <c r="R171" s="842" t="n">
        <v>0</v>
      </c>
      <c r="S171" s="842">
        <f>R171</f>
        <v/>
      </c>
      <c r="U171" s="842" t="n">
        <v>24900</v>
      </c>
      <c r="V171" s="842">
        <f>U171</f>
        <v/>
      </c>
      <c r="W171" s="842" t="n">
        <v>24900</v>
      </c>
      <c r="X171" s="842">
        <f>W171</f>
        <v/>
      </c>
      <c r="Y171" s="845">
        <f>W171/I171</f>
        <v/>
      </c>
      <c r="Z171" s="846">
        <f>SUM(W171-U171)/U171</f>
        <v/>
      </c>
      <c r="AA171" s="842" t="inlineStr">
        <is>
          <t>E</t>
        </is>
      </c>
      <c r="AB171" s="590" t="n"/>
      <c r="AC171" s="847" t="n"/>
      <c r="AD171" s="841" t="inlineStr">
        <is>
          <t>No</t>
        </is>
      </c>
      <c r="AE171" s="840" t="inlineStr">
        <is>
          <t>To be refurbished.</t>
        </is>
      </c>
      <c r="AH171" s="312" t="n"/>
      <c r="AJ171" t="inlineStr">
        <is>
          <t>Void</t>
        </is>
      </c>
    </row>
    <row r="172">
      <c r="A172" t="inlineStr">
        <is>
          <t>9 Little Portland Street</t>
        </is>
      </c>
      <c r="B172" s="838" t="n"/>
      <c r="C172" s="839" t="inlineStr">
        <is>
          <t>CD</t>
        </is>
      </c>
      <c r="D172" s="839" t="inlineStr">
        <is>
          <t>MEL</t>
        </is>
      </c>
      <c r="E172" s="838" t="n">
        <v>551010</v>
      </c>
      <c r="F172" s="856" t="inlineStr">
        <is>
          <t>9 Little Portland Street</t>
        </is>
      </c>
      <c r="G172" s="840" t="inlineStr">
        <is>
          <t xml:space="preserve">Second Floor </t>
        </is>
      </c>
      <c r="H172" s="841" t="inlineStr">
        <is>
          <t>Office</t>
        </is>
      </c>
      <c r="I172" s="848" t="n">
        <v>437</v>
      </c>
      <c r="J172" s="842">
        <f>I172</f>
        <v/>
      </c>
      <c r="K172" s="842" t="n">
        <v>500</v>
      </c>
      <c r="L172" s="840" t="inlineStr">
        <is>
          <t>Vacant</t>
        </is>
      </c>
      <c r="O172" s="844" t="n">
        <v>43466</v>
      </c>
      <c r="R172" s="842" t="n">
        <v>0</v>
      </c>
      <c r="S172" s="842">
        <f>R172</f>
        <v/>
      </c>
      <c r="U172" s="842" t="n">
        <v>24000</v>
      </c>
      <c r="V172" s="842">
        <f>U172</f>
        <v/>
      </c>
      <c r="W172" s="842" t="n">
        <v>24000</v>
      </c>
      <c r="X172" s="842">
        <f>W172</f>
        <v/>
      </c>
      <c r="Y172" s="845">
        <f>W172/I172</f>
        <v/>
      </c>
      <c r="Z172" s="846">
        <f>SUM(W172-U172)/U172</f>
        <v/>
      </c>
      <c r="AA172" s="842" t="inlineStr">
        <is>
          <t>E</t>
        </is>
      </c>
      <c r="AB172" s="590" t="n"/>
      <c r="AC172" s="847" t="n"/>
      <c r="AD172" s="841" t="inlineStr">
        <is>
          <t>No</t>
        </is>
      </c>
      <c r="AE172" s="840" t="inlineStr">
        <is>
          <t>To be refurbished.</t>
        </is>
      </c>
      <c r="AH172" s="312" t="n"/>
      <c r="AJ172" t="inlineStr">
        <is>
          <t>Void</t>
        </is>
      </c>
    </row>
    <row r="173">
      <c r="A173" t="inlineStr">
        <is>
          <t>9 Little Portland Street</t>
        </is>
      </c>
      <c r="B173" s="838" t="n"/>
      <c r="C173" s="839" t="inlineStr">
        <is>
          <t>CD</t>
        </is>
      </c>
      <c r="D173" s="839" t="inlineStr">
        <is>
          <t>MEL</t>
        </is>
      </c>
      <c r="E173" s="838" t="n">
        <v>551010</v>
      </c>
      <c r="F173" s="856" t="inlineStr">
        <is>
          <t>9 Little Portland Street</t>
        </is>
      </c>
      <c r="G173" s="840" t="inlineStr">
        <is>
          <t>Third Floor</t>
        </is>
      </c>
      <c r="H173" s="841" t="inlineStr">
        <is>
          <t>Office</t>
        </is>
      </c>
      <c r="I173" s="848" t="n">
        <v>350</v>
      </c>
      <c r="J173" s="842">
        <f>I173</f>
        <v/>
      </c>
      <c r="K173" s="842" t="n">
        <v>500</v>
      </c>
      <c r="L173" s="840" t="inlineStr">
        <is>
          <t>Skynet Ltd</t>
        </is>
      </c>
      <c r="M173" s="843" t="n">
        <v>44724</v>
      </c>
      <c r="R173" s="842" t="n">
        <v>21060</v>
      </c>
      <c r="S173" s="842">
        <f>R173</f>
        <v/>
      </c>
      <c r="U173" s="842" t="n">
        <v>19300</v>
      </c>
      <c r="V173" s="842">
        <f>U173</f>
        <v/>
      </c>
      <c r="W173" s="842" t="n">
        <v>19300</v>
      </c>
      <c r="X173" s="842">
        <f>W173</f>
        <v/>
      </c>
      <c r="Y173" s="845">
        <f>W173/I173</f>
        <v/>
      </c>
      <c r="Z173" s="846">
        <f>SUM(W173-U173)/U173</f>
        <v/>
      </c>
      <c r="AA173" s="842" t="inlineStr">
        <is>
          <t>E</t>
        </is>
      </c>
      <c r="AB173" s="590" t="n"/>
      <c r="AC173" s="847" t="n"/>
      <c r="AD173" s="841" t="inlineStr">
        <is>
          <t>No</t>
        </is>
      </c>
      <c r="AE173" s="840" t="inlineStr">
        <is>
          <t>Tenancy at will granted based at existing rent.</t>
        </is>
      </c>
      <c r="AH173" s="312" t="n"/>
      <c r="AJ173" t="inlineStr">
        <is>
          <t>Let</t>
        </is>
      </c>
    </row>
    <row r="174">
      <c r="A174" t="inlineStr">
        <is>
          <t>21 Little Portland Street</t>
        </is>
      </c>
      <c r="B174" s="838" t="n"/>
      <c r="C174" s="839" t="inlineStr">
        <is>
          <t>WS</t>
        </is>
      </c>
      <c r="D174" s="839" t="inlineStr">
        <is>
          <t>MEL</t>
        </is>
      </c>
      <c r="E174" s="838" t="n">
        <v>550960</v>
      </c>
      <c r="F174" s="840" t="inlineStr">
        <is>
          <t>21 Little Portland Street</t>
        </is>
      </c>
      <c r="G174" s="840" t="inlineStr">
        <is>
          <t>Lower Ground and Ground Floors</t>
        </is>
      </c>
      <c r="H174" s="841" t="inlineStr">
        <is>
          <t>Office</t>
        </is>
      </c>
      <c r="I174" s="848" t="n">
        <v>2820</v>
      </c>
      <c r="J174" s="842">
        <f>I174</f>
        <v/>
      </c>
      <c r="K174" s="842" t="n">
        <v>3000</v>
      </c>
      <c r="L174" s="840" t="inlineStr">
        <is>
          <t>FRIBA Limited</t>
        </is>
      </c>
      <c r="M174" s="843" t="n">
        <v>43794</v>
      </c>
      <c r="N174" s="844" t="n">
        <v>47446</v>
      </c>
      <c r="P174" s="844" t="n">
        <v>45621</v>
      </c>
      <c r="R174" s="842" t="n">
        <v>124773</v>
      </c>
      <c r="S174" s="842">
        <f>R174</f>
        <v/>
      </c>
      <c r="U174" s="842" t="n">
        <v>126900</v>
      </c>
      <c r="V174" s="842">
        <f>U174</f>
        <v/>
      </c>
      <c r="W174" s="842" t="n">
        <v>141000</v>
      </c>
      <c r="X174" s="842">
        <f>W174</f>
        <v/>
      </c>
      <c r="Y174" s="845">
        <f>W174/I174</f>
        <v/>
      </c>
      <c r="Z174" s="846">
        <f>SUM(W174-U174)/U174</f>
        <v/>
      </c>
      <c r="AA174" s="842" t="inlineStr">
        <is>
          <t>D</t>
        </is>
      </c>
      <c r="AB174" s="590" t="n"/>
      <c r="AC174" s="18" t="n"/>
      <c r="AD174" s="841" t="inlineStr">
        <is>
          <t>No</t>
        </is>
      </c>
      <c r="AE174" s="840" t="inlineStr">
        <is>
          <t>Premises inter connected with 19 Margaret Street and let under a single lease. The floor area is shown for this building only. Rent shown pro rata.</t>
        </is>
      </c>
      <c r="AH174" s="312" t="n"/>
      <c r="AJ174" t="inlineStr">
        <is>
          <t>Let</t>
        </is>
      </c>
    </row>
    <row r="175">
      <c r="A175" t="inlineStr">
        <is>
          <t>21 Little Portland Street</t>
        </is>
      </c>
      <c r="B175" s="838" t="n"/>
      <c r="C175" s="839" t="inlineStr">
        <is>
          <t>WS</t>
        </is>
      </c>
      <c r="D175" s="839" t="inlineStr">
        <is>
          <t>MEL</t>
        </is>
      </c>
      <c r="E175" s="838" t="n">
        <v>550960</v>
      </c>
      <c r="F175" s="840" t="inlineStr">
        <is>
          <t>21 Little Portland Street</t>
        </is>
      </c>
      <c r="G175" s="840" t="inlineStr">
        <is>
          <t>First Floor</t>
        </is>
      </c>
      <c r="H175" s="848" t="inlineStr">
        <is>
          <t>Office</t>
        </is>
      </c>
      <c r="I175" s="848" t="n">
        <v>1282</v>
      </c>
      <c r="J175" s="842">
        <f>I175</f>
        <v/>
      </c>
      <c r="K175" s="842" t="n">
        <v>1250</v>
      </c>
      <c r="L175" s="840" t="inlineStr">
        <is>
          <t>Vacant</t>
        </is>
      </c>
      <c r="O175" s="844" t="n">
        <v>44747</v>
      </c>
      <c r="R175" s="842" t="n">
        <v>0</v>
      </c>
      <c r="S175" s="842">
        <f>R175</f>
        <v/>
      </c>
      <c r="U175" s="842" t="n">
        <v>70500</v>
      </c>
      <c r="V175" s="842">
        <f>U175</f>
        <v/>
      </c>
      <c r="W175" s="842" t="n">
        <v>70500</v>
      </c>
      <c r="X175" s="842">
        <f>W175</f>
        <v/>
      </c>
      <c r="Y175" s="845">
        <f>W175/I175</f>
        <v/>
      </c>
      <c r="Z175" s="846">
        <f>SUM(W175-U175)/U175</f>
        <v/>
      </c>
      <c r="AA175" s="842" t="inlineStr">
        <is>
          <t>D</t>
        </is>
      </c>
      <c r="AB175" s="590" t="n"/>
      <c r="AC175" s="18" t="n"/>
      <c r="AD175" s="841" t="inlineStr">
        <is>
          <t>No</t>
        </is>
      </c>
      <c r="AE175" s="840" t="inlineStr">
        <is>
          <t>To be refurbished.</t>
        </is>
      </c>
      <c r="AF175" s="849" t="n">
        <v>67.5</v>
      </c>
      <c r="AG175" s="840" t="n">
        <v>6</v>
      </c>
      <c r="AH175" s="312" t="n">
        <v>7</v>
      </c>
      <c r="AI175" s="840" t="inlineStr">
        <is>
          <t>LEM</t>
        </is>
      </c>
      <c r="AJ175" t="inlineStr">
        <is>
          <t>Void</t>
        </is>
      </c>
    </row>
    <row r="176">
      <c r="A176" t="inlineStr">
        <is>
          <t>21 Little Portland Street</t>
        </is>
      </c>
      <c r="B176" s="838" t="n"/>
      <c r="C176" s="839" t="inlineStr">
        <is>
          <t>WS</t>
        </is>
      </c>
      <c r="D176" s="839" t="inlineStr">
        <is>
          <t>MEL</t>
        </is>
      </c>
      <c r="E176" s="838" t="n">
        <v>550960</v>
      </c>
      <c r="F176" s="840" t="inlineStr">
        <is>
          <t>21 Little Portland Street</t>
        </is>
      </c>
      <c r="G176" s="840" t="inlineStr">
        <is>
          <t>Second Floor</t>
        </is>
      </c>
      <c r="H176" s="841" t="inlineStr">
        <is>
          <t>Office</t>
        </is>
      </c>
      <c r="I176" s="848" t="n">
        <v>1214</v>
      </c>
      <c r="J176" s="842">
        <f>I176</f>
        <v/>
      </c>
      <c r="K176" s="842" t="n">
        <v>1250</v>
      </c>
      <c r="L176" s="840" t="inlineStr">
        <is>
          <t>Spanx UK Ltd</t>
        </is>
      </c>
      <c r="M176" s="843" t="n">
        <v>44733</v>
      </c>
      <c r="N176" s="620" t="n">
        <v>46558</v>
      </c>
      <c r="Q176" s="844" t="n">
        <v>45828</v>
      </c>
      <c r="R176" s="842" t="n">
        <v>71000</v>
      </c>
      <c r="S176" s="842">
        <f>R176</f>
        <v/>
      </c>
      <c r="U176" s="842" t="n">
        <v>71000</v>
      </c>
      <c r="V176" s="842">
        <f>U176</f>
        <v/>
      </c>
      <c r="W176" s="842" t="n">
        <v>71000</v>
      </c>
      <c r="X176" s="842">
        <f>W176</f>
        <v/>
      </c>
      <c r="Y176" s="845">
        <f>W176/I176</f>
        <v/>
      </c>
      <c r="Z176" s="846">
        <f>SUM(W176-U176)/U176</f>
        <v/>
      </c>
      <c r="AA176" s="842" t="inlineStr">
        <is>
          <t>D</t>
        </is>
      </c>
      <c r="AB176" s="590" t="n"/>
      <c r="AC176" s="18" t="n"/>
      <c r="AD176" s="841" t="inlineStr">
        <is>
          <t>No</t>
        </is>
      </c>
      <c r="AE176" s="840" t="inlineStr">
        <is>
          <t>Mutual break @ 20/06/25 on 6 months notice. Tenant break exercised. Break conditions not met. Lease to continue.</t>
        </is>
      </c>
      <c r="AH176" s="312" t="n"/>
      <c r="AJ176" t="inlineStr">
        <is>
          <t>Let</t>
        </is>
      </c>
    </row>
    <row r="177">
      <c r="A177" t="inlineStr">
        <is>
          <t>21 Little Portland Street</t>
        </is>
      </c>
      <c r="B177" s="838" t="n"/>
      <c r="C177" s="839" t="inlineStr">
        <is>
          <t>WS</t>
        </is>
      </c>
      <c r="D177" s="839" t="inlineStr">
        <is>
          <t>MEL</t>
        </is>
      </c>
      <c r="E177" s="838" t="n">
        <v>550960</v>
      </c>
      <c r="F177" s="840" t="inlineStr">
        <is>
          <t>21 Little Portland Street</t>
        </is>
      </c>
      <c r="G177" s="840" t="inlineStr">
        <is>
          <t>Third Floor</t>
        </is>
      </c>
      <c r="H177" s="841" t="inlineStr">
        <is>
          <t>Office</t>
        </is>
      </c>
      <c r="I177" s="848" t="n">
        <v>1226</v>
      </c>
      <c r="J177" s="842">
        <f>I177</f>
        <v/>
      </c>
      <c r="K177" s="842" t="n">
        <v>1250</v>
      </c>
      <c r="L177" s="840" t="inlineStr">
        <is>
          <t>Caneparo Associates Ltd</t>
        </is>
      </c>
      <c r="M177" s="843" t="n">
        <v>44605</v>
      </c>
      <c r="N177" s="844" t="n">
        <v>46430</v>
      </c>
      <c r="R177" s="842" t="n">
        <v>63000</v>
      </c>
      <c r="S177" s="842">
        <f>R177</f>
        <v/>
      </c>
      <c r="U177" s="842" t="n">
        <v>63100</v>
      </c>
      <c r="V177" s="842">
        <f>U177</f>
        <v/>
      </c>
      <c r="W177" s="842" t="n">
        <v>63100</v>
      </c>
      <c r="X177" s="842">
        <f>W177</f>
        <v/>
      </c>
      <c r="Y177" s="845">
        <f>W177/I177</f>
        <v/>
      </c>
      <c r="Z177" s="846">
        <f>SUM(W177-U177)/U177</f>
        <v/>
      </c>
      <c r="AA177" s="842" t="inlineStr">
        <is>
          <t>D</t>
        </is>
      </c>
      <c r="AB177" s="590" t="n"/>
      <c r="AC177" s="18" t="n"/>
      <c r="AD177" s="841" t="inlineStr">
        <is>
          <t>No</t>
        </is>
      </c>
      <c r="AH177" s="312" t="n"/>
      <c r="AJ177" t="inlineStr">
        <is>
          <t>Let</t>
        </is>
      </c>
    </row>
    <row r="178">
      <c r="A178" t="inlineStr">
        <is>
          <t>22 Little Portland Street (formerly 22-23 LPS)</t>
        </is>
      </c>
      <c r="B178" s="838" t="n"/>
      <c r="C178" s="839" t="inlineStr">
        <is>
          <t>WS</t>
        </is>
      </c>
      <c r="D178" s="839" t="inlineStr">
        <is>
          <t>MEL</t>
        </is>
      </c>
      <c r="E178" s="838" t="n">
        <v>550320</v>
      </c>
      <c r="F178" s="840" t="inlineStr">
        <is>
          <t>22-23 Little Portland Street</t>
        </is>
      </c>
      <c r="G178" s="840" t="inlineStr">
        <is>
          <t>Whole Building</t>
        </is>
      </c>
      <c r="H178" s="841" t="inlineStr">
        <is>
          <t>Office/ Showroom/ Storage</t>
        </is>
      </c>
      <c r="I178" s="18" t="n">
        <v>9776</v>
      </c>
      <c r="J178" s="842">
        <f>I178</f>
        <v/>
      </c>
      <c r="K178" s="842" t="n">
        <v>10000</v>
      </c>
      <c r="L178" s="840" t="inlineStr">
        <is>
          <t>David Chipperfield Architects Ltd</t>
        </is>
      </c>
      <c r="M178" s="843" t="n">
        <v>45463</v>
      </c>
      <c r="N178" s="844" t="n">
        <v>49114</v>
      </c>
      <c r="P178" s="844" t="n">
        <v>47289</v>
      </c>
      <c r="Q178" s="844" t="n">
        <v>47288</v>
      </c>
      <c r="R178" s="591" t="n">
        <v>715000</v>
      </c>
      <c r="S178" s="591">
        <f>R178</f>
        <v/>
      </c>
      <c r="T178" s="591">
        <f>S178</f>
        <v/>
      </c>
      <c r="U178" s="591" t="n">
        <v>715000</v>
      </c>
      <c r="V178" s="842">
        <f>U178</f>
        <v/>
      </c>
      <c r="W178" s="591" t="n">
        <v>715000</v>
      </c>
      <c r="X178" s="842">
        <f>W178</f>
        <v/>
      </c>
      <c r="Y178" s="845">
        <f>W178/I178</f>
        <v/>
      </c>
      <c r="Z178" s="846">
        <f>SUM(W178-U178)/U178</f>
        <v/>
      </c>
      <c r="AA178" s="842" t="inlineStr">
        <is>
          <t>A</t>
        </is>
      </c>
      <c r="AB178" s="590" t="n"/>
      <c r="AC178" s="18" t="n">
        <v>12325000</v>
      </c>
      <c r="AD178" s="841" t="inlineStr">
        <is>
          <t>No</t>
        </is>
      </c>
      <c r="AE178" s="840" t="inlineStr">
        <is>
          <t>Tenant break on 6 months notice.</t>
        </is>
      </c>
      <c r="AH178" s="312" t="n"/>
      <c r="AJ178" t="inlineStr">
        <is>
          <t>Let</t>
        </is>
      </c>
    </row>
    <row r="179">
      <c r="A179" t="inlineStr">
        <is>
          <t>9 Margaret Street</t>
        </is>
      </c>
      <c r="B179" s="838" t="n"/>
      <c r="C179" s="839" t="inlineStr">
        <is>
          <t>WS</t>
        </is>
      </c>
      <c r="D179" s="839" t="inlineStr">
        <is>
          <t>MEL</t>
        </is>
      </c>
      <c r="E179" s="838" t="n">
        <v>550330</v>
      </c>
      <c r="F179" s="840" t="inlineStr">
        <is>
          <t>9 Margaret Street</t>
        </is>
      </c>
      <c r="G179" s="840" t="inlineStr">
        <is>
          <t>Whole</t>
        </is>
      </c>
      <c r="H179" s="841" t="inlineStr">
        <is>
          <t>Office</t>
        </is>
      </c>
      <c r="I179" s="18" t="n">
        <v>4969</v>
      </c>
      <c r="J179" s="842">
        <f>I179</f>
        <v/>
      </c>
      <c r="K179" s="842" t="n">
        <v>5000</v>
      </c>
      <c r="L179" s="840" t="inlineStr">
        <is>
          <t>Racoon Media Services Limited</t>
        </is>
      </c>
      <c r="M179" s="843" t="n">
        <v>45198</v>
      </c>
      <c r="N179" s="844" t="n">
        <v>48850</v>
      </c>
      <c r="P179" s="844" t="n">
        <v>47025</v>
      </c>
      <c r="Q179" s="844" t="n">
        <v>46293</v>
      </c>
      <c r="R179" s="591" t="n">
        <v>315000</v>
      </c>
      <c r="S179" s="842">
        <f>R179</f>
        <v/>
      </c>
      <c r="T179" s="591">
        <f>S179</f>
        <v/>
      </c>
      <c r="U179" s="591" t="n">
        <v>266600</v>
      </c>
      <c r="V179" s="842">
        <f>U179</f>
        <v/>
      </c>
      <c r="W179" s="591" t="n">
        <v>315000</v>
      </c>
      <c r="X179" s="842">
        <f>W179</f>
        <v/>
      </c>
      <c r="Y179" s="845">
        <f>W179/I179</f>
        <v/>
      </c>
      <c r="Z179" s="846">
        <f>SUM(W179-U179)/U179</f>
        <v/>
      </c>
      <c r="AA179" s="842" t="inlineStr">
        <is>
          <t>C</t>
        </is>
      </c>
      <c r="AB179" s="590" t="n"/>
      <c r="AC179" s="18" t="n">
        <v>5575000</v>
      </c>
      <c r="AD179" s="841" t="inlineStr">
        <is>
          <t>No</t>
        </is>
      </c>
      <c r="AE179" s="840" t="inlineStr">
        <is>
          <t>Tenant break on 6 months notice, if not exercised then a further 3 months rent free.</t>
        </is>
      </c>
      <c r="AH179" s="312" t="n"/>
      <c r="AJ179" t="inlineStr">
        <is>
          <t>Let</t>
        </is>
      </c>
    </row>
    <row r="180">
      <c r="A180" t="inlineStr">
        <is>
          <t>London House, 9a Margaret Street</t>
        </is>
      </c>
      <c r="B180" s="838" t="n"/>
      <c r="C180" s="839" t="inlineStr">
        <is>
          <t>CM</t>
        </is>
      </c>
      <c r="D180" s="839" t="inlineStr">
        <is>
          <t>MEL</t>
        </is>
      </c>
      <c r="E180" s="838" t="n">
        <v>550340</v>
      </c>
      <c r="F180" s="840" t="inlineStr">
        <is>
          <t>London House, 9a Margaret Street</t>
        </is>
      </c>
      <c r="G180" s="840" t="inlineStr">
        <is>
          <t>Basement (Vaults)</t>
        </is>
      </c>
      <c r="H180" s="841" t="inlineStr">
        <is>
          <t>Storage</t>
        </is>
      </c>
      <c r="I180" s="848" t="n">
        <v>400</v>
      </c>
      <c r="J180" s="848">
        <f>I180</f>
        <v/>
      </c>
      <c r="L180" s="840" t="inlineStr">
        <is>
          <t>Langham Estate Management Ltd</t>
        </is>
      </c>
      <c r="M180" s="844" t="n">
        <v>43184</v>
      </c>
      <c r="N180" s="844" t="n">
        <v>46836</v>
      </c>
      <c r="P180" s="844" t="n">
        <v>45010</v>
      </c>
      <c r="R180" s="842" t="n">
        <v>2400</v>
      </c>
      <c r="S180" s="842">
        <f>R180</f>
        <v/>
      </c>
      <c r="U180" s="842" t="n">
        <v>2000</v>
      </c>
      <c r="V180" s="842">
        <f>U180</f>
        <v/>
      </c>
      <c r="W180" s="842" t="n">
        <v>2000</v>
      </c>
      <c r="X180" s="842">
        <f>W180</f>
        <v/>
      </c>
      <c r="Y180" s="845">
        <f>W180/I180</f>
        <v/>
      </c>
      <c r="Z180" s="846">
        <f>SUM(W180-U180)/U180</f>
        <v/>
      </c>
      <c r="AA180" s="842" t="n"/>
      <c r="AB180" s="590" t="n"/>
      <c r="AC180" s="847" t="n"/>
      <c r="AD180" s="841" t="inlineStr">
        <is>
          <t>No</t>
        </is>
      </c>
      <c r="AE180" s="840" t="inlineStr">
        <is>
          <t>Mutual rolling break on 6 months notice. Internal Lease to another Lee Family Group Company.</t>
        </is>
      </c>
      <c r="AH180" s="312" t="n"/>
      <c r="AJ180" t="inlineStr">
        <is>
          <t>Let</t>
        </is>
      </c>
    </row>
    <row r="181">
      <c r="A181" t="inlineStr">
        <is>
          <t>London House, 9a Margaret Street</t>
        </is>
      </c>
      <c r="B181" s="838" t="n"/>
      <c r="C181" s="839" t="inlineStr">
        <is>
          <t>CM</t>
        </is>
      </c>
      <c r="D181" s="839" t="inlineStr">
        <is>
          <t>MEL</t>
        </is>
      </c>
      <c r="E181" s="838" t="n">
        <v>550340</v>
      </c>
      <c r="F181" s="840" t="inlineStr">
        <is>
          <t>London House, 9a Margaret Street</t>
        </is>
      </c>
      <c r="G181" s="840" t="inlineStr">
        <is>
          <t>Basement (South)</t>
        </is>
      </c>
      <c r="H181" s="841" t="inlineStr">
        <is>
          <t>Office/ Storage</t>
        </is>
      </c>
      <c r="I181" s="848" t="n">
        <v>873</v>
      </c>
      <c r="J181" s="848">
        <f>I181</f>
        <v/>
      </c>
      <c r="L181" s="840" t="inlineStr">
        <is>
          <t>Langham Estate Management Ltd</t>
        </is>
      </c>
      <c r="M181" s="844" t="n">
        <v>43184</v>
      </c>
      <c r="N181" s="844" t="n">
        <v>46836</v>
      </c>
      <c r="P181" s="844" t="n">
        <v>45010</v>
      </c>
      <c r="R181" s="842" t="n">
        <v>24500</v>
      </c>
      <c r="S181" s="842">
        <f>R181</f>
        <v/>
      </c>
      <c r="U181" s="842" t="n">
        <v>17500</v>
      </c>
      <c r="V181" s="842">
        <f>U181</f>
        <v/>
      </c>
      <c r="W181" s="842" t="n">
        <v>26200</v>
      </c>
      <c r="X181" s="842">
        <f>W181</f>
        <v/>
      </c>
      <c r="Y181" s="845">
        <f>W181/I181</f>
        <v/>
      </c>
      <c r="Z181" s="846">
        <f>SUM(W181-U181)/U181</f>
        <v/>
      </c>
      <c r="AA181" s="842" t="inlineStr">
        <is>
          <t>D</t>
        </is>
      </c>
      <c r="AB181" s="590" t="n"/>
      <c r="AC181" s="847" t="n"/>
      <c r="AD181" s="841" t="inlineStr">
        <is>
          <t>No</t>
        </is>
      </c>
      <c r="AE181" s="840" t="inlineStr">
        <is>
          <t>Mutual rolling break on 6 months notice. Internal Lease to another Lee Family Group Company.</t>
        </is>
      </c>
      <c r="AH181" s="312" t="n"/>
      <c r="AJ181" t="inlineStr">
        <is>
          <t>Let</t>
        </is>
      </c>
    </row>
    <row r="182">
      <c r="A182" t="inlineStr">
        <is>
          <t>London House, 9a Margaret Street</t>
        </is>
      </c>
      <c r="B182" s="838" t="n"/>
      <c r="C182" s="839" t="inlineStr">
        <is>
          <t>CM</t>
        </is>
      </c>
      <c r="D182" s="839" t="inlineStr">
        <is>
          <t>MEL</t>
        </is>
      </c>
      <c r="E182" s="838" t="n">
        <v>550340</v>
      </c>
      <c r="F182" s="840" t="inlineStr">
        <is>
          <t>London House, 9a Margaret Street</t>
        </is>
      </c>
      <c r="G182" s="840" t="inlineStr">
        <is>
          <t>Basement (North)</t>
        </is>
      </c>
      <c r="H182" s="841" t="inlineStr">
        <is>
          <t>Office</t>
        </is>
      </c>
      <c r="I182" s="848" t="n">
        <v>624</v>
      </c>
      <c r="J182" s="848">
        <f>I182</f>
        <v/>
      </c>
      <c r="L182" s="840" t="inlineStr">
        <is>
          <t>Langham Estate Management Ltd</t>
        </is>
      </c>
      <c r="M182" s="844" t="n">
        <v>43184</v>
      </c>
      <c r="N182" s="844" t="n">
        <v>46836</v>
      </c>
      <c r="P182" s="844" t="n">
        <v>45010</v>
      </c>
      <c r="R182" s="842" t="n">
        <v>15600</v>
      </c>
      <c r="S182" s="842">
        <f>R182</f>
        <v/>
      </c>
      <c r="U182" s="842" t="n">
        <v>12500</v>
      </c>
      <c r="V182" s="842">
        <f>U182</f>
        <v/>
      </c>
      <c r="W182" s="842" t="n">
        <v>18700</v>
      </c>
      <c r="X182" s="842">
        <f>W182</f>
        <v/>
      </c>
      <c r="Y182" s="845">
        <f>W182/I182</f>
        <v/>
      </c>
      <c r="Z182" s="846">
        <f>SUM(W182-U182)/U182</f>
        <v/>
      </c>
      <c r="AA182" s="842" t="inlineStr">
        <is>
          <t>D</t>
        </is>
      </c>
      <c r="AB182" s="590" t="n"/>
      <c r="AC182" s="847" t="n"/>
      <c r="AD182" s="841" t="inlineStr">
        <is>
          <t>No</t>
        </is>
      </c>
      <c r="AE182" s="840" t="inlineStr">
        <is>
          <t>Mutual rolling break on 6 months notice. Internal Lease to another Lee Family Group Company.</t>
        </is>
      </c>
      <c r="AH182" s="312" t="n"/>
      <c r="AJ182" t="inlineStr">
        <is>
          <t>Let</t>
        </is>
      </c>
    </row>
    <row r="183">
      <c r="A183" t="inlineStr">
        <is>
          <t>London House, 9a Margaret Street</t>
        </is>
      </c>
      <c r="B183" s="838" t="n"/>
      <c r="C183" s="839" t="inlineStr">
        <is>
          <t>CM</t>
        </is>
      </c>
      <c r="D183" s="839" t="inlineStr">
        <is>
          <t>MEL</t>
        </is>
      </c>
      <c r="E183" s="838" t="n">
        <v>550340</v>
      </c>
      <c r="F183" s="840" t="inlineStr">
        <is>
          <t>London House, 9a Margaret Street</t>
        </is>
      </c>
      <c r="G183" s="840" t="inlineStr">
        <is>
          <t>Ground Floor (East)</t>
        </is>
      </c>
      <c r="H183" s="841" t="inlineStr">
        <is>
          <t>Office</t>
        </is>
      </c>
      <c r="I183" s="848" t="n">
        <v>1497</v>
      </c>
      <c r="J183" s="848">
        <f>I183</f>
        <v/>
      </c>
      <c r="L183" s="840" t="inlineStr">
        <is>
          <t>Langham Estate Management Ltd</t>
        </is>
      </c>
      <c r="M183" s="844" t="n">
        <v>45010</v>
      </c>
      <c r="N183" s="844" t="n">
        <v>46836</v>
      </c>
      <c r="R183" s="842" t="n">
        <v>84600</v>
      </c>
      <c r="S183" s="842">
        <f>R183</f>
        <v/>
      </c>
      <c r="U183" s="842" t="n">
        <v>86100</v>
      </c>
      <c r="V183" s="842">
        <f>U183</f>
        <v/>
      </c>
      <c r="W183" s="842" t="n">
        <v>89800</v>
      </c>
      <c r="X183" s="842">
        <f>W183</f>
        <v/>
      </c>
      <c r="Y183" s="845">
        <f>W183/I183</f>
        <v/>
      </c>
      <c r="Z183" s="846">
        <f>SUM(W183-U183)/U183</f>
        <v/>
      </c>
      <c r="AA183" s="842" t="inlineStr">
        <is>
          <t>C</t>
        </is>
      </c>
      <c r="AB183" s="590" t="n"/>
      <c r="AC183" s="847" t="n"/>
      <c r="AD183" s="841" t="inlineStr">
        <is>
          <t>No</t>
        </is>
      </c>
      <c r="AE183" s="840" t="inlineStr">
        <is>
          <t>Mutual rolling break on 6 months notice. Internal Lease to another Lee Family Group Company.</t>
        </is>
      </c>
      <c r="AH183" s="312" t="n"/>
      <c r="AJ183" t="inlineStr">
        <is>
          <t>Let</t>
        </is>
      </c>
    </row>
    <row r="184">
      <c r="A184" t="inlineStr">
        <is>
          <t>London House, 9a Margaret Street</t>
        </is>
      </c>
      <c r="B184" s="838" t="n"/>
      <c r="C184" s="839" t="inlineStr">
        <is>
          <t>CM</t>
        </is>
      </c>
      <c r="D184" s="839" t="inlineStr">
        <is>
          <t>MEL</t>
        </is>
      </c>
      <c r="E184" s="838" t="n">
        <v>550340</v>
      </c>
      <c r="F184" s="840" t="inlineStr">
        <is>
          <t>London House, 9a Margaret Street</t>
        </is>
      </c>
      <c r="G184" s="840" t="inlineStr">
        <is>
          <t>Ground Floor (West)</t>
        </is>
      </c>
      <c r="H184" s="841" t="inlineStr">
        <is>
          <t>Office</t>
        </is>
      </c>
      <c r="I184" s="848" t="n">
        <v>1553</v>
      </c>
      <c r="J184" s="848">
        <f>I184</f>
        <v/>
      </c>
      <c r="L184" s="840" t="inlineStr">
        <is>
          <t>Langham Estate Management Ltd</t>
        </is>
      </c>
      <c r="M184" s="843" t="n">
        <v>45269</v>
      </c>
      <c r="N184" s="844" t="n">
        <v>46836</v>
      </c>
      <c r="R184" s="842" t="n">
        <v>87750</v>
      </c>
      <c r="S184" s="842">
        <f>R184</f>
        <v/>
      </c>
      <c r="U184" s="842" t="n">
        <v>89300</v>
      </c>
      <c r="V184" s="842">
        <f>U184</f>
        <v/>
      </c>
      <c r="W184" s="842" t="n">
        <v>93200</v>
      </c>
      <c r="X184" s="842">
        <f>W184</f>
        <v/>
      </c>
      <c r="Y184" s="845">
        <f>W184/I184</f>
        <v/>
      </c>
      <c r="Z184" s="846">
        <f>SUM(W184-U184)/U184</f>
        <v/>
      </c>
      <c r="AA184" s="842" t="inlineStr">
        <is>
          <t>D</t>
        </is>
      </c>
      <c r="AB184" s="590" t="n"/>
      <c r="AC184" s="847" t="n"/>
      <c r="AD184" s="841" t="inlineStr">
        <is>
          <t>No</t>
        </is>
      </c>
      <c r="AE184" s="840" t="inlineStr">
        <is>
          <t>Mutual rolling break on 6 months notice. Internal Lease to another Lee Family Group Company.</t>
        </is>
      </c>
      <c r="AH184" s="312" t="n"/>
      <c r="AJ184" t="inlineStr">
        <is>
          <t>Let</t>
        </is>
      </c>
    </row>
    <row r="185">
      <c r="A185" t="inlineStr">
        <is>
          <t>London House, 9a Margaret Street</t>
        </is>
      </c>
      <c r="B185" s="838" t="n"/>
      <c r="C185" s="839" t="inlineStr">
        <is>
          <t>CM</t>
        </is>
      </c>
      <c r="D185" s="839" t="inlineStr">
        <is>
          <t>MEL</t>
        </is>
      </c>
      <c r="E185" s="838" t="n">
        <v>550340</v>
      </c>
      <c r="F185" s="840" t="inlineStr">
        <is>
          <t>London House, 9a Margaret Street</t>
        </is>
      </c>
      <c r="G185" s="840" t="inlineStr">
        <is>
          <t>First Floor (East)</t>
        </is>
      </c>
      <c r="H185" s="841" t="inlineStr">
        <is>
          <t>Office</t>
        </is>
      </c>
      <c r="I185" s="848" t="n">
        <v>1445</v>
      </c>
      <c r="J185" s="848">
        <f>I185</f>
        <v/>
      </c>
      <c r="L185" s="840" t="inlineStr">
        <is>
          <t>Langham Estate Management Ltd</t>
        </is>
      </c>
      <c r="M185" s="844" t="n">
        <v>43184</v>
      </c>
      <c r="N185" s="844" t="n">
        <v>46836</v>
      </c>
      <c r="P185" s="844" t="n">
        <v>45010</v>
      </c>
      <c r="R185" s="842" t="n">
        <v>79500</v>
      </c>
      <c r="S185" s="842">
        <f>R185</f>
        <v/>
      </c>
      <c r="U185" s="842" t="n">
        <v>86700</v>
      </c>
      <c r="V185" s="842">
        <f>U185</f>
        <v/>
      </c>
      <c r="W185" s="842" t="n">
        <v>90300</v>
      </c>
      <c r="X185" s="842">
        <f>W185</f>
        <v/>
      </c>
      <c r="Y185" s="845">
        <f>W185/I185</f>
        <v/>
      </c>
      <c r="Z185" s="846">
        <f>SUM(W185-U185)/U185</f>
        <v/>
      </c>
      <c r="AA185" s="842" t="inlineStr">
        <is>
          <t>D</t>
        </is>
      </c>
      <c r="AB185" s="590" t="n"/>
      <c r="AC185" s="847" t="n"/>
      <c r="AD185" s="841" t="inlineStr">
        <is>
          <t>No</t>
        </is>
      </c>
      <c r="AE185" s="840" t="inlineStr">
        <is>
          <t>Mutual rolling break on 6 months notice. Internal Lease to another Lee Family Group Company.</t>
        </is>
      </c>
      <c r="AH185" s="312" t="n"/>
      <c r="AJ185" t="inlineStr">
        <is>
          <t>Let</t>
        </is>
      </c>
    </row>
    <row r="186">
      <c r="A186" t="inlineStr">
        <is>
          <t>London House, 9a Margaret Street</t>
        </is>
      </c>
      <c r="B186" s="838" t="n"/>
      <c r="C186" s="839" t="inlineStr">
        <is>
          <t>CM</t>
        </is>
      </c>
      <c r="D186" s="839" t="inlineStr">
        <is>
          <t>MEL</t>
        </is>
      </c>
      <c r="E186" s="838" t="n">
        <v>550340</v>
      </c>
      <c r="F186" s="840" t="inlineStr">
        <is>
          <t>London House, 9a Margaret Street</t>
        </is>
      </c>
      <c r="G186" s="840" t="inlineStr">
        <is>
          <t>First Floor (West)</t>
        </is>
      </c>
      <c r="H186" s="841" t="inlineStr">
        <is>
          <t>Office</t>
        </is>
      </c>
      <c r="I186" s="848" t="n">
        <v>1200</v>
      </c>
      <c r="J186" s="848">
        <f>I186</f>
        <v/>
      </c>
      <c r="L186" s="840" t="inlineStr">
        <is>
          <t>Langham Estate Management Ltd</t>
        </is>
      </c>
      <c r="M186" s="844" t="n">
        <v>43184</v>
      </c>
      <c r="N186" s="844" t="n">
        <v>46836</v>
      </c>
      <c r="P186" s="844" t="n">
        <v>45010</v>
      </c>
      <c r="R186" s="842" t="n">
        <v>66000</v>
      </c>
      <c r="S186" s="842">
        <f>R186</f>
        <v/>
      </c>
      <c r="U186" s="842" t="n">
        <v>72000</v>
      </c>
      <c r="V186" s="842">
        <f>U186</f>
        <v/>
      </c>
      <c r="W186" s="842" t="n">
        <v>75000</v>
      </c>
      <c r="X186" s="842">
        <f>W186</f>
        <v/>
      </c>
      <c r="Y186" s="845">
        <f>W186/I186</f>
        <v/>
      </c>
      <c r="Z186" s="846">
        <f>SUM(W186-U186)/U186</f>
        <v/>
      </c>
      <c r="AA186" s="842" t="inlineStr">
        <is>
          <t>C</t>
        </is>
      </c>
      <c r="AB186" s="590" t="n"/>
      <c r="AC186" s="847" t="n"/>
      <c r="AD186" s="841" t="inlineStr">
        <is>
          <t>No</t>
        </is>
      </c>
      <c r="AE186" s="840" t="inlineStr">
        <is>
          <t>Mutual rolling break on 6 months notice. Internal Lease to another Lee Family Group Company.</t>
        </is>
      </c>
      <c r="AH186" s="312" t="n"/>
      <c r="AJ186" t="inlineStr">
        <is>
          <t>Let</t>
        </is>
      </c>
    </row>
    <row r="187">
      <c r="A187" t="inlineStr">
        <is>
          <t>London House, 9a Margaret Street</t>
        </is>
      </c>
      <c r="B187" s="838" t="n"/>
      <c r="C187" s="839" t="inlineStr">
        <is>
          <t>CM</t>
        </is>
      </c>
      <c r="D187" s="839" t="inlineStr">
        <is>
          <t>MEL</t>
        </is>
      </c>
      <c r="E187" s="838" t="n">
        <v>550340</v>
      </c>
      <c r="F187" s="840" t="inlineStr">
        <is>
          <t>London House, 9a Margaret Street</t>
        </is>
      </c>
      <c r="G187" s="840" t="inlineStr">
        <is>
          <t>Second Floor (East)</t>
        </is>
      </c>
      <c r="H187" s="841" t="inlineStr">
        <is>
          <t>Office</t>
        </is>
      </c>
      <c r="I187" s="848" t="n">
        <v>373</v>
      </c>
      <c r="J187" s="848">
        <f>I187</f>
        <v/>
      </c>
      <c r="L187" s="840" t="inlineStr">
        <is>
          <t>Langham Estate Management Ltd</t>
        </is>
      </c>
      <c r="M187" s="844" t="n">
        <v>43184</v>
      </c>
      <c r="N187" s="844" t="n">
        <v>46836</v>
      </c>
      <c r="P187" s="844" t="n">
        <v>45010</v>
      </c>
      <c r="R187" s="842" t="n">
        <v>18650</v>
      </c>
      <c r="S187" s="842">
        <f>R187</f>
        <v/>
      </c>
      <c r="U187" s="842" t="n">
        <v>22400</v>
      </c>
      <c r="V187" s="842">
        <f>U187</f>
        <v/>
      </c>
      <c r="W187" s="842" t="n">
        <v>23300</v>
      </c>
      <c r="X187" s="842">
        <f>W187</f>
        <v/>
      </c>
      <c r="Y187" s="845">
        <f>W187/I187</f>
        <v/>
      </c>
      <c r="Z187" s="846">
        <f>SUM(W187-U187)/U187</f>
        <v/>
      </c>
      <c r="AA187" s="842" t="inlineStr">
        <is>
          <t>D</t>
        </is>
      </c>
      <c r="AB187" s="590" t="n"/>
      <c r="AC187" s="847" t="n"/>
      <c r="AD187" s="841" t="inlineStr">
        <is>
          <t>No</t>
        </is>
      </c>
      <c r="AE187" s="840" t="inlineStr">
        <is>
          <t>Mutual rolling break on 6 months notice. Internal Lease to another Lee Family Group Company.</t>
        </is>
      </c>
      <c r="AH187" s="312" t="n"/>
      <c r="AJ187" t="inlineStr">
        <is>
          <t>Let</t>
        </is>
      </c>
    </row>
    <row r="188">
      <c r="A188" t="inlineStr">
        <is>
          <t>London House, 9a Margaret Street</t>
        </is>
      </c>
      <c r="B188" s="838" t="n"/>
      <c r="C188" s="839" t="inlineStr">
        <is>
          <t>CM</t>
        </is>
      </c>
      <c r="D188" s="839" t="inlineStr">
        <is>
          <t>MEL</t>
        </is>
      </c>
      <c r="E188" s="838" t="n">
        <v>550340</v>
      </c>
      <c r="F188" s="840" t="inlineStr">
        <is>
          <t>London House, 9a Margaret Street</t>
        </is>
      </c>
      <c r="G188" s="840" t="inlineStr">
        <is>
          <t>Second Floor (West)</t>
        </is>
      </c>
      <c r="H188" s="841" t="inlineStr">
        <is>
          <t>Office</t>
        </is>
      </c>
      <c r="I188" s="848" t="n">
        <v>346</v>
      </c>
      <c r="J188" s="848">
        <f>I188</f>
        <v/>
      </c>
      <c r="L188" s="840" t="inlineStr">
        <is>
          <t>Langham Estate Management Ltd</t>
        </is>
      </c>
      <c r="M188" s="844" t="n">
        <v>43184</v>
      </c>
      <c r="N188" s="844" t="n">
        <v>46836</v>
      </c>
      <c r="P188" s="844" t="n">
        <v>45010</v>
      </c>
      <c r="R188" s="842" t="n">
        <v>18150</v>
      </c>
      <c r="S188" s="842">
        <f>R188</f>
        <v/>
      </c>
      <c r="U188" s="842" t="n">
        <v>20800</v>
      </c>
      <c r="V188" s="842">
        <f>U188</f>
        <v/>
      </c>
      <c r="W188" s="842" t="n">
        <v>21600</v>
      </c>
      <c r="X188" s="842">
        <f>W188</f>
        <v/>
      </c>
      <c r="Y188" s="845">
        <f>W188/I188</f>
        <v/>
      </c>
      <c r="Z188" s="846">
        <f>SUM(W188-U188)/U188</f>
        <v/>
      </c>
      <c r="AA188" s="842" t="inlineStr">
        <is>
          <t>D</t>
        </is>
      </c>
      <c r="AB188" s="590" t="n"/>
      <c r="AC188" s="847" t="n"/>
      <c r="AD188" s="841" t="inlineStr">
        <is>
          <t>No</t>
        </is>
      </c>
      <c r="AE188" s="840" t="inlineStr">
        <is>
          <t>Mutual rolling break on 6 months notice. Internal Lease to another Lee Family Group Company.</t>
        </is>
      </c>
      <c r="AH188" s="312" t="n"/>
      <c r="AJ188" t="inlineStr">
        <is>
          <t>Let</t>
        </is>
      </c>
    </row>
    <row r="189">
      <c r="A189" t="inlineStr">
        <is>
          <t>10 Margaret Street</t>
        </is>
      </c>
      <c r="B189" s="838" t="n"/>
      <c r="C189" s="839" t="inlineStr">
        <is>
          <t>SH</t>
        </is>
      </c>
      <c r="D189" s="839" t="inlineStr">
        <is>
          <t>MEL</t>
        </is>
      </c>
      <c r="E189" s="838" t="n">
        <v>550900</v>
      </c>
      <c r="F189" s="840" t="inlineStr">
        <is>
          <t>10 Margaret Street</t>
        </is>
      </c>
      <c r="G189" s="840" t="inlineStr">
        <is>
          <t>Whole</t>
        </is>
      </c>
      <c r="H189" s="841" t="inlineStr">
        <is>
          <t>Office</t>
        </is>
      </c>
      <c r="I189" s="848" t="n">
        <v>8445</v>
      </c>
      <c r="J189" s="842">
        <f>I189</f>
        <v/>
      </c>
      <c r="K189" s="842" t="n">
        <v>8500</v>
      </c>
      <c r="L189" s="840" t="inlineStr">
        <is>
          <t>DMR Film Ventures (Facilities) Ltd.</t>
        </is>
      </c>
      <c r="M189" s="843" t="n">
        <v>44390</v>
      </c>
      <c r="N189" s="844" t="n">
        <v>48041</v>
      </c>
      <c r="P189" s="844" t="n">
        <v>46216</v>
      </c>
      <c r="Q189" s="844" t="n">
        <v>46215</v>
      </c>
      <c r="R189" s="842" t="n">
        <v>450500</v>
      </c>
      <c r="S189" s="842">
        <f>R189</f>
        <v/>
      </c>
      <c r="U189" s="842" t="n">
        <v>450500</v>
      </c>
      <c r="V189" s="842">
        <f>U189</f>
        <v/>
      </c>
      <c r="W189" s="842" t="n">
        <v>495300</v>
      </c>
      <c r="X189" s="842">
        <f>W189</f>
        <v/>
      </c>
      <c r="Y189" s="845">
        <f>W189/I189</f>
        <v/>
      </c>
      <c r="Z189" s="846">
        <f>SUM(W189-U189)/U189</f>
        <v/>
      </c>
      <c r="AA189" s="842" t="inlineStr">
        <is>
          <t>C</t>
        </is>
      </c>
      <c r="AB189" s="590" t="n"/>
      <c r="AC189" s="591" t="n"/>
      <c r="AD189" s="841" t="inlineStr">
        <is>
          <t>No</t>
        </is>
      </c>
      <c r="AE189" s="840" t="inlineStr">
        <is>
          <t>Tenant break on 6 months notice. 6 months rent free if break not exercised.</t>
        </is>
      </c>
      <c r="AH189" s="312" t="n"/>
      <c r="AJ189" t="inlineStr">
        <is>
          <t>Let</t>
        </is>
      </c>
    </row>
    <row r="190">
      <c r="A190" t="inlineStr">
        <is>
          <t>10 Margaret Street</t>
        </is>
      </c>
      <c r="B190" s="838" t="n"/>
      <c r="C190" s="839" t="inlineStr">
        <is>
          <t>SH</t>
        </is>
      </c>
      <c r="D190" s="839" t="inlineStr">
        <is>
          <t>MEL</t>
        </is>
      </c>
      <c r="E190" s="838" t="n">
        <v>550900</v>
      </c>
      <c r="F190" s="840" t="inlineStr">
        <is>
          <t>10 Margaret Street</t>
        </is>
      </c>
      <c r="G190" s="840" t="inlineStr">
        <is>
          <t>Pavement Vaults</t>
        </is>
      </c>
      <c r="H190" s="841" t="inlineStr">
        <is>
          <t>Sub-Station</t>
        </is>
      </c>
      <c r="I190" s="848" t="n">
        <v>0</v>
      </c>
      <c r="J190" s="842">
        <f>I190</f>
        <v/>
      </c>
      <c r="K190" s="842" t="n"/>
      <c r="L190" s="840" t="inlineStr">
        <is>
          <t>London Power Networks Plc</t>
        </is>
      </c>
      <c r="M190" s="843" t="n">
        <v>38840</v>
      </c>
      <c r="N190" s="844" t="n">
        <v>46144</v>
      </c>
      <c r="R190" s="842" t="n">
        <v>1100</v>
      </c>
      <c r="S190" s="842">
        <f>R190</f>
        <v/>
      </c>
      <c r="U190" s="842" t="n">
        <v>1100</v>
      </c>
      <c r="V190" s="842">
        <f>U190</f>
        <v/>
      </c>
      <c r="W190" s="842" t="n">
        <v>1100</v>
      </c>
      <c r="X190" s="842">
        <f>W190</f>
        <v/>
      </c>
      <c r="Y190" s="842" t="n"/>
      <c r="Z190" s="846" t="n"/>
      <c r="AA190" s="842" t="n"/>
      <c r="AB190" s="590" t="n"/>
      <c r="AC190" s="591" t="n"/>
      <c r="AD190" s="841" t="inlineStr">
        <is>
          <t>No</t>
        </is>
      </c>
      <c r="AE190" s="840" t="inlineStr">
        <is>
          <t>Landlords rolling redevelopment option on 6 months notice.</t>
        </is>
      </c>
      <c r="AH190" s="312" t="n"/>
      <c r="AJ190" t="inlineStr">
        <is>
          <t>Let</t>
        </is>
      </c>
    </row>
    <row r="191">
      <c r="A191" t="inlineStr">
        <is>
          <t>Audley House,  12 Margaret Street</t>
        </is>
      </c>
      <c r="B191" s="838" t="n"/>
      <c r="C191" s="839" t="inlineStr">
        <is>
          <t>SH</t>
        </is>
      </c>
      <c r="D191" s="839" t="inlineStr">
        <is>
          <t>MEL</t>
        </is>
      </c>
      <c r="E191" s="838" t="n">
        <v>550350</v>
      </c>
      <c r="F191" s="840" t="inlineStr">
        <is>
          <t>Audley House,  12 Margaret Street</t>
        </is>
      </c>
      <c r="G191" s="840" t="inlineStr">
        <is>
          <t>Whole</t>
        </is>
      </c>
      <c r="H191" s="841" t="inlineStr">
        <is>
          <t>Office</t>
        </is>
      </c>
      <c r="I191" s="18" t="n">
        <v>6563</v>
      </c>
      <c r="J191" s="842">
        <f>I191</f>
        <v/>
      </c>
      <c r="K191" s="842" t="n">
        <v>6500</v>
      </c>
      <c r="L191" s="840" t="inlineStr">
        <is>
          <t>Wimbledon Business Centre Ltd.</t>
        </is>
      </c>
      <c r="M191" s="843" t="n">
        <v>45062</v>
      </c>
      <c r="N191" s="844" t="n">
        <v>48714</v>
      </c>
      <c r="P191" s="844" t="n">
        <v>46889</v>
      </c>
      <c r="R191" s="591" t="n">
        <v>350000</v>
      </c>
      <c r="S191" s="842">
        <f>R191</f>
        <v/>
      </c>
      <c r="T191" s="591">
        <f>S191</f>
        <v/>
      </c>
      <c r="U191" s="591" t="n">
        <v>350000</v>
      </c>
      <c r="V191" s="842">
        <f>U191</f>
        <v/>
      </c>
      <c r="W191" s="591" t="n">
        <v>350000</v>
      </c>
      <c r="X191" s="842">
        <f>W191</f>
        <v/>
      </c>
      <c r="Y191" s="845">
        <f>W191/I191</f>
        <v/>
      </c>
      <c r="Z191" s="846">
        <f>SUM(W191-U191)/U191</f>
        <v/>
      </c>
      <c r="AA191" s="842" t="inlineStr">
        <is>
          <t>D</t>
        </is>
      </c>
      <c r="AB191" s="590" t="n"/>
      <c r="AC191" s="47" t="n">
        <v>6575000</v>
      </c>
      <c r="AD191" s="841" t="inlineStr">
        <is>
          <t>No</t>
        </is>
      </c>
      <c r="AH191" s="312" t="n"/>
      <c r="AJ191" t="inlineStr">
        <is>
          <t>Let</t>
        </is>
      </c>
    </row>
    <row r="192">
      <c r="A192" t="inlineStr">
        <is>
          <t>13-14 Margaret Street</t>
        </is>
      </c>
      <c r="B192" s="838" t="n"/>
      <c r="C192" s="839" t="inlineStr">
        <is>
          <t>WS</t>
        </is>
      </c>
      <c r="D192" s="839" t="inlineStr">
        <is>
          <t>MEL</t>
        </is>
      </c>
      <c r="E192" s="838" t="n">
        <v>550360</v>
      </c>
      <c r="F192" s="840" t="inlineStr">
        <is>
          <t>13-14 Margaret Street</t>
        </is>
      </c>
      <c r="G192" s="840" t="inlineStr">
        <is>
          <t>Basement &amp; Ground</t>
        </is>
      </c>
      <c r="H192" s="841" t="inlineStr">
        <is>
          <t>Retail</t>
        </is>
      </c>
      <c r="I192" s="848" t="n">
        <v>5735</v>
      </c>
      <c r="J192" s="842">
        <f>I192</f>
        <v/>
      </c>
      <c r="K192" s="842" t="n">
        <v>5750</v>
      </c>
      <c r="L192" s="840" t="inlineStr">
        <is>
          <t>Arlettie London Ltd.</t>
        </is>
      </c>
      <c r="M192" s="843" t="n">
        <v>45240</v>
      </c>
      <c r="N192" s="844" t="n">
        <v>48892</v>
      </c>
      <c r="P192" s="844" t="n">
        <v>47067</v>
      </c>
      <c r="Q192" s="844" t="n">
        <v>47066</v>
      </c>
      <c r="R192" s="842" t="n">
        <v>282288</v>
      </c>
      <c r="S192" s="842">
        <f>R192</f>
        <v/>
      </c>
      <c r="T192" s="591" t="n"/>
      <c r="U192" s="842" t="n">
        <v>258600</v>
      </c>
      <c r="V192" s="842">
        <f>U192</f>
        <v/>
      </c>
      <c r="W192" s="842" t="n">
        <v>282288</v>
      </c>
      <c r="X192" s="842">
        <f>W192</f>
        <v/>
      </c>
      <c r="Y192" s="845">
        <f>W192/I192</f>
        <v/>
      </c>
      <c r="Z192" s="846">
        <f>SUM(W192-U192)/U192</f>
        <v/>
      </c>
      <c r="AA192" s="842" t="inlineStr">
        <is>
          <t>C</t>
        </is>
      </c>
      <c r="AB192" s="590" t="n"/>
      <c r="AC192" s="47" t="n"/>
      <c r="AD192" s="841" t="inlineStr">
        <is>
          <t>No</t>
        </is>
      </c>
      <c r="AE192" s="840" t="inlineStr">
        <is>
          <t>Tenant break on 6 months notice and penalty clause of £48,345.</t>
        </is>
      </c>
      <c r="AH192" s="312" t="n"/>
      <c r="AJ192" t="inlineStr">
        <is>
          <t>Let</t>
        </is>
      </c>
    </row>
    <row r="193">
      <c r="A193" t="inlineStr">
        <is>
          <t>13-14 Margaret Street</t>
        </is>
      </c>
      <c r="B193" s="838" t="n"/>
      <c r="C193" s="839" t="inlineStr">
        <is>
          <t>WS</t>
        </is>
      </c>
      <c r="D193" s="839" t="inlineStr">
        <is>
          <t>MEL</t>
        </is>
      </c>
      <c r="E193" s="838" t="n">
        <v>550360</v>
      </c>
      <c r="F193" s="840" t="inlineStr">
        <is>
          <t>13-14 Margaret Street</t>
        </is>
      </c>
      <c r="G193" s="840" t="inlineStr">
        <is>
          <t>First Floor</t>
        </is>
      </c>
      <c r="H193" s="841" t="inlineStr">
        <is>
          <t>Office</t>
        </is>
      </c>
      <c r="I193" s="848" t="n">
        <v>2400</v>
      </c>
      <c r="J193" s="842">
        <f>I193</f>
        <v/>
      </c>
      <c r="K193" s="842" t="n">
        <v>2500</v>
      </c>
      <c r="L193" s="840" t="inlineStr">
        <is>
          <t>Final Cut Ltd.</t>
        </is>
      </c>
      <c r="M193" s="843" t="n">
        <v>44665</v>
      </c>
      <c r="N193" s="844" t="n">
        <v>48852</v>
      </c>
      <c r="P193" s="844" t="n">
        <v>46491</v>
      </c>
      <c r="Q193" s="844" t="n">
        <v>47026</v>
      </c>
      <c r="R193" s="842" t="n">
        <v>152500</v>
      </c>
      <c r="S193" s="842">
        <f>R193</f>
        <v/>
      </c>
      <c r="T193" s="591" t="n"/>
      <c r="U193" s="842" t="n">
        <v>152400</v>
      </c>
      <c r="V193" s="842">
        <f>U193</f>
        <v/>
      </c>
      <c r="W193" s="842" t="n">
        <v>152400</v>
      </c>
      <c r="X193" s="842">
        <f>W193</f>
        <v/>
      </c>
      <c r="Y193" s="845">
        <f>W193/I193</f>
        <v/>
      </c>
      <c r="Z193" s="846">
        <f>SUM(W193-U193)/U193</f>
        <v/>
      </c>
      <c r="AA193" s="842" t="inlineStr">
        <is>
          <t>E</t>
        </is>
      </c>
      <c r="AB193" s="590" t="n"/>
      <c r="AC193" s="47" t="n"/>
      <c r="AD193" s="841" t="inlineStr">
        <is>
          <t>No</t>
        </is>
      </c>
      <c r="AE193" s="840" t="inlineStr">
        <is>
          <t xml:space="preserve">Tenant break on 6 months notice. </t>
        </is>
      </c>
      <c r="AH193" s="312" t="n"/>
      <c r="AJ193" t="inlineStr">
        <is>
          <t>Let</t>
        </is>
      </c>
    </row>
    <row r="194">
      <c r="A194" t="inlineStr">
        <is>
          <t>13-14 Margaret Street</t>
        </is>
      </c>
      <c r="B194" s="838" t="n"/>
      <c r="C194" s="839" t="inlineStr">
        <is>
          <t>WS</t>
        </is>
      </c>
      <c r="D194" s="839" t="inlineStr">
        <is>
          <t>MEL</t>
        </is>
      </c>
      <c r="E194" s="838" t="n">
        <v>550360</v>
      </c>
      <c r="F194" s="840" t="inlineStr">
        <is>
          <t>13-14 Margaret Street</t>
        </is>
      </c>
      <c r="G194" s="840" t="inlineStr">
        <is>
          <t>Second Floor</t>
        </is>
      </c>
      <c r="H194" s="841" t="inlineStr">
        <is>
          <t>Office</t>
        </is>
      </c>
      <c r="I194" s="848" t="n">
        <v>2516</v>
      </c>
      <c r="J194" s="842">
        <f>I194</f>
        <v/>
      </c>
      <c r="K194" s="842" t="n">
        <v>2500</v>
      </c>
      <c r="L194" s="840" t="inlineStr">
        <is>
          <t>Final Cut Ltd.</t>
        </is>
      </c>
      <c r="M194" s="843" t="n">
        <v>44445</v>
      </c>
      <c r="N194" s="844" t="n">
        <v>47026</v>
      </c>
      <c r="P194" s="844" t="n">
        <v>46271</v>
      </c>
      <c r="R194" s="842" t="n">
        <v>150000</v>
      </c>
      <c r="S194" s="842">
        <f>R194</f>
        <v/>
      </c>
      <c r="T194" s="591" t="n"/>
      <c r="U194" s="842" t="n">
        <v>158800</v>
      </c>
      <c r="V194" s="842">
        <f>U194</f>
        <v/>
      </c>
      <c r="W194" s="842" t="n">
        <v>159800</v>
      </c>
      <c r="X194" s="842">
        <f>W194</f>
        <v/>
      </c>
      <c r="Y194" s="845">
        <f>W194/I194</f>
        <v/>
      </c>
      <c r="Z194" s="846">
        <f>SUM(W194-U194)/U194</f>
        <v/>
      </c>
      <c r="AA194" s="842" t="inlineStr">
        <is>
          <t>E</t>
        </is>
      </c>
      <c r="AB194" s="590" t="n"/>
      <c r="AC194" s="47" t="n"/>
      <c r="AD194" s="841" t="inlineStr">
        <is>
          <t>No</t>
        </is>
      </c>
      <c r="AH194" s="312" t="n"/>
      <c r="AJ194" t="inlineStr">
        <is>
          <t>Let</t>
        </is>
      </c>
    </row>
    <row r="195">
      <c r="A195" t="inlineStr">
        <is>
          <t>13-14 Margaret Street</t>
        </is>
      </c>
      <c r="B195" s="838" t="n"/>
      <c r="C195" s="839" t="inlineStr">
        <is>
          <t>WS</t>
        </is>
      </c>
      <c r="D195" s="839" t="inlineStr">
        <is>
          <t>MEL</t>
        </is>
      </c>
      <c r="E195" s="838" t="n">
        <v>550360</v>
      </c>
      <c r="F195" s="840" t="inlineStr">
        <is>
          <t>13-14 Margaret Street</t>
        </is>
      </c>
      <c r="G195" s="840" t="inlineStr">
        <is>
          <t>Third &amp; Fourth Floor</t>
        </is>
      </c>
      <c r="H195" s="841" t="inlineStr">
        <is>
          <t>Office</t>
        </is>
      </c>
      <c r="I195" s="848" t="n">
        <v>4902</v>
      </c>
      <c r="J195" s="842">
        <f>I195</f>
        <v/>
      </c>
      <c r="K195" s="842" t="n">
        <v>5000</v>
      </c>
      <c r="L195" s="840" t="inlineStr">
        <is>
          <t>Final Cut Ltd.</t>
        </is>
      </c>
      <c r="M195" s="843" t="n">
        <v>45259</v>
      </c>
      <c r="N195" s="844" t="n">
        <v>47026</v>
      </c>
      <c r="R195" s="842" t="n">
        <v>307687</v>
      </c>
      <c r="S195" s="842">
        <f>R195</f>
        <v/>
      </c>
      <c r="T195" s="591" t="n"/>
      <c r="U195" s="842" t="n">
        <v>314300</v>
      </c>
      <c r="V195" s="842">
        <f>U195</f>
        <v/>
      </c>
      <c r="W195" s="842" t="n">
        <v>311300</v>
      </c>
      <c r="X195" s="842">
        <f>W195</f>
        <v/>
      </c>
      <c r="Y195" s="845">
        <f>W195/I195</f>
        <v/>
      </c>
      <c r="Z195" s="846">
        <f>SUM(W195-U195)/U195</f>
        <v/>
      </c>
      <c r="AA195" s="842" t="inlineStr">
        <is>
          <t>E</t>
        </is>
      </c>
      <c r="AB195" s="590" t="n"/>
      <c r="AC195" s="47" t="n"/>
      <c r="AD195" s="841" t="inlineStr">
        <is>
          <t>No</t>
        </is>
      </c>
      <c r="AH195" s="312" t="n"/>
      <c r="AJ195" t="inlineStr">
        <is>
          <t>Let</t>
        </is>
      </c>
    </row>
    <row r="196">
      <c r="A196" t="inlineStr">
        <is>
          <t>13-14 Margaret Street</t>
        </is>
      </c>
      <c r="B196" s="838" t="n"/>
      <c r="C196" s="839" t="inlineStr">
        <is>
          <t>WS</t>
        </is>
      </c>
      <c r="D196" s="839" t="inlineStr">
        <is>
          <t>MEL</t>
        </is>
      </c>
      <c r="E196" s="838" t="n">
        <v>550360</v>
      </c>
      <c r="F196" s="840" t="inlineStr">
        <is>
          <t>13-14 Margaret Street</t>
        </is>
      </c>
      <c r="G196" s="840" t="inlineStr">
        <is>
          <t>Fifth Floor</t>
        </is>
      </c>
      <c r="H196" s="841" t="inlineStr">
        <is>
          <t>Office</t>
        </is>
      </c>
      <c r="I196" s="848" t="n">
        <v>2251</v>
      </c>
      <c r="J196" s="842">
        <f>I196</f>
        <v/>
      </c>
      <c r="K196" s="842" t="n">
        <v>2250</v>
      </c>
      <c r="L196" s="840" t="inlineStr">
        <is>
          <t>Final Cut Ltd.</t>
        </is>
      </c>
      <c r="M196" s="843" t="n">
        <v>45259</v>
      </c>
      <c r="N196" s="844" t="n">
        <v>47026</v>
      </c>
      <c r="R196" s="842" t="n">
        <v>138500</v>
      </c>
      <c r="S196" s="842">
        <f>R196</f>
        <v/>
      </c>
      <c r="T196" s="591" t="n"/>
      <c r="U196" s="842" t="n">
        <v>138500</v>
      </c>
      <c r="V196" s="842">
        <f>U196</f>
        <v/>
      </c>
      <c r="W196" s="842" t="n">
        <v>140700</v>
      </c>
      <c r="X196" s="842">
        <f>W196</f>
        <v/>
      </c>
      <c r="Y196" s="845">
        <f>W196/I196</f>
        <v/>
      </c>
      <c r="Z196" s="846">
        <f>SUM(W196-U196)/U196</f>
        <v/>
      </c>
      <c r="AA196" s="842" t="inlineStr">
        <is>
          <t>E</t>
        </is>
      </c>
      <c r="AB196" s="590" t="n"/>
      <c r="AC196" s="47" t="n"/>
      <c r="AD196" s="841" t="inlineStr">
        <is>
          <t>No</t>
        </is>
      </c>
      <c r="AH196" s="312" t="n"/>
      <c r="AJ196" t="inlineStr">
        <is>
          <t>Let</t>
        </is>
      </c>
    </row>
    <row r="197">
      <c r="A197" t="inlineStr">
        <is>
          <t>15-16 Margaret Street</t>
        </is>
      </c>
      <c r="B197" s="838" t="n"/>
      <c r="C197" s="839" t="inlineStr">
        <is>
          <t>WS</t>
        </is>
      </c>
      <c r="D197" s="839" t="inlineStr">
        <is>
          <t>MEL</t>
        </is>
      </c>
      <c r="E197" s="838" t="n">
        <v>550370</v>
      </c>
      <c r="F197" s="840" t="inlineStr">
        <is>
          <t>15-16 Margaret Street</t>
        </is>
      </c>
      <c r="G197" s="840" t="inlineStr">
        <is>
          <t>Lower Ground</t>
        </is>
      </c>
      <c r="H197" s="841" t="inlineStr">
        <is>
          <t>Office</t>
        </is>
      </c>
      <c r="I197" s="848" t="n">
        <v>2161</v>
      </c>
      <c r="J197" s="848">
        <f>I197</f>
        <v/>
      </c>
      <c r="K197" s="848" t="n">
        <v>2000</v>
      </c>
      <c r="L197" s="840" t="inlineStr">
        <is>
          <t>Vacant</t>
        </is>
      </c>
      <c r="O197" s="844" t="n">
        <v>44063</v>
      </c>
      <c r="R197" s="842" t="n">
        <v>0</v>
      </c>
      <c r="S197" s="842">
        <f>R197</f>
        <v/>
      </c>
      <c r="U197" s="842" t="n">
        <v>53800</v>
      </c>
      <c r="V197" s="842">
        <f>U197</f>
        <v/>
      </c>
      <c r="W197" s="842" t="n">
        <v>54000</v>
      </c>
      <c r="X197" s="842">
        <f>W197</f>
        <v/>
      </c>
      <c r="Y197" s="845">
        <f>W197/I197</f>
        <v/>
      </c>
      <c r="Z197" s="846">
        <f>SUM(W197-U197)/U197</f>
        <v/>
      </c>
      <c r="AA197" s="842" t="inlineStr">
        <is>
          <t>E</t>
        </is>
      </c>
      <c r="AB197" s="590" t="n"/>
      <c r="AC197" s="47" t="n"/>
      <c r="AD197" s="841" t="inlineStr">
        <is>
          <t>No</t>
        </is>
      </c>
      <c r="AE197" s="840" t="inlineStr">
        <is>
          <t>Under offer</t>
        </is>
      </c>
      <c r="AG197" s="840" t="n">
        <v>3</v>
      </c>
      <c r="AH197" s="312" t="n">
        <v>9</v>
      </c>
      <c r="AI197" s="840" t="inlineStr">
        <is>
          <t>LEM</t>
        </is>
      </c>
      <c r="AJ197" t="inlineStr">
        <is>
          <t>Void</t>
        </is>
      </c>
    </row>
    <row r="198">
      <c r="A198" t="inlineStr">
        <is>
          <t>15-16 Margaret Street</t>
        </is>
      </c>
      <c r="B198" s="838" t="n"/>
      <c r="C198" s="839" t="inlineStr">
        <is>
          <t>WS</t>
        </is>
      </c>
      <c r="D198" s="839" t="inlineStr">
        <is>
          <t>MEL</t>
        </is>
      </c>
      <c r="E198" s="838" t="n">
        <v>550370</v>
      </c>
      <c r="F198" s="840" t="inlineStr">
        <is>
          <t>15-16 Margaret Street</t>
        </is>
      </c>
      <c r="G198" s="840" t="inlineStr">
        <is>
          <t>Ground Floor</t>
        </is>
      </c>
      <c r="H198" s="841" t="inlineStr">
        <is>
          <t>Office</t>
        </is>
      </c>
      <c r="I198" s="848" t="n">
        <v>2185</v>
      </c>
      <c r="J198" s="848">
        <f>I198</f>
        <v/>
      </c>
      <c r="K198" s="848" t="n">
        <v>2000</v>
      </c>
      <c r="L198" s="840" t="inlineStr">
        <is>
          <t>Arlettie London Ltd.</t>
        </is>
      </c>
      <c r="M198" s="843" t="n">
        <v>45240</v>
      </c>
      <c r="N198" s="844" t="n">
        <v>48892</v>
      </c>
      <c r="P198" s="844" t="n">
        <v>47067</v>
      </c>
      <c r="Q198" s="844" t="n">
        <v>47066</v>
      </c>
      <c r="R198" s="842" t="n">
        <v>132000</v>
      </c>
      <c r="S198" s="842">
        <f>R198</f>
        <v/>
      </c>
      <c r="U198" s="842" t="n">
        <v>130000</v>
      </c>
      <c r="V198" s="842">
        <f>U198</f>
        <v/>
      </c>
      <c r="W198" s="842" t="n">
        <v>132000</v>
      </c>
      <c r="X198" s="842">
        <f>W198</f>
        <v/>
      </c>
      <c r="Y198" s="845">
        <f>W198/I198</f>
        <v/>
      </c>
      <c r="Z198" s="846">
        <f>SUM(W198-U198)/U198</f>
        <v/>
      </c>
      <c r="AA198" s="842" t="inlineStr">
        <is>
          <t>C</t>
        </is>
      </c>
      <c r="AB198" s="590" t="n"/>
      <c r="AC198" s="47" t="n"/>
      <c r="AD198" s="841" t="inlineStr">
        <is>
          <t>No</t>
        </is>
      </c>
      <c r="AE198" s="840" t="inlineStr">
        <is>
          <t>Tenant break on 6 months notice</t>
        </is>
      </c>
      <c r="AH198" s="312" t="n"/>
      <c r="AJ198" t="inlineStr">
        <is>
          <t>Let</t>
        </is>
      </c>
    </row>
    <row r="199">
      <c r="A199" t="inlineStr">
        <is>
          <t>15-16 Margaret Street</t>
        </is>
      </c>
      <c r="B199" s="838" t="n"/>
      <c r="C199" s="839" t="inlineStr">
        <is>
          <t>WS</t>
        </is>
      </c>
      <c r="D199" s="839" t="inlineStr">
        <is>
          <t>MEL</t>
        </is>
      </c>
      <c r="E199" s="838" t="n">
        <v>550370</v>
      </c>
      <c r="F199" s="840" t="inlineStr">
        <is>
          <t>15-16 Margaret Street</t>
        </is>
      </c>
      <c r="G199" s="840" t="inlineStr">
        <is>
          <t>First Floor</t>
        </is>
      </c>
      <c r="H199" s="841" t="inlineStr">
        <is>
          <t>Office</t>
        </is>
      </c>
      <c r="I199" s="848" t="n">
        <v>1606</v>
      </c>
      <c r="J199" s="848">
        <f>I199</f>
        <v/>
      </c>
      <c r="K199" s="848" t="n">
        <v>1500</v>
      </c>
      <c r="L199" s="840" t="inlineStr">
        <is>
          <t>Vacant</t>
        </is>
      </c>
      <c r="O199" s="844" t="n">
        <v>44403</v>
      </c>
      <c r="R199" s="842" t="n">
        <v>0</v>
      </c>
      <c r="S199" s="842">
        <f>R199</f>
        <v/>
      </c>
      <c r="U199" s="842" t="n">
        <v>85800</v>
      </c>
      <c r="V199" s="842">
        <f>U199</f>
        <v/>
      </c>
      <c r="W199" s="842" t="n">
        <v>100400</v>
      </c>
      <c r="X199" s="842">
        <f>W199</f>
        <v/>
      </c>
      <c r="Y199" s="845">
        <f>W199/I199</f>
        <v/>
      </c>
      <c r="Z199" s="846">
        <f>SUM(W199-U199)/U199</f>
        <v/>
      </c>
      <c r="AA199" s="842" t="inlineStr">
        <is>
          <t>D</t>
        </is>
      </c>
      <c r="AB199" s="590" t="n"/>
      <c r="AC199" s="47" t="n"/>
      <c r="AD199" s="841" t="inlineStr">
        <is>
          <t>No</t>
        </is>
      </c>
      <c r="AE199" s="840" t="inlineStr">
        <is>
          <t>To be refurbished.</t>
        </is>
      </c>
      <c r="AF199" s="849" t="n">
        <v>65</v>
      </c>
      <c r="AG199" s="840" t="n">
        <v>5</v>
      </c>
      <c r="AH199" s="312" t="n">
        <v>6</v>
      </c>
      <c r="AI199" s="840" t="inlineStr">
        <is>
          <t>LEM</t>
        </is>
      </c>
      <c r="AJ199" t="inlineStr">
        <is>
          <t>Void</t>
        </is>
      </c>
    </row>
    <row r="200">
      <c r="A200" t="inlineStr">
        <is>
          <t>15-16 Margaret Street</t>
        </is>
      </c>
      <c r="B200" s="838" t="n"/>
      <c r="C200" s="839" t="inlineStr">
        <is>
          <t>WS</t>
        </is>
      </c>
      <c r="D200" s="839" t="inlineStr">
        <is>
          <t>MEL</t>
        </is>
      </c>
      <c r="E200" s="838" t="n">
        <v>550370</v>
      </c>
      <c r="F200" s="840" t="inlineStr">
        <is>
          <t>15-16 Margaret Street</t>
        </is>
      </c>
      <c r="G200" s="840" t="inlineStr">
        <is>
          <t>Second Floor</t>
        </is>
      </c>
      <c r="H200" s="841" t="inlineStr">
        <is>
          <t>Office</t>
        </is>
      </c>
      <c r="I200" s="848" t="n">
        <v>1296</v>
      </c>
      <c r="J200" s="848">
        <f>I200</f>
        <v/>
      </c>
      <c r="K200" s="848" t="n">
        <v>1250</v>
      </c>
      <c r="L200" s="840" t="inlineStr">
        <is>
          <t>Marson Property Ltd</t>
        </is>
      </c>
      <c r="M200" s="843" t="n">
        <v>44798</v>
      </c>
      <c r="N200" s="844" t="n">
        <v>46623</v>
      </c>
      <c r="R200" s="842" t="n">
        <v>73700</v>
      </c>
      <c r="S200" s="842">
        <f>R200</f>
        <v/>
      </c>
      <c r="U200" s="842" t="n">
        <v>73500</v>
      </c>
      <c r="V200" s="842">
        <f>U200</f>
        <v/>
      </c>
      <c r="W200" s="842" t="n">
        <v>81000</v>
      </c>
      <c r="X200" s="842">
        <f>W200</f>
        <v/>
      </c>
      <c r="Y200" s="845">
        <f>W200/I200</f>
        <v/>
      </c>
      <c r="Z200" s="846">
        <f>SUM(W200-U200)/U200</f>
        <v/>
      </c>
      <c r="AA200" s="842" t="inlineStr">
        <is>
          <t>D</t>
        </is>
      </c>
      <c r="AB200" s="590" t="n"/>
      <c r="AC200" s="47" t="n"/>
      <c r="AD200" s="841" t="inlineStr">
        <is>
          <t>No</t>
        </is>
      </c>
      <c r="AH200" s="312" t="n"/>
      <c r="AJ200" t="inlineStr">
        <is>
          <t>Let</t>
        </is>
      </c>
    </row>
    <row r="201">
      <c r="A201" t="inlineStr">
        <is>
          <t>15-16 Margaret Street</t>
        </is>
      </c>
      <c r="B201" s="838" t="n"/>
      <c r="C201" s="839" t="inlineStr">
        <is>
          <t>WS</t>
        </is>
      </c>
      <c r="D201" s="839" t="inlineStr">
        <is>
          <t>MEL</t>
        </is>
      </c>
      <c r="E201" s="838" t="n">
        <v>550370</v>
      </c>
      <c r="F201" s="840" t="inlineStr">
        <is>
          <t>15-16 Margaret Street</t>
        </is>
      </c>
      <c r="G201" s="840" t="inlineStr">
        <is>
          <t>Third Floor</t>
        </is>
      </c>
      <c r="H201" s="841" t="inlineStr">
        <is>
          <t>Office</t>
        </is>
      </c>
      <c r="I201" s="848" t="n">
        <v>1129</v>
      </c>
      <c r="J201" s="848">
        <f>I201</f>
        <v/>
      </c>
      <c r="K201" s="848" t="n">
        <v>1000</v>
      </c>
      <c r="L201" s="840" t="inlineStr">
        <is>
          <t>Vacant</t>
        </is>
      </c>
      <c r="O201" s="844" t="n">
        <v>44097</v>
      </c>
      <c r="R201" s="842" t="n">
        <v>0</v>
      </c>
      <c r="S201" s="842">
        <f>R201</f>
        <v/>
      </c>
      <c r="U201" s="842" t="n">
        <v>65600</v>
      </c>
      <c r="V201" s="842">
        <f>U201</f>
        <v/>
      </c>
      <c r="W201" s="842" t="n">
        <v>70600</v>
      </c>
      <c r="X201" s="842">
        <f>W201</f>
        <v/>
      </c>
      <c r="Y201" s="845">
        <f>W201/I201</f>
        <v/>
      </c>
      <c r="Z201" s="846">
        <f>SUM(W201-U201)/U201</f>
        <v/>
      </c>
      <c r="AA201" s="842" t="inlineStr">
        <is>
          <t>D</t>
        </is>
      </c>
      <c r="AB201" s="590" t="n"/>
      <c r="AC201" s="47" t="n"/>
      <c r="AD201" s="841" t="inlineStr">
        <is>
          <t>No</t>
        </is>
      </c>
      <c r="AE201" s="840" t="inlineStr">
        <is>
          <t>To be refurbished.</t>
        </is>
      </c>
      <c r="AF201" s="849" t="n">
        <v>65</v>
      </c>
      <c r="AG201" s="840" t="n">
        <v>8</v>
      </c>
      <c r="AH201" s="312" t="n">
        <v>10</v>
      </c>
      <c r="AJ201" t="inlineStr">
        <is>
          <t>Void</t>
        </is>
      </c>
    </row>
    <row r="202">
      <c r="A202" t="inlineStr">
        <is>
          <t>15-16 Margaret Street</t>
        </is>
      </c>
      <c r="B202" s="838" t="n"/>
      <c r="C202" s="839" t="inlineStr">
        <is>
          <t>WS</t>
        </is>
      </c>
      <c r="D202" s="839" t="inlineStr">
        <is>
          <t>MEL</t>
        </is>
      </c>
      <c r="E202" s="838" t="n">
        <v>550370</v>
      </c>
      <c r="F202" s="840" t="inlineStr">
        <is>
          <t>15-16 Margaret Street</t>
        </is>
      </c>
      <c r="G202" s="840" t="inlineStr">
        <is>
          <t>Fourth Floor</t>
        </is>
      </c>
      <c r="H202" s="841" t="inlineStr">
        <is>
          <t>Office</t>
        </is>
      </c>
      <c r="I202" s="848" t="n">
        <v>856</v>
      </c>
      <c r="J202" s="848">
        <f>I202</f>
        <v/>
      </c>
      <c r="K202" s="848" t="n">
        <v>1000</v>
      </c>
      <c r="L202" s="840" t="inlineStr">
        <is>
          <t>Vacant</t>
        </is>
      </c>
      <c r="O202" s="844" t="n">
        <v>44814</v>
      </c>
      <c r="R202" s="842" t="n">
        <v>0</v>
      </c>
      <c r="S202" s="842">
        <f>R202</f>
        <v/>
      </c>
      <c r="U202" s="842" t="n">
        <v>45000</v>
      </c>
      <c r="V202" s="842">
        <f>U202</f>
        <v/>
      </c>
      <c r="W202" s="842" t="n">
        <v>53500</v>
      </c>
      <c r="X202" s="842">
        <f>W202</f>
        <v/>
      </c>
      <c r="Y202" s="845">
        <f>W202/I202</f>
        <v/>
      </c>
      <c r="Z202" s="846">
        <f>SUM(W202-U202)/U202</f>
        <v/>
      </c>
      <c r="AA202" s="842" t="inlineStr">
        <is>
          <t>E</t>
        </is>
      </c>
      <c r="AB202" s="590" t="n"/>
      <c r="AC202" s="47" t="n"/>
      <c r="AD202" s="841" t="inlineStr">
        <is>
          <t>No</t>
        </is>
      </c>
      <c r="AE202" s="840" t="inlineStr">
        <is>
          <t>To be refurbished.</t>
        </is>
      </c>
      <c r="AF202" s="849" t="n">
        <v>65</v>
      </c>
      <c r="AG202" s="840" t="n">
        <v>4</v>
      </c>
      <c r="AH202" s="312" t="n">
        <v>4</v>
      </c>
      <c r="AJ202" t="inlineStr">
        <is>
          <t>Void</t>
        </is>
      </c>
    </row>
    <row r="203">
      <c r="A203" t="inlineStr">
        <is>
          <t>15-16 Margaret Street</t>
        </is>
      </c>
      <c r="B203" s="838" t="n"/>
      <c r="C203" s="839" t="inlineStr">
        <is>
          <t>WS</t>
        </is>
      </c>
      <c r="D203" s="839" t="inlineStr">
        <is>
          <t>MEL</t>
        </is>
      </c>
      <c r="E203" s="838" t="n">
        <v>550370</v>
      </c>
      <c r="F203" s="840" t="inlineStr">
        <is>
          <t>15-16 Margaret Street</t>
        </is>
      </c>
      <c r="G203" s="840" t="inlineStr">
        <is>
          <t>Fifth Floor</t>
        </is>
      </c>
      <c r="H203" s="841" t="inlineStr">
        <is>
          <t>Office</t>
        </is>
      </c>
      <c r="I203" s="848" t="n">
        <v>766</v>
      </c>
      <c r="J203" s="848">
        <f>I203</f>
        <v/>
      </c>
      <c r="K203" s="848" t="n">
        <v>750</v>
      </c>
      <c r="L203" s="840" t="inlineStr">
        <is>
          <t>Vacant</t>
        </is>
      </c>
      <c r="O203" s="844" t="n">
        <v>44063</v>
      </c>
      <c r="R203" s="842" t="n">
        <v>0</v>
      </c>
      <c r="S203" s="842">
        <f>R203</f>
        <v/>
      </c>
      <c r="U203" s="842" t="n">
        <v>39300</v>
      </c>
      <c r="V203" s="842">
        <f>U203</f>
        <v/>
      </c>
      <c r="W203" s="842" t="n">
        <v>43100</v>
      </c>
      <c r="X203" s="842">
        <f>W203</f>
        <v/>
      </c>
      <c r="Y203" s="845">
        <f>W203/I203</f>
        <v/>
      </c>
      <c r="Z203" s="846">
        <f>SUM(W203-U203)/U203</f>
        <v/>
      </c>
      <c r="AA203" s="842" t="inlineStr">
        <is>
          <t>E</t>
        </is>
      </c>
      <c r="AB203" s="590" t="n"/>
      <c r="AC203" s="47" t="n"/>
      <c r="AD203" s="841" t="inlineStr">
        <is>
          <t>No</t>
        </is>
      </c>
      <c r="AE203" s="840" t="inlineStr">
        <is>
          <t>To be refurbished.</t>
        </is>
      </c>
      <c r="AF203" s="849" t="n">
        <v>65</v>
      </c>
      <c r="AG203" s="840" t="n">
        <v>3</v>
      </c>
      <c r="AH203" s="312" t="n">
        <v>5</v>
      </c>
      <c r="AJ203" t="inlineStr">
        <is>
          <t>Void</t>
        </is>
      </c>
    </row>
    <row r="204">
      <c r="A204" t="inlineStr">
        <is>
          <t>17-18 Margaret Street</t>
        </is>
      </c>
      <c r="B204" s="838" t="n"/>
      <c r="C204" s="839" t="inlineStr">
        <is>
          <t>WS</t>
        </is>
      </c>
      <c r="D204" s="839" t="inlineStr">
        <is>
          <t>MEL</t>
        </is>
      </c>
      <c r="E204" s="838" t="n">
        <v>550380</v>
      </c>
      <c r="F204" s="840" t="inlineStr">
        <is>
          <t>17-18 Margaret Street</t>
        </is>
      </c>
      <c r="G204" s="840" t="inlineStr">
        <is>
          <t>Basement</t>
        </is>
      </c>
      <c r="H204" s="841" t="inlineStr">
        <is>
          <t>Office/ Showroom</t>
        </is>
      </c>
      <c r="I204" s="848" t="n">
        <v>2481</v>
      </c>
      <c r="J204" s="848">
        <f>I204</f>
        <v/>
      </c>
      <c r="K204" s="848" t="n">
        <v>2500</v>
      </c>
      <c r="L204" s="859" t="inlineStr">
        <is>
          <t>Arrow International Media Ltd.</t>
        </is>
      </c>
      <c r="M204" s="843" t="n">
        <v>44758</v>
      </c>
      <c r="N204" s="844" t="n">
        <v>46583</v>
      </c>
      <c r="R204" s="842" t="n">
        <v>69440</v>
      </c>
      <c r="S204" s="842">
        <f>R204</f>
        <v/>
      </c>
      <c r="U204" s="842" t="n">
        <v>69500</v>
      </c>
      <c r="V204" s="842">
        <f>U204</f>
        <v/>
      </c>
      <c r="W204" s="842" t="n">
        <v>69500</v>
      </c>
      <c r="X204" s="842">
        <f>W204</f>
        <v/>
      </c>
      <c r="Y204" s="845">
        <f>W204/I204</f>
        <v/>
      </c>
      <c r="Z204" s="846">
        <f>SUM(W204-U204)/U204</f>
        <v/>
      </c>
      <c r="AA204" s="842" t="inlineStr">
        <is>
          <t>E</t>
        </is>
      </c>
      <c r="AB204" s="590" t="n"/>
      <c r="AC204" s="847" t="n"/>
      <c r="AD204" s="841" t="inlineStr">
        <is>
          <t>No</t>
        </is>
      </c>
      <c r="AH204" s="312" t="n"/>
      <c r="AJ204" t="inlineStr">
        <is>
          <t>Let</t>
        </is>
      </c>
    </row>
    <row r="205">
      <c r="A205" t="inlineStr">
        <is>
          <t>17-18 Margaret Street</t>
        </is>
      </c>
      <c r="B205" s="838" t="n"/>
      <c r="C205" s="839" t="inlineStr">
        <is>
          <t>WS</t>
        </is>
      </c>
      <c r="D205" s="839" t="inlineStr">
        <is>
          <t>MEL</t>
        </is>
      </c>
      <c r="E205" s="838" t="n">
        <v>550380</v>
      </c>
      <c r="F205" s="840" t="inlineStr">
        <is>
          <t>17-18 Margaret Street</t>
        </is>
      </c>
      <c r="G205" s="840" t="inlineStr">
        <is>
          <t xml:space="preserve">Ground Floor (E) </t>
        </is>
      </c>
      <c r="H205" s="841" t="inlineStr">
        <is>
          <t>Showroom</t>
        </is>
      </c>
      <c r="I205" s="848" t="n">
        <v>1616</v>
      </c>
      <c r="J205" s="848">
        <f>I205</f>
        <v/>
      </c>
      <c r="K205" s="848" t="n">
        <v>1500</v>
      </c>
      <c r="L205" s="840" t="inlineStr">
        <is>
          <t>Arlettie London Ltd.</t>
        </is>
      </c>
      <c r="M205" s="843" t="n">
        <v>45240</v>
      </c>
      <c r="N205" s="844" t="n">
        <v>48892</v>
      </c>
      <c r="P205" s="844" t="n">
        <v>47067</v>
      </c>
      <c r="Q205" s="844" t="n">
        <v>47066</v>
      </c>
      <c r="R205" s="842" t="n">
        <v>85500</v>
      </c>
      <c r="S205" s="842">
        <f>R205</f>
        <v/>
      </c>
      <c r="U205" s="842" t="n">
        <v>84800</v>
      </c>
      <c r="V205" s="842">
        <f>U205</f>
        <v/>
      </c>
      <c r="W205" s="842" t="n">
        <v>85000</v>
      </c>
      <c r="X205" s="842">
        <f>W205</f>
        <v/>
      </c>
      <c r="Y205" s="845">
        <f>W205/I205</f>
        <v/>
      </c>
      <c r="Z205" s="846">
        <f>SUM(W205-U205)/U205</f>
        <v/>
      </c>
      <c r="AA205" s="842" t="inlineStr">
        <is>
          <t>D</t>
        </is>
      </c>
      <c r="AB205" s="590" t="n"/>
      <c r="AC205" s="847" t="n"/>
      <c r="AD205" s="841" t="inlineStr">
        <is>
          <t>No</t>
        </is>
      </c>
      <c r="AE205" s="840" t="inlineStr">
        <is>
          <t>Tenant break on 6 months notice</t>
        </is>
      </c>
      <c r="AH205" s="312" t="n"/>
      <c r="AJ205" t="inlineStr">
        <is>
          <t>Let</t>
        </is>
      </c>
    </row>
    <row r="206">
      <c r="A206" t="inlineStr">
        <is>
          <t>17-18 Margaret Street</t>
        </is>
      </c>
      <c r="B206" s="838" t="n"/>
      <c r="C206" s="839" t="inlineStr">
        <is>
          <t>WS</t>
        </is>
      </c>
      <c r="D206" s="839" t="inlineStr">
        <is>
          <t>MEL</t>
        </is>
      </c>
      <c r="E206" s="838" t="n">
        <v>550380</v>
      </c>
      <c r="F206" s="840" t="inlineStr">
        <is>
          <t>17-18 Margaret Street</t>
        </is>
      </c>
      <c r="G206" s="840" t="inlineStr">
        <is>
          <t>Ground Floor (W)</t>
        </is>
      </c>
      <c r="H206" s="841" t="inlineStr">
        <is>
          <t>Office/ Showroom</t>
        </is>
      </c>
      <c r="I206" s="848" t="n">
        <v>1485</v>
      </c>
      <c r="J206" s="848">
        <f>I206</f>
        <v/>
      </c>
      <c r="K206" s="848" t="n">
        <v>1500</v>
      </c>
      <c r="L206" s="840" t="inlineStr">
        <is>
          <t>Yamaha Music Europe GMBH.</t>
        </is>
      </c>
      <c r="M206" s="843" t="n">
        <v>45525</v>
      </c>
      <c r="N206" s="844" t="n">
        <v>47350</v>
      </c>
      <c r="Q206" s="844" t="n">
        <v>46620</v>
      </c>
      <c r="R206" s="842" t="n">
        <v>90000</v>
      </c>
      <c r="S206" s="842">
        <f>R206</f>
        <v/>
      </c>
      <c r="U206" s="842" t="n">
        <v>78000</v>
      </c>
      <c r="V206" s="842">
        <f>U206</f>
        <v/>
      </c>
      <c r="W206" s="842" t="n">
        <v>90000</v>
      </c>
      <c r="X206" s="842">
        <f>W206</f>
        <v/>
      </c>
      <c r="Y206" s="845">
        <f>W206/I206</f>
        <v/>
      </c>
      <c r="Z206" s="846">
        <f>SUM(W206-U206)/U206</f>
        <v/>
      </c>
      <c r="AA206" s="842" t="inlineStr">
        <is>
          <t>E</t>
        </is>
      </c>
      <c r="AB206" s="590" t="n"/>
      <c r="AC206" s="847" t="n"/>
      <c r="AD206" s="841" t="inlineStr">
        <is>
          <t>No</t>
        </is>
      </c>
      <c r="AE206" s="840" t="inlineStr">
        <is>
          <t xml:space="preserve">Tenant break on 6 months notice. </t>
        </is>
      </c>
      <c r="AH206" s="312" t="n"/>
      <c r="AJ206" t="inlineStr">
        <is>
          <t>Let</t>
        </is>
      </c>
    </row>
    <row r="207">
      <c r="A207" t="inlineStr">
        <is>
          <t>17-18 Margaret Street</t>
        </is>
      </c>
      <c r="B207" s="838" t="n"/>
      <c r="C207" s="839" t="inlineStr">
        <is>
          <t>WS</t>
        </is>
      </c>
      <c r="D207" s="839" t="inlineStr">
        <is>
          <t>MEL</t>
        </is>
      </c>
      <c r="E207" s="838" t="n">
        <v>550380</v>
      </c>
      <c r="F207" s="840" t="inlineStr">
        <is>
          <t>17-18 Margaret Street</t>
        </is>
      </c>
      <c r="G207" s="840" t="inlineStr">
        <is>
          <t>First Floor</t>
        </is>
      </c>
      <c r="H207" s="841" t="inlineStr">
        <is>
          <t>Office</t>
        </is>
      </c>
      <c r="I207" s="848" t="n">
        <v>1855</v>
      </c>
      <c r="J207" s="848">
        <f>I207</f>
        <v/>
      </c>
      <c r="K207" s="848" t="n">
        <v>2000</v>
      </c>
      <c r="L207" s="840" t="inlineStr">
        <is>
          <t>Arrow International Media Ltd.</t>
        </is>
      </c>
      <c r="M207" s="843" t="n">
        <v>44758</v>
      </c>
      <c r="N207" s="844" t="n">
        <v>46583</v>
      </c>
      <c r="R207" s="842" t="n">
        <v>106663</v>
      </c>
      <c r="S207" s="842">
        <f>R207</f>
        <v/>
      </c>
      <c r="U207" s="842" t="n">
        <v>106700</v>
      </c>
      <c r="V207" s="842">
        <f>U207</f>
        <v/>
      </c>
      <c r="W207" s="842" t="n">
        <v>106700</v>
      </c>
      <c r="X207" s="842">
        <f>W207</f>
        <v/>
      </c>
      <c r="Y207" s="845">
        <f>W207/I207</f>
        <v/>
      </c>
      <c r="Z207" s="846">
        <f>SUM(W207-U207)/U207</f>
        <v/>
      </c>
      <c r="AA207" s="842" t="inlineStr">
        <is>
          <t>E</t>
        </is>
      </c>
      <c r="AB207" s="590" t="n"/>
      <c r="AC207" s="847" t="n"/>
      <c r="AD207" s="841" t="inlineStr">
        <is>
          <t>No</t>
        </is>
      </c>
      <c r="AH207" s="312" t="n"/>
      <c r="AJ207" t="inlineStr">
        <is>
          <t>Let</t>
        </is>
      </c>
    </row>
    <row r="208">
      <c r="A208" t="inlineStr">
        <is>
          <t>17-18 Margaret Street</t>
        </is>
      </c>
      <c r="B208" s="838" t="n"/>
      <c r="C208" s="839" t="inlineStr">
        <is>
          <t>WS</t>
        </is>
      </c>
      <c r="D208" s="839" t="inlineStr">
        <is>
          <t>MEL</t>
        </is>
      </c>
      <c r="E208" s="838" t="n">
        <v>550380</v>
      </c>
      <c r="F208" s="840" t="inlineStr">
        <is>
          <t>17-18 Margaret Street</t>
        </is>
      </c>
      <c r="G208" s="840" t="inlineStr">
        <is>
          <t>Second Floor (E)</t>
        </is>
      </c>
      <c r="H208" s="841" t="inlineStr">
        <is>
          <t>Office</t>
        </is>
      </c>
      <c r="I208" s="848" t="n">
        <v>726</v>
      </c>
      <c r="J208" s="848">
        <f>I208</f>
        <v/>
      </c>
      <c r="K208" s="848" t="n">
        <v>750</v>
      </c>
      <c r="L208" s="840" t="inlineStr">
        <is>
          <t>Arrow International Media Ltd.</t>
        </is>
      </c>
      <c r="M208" s="843" t="n">
        <v>44758</v>
      </c>
      <c r="N208" s="844" t="n">
        <v>46583</v>
      </c>
      <c r="R208" s="842" t="n">
        <v>41975</v>
      </c>
      <c r="S208" s="842">
        <f>R208</f>
        <v/>
      </c>
      <c r="U208" s="842" t="n">
        <v>41700</v>
      </c>
      <c r="V208" s="842">
        <f>U208</f>
        <v/>
      </c>
      <c r="W208" s="842" t="n">
        <v>41700</v>
      </c>
      <c r="X208" s="842">
        <f>W208</f>
        <v/>
      </c>
      <c r="Y208" s="845">
        <f>W208/I208</f>
        <v/>
      </c>
      <c r="Z208" s="846">
        <f>SUM(W208-U208)/U208</f>
        <v/>
      </c>
      <c r="AA208" s="842" t="inlineStr">
        <is>
          <t>E</t>
        </is>
      </c>
      <c r="AB208" s="590" t="n"/>
      <c r="AC208" s="847" t="n"/>
      <c r="AD208" s="841" t="inlineStr">
        <is>
          <t>No</t>
        </is>
      </c>
      <c r="AH208" s="312" t="n"/>
      <c r="AJ208" t="inlineStr">
        <is>
          <t>Let</t>
        </is>
      </c>
    </row>
    <row r="209">
      <c r="A209" t="inlineStr">
        <is>
          <t>17-18 Margaret Street</t>
        </is>
      </c>
      <c r="B209" s="838" t="n"/>
      <c r="C209" s="839" t="inlineStr">
        <is>
          <t>WS</t>
        </is>
      </c>
      <c r="D209" s="839" t="inlineStr">
        <is>
          <t>MEL</t>
        </is>
      </c>
      <c r="E209" s="838" t="n">
        <v>550380</v>
      </c>
      <c r="F209" s="840" t="inlineStr">
        <is>
          <t>17-18 Margaret Street</t>
        </is>
      </c>
      <c r="G209" s="840" t="inlineStr">
        <is>
          <t>Second Floor (W &amp; N)</t>
        </is>
      </c>
      <c r="H209" s="839" t="inlineStr">
        <is>
          <t>Office</t>
        </is>
      </c>
      <c r="I209" s="848" t="n">
        <v>1220</v>
      </c>
      <c r="J209" s="848">
        <f>I209</f>
        <v/>
      </c>
      <c r="K209" s="848" t="n">
        <v>1250</v>
      </c>
      <c r="L209" s="840" t="inlineStr">
        <is>
          <t>Smiggle UK Limited</t>
        </is>
      </c>
      <c r="M209" s="843" t="n">
        <v>45438</v>
      </c>
      <c r="N209" s="844" t="n">
        <v>47263</v>
      </c>
      <c r="Q209" s="844" t="n">
        <v>46532</v>
      </c>
      <c r="R209" s="842" t="n">
        <v>70200</v>
      </c>
      <c r="S209" s="842">
        <f>R209</f>
        <v/>
      </c>
      <c r="U209" s="842" t="n">
        <v>70200</v>
      </c>
      <c r="V209" s="842">
        <f>U209</f>
        <v/>
      </c>
      <c r="W209" s="842" t="n">
        <v>70200</v>
      </c>
      <c r="X209" s="842">
        <f>W209</f>
        <v/>
      </c>
      <c r="Y209" s="845">
        <f>W209/I209</f>
        <v/>
      </c>
      <c r="Z209" s="846">
        <f>SUM(W209-U209)/U209</f>
        <v/>
      </c>
      <c r="AA209" s="842" t="inlineStr">
        <is>
          <t>D</t>
        </is>
      </c>
      <c r="AB209" s="590" t="n"/>
      <c r="AC209" s="847" t="n"/>
      <c r="AD209" s="841" t="inlineStr">
        <is>
          <t>No</t>
        </is>
      </c>
      <c r="AE209" s="840" t="inlineStr">
        <is>
          <t>Tenant break on 3 months notice. Two months rent free if not exercised.</t>
        </is>
      </c>
      <c r="AH209" s="312" t="n"/>
      <c r="AJ209" t="inlineStr">
        <is>
          <t>Let</t>
        </is>
      </c>
    </row>
    <row r="210">
      <c r="A210" t="inlineStr">
        <is>
          <t>17-18 Margaret Street</t>
        </is>
      </c>
      <c r="B210" s="838" t="n"/>
      <c r="C210" s="839" t="inlineStr">
        <is>
          <t>WS</t>
        </is>
      </c>
      <c r="D210" s="839" t="inlineStr">
        <is>
          <t>MEL</t>
        </is>
      </c>
      <c r="E210" s="838" t="n">
        <v>550380</v>
      </c>
      <c r="F210" s="840" t="inlineStr">
        <is>
          <t>17-18 Margaret Street</t>
        </is>
      </c>
      <c r="G210" s="840" t="inlineStr">
        <is>
          <t>Third Floor</t>
        </is>
      </c>
      <c r="H210" s="841" t="inlineStr">
        <is>
          <t>Office</t>
        </is>
      </c>
      <c r="I210" s="848" t="n">
        <v>1963</v>
      </c>
      <c r="J210" s="848">
        <f>I210</f>
        <v/>
      </c>
      <c r="K210" s="848" t="n">
        <v>2000</v>
      </c>
      <c r="L210" s="840" t="inlineStr">
        <is>
          <t>Arrow International Media Ltd.</t>
        </is>
      </c>
      <c r="M210" s="843" t="n">
        <v>44758</v>
      </c>
      <c r="N210" s="844" t="n">
        <v>46583</v>
      </c>
      <c r="R210" s="842" t="n">
        <v>107965</v>
      </c>
      <c r="S210" s="842">
        <f>R210</f>
        <v/>
      </c>
      <c r="U210" s="842" t="n">
        <v>108000</v>
      </c>
      <c r="V210" s="842">
        <f>U210</f>
        <v/>
      </c>
      <c r="W210" s="842" t="n">
        <v>108000</v>
      </c>
      <c r="X210" s="842">
        <f>W210</f>
        <v/>
      </c>
      <c r="Y210" s="845">
        <f>W210/I210</f>
        <v/>
      </c>
      <c r="Z210" s="846">
        <f>SUM(W210-U210)/U210</f>
        <v/>
      </c>
      <c r="AA210" s="842" t="inlineStr">
        <is>
          <t>E</t>
        </is>
      </c>
      <c r="AB210" s="590" t="n"/>
      <c r="AC210" s="847" t="n"/>
      <c r="AD210" s="841" t="inlineStr">
        <is>
          <t>No</t>
        </is>
      </c>
      <c r="AH210" s="312" t="n"/>
      <c r="AJ210" t="inlineStr">
        <is>
          <t>Let</t>
        </is>
      </c>
    </row>
    <row r="211">
      <c r="A211" t="inlineStr">
        <is>
          <t>17-18 Margaret Street</t>
        </is>
      </c>
      <c r="B211" s="838" t="n"/>
      <c r="C211" s="839" t="inlineStr">
        <is>
          <t>WS</t>
        </is>
      </c>
      <c r="D211" s="839" t="inlineStr">
        <is>
          <t>MEL</t>
        </is>
      </c>
      <c r="E211" s="838" t="n">
        <v>550380</v>
      </c>
      <c r="F211" s="840" t="inlineStr">
        <is>
          <t>17-18 Margaret Street</t>
        </is>
      </c>
      <c r="G211" s="840" t="inlineStr">
        <is>
          <t xml:space="preserve">Fourth Floor (R) </t>
        </is>
      </c>
      <c r="H211" s="841" t="inlineStr">
        <is>
          <t>Office</t>
        </is>
      </c>
      <c r="I211" s="848" t="n">
        <v>94</v>
      </c>
      <c r="J211" s="848">
        <f>I211</f>
        <v/>
      </c>
      <c r="K211" s="848" t="n">
        <v>100</v>
      </c>
      <c r="L211" s="840" t="inlineStr">
        <is>
          <t>The London Child &amp; Family Therapy Centre Ltd.</t>
        </is>
      </c>
      <c r="M211" s="843" t="n">
        <v>45735</v>
      </c>
      <c r="N211" s="844" t="n">
        <v>47560</v>
      </c>
      <c r="R211" s="842" t="n">
        <v>7200</v>
      </c>
      <c r="S211" s="842">
        <f>R211</f>
        <v/>
      </c>
      <c r="U211" s="842" t="n">
        <v>5410</v>
      </c>
      <c r="V211" s="842">
        <f>U211</f>
        <v/>
      </c>
      <c r="W211" s="842" t="n">
        <v>5410</v>
      </c>
      <c r="X211" s="842">
        <f>W211</f>
        <v/>
      </c>
      <c r="Y211" s="845">
        <f>W211/I211</f>
        <v/>
      </c>
      <c r="Z211" s="846">
        <f>SUM(W211-U211)/U211</f>
        <v/>
      </c>
      <c r="AA211" s="842" t="inlineStr">
        <is>
          <t>E</t>
        </is>
      </c>
      <c r="AB211" s="590" t="inlineStr">
        <is>
          <t>*</t>
        </is>
      </c>
      <c r="AC211" s="847" t="n"/>
      <c r="AD211" s="841" t="inlineStr">
        <is>
          <t>No</t>
        </is>
      </c>
      <c r="AE211" s="840" t="inlineStr">
        <is>
          <t xml:space="preserve">All inclusive rent (excl rates). </t>
        </is>
      </c>
      <c r="AH211" s="312" t="n"/>
      <c r="AJ211" t="inlineStr">
        <is>
          <t>Let</t>
        </is>
      </c>
    </row>
    <row r="212">
      <c r="A212" t="inlineStr">
        <is>
          <t>17-18 Margaret Street</t>
        </is>
      </c>
      <c r="B212" s="838" t="n"/>
      <c r="C212" s="839" t="inlineStr">
        <is>
          <t>WS</t>
        </is>
      </c>
      <c r="D212" s="839" t="inlineStr">
        <is>
          <t>MEL</t>
        </is>
      </c>
      <c r="E212" s="838" t="n">
        <v>550380</v>
      </c>
      <c r="F212" s="840" t="inlineStr">
        <is>
          <t>17-18 Margaret Street</t>
        </is>
      </c>
      <c r="G212" s="840" t="inlineStr">
        <is>
          <t>Fourth Floor (RW)</t>
        </is>
      </c>
      <c r="H212" s="841" t="inlineStr">
        <is>
          <t>Office</t>
        </is>
      </c>
      <c r="I212" s="848" t="n">
        <v>284</v>
      </c>
      <c r="J212" s="848">
        <f>I212</f>
        <v/>
      </c>
      <c r="K212" s="848" t="n">
        <v>250</v>
      </c>
      <c r="L212" s="840" t="inlineStr">
        <is>
          <t>Vacant</t>
        </is>
      </c>
      <c r="O212" s="844" t="n">
        <v>43909</v>
      </c>
      <c r="R212" s="842" t="n">
        <v>0</v>
      </c>
      <c r="S212" s="842">
        <f>R212</f>
        <v/>
      </c>
      <c r="U212" s="842" t="n">
        <v>16300</v>
      </c>
      <c r="V212" s="842">
        <f>U212</f>
        <v/>
      </c>
      <c r="W212" s="842" t="n">
        <v>16300</v>
      </c>
      <c r="X212" s="842">
        <f>W212</f>
        <v/>
      </c>
      <c r="Y212" s="845">
        <f>W212/I212</f>
        <v/>
      </c>
      <c r="Z212" s="846">
        <f>SUM(W212-U212)/U212</f>
        <v/>
      </c>
      <c r="AA212" s="842" t="inlineStr">
        <is>
          <t>E</t>
        </is>
      </c>
      <c r="AB212" s="590" t="inlineStr">
        <is>
          <t>*</t>
        </is>
      </c>
      <c r="AC212" s="847" t="n"/>
      <c r="AD212" s="841" t="n"/>
      <c r="AE212" s="840" t="inlineStr">
        <is>
          <t>To be refurbished.</t>
        </is>
      </c>
      <c r="AG212" s="840" t="n">
        <v>1</v>
      </c>
      <c r="AH212" s="312" t="n">
        <v>2</v>
      </c>
      <c r="AJ212" t="inlineStr">
        <is>
          <t>Void</t>
        </is>
      </c>
    </row>
    <row r="213">
      <c r="A213" t="inlineStr">
        <is>
          <t>17-18 Margaret Street</t>
        </is>
      </c>
      <c r="B213" s="838" t="n"/>
      <c r="C213" s="839" t="inlineStr">
        <is>
          <t>WS</t>
        </is>
      </c>
      <c r="D213" s="839" t="inlineStr">
        <is>
          <t>MEL</t>
        </is>
      </c>
      <c r="E213" s="838" t="n">
        <v>550380</v>
      </c>
      <c r="F213" s="840" t="inlineStr">
        <is>
          <t>17-18 Margaret Street</t>
        </is>
      </c>
      <c r="G213" s="840" t="inlineStr">
        <is>
          <t>Fourth Floor (E)</t>
        </is>
      </c>
      <c r="H213" s="841" t="inlineStr">
        <is>
          <t>Office</t>
        </is>
      </c>
      <c r="I213" s="848" t="n">
        <v>619</v>
      </c>
      <c r="J213" s="848">
        <f>I213</f>
        <v/>
      </c>
      <c r="K213" s="848" t="n">
        <v>500</v>
      </c>
      <c r="L213" s="840" t="inlineStr">
        <is>
          <t>Vacant</t>
        </is>
      </c>
      <c r="O213" s="844" t="n">
        <v>45678</v>
      </c>
      <c r="R213" s="842" t="n">
        <v>0</v>
      </c>
      <c r="S213" s="842">
        <f>R213</f>
        <v/>
      </c>
      <c r="U213" s="842" t="n">
        <v>35600</v>
      </c>
      <c r="V213" s="842">
        <f>U213</f>
        <v/>
      </c>
      <c r="W213" s="842" t="n">
        <v>35600</v>
      </c>
      <c r="X213" s="842">
        <f>W213</f>
        <v/>
      </c>
      <c r="Y213" s="845">
        <f>W213/I213</f>
        <v/>
      </c>
      <c r="Z213" s="846">
        <f>SUM(W213-U213)/U213</f>
        <v/>
      </c>
      <c r="AA213" s="842" t="inlineStr">
        <is>
          <t>E</t>
        </is>
      </c>
      <c r="AB213" s="590" t="n"/>
      <c r="AC213" s="847" t="n"/>
      <c r="AD213" s="841" t="inlineStr">
        <is>
          <t>No</t>
        </is>
      </c>
      <c r="AE213" s="840" t="inlineStr">
        <is>
          <t>LEM marketing.</t>
        </is>
      </c>
      <c r="AH213" s="312" t="n"/>
      <c r="AJ213" t="inlineStr">
        <is>
          <t>Void</t>
        </is>
      </c>
    </row>
    <row r="214">
      <c r="A214" t="inlineStr">
        <is>
          <t>17-18 Margaret Street</t>
        </is>
      </c>
      <c r="B214" s="838" t="n"/>
      <c r="C214" s="839" t="inlineStr">
        <is>
          <t>WS</t>
        </is>
      </c>
      <c r="D214" s="839" t="inlineStr">
        <is>
          <t>MEL</t>
        </is>
      </c>
      <c r="E214" s="838" t="n">
        <v>550380</v>
      </c>
      <c r="F214" s="840" t="inlineStr">
        <is>
          <t>17-18 Margaret Street</t>
        </is>
      </c>
      <c r="G214" s="840" t="inlineStr">
        <is>
          <t>Fourth Floor (W)</t>
        </is>
      </c>
      <c r="H214" s="841" t="inlineStr">
        <is>
          <t>Office</t>
        </is>
      </c>
      <c r="I214" s="848" t="n">
        <v>653</v>
      </c>
      <c r="J214" s="848">
        <f>I214</f>
        <v/>
      </c>
      <c r="K214" s="848" t="n">
        <v>750</v>
      </c>
      <c r="L214" s="840" t="inlineStr">
        <is>
          <t>Vacant</t>
        </is>
      </c>
      <c r="O214" s="844" t="n">
        <v>44555</v>
      </c>
      <c r="R214" s="842" t="n">
        <v>0</v>
      </c>
      <c r="S214" s="842">
        <f>R214</f>
        <v/>
      </c>
      <c r="U214" s="842" t="n">
        <v>37500</v>
      </c>
      <c r="V214" s="842">
        <f>U214</f>
        <v/>
      </c>
      <c r="W214" s="842" t="n">
        <v>37500</v>
      </c>
      <c r="X214" s="842">
        <f>W214</f>
        <v/>
      </c>
      <c r="Y214" s="845">
        <f>W214/I214</f>
        <v/>
      </c>
      <c r="Z214" s="846">
        <f>SUM(W214-U214)/U214</f>
        <v/>
      </c>
      <c r="AA214" s="842" t="inlineStr">
        <is>
          <t>E</t>
        </is>
      </c>
      <c r="AB214" s="590" t="n"/>
      <c r="AC214" s="847" t="n"/>
      <c r="AD214" s="841" t="inlineStr">
        <is>
          <t>No</t>
        </is>
      </c>
      <c r="AE214" s="840" t="inlineStr">
        <is>
          <t>To be refurbished.</t>
        </is>
      </c>
      <c r="AF214" s="849" t="n">
        <v>62.5</v>
      </c>
      <c r="AG214" s="840" t="n">
        <v>2</v>
      </c>
      <c r="AH214" s="312" t="n">
        <v>3</v>
      </c>
      <c r="AI214" s="840" t="inlineStr">
        <is>
          <t>LEM</t>
        </is>
      </c>
      <c r="AJ214" t="inlineStr">
        <is>
          <t>Void</t>
        </is>
      </c>
    </row>
    <row r="215">
      <c r="A215" t="inlineStr">
        <is>
          <t>19 Margaret Street</t>
        </is>
      </c>
      <c r="B215" s="838" t="n"/>
      <c r="C215" s="839" t="inlineStr">
        <is>
          <t>WS</t>
        </is>
      </c>
      <c r="D215" s="839" t="inlineStr">
        <is>
          <t>MEL</t>
        </is>
      </c>
      <c r="E215" s="838" t="n">
        <v>550950</v>
      </c>
      <c r="F215" s="840" t="inlineStr">
        <is>
          <t>19 Margaret Street</t>
        </is>
      </c>
      <c r="G215" s="840" t="inlineStr">
        <is>
          <t>Lower Ground and Ground Floors</t>
        </is>
      </c>
      <c r="H215" s="841" t="inlineStr">
        <is>
          <t>Office</t>
        </is>
      </c>
      <c r="I215" s="848" t="n">
        <v>2370</v>
      </c>
      <c r="J215" s="848">
        <f>I215</f>
        <v/>
      </c>
      <c r="L215" s="840" t="inlineStr">
        <is>
          <t>FRIBA Limited</t>
        </is>
      </c>
      <c r="M215" s="843" t="n">
        <v>43794</v>
      </c>
      <c r="N215" s="844" t="n">
        <v>47446</v>
      </c>
      <c r="P215" s="844" t="n">
        <v>45621</v>
      </c>
      <c r="R215" s="842" t="n">
        <v>104885</v>
      </c>
      <c r="S215" s="842">
        <f>R215</f>
        <v/>
      </c>
      <c r="U215" s="842" t="n">
        <v>100700</v>
      </c>
      <c r="V215" s="842">
        <f>U215</f>
        <v/>
      </c>
      <c r="W215" s="842" t="n">
        <v>100700</v>
      </c>
      <c r="X215" s="842">
        <f>W215</f>
        <v/>
      </c>
      <c r="Y215" s="845">
        <f>W215/I215</f>
        <v/>
      </c>
      <c r="Z215" s="846">
        <f>SUM(W215-U215)/U215</f>
        <v/>
      </c>
      <c r="AA215" s="842" t="inlineStr">
        <is>
          <t>D</t>
        </is>
      </c>
      <c r="AB215" s="590" t="n"/>
      <c r="AC215" s="591" t="n"/>
      <c r="AD215" s="841" t="inlineStr">
        <is>
          <t>No</t>
        </is>
      </c>
      <c r="AE215" s="840" t="inlineStr">
        <is>
          <t>This unit interconnects with G &amp; B, 21 Lt Portland St. The floor area shown is only for this unit. Rent shown pro rata. Tenant break on 6 months notice. Rent review @ 25/11/24.</t>
        </is>
      </c>
      <c r="AH215" s="312" t="n"/>
      <c r="AJ215" t="inlineStr">
        <is>
          <t>Let</t>
        </is>
      </c>
    </row>
    <row r="216">
      <c r="A216" t="inlineStr">
        <is>
          <t>19 Margaret Street</t>
        </is>
      </c>
      <c r="B216" s="838" t="n"/>
      <c r="C216" s="839" t="inlineStr">
        <is>
          <t>WS</t>
        </is>
      </c>
      <c r="D216" s="839" t="inlineStr">
        <is>
          <t>MEL</t>
        </is>
      </c>
      <c r="E216" s="838" t="n">
        <v>550950</v>
      </c>
      <c r="F216" s="840" t="inlineStr">
        <is>
          <t>19 Margaret Street</t>
        </is>
      </c>
      <c r="G216" s="840" t="inlineStr">
        <is>
          <t>First Floor</t>
        </is>
      </c>
      <c r="H216" s="841" t="inlineStr">
        <is>
          <t>Office</t>
        </is>
      </c>
      <c r="I216" s="848" t="n">
        <v>980</v>
      </c>
      <c r="J216" s="848">
        <f>I216</f>
        <v/>
      </c>
      <c r="K216" s="848" t="n">
        <v>1000</v>
      </c>
      <c r="L216" s="840" t="inlineStr">
        <is>
          <t>Vacant</t>
        </is>
      </c>
      <c r="O216" s="844" t="n">
        <v>43323</v>
      </c>
      <c r="R216" s="842" t="n">
        <v>0</v>
      </c>
      <c r="S216" s="842">
        <f>R216</f>
        <v/>
      </c>
      <c r="U216" s="842" t="n">
        <v>53900</v>
      </c>
      <c r="V216" s="842">
        <f>U216</f>
        <v/>
      </c>
      <c r="W216" s="842" t="n">
        <v>56400</v>
      </c>
      <c r="X216" s="842">
        <f>W216</f>
        <v/>
      </c>
      <c r="Y216" s="845">
        <f>W216/I216</f>
        <v/>
      </c>
      <c r="Z216" s="846">
        <f>SUM(W216-U216)/U216</f>
        <v/>
      </c>
      <c r="AA216" s="842" t="inlineStr">
        <is>
          <t>D</t>
        </is>
      </c>
      <c r="AB216" s="590" t="n"/>
      <c r="AC216" s="591" t="n"/>
      <c r="AD216" s="841" t="inlineStr">
        <is>
          <t>No</t>
        </is>
      </c>
      <c r="AE216" s="840" t="inlineStr">
        <is>
          <t>LEM Marketing.</t>
        </is>
      </c>
      <c r="AF216" s="849" t="n">
        <v>61.5</v>
      </c>
      <c r="AG216" s="840" t="n">
        <v>4</v>
      </c>
      <c r="AH216" s="312" t="n">
        <v>6</v>
      </c>
      <c r="AJ216" t="inlineStr">
        <is>
          <t>Void</t>
        </is>
      </c>
    </row>
    <row r="217">
      <c r="A217" t="inlineStr">
        <is>
          <t>19 Margaret Street</t>
        </is>
      </c>
      <c r="B217" s="838" t="n"/>
      <c r="C217" s="839" t="inlineStr">
        <is>
          <t>WS</t>
        </is>
      </c>
      <c r="D217" s="839" t="inlineStr">
        <is>
          <t>MEL</t>
        </is>
      </c>
      <c r="E217" s="838" t="n">
        <v>550950</v>
      </c>
      <c r="F217" s="840" t="inlineStr">
        <is>
          <t>19 Margaret Street</t>
        </is>
      </c>
      <c r="G217" s="840" t="inlineStr">
        <is>
          <t>Second Floor</t>
        </is>
      </c>
      <c r="H217" s="841" t="inlineStr">
        <is>
          <t>Office</t>
        </is>
      </c>
      <c r="I217" s="848" t="n">
        <v>980</v>
      </c>
      <c r="J217" s="848">
        <f>I217</f>
        <v/>
      </c>
      <c r="K217" s="848" t="n">
        <v>1000</v>
      </c>
      <c r="L217" s="840" t="inlineStr">
        <is>
          <t>Effigest UK Ltd.</t>
        </is>
      </c>
      <c r="M217" s="843" t="n">
        <v>45210</v>
      </c>
      <c r="N217" s="844" t="n">
        <v>46305</v>
      </c>
      <c r="R217" s="842" t="n">
        <v>52800</v>
      </c>
      <c r="S217" s="842">
        <f>R217</f>
        <v/>
      </c>
      <c r="U217" s="842" t="n">
        <v>53900</v>
      </c>
      <c r="V217" s="842">
        <f>U217</f>
        <v/>
      </c>
      <c r="W217" s="842" t="n">
        <v>56400</v>
      </c>
      <c r="X217" s="842">
        <f>W217</f>
        <v/>
      </c>
      <c r="Y217" s="845">
        <f>W217/I217</f>
        <v/>
      </c>
      <c r="Z217" s="846">
        <f>SUM(W217-U217)/U217</f>
        <v/>
      </c>
      <c r="AA217" s="842" t="inlineStr">
        <is>
          <t>E</t>
        </is>
      </c>
      <c r="AB217" s="590" t="n"/>
      <c r="AC217" s="591" t="n"/>
      <c r="AD217" s="841" t="inlineStr">
        <is>
          <t>No</t>
        </is>
      </c>
      <c r="AH217" s="312" t="n"/>
      <c r="AJ217" t="inlineStr">
        <is>
          <t>Let</t>
        </is>
      </c>
    </row>
    <row r="218">
      <c r="A218" t="inlineStr">
        <is>
          <t>19 Margaret Street</t>
        </is>
      </c>
      <c r="B218" s="838" t="n"/>
      <c r="C218" s="839" t="inlineStr">
        <is>
          <t>WS</t>
        </is>
      </c>
      <c r="D218" s="839" t="inlineStr">
        <is>
          <t>MEL</t>
        </is>
      </c>
      <c r="E218" s="838" t="n">
        <v>550950</v>
      </c>
      <c r="F218" s="840" t="inlineStr">
        <is>
          <t>19 Margaret Street</t>
        </is>
      </c>
      <c r="G218" s="840" t="inlineStr">
        <is>
          <t>Third Floor</t>
        </is>
      </c>
      <c r="H218" s="841" t="inlineStr">
        <is>
          <t>Office</t>
        </is>
      </c>
      <c r="I218" s="848" t="n">
        <v>836</v>
      </c>
      <c r="J218" s="848">
        <f>I218</f>
        <v/>
      </c>
      <c r="K218" s="848" t="n">
        <v>1000</v>
      </c>
      <c r="L218" s="840" t="inlineStr">
        <is>
          <t>Theatrical Rights Worldwide Limited</t>
        </is>
      </c>
      <c r="M218" s="843" t="n">
        <v>44869</v>
      </c>
      <c r="N218" s="844" t="n">
        <v>46694</v>
      </c>
      <c r="Q218" s="844" t="n">
        <v>45964</v>
      </c>
      <c r="R218" s="842" t="n">
        <v>48300</v>
      </c>
      <c r="S218" s="842">
        <f>R218</f>
        <v/>
      </c>
      <c r="U218" s="842" t="n">
        <v>46000</v>
      </c>
      <c r="V218" s="842">
        <f>U218</f>
        <v/>
      </c>
      <c r="W218" s="842" t="n">
        <v>48100</v>
      </c>
      <c r="X218" s="842">
        <f>W218</f>
        <v/>
      </c>
      <c r="Y218" s="845">
        <f>W218/I218</f>
        <v/>
      </c>
      <c r="Z218" s="846">
        <f>SUM(W218-U218)/U218</f>
        <v/>
      </c>
      <c r="AA218" s="842" t="inlineStr">
        <is>
          <t>E</t>
        </is>
      </c>
      <c r="AB218" s="590" t="n"/>
      <c r="AC218" s="591" t="n"/>
      <c r="AD218" s="841" t="inlineStr">
        <is>
          <t>No</t>
        </is>
      </c>
      <c r="AE218" s="840" t="inlineStr">
        <is>
          <t>Tenant break on 6 months notice.</t>
        </is>
      </c>
      <c r="AH218" s="312" t="n"/>
      <c r="AJ218" t="inlineStr">
        <is>
          <t>Let</t>
        </is>
      </c>
    </row>
    <row r="219">
      <c r="A219" t="inlineStr">
        <is>
          <t>19 Margaret Street</t>
        </is>
      </c>
      <c r="B219" s="838" t="n"/>
      <c r="C219" s="839" t="inlineStr">
        <is>
          <t>WS</t>
        </is>
      </c>
      <c r="D219" s="839" t="inlineStr">
        <is>
          <t>MEL</t>
        </is>
      </c>
      <c r="E219" s="838" t="n">
        <v>550950</v>
      </c>
      <c r="F219" s="840" t="inlineStr">
        <is>
          <t>19 Margaret Street</t>
        </is>
      </c>
      <c r="G219" s="840" t="inlineStr">
        <is>
          <t>Fourth Floor</t>
        </is>
      </c>
      <c r="H219" s="841" t="inlineStr">
        <is>
          <t>Office</t>
        </is>
      </c>
      <c r="I219" s="848" t="n">
        <v>830</v>
      </c>
      <c r="J219" s="848">
        <f>I219</f>
        <v/>
      </c>
      <c r="K219" s="848" t="n">
        <v>1000</v>
      </c>
      <c r="L219" s="840" t="inlineStr">
        <is>
          <t>Theatrical Rights Worldwide Limited</t>
        </is>
      </c>
      <c r="M219" s="843" t="n">
        <v>45436</v>
      </c>
      <c r="N219" s="844" t="n">
        <v>46694</v>
      </c>
      <c r="Q219" s="844" t="n">
        <v>45964</v>
      </c>
      <c r="R219" s="842" t="n">
        <v>47725</v>
      </c>
      <c r="S219" s="842">
        <f>R219</f>
        <v/>
      </c>
      <c r="U219" s="842" t="n">
        <v>45700</v>
      </c>
      <c r="V219" s="842">
        <f>U219</f>
        <v/>
      </c>
      <c r="W219" s="842" t="n">
        <v>47700</v>
      </c>
      <c r="X219" s="842">
        <f>W219</f>
        <v/>
      </c>
      <c r="Y219" s="845">
        <f>W219/I219</f>
        <v/>
      </c>
      <c r="Z219" s="846">
        <f>SUM(W219-U219)/U219</f>
        <v/>
      </c>
      <c r="AA219" s="842" t="inlineStr">
        <is>
          <t>D</t>
        </is>
      </c>
      <c r="AB219" s="590" t="n"/>
      <c r="AC219" s="591" t="n"/>
      <c r="AD219" s="841" t="inlineStr">
        <is>
          <t>No</t>
        </is>
      </c>
      <c r="AE219" s="840" t="inlineStr">
        <is>
          <t>Tenant break on 6 months notice.</t>
        </is>
      </c>
      <c r="AH219" s="312" t="n"/>
      <c r="AJ219" t="inlineStr">
        <is>
          <t>Let</t>
        </is>
      </c>
    </row>
    <row r="220">
      <c r="A220" t="inlineStr">
        <is>
          <t>19 Margaret Street</t>
        </is>
      </c>
      <c r="B220" s="838" t="n"/>
      <c r="C220" s="839" t="inlineStr">
        <is>
          <t>WS</t>
        </is>
      </c>
      <c r="D220" s="839" t="inlineStr">
        <is>
          <t>MEL</t>
        </is>
      </c>
      <c r="E220" s="838" t="n">
        <v>550950</v>
      </c>
      <c r="F220" s="840" t="inlineStr">
        <is>
          <t>19 Margaret Street</t>
        </is>
      </c>
      <c r="G220" s="840" t="inlineStr">
        <is>
          <t>Fifth Floor</t>
        </is>
      </c>
      <c r="H220" s="841" t="inlineStr">
        <is>
          <t>Office</t>
        </is>
      </c>
      <c r="I220" s="848" t="n">
        <v>685</v>
      </c>
      <c r="J220" s="848">
        <f>I220</f>
        <v/>
      </c>
      <c r="K220" s="848" t="n">
        <v>750</v>
      </c>
      <c r="L220" s="840" t="inlineStr">
        <is>
          <t>Vacant</t>
        </is>
      </c>
      <c r="O220" s="844" t="n">
        <v>45627</v>
      </c>
      <c r="R220" s="842" t="n">
        <v>0</v>
      </c>
      <c r="S220" s="842">
        <f>R220</f>
        <v/>
      </c>
      <c r="U220" s="842" t="n">
        <v>37700</v>
      </c>
      <c r="V220" s="842">
        <f>U220</f>
        <v/>
      </c>
      <c r="W220" s="842" t="n">
        <v>39400</v>
      </c>
      <c r="X220" s="842">
        <f>W220</f>
        <v/>
      </c>
      <c r="Y220" s="845">
        <f>W220/I220</f>
        <v/>
      </c>
      <c r="Z220" s="846">
        <f>SUM(W220-U220)/U220</f>
        <v/>
      </c>
      <c r="AA220" s="842" t="inlineStr">
        <is>
          <t>E</t>
        </is>
      </c>
      <c r="AB220" s="590" t="n"/>
      <c r="AC220" s="591" t="n"/>
      <c r="AD220" s="841" t="inlineStr">
        <is>
          <t>No</t>
        </is>
      </c>
      <c r="AE220" s="840" t="inlineStr">
        <is>
          <t>LEM marketing.</t>
        </is>
      </c>
      <c r="AH220" s="312" t="n"/>
      <c r="AJ220" t="inlineStr">
        <is>
          <t>Void</t>
        </is>
      </c>
    </row>
    <row r="221">
      <c r="A221" t="inlineStr">
        <is>
          <t>20 Margaret Street</t>
        </is>
      </c>
      <c r="B221" s="838" t="n"/>
      <c r="C221" s="839" t="inlineStr">
        <is>
          <t>WS</t>
        </is>
      </c>
      <c r="D221" s="839" t="inlineStr">
        <is>
          <t>MEL</t>
        </is>
      </c>
      <c r="E221" s="838" t="n">
        <v>550730</v>
      </c>
      <c r="F221" s="840" t="inlineStr">
        <is>
          <t>20 Margaret Street</t>
        </is>
      </c>
      <c r="G221" s="840" t="inlineStr">
        <is>
          <t>Basement &amp; Ground Floor</t>
        </is>
      </c>
      <c r="H221" s="841" t="inlineStr">
        <is>
          <t>Showroom</t>
        </is>
      </c>
      <c r="I221" s="848" t="n">
        <v>1946</v>
      </c>
      <c r="J221" s="848">
        <f>I221</f>
        <v/>
      </c>
      <c r="K221" s="848" t="n">
        <v>2000</v>
      </c>
      <c r="L221" s="840" t="inlineStr">
        <is>
          <t>Outform Group UK Ltd.</t>
        </is>
      </c>
      <c r="M221" s="843" t="n">
        <v>45457</v>
      </c>
      <c r="N221" s="844" t="n">
        <v>47282</v>
      </c>
      <c r="Q221" s="844" t="n">
        <v>46186</v>
      </c>
      <c r="R221" s="842" t="n">
        <v>94417</v>
      </c>
      <c r="S221" s="842">
        <f>R221</f>
        <v/>
      </c>
      <c r="U221" s="842" t="n">
        <v>86800</v>
      </c>
      <c r="V221" s="842">
        <f>U221</f>
        <v/>
      </c>
      <c r="W221" s="842" t="n">
        <v>94417</v>
      </c>
      <c r="X221" s="842">
        <f>W221</f>
        <v/>
      </c>
      <c r="Y221" s="845">
        <f>W221/I221</f>
        <v/>
      </c>
      <c r="Z221" s="846">
        <f>SUM(W221-U221)/U221</f>
        <v/>
      </c>
      <c r="AA221" s="842" t="inlineStr">
        <is>
          <t>E</t>
        </is>
      </c>
      <c r="AB221" s="590" t="n"/>
      <c r="AC221" s="847" t="n"/>
      <c r="AD221" s="841" t="inlineStr">
        <is>
          <t>No</t>
        </is>
      </c>
      <c r="AE221" s="840" t="inlineStr">
        <is>
          <t>Rent increasing to £103,000 wef 14/06/27. Tenant break on 6 months notice. Penalty payment due if exercised. Further tenant break 13/06/27 on 6 months notice.</t>
        </is>
      </c>
      <c r="AH221" s="312" t="n"/>
      <c r="AJ221" t="inlineStr">
        <is>
          <t>Let</t>
        </is>
      </c>
    </row>
    <row r="222">
      <c r="A222" t="inlineStr">
        <is>
          <t>20 Margaret Street</t>
        </is>
      </c>
      <c r="B222" s="838" t="n"/>
      <c r="C222" s="839" t="inlineStr">
        <is>
          <t>WS</t>
        </is>
      </c>
      <c r="D222" s="839" t="inlineStr">
        <is>
          <t>MEL</t>
        </is>
      </c>
      <c r="E222" s="838" t="n">
        <v>550730</v>
      </c>
      <c r="F222" s="840" t="inlineStr">
        <is>
          <t>20 Margaret Street</t>
        </is>
      </c>
      <c r="G222" s="840" t="inlineStr">
        <is>
          <t>First Floor</t>
        </is>
      </c>
      <c r="H222" s="841" t="inlineStr">
        <is>
          <t>Office</t>
        </is>
      </c>
      <c r="I222" s="848" t="n">
        <v>804</v>
      </c>
      <c r="J222" s="848">
        <f>I222</f>
        <v/>
      </c>
      <c r="K222" s="848" t="n">
        <v>750</v>
      </c>
      <c r="L222" s="840" t="inlineStr">
        <is>
          <t>Vacant</t>
        </is>
      </c>
      <c r="O222" s="844" t="n">
        <v>43132</v>
      </c>
      <c r="R222" s="842" t="n">
        <v>0</v>
      </c>
      <c r="S222" s="842">
        <f>R222</f>
        <v/>
      </c>
      <c r="U222" s="842" t="n">
        <v>44200</v>
      </c>
      <c r="V222" s="842">
        <f>U222</f>
        <v/>
      </c>
      <c r="W222" s="842" t="n">
        <v>46200</v>
      </c>
      <c r="X222" s="842">
        <f>W222</f>
        <v/>
      </c>
      <c r="Y222" s="845">
        <f>W222/I222</f>
        <v/>
      </c>
      <c r="Z222" s="846">
        <f>SUM(W222-U222)/U222</f>
        <v/>
      </c>
      <c r="AA222" s="842" t="inlineStr">
        <is>
          <t>E</t>
        </is>
      </c>
      <c r="AB222" s="590" t="n"/>
      <c r="AC222" s="847" t="n"/>
      <c r="AD222" s="841" t="inlineStr">
        <is>
          <t>No</t>
        </is>
      </c>
      <c r="AE222" s="840" t="inlineStr">
        <is>
          <t>To be refurbished.</t>
        </is>
      </c>
      <c r="AF222" s="849" t="n">
        <v>62.5</v>
      </c>
      <c r="AG222" s="840" t="n">
        <v>1</v>
      </c>
      <c r="AH222" s="312" t="n">
        <v>3</v>
      </c>
      <c r="AI222" s="840" t="inlineStr">
        <is>
          <t>LEM</t>
        </is>
      </c>
      <c r="AJ222" t="inlineStr">
        <is>
          <t>Void</t>
        </is>
      </c>
    </row>
    <row r="223">
      <c r="A223" t="inlineStr">
        <is>
          <t>20 Margaret Street</t>
        </is>
      </c>
      <c r="B223" s="838" t="n"/>
      <c r="C223" s="839" t="inlineStr">
        <is>
          <t>WS</t>
        </is>
      </c>
      <c r="D223" s="839" t="inlineStr">
        <is>
          <t>MEL</t>
        </is>
      </c>
      <c r="E223" s="838" t="n">
        <v>550730</v>
      </c>
      <c r="F223" s="840" t="inlineStr">
        <is>
          <t>20 Margaret Street</t>
        </is>
      </c>
      <c r="G223" s="840" t="inlineStr">
        <is>
          <t>Second Floor</t>
        </is>
      </c>
      <c r="H223" s="841" t="inlineStr">
        <is>
          <t>Office</t>
        </is>
      </c>
      <c r="I223" s="848" t="n">
        <v>813</v>
      </c>
      <c r="J223" s="848">
        <f>I223</f>
        <v/>
      </c>
      <c r="K223" s="848" t="n">
        <v>750</v>
      </c>
      <c r="L223" s="840" t="inlineStr">
        <is>
          <t>Vacant</t>
        </is>
      </c>
      <c r="O223" s="844" t="n">
        <v>42819</v>
      </c>
      <c r="R223" s="842" t="n">
        <v>0</v>
      </c>
      <c r="S223" s="842">
        <f>R223</f>
        <v/>
      </c>
      <c r="T223" s="856" t="n"/>
      <c r="U223" s="842" t="n">
        <v>44700</v>
      </c>
      <c r="V223" s="842">
        <f>U223</f>
        <v/>
      </c>
      <c r="W223" s="842" t="n">
        <v>46700</v>
      </c>
      <c r="X223" s="842">
        <f>W223</f>
        <v/>
      </c>
      <c r="Y223" s="845">
        <f>W223/I223</f>
        <v/>
      </c>
      <c r="Z223" s="846">
        <f>SUM(W223-U223)/U223</f>
        <v/>
      </c>
      <c r="AA223" s="842" t="inlineStr">
        <is>
          <t>E</t>
        </is>
      </c>
      <c r="AB223" s="590" t="n"/>
      <c r="AC223" s="847" t="n"/>
      <c r="AD223" s="841" t="inlineStr">
        <is>
          <t>No</t>
        </is>
      </c>
      <c r="AE223" s="840" t="inlineStr">
        <is>
          <t>To be refurbished.</t>
        </is>
      </c>
      <c r="AF223" s="849" t="n">
        <v>62.5</v>
      </c>
      <c r="AH223" s="312" t="n">
        <v>2</v>
      </c>
      <c r="AI223" s="840" t="inlineStr">
        <is>
          <t>LEM</t>
        </is>
      </c>
      <c r="AJ223" t="inlineStr">
        <is>
          <t>Void</t>
        </is>
      </c>
    </row>
    <row r="224">
      <c r="A224" t="inlineStr">
        <is>
          <t>20 Margaret Street</t>
        </is>
      </c>
      <c r="B224" s="838" t="n"/>
      <c r="C224" s="839" t="inlineStr">
        <is>
          <t>WS</t>
        </is>
      </c>
      <c r="D224" s="839" t="inlineStr">
        <is>
          <t>MEL</t>
        </is>
      </c>
      <c r="E224" s="838" t="n">
        <v>550730</v>
      </c>
      <c r="F224" s="840" t="inlineStr">
        <is>
          <t>20 Margaret Street</t>
        </is>
      </c>
      <c r="G224" s="840" t="inlineStr">
        <is>
          <t>Third Floor</t>
        </is>
      </c>
      <c r="H224" s="841" t="inlineStr">
        <is>
          <t>Office</t>
        </is>
      </c>
      <c r="I224" s="848" t="n">
        <v>791</v>
      </c>
      <c r="J224" s="848">
        <f>I224</f>
        <v/>
      </c>
      <c r="K224" s="848" t="n">
        <v>750</v>
      </c>
      <c r="L224" s="840" t="inlineStr">
        <is>
          <t>Vesper Investments Ltd</t>
        </is>
      </c>
      <c r="M224" s="843" t="n">
        <v>45533</v>
      </c>
      <c r="N224" s="844" t="n">
        <v>47358</v>
      </c>
      <c r="R224" s="842" t="n">
        <v>46273</v>
      </c>
      <c r="S224" s="842">
        <f>R224</f>
        <v/>
      </c>
      <c r="U224" s="842" t="n">
        <v>43500</v>
      </c>
      <c r="V224" s="842">
        <f>U224</f>
        <v/>
      </c>
      <c r="W224" s="842" t="n">
        <v>45500</v>
      </c>
      <c r="X224" s="842">
        <f>W224</f>
        <v/>
      </c>
      <c r="Y224" s="845">
        <f>W224/I224</f>
        <v/>
      </c>
      <c r="Z224" s="846">
        <f>SUM(W224-U224)/U224</f>
        <v/>
      </c>
      <c r="AA224" s="842" t="inlineStr">
        <is>
          <t>E</t>
        </is>
      </c>
      <c r="AB224" s="590" t="n"/>
      <c r="AC224" s="847" t="n"/>
      <c r="AD224" s="841" t="inlineStr">
        <is>
          <t>No</t>
        </is>
      </c>
      <c r="AG224" s="29" t="n"/>
      <c r="AH224" s="313" t="n"/>
      <c r="AI224" s="29" t="n"/>
      <c r="AJ224" t="inlineStr">
        <is>
          <t>Let</t>
        </is>
      </c>
    </row>
    <row r="225">
      <c r="A225" t="inlineStr">
        <is>
          <t>20 Margaret Street</t>
        </is>
      </c>
      <c r="B225" s="838" t="n"/>
      <c r="C225" s="839" t="inlineStr">
        <is>
          <t>WS</t>
        </is>
      </c>
      <c r="D225" s="839" t="inlineStr">
        <is>
          <t>MEL</t>
        </is>
      </c>
      <c r="E225" s="838" t="n">
        <v>550730</v>
      </c>
      <c r="F225" s="840" t="inlineStr">
        <is>
          <t>20 Margaret Street</t>
        </is>
      </c>
      <c r="G225" s="840" t="inlineStr">
        <is>
          <t>Fourth Floor</t>
        </is>
      </c>
      <c r="H225" s="841" t="inlineStr">
        <is>
          <t>Office</t>
        </is>
      </c>
      <c r="I225" s="848" t="n">
        <v>797</v>
      </c>
      <c r="J225" s="848">
        <f>I225</f>
        <v/>
      </c>
      <c r="K225" s="848" t="n">
        <v>750</v>
      </c>
      <c r="L225" s="840" t="inlineStr">
        <is>
          <t>Vacant</t>
        </is>
      </c>
      <c r="O225" s="844" t="n">
        <v>44439</v>
      </c>
      <c r="R225" s="842" t="n">
        <v>0</v>
      </c>
      <c r="S225" s="842">
        <f>R225</f>
        <v/>
      </c>
      <c r="U225" s="842" t="n">
        <v>43800</v>
      </c>
      <c r="V225" s="842">
        <f>U225</f>
        <v/>
      </c>
      <c r="W225" s="842" t="n">
        <v>45800</v>
      </c>
      <c r="X225" s="842">
        <f>W225</f>
        <v/>
      </c>
      <c r="Y225" s="845">
        <f>W225/I225</f>
        <v/>
      </c>
      <c r="Z225" s="846">
        <f>SUM(W225-U225)/U225</f>
        <v/>
      </c>
      <c r="AA225" s="842" t="inlineStr">
        <is>
          <t>E</t>
        </is>
      </c>
      <c r="AB225" s="590" t="n"/>
      <c r="AC225" s="847" t="n"/>
      <c r="AD225" s="841" t="inlineStr">
        <is>
          <t>No</t>
        </is>
      </c>
      <c r="AE225" s="840" t="inlineStr">
        <is>
          <t>To be refurbished.</t>
        </is>
      </c>
      <c r="AF225" s="849" t="n">
        <v>62.5</v>
      </c>
      <c r="AH225" s="312" t="n">
        <v>2</v>
      </c>
      <c r="AI225" s="840" t="inlineStr">
        <is>
          <t>LEM</t>
        </is>
      </c>
      <c r="AJ225" t="inlineStr">
        <is>
          <t>Void</t>
        </is>
      </c>
    </row>
    <row r="226">
      <c r="A226" t="inlineStr">
        <is>
          <t>20 Margaret Street</t>
        </is>
      </c>
      <c r="B226" s="838" t="n"/>
      <c r="C226" s="839" t="inlineStr">
        <is>
          <t>WS</t>
        </is>
      </c>
      <c r="D226" s="839" t="inlineStr">
        <is>
          <t>MEL</t>
        </is>
      </c>
      <c r="E226" s="838" t="n">
        <v>550730</v>
      </c>
      <c r="F226" s="840" t="inlineStr">
        <is>
          <t>20 Margaret Street</t>
        </is>
      </c>
      <c r="G226" s="840" t="inlineStr">
        <is>
          <t>Fifth Floor</t>
        </is>
      </c>
      <c r="H226" s="841" t="inlineStr">
        <is>
          <t>Office</t>
        </is>
      </c>
      <c r="I226" s="848" t="n">
        <v>747</v>
      </c>
      <c r="J226" s="848">
        <f>I226</f>
        <v/>
      </c>
      <c r="K226" s="848" t="n">
        <v>750</v>
      </c>
      <c r="L226" s="840" t="inlineStr">
        <is>
          <t>Moods Beauty Ltd</t>
        </is>
      </c>
      <c r="M226" s="843" t="n">
        <v>45553</v>
      </c>
      <c r="N226" s="844" t="n">
        <v>46282</v>
      </c>
      <c r="R226" s="842" t="n">
        <v>41250</v>
      </c>
      <c r="S226" s="842">
        <f>R226</f>
        <v/>
      </c>
      <c r="U226" s="842" t="n">
        <v>39200</v>
      </c>
      <c r="V226" s="842">
        <f>U226</f>
        <v/>
      </c>
      <c r="W226" s="842" t="n">
        <v>41100</v>
      </c>
      <c r="X226" s="842">
        <f>W226</f>
        <v/>
      </c>
      <c r="Y226" s="845">
        <f>W226/I226</f>
        <v/>
      </c>
      <c r="Z226" s="846">
        <f>SUM(W226-U226)/U226</f>
        <v/>
      </c>
      <c r="AA226" s="842" t="inlineStr">
        <is>
          <t>E</t>
        </is>
      </c>
      <c r="AB226" s="590" t="n"/>
      <c r="AC226" s="847" t="n"/>
      <c r="AD226" s="841" t="inlineStr">
        <is>
          <t>No</t>
        </is>
      </c>
      <c r="AH226" s="312" t="n"/>
      <c r="AJ226" t="inlineStr">
        <is>
          <t>Let</t>
        </is>
      </c>
    </row>
    <row r="227">
      <c r="A227" t="inlineStr">
        <is>
          <t>25 Margaret Street</t>
        </is>
      </c>
      <c r="B227" s="838" t="n"/>
      <c r="C227" s="839" t="inlineStr">
        <is>
          <t>CM</t>
        </is>
      </c>
      <c r="D227" s="839" t="inlineStr">
        <is>
          <t>MEL</t>
        </is>
      </c>
      <c r="E227" s="838" t="n">
        <v>550800</v>
      </c>
      <c r="F227" s="840" t="inlineStr">
        <is>
          <t>25 Margaret Street</t>
        </is>
      </c>
      <c r="G227" s="840" t="inlineStr">
        <is>
          <t>Basement</t>
        </is>
      </c>
      <c r="H227" s="841" t="inlineStr">
        <is>
          <t>Showroom</t>
        </is>
      </c>
      <c r="I227" s="848" t="n">
        <v>424</v>
      </c>
      <c r="J227" s="848">
        <f>I227</f>
        <v/>
      </c>
      <c r="K227" s="848" t="n">
        <v>500</v>
      </c>
      <c r="L227" s="840" t="inlineStr">
        <is>
          <t>Mr K Saraj</t>
        </is>
      </c>
      <c r="M227" s="843" t="n">
        <v>45262</v>
      </c>
      <c r="N227" s="844" t="n">
        <v>47088</v>
      </c>
      <c r="R227" s="842" t="n">
        <v>11872</v>
      </c>
      <c r="S227" s="842">
        <f>R227</f>
        <v/>
      </c>
      <c r="U227" s="842" t="n">
        <v>11660</v>
      </c>
      <c r="V227" s="842">
        <f>U227</f>
        <v/>
      </c>
      <c r="W227" s="842" t="n">
        <v>11660</v>
      </c>
      <c r="X227" s="842">
        <f>W227</f>
        <v/>
      </c>
      <c r="Y227" s="845">
        <f>W227/I227</f>
        <v/>
      </c>
      <c r="Z227" s="846">
        <f>SUM(W227-U227)/U227</f>
        <v/>
      </c>
      <c r="AA227" s="842" t="inlineStr">
        <is>
          <t>E</t>
        </is>
      </c>
      <c r="AB227" s="590" t="n"/>
      <c r="AC227" s="591" t="n"/>
      <c r="AD227" s="841" t="inlineStr">
        <is>
          <t>No</t>
        </is>
      </c>
      <c r="AF227" s="599" t="n"/>
      <c r="AH227" s="312" t="n"/>
      <c r="AJ227" t="inlineStr">
        <is>
          <t>Let</t>
        </is>
      </c>
    </row>
    <row r="228">
      <c r="A228" t="inlineStr">
        <is>
          <t>25 Margaret Street</t>
        </is>
      </c>
      <c r="B228" s="838" t="n"/>
      <c r="C228" s="839" t="inlineStr">
        <is>
          <t>CM</t>
        </is>
      </c>
      <c r="D228" s="839" t="inlineStr">
        <is>
          <t>MEL</t>
        </is>
      </c>
      <c r="E228" s="838" t="n">
        <v>550800</v>
      </c>
      <c r="F228" s="840" t="inlineStr">
        <is>
          <t>25 Margaret Street</t>
        </is>
      </c>
      <c r="G228" s="840" t="inlineStr">
        <is>
          <t xml:space="preserve">Ground Floor </t>
        </is>
      </c>
      <c r="H228" s="841" t="inlineStr">
        <is>
          <t>Retail</t>
        </is>
      </c>
      <c r="I228" s="848" t="n">
        <v>515</v>
      </c>
      <c r="J228" s="848">
        <f>I228</f>
        <v/>
      </c>
      <c r="K228" s="848" t="n">
        <v>500</v>
      </c>
      <c r="L228" s="840" t="inlineStr">
        <is>
          <t>Camran Naseri &amp; Rehana Miah</t>
        </is>
      </c>
      <c r="M228" s="843" t="n">
        <v>44756</v>
      </c>
      <c r="N228" s="844" t="n">
        <v>47154</v>
      </c>
      <c r="P228" s="844" t="n">
        <v>45328</v>
      </c>
      <c r="R228" s="842" t="n">
        <v>37500</v>
      </c>
      <c r="S228" s="842">
        <f>R228</f>
        <v/>
      </c>
      <c r="U228" s="842" t="n">
        <v>37502</v>
      </c>
      <c r="V228" s="842">
        <f>U228</f>
        <v/>
      </c>
      <c r="W228" s="842" t="n">
        <v>37500</v>
      </c>
      <c r="X228" s="842">
        <f>W228</f>
        <v/>
      </c>
      <c r="Y228" s="845">
        <f>W228/I228</f>
        <v/>
      </c>
      <c r="Z228" s="846">
        <f>SUM(W228-U228)/U228</f>
        <v/>
      </c>
      <c r="AA228" s="842" t="inlineStr">
        <is>
          <t>B</t>
        </is>
      </c>
      <c r="AB228" s="590" t="n"/>
      <c r="AC228" s="591" t="n"/>
      <c r="AD228" s="841" t="inlineStr">
        <is>
          <t>No</t>
        </is>
      </c>
      <c r="AH228" s="312" t="n"/>
      <c r="AJ228" t="inlineStr">
        <is>
          <t>Let</t>
        </is>
      </c>
    </row>
    <row r="229">
      <c r="A229" t="inlineStr">
        <is>
          <t>25 Margaret Street</t>
        </is>
      </c>
      <c r="B229" s="838" t="n"/>
      <c r="C229" s="839" t="inlineStr">
        <is>
          <t>CM</t>
        </is>
      </c>
      <c r="D229" s="839" t="inlineStr">
        <is>
          <t>MEL</t>
        </is>
      </c>
      <c r="E229" s="838" t="n">
        <v>550800</v>
      </c>
      <c r="F229" s="840" t="inlineStr">
        <is>
          <t>25 Margaret Street</t>
        </is>
      </c>
      <c r="G229" s="840" t="inlineStr">
        <is>
          <t>First Floor (F)</t>
        </is>
      </c>
      <c r="H229" s="841" t="inlineStr">
        <is>
          <t>Office</t>
        </is>
      </c>
      <c r="I229" s="848" t="n">
        <v>172</v>
      </c>
      <c r="J229" s="848">
        <f>I229</f>
        <v/>
      </c>
      <c r="K229" s="848" t="n">
        <v>250</v>
      </c>
      <c r="L229" s="840" t="inlineStr">
        <is>
          <t>Mr Christos Tombras</t>
        </is>
      </c>
      <c r="M229" s="843" t="n">
        <v>44750</v>
      </c>
      <c r="N229" s="844" t="n">
        <v>46575</v>
      </c>
      <c r="R229" s="842" t="n">
        <v>9400</v>
      </c>
      <c r="S229" s="842">
        <f>R229</f>
        <v/>
      </c>
      <c r="U229" s="842" t="n">
        <v>9460</v>
      </c>
      <c r="V229" s="842">
        <f>U229</f>
        <v/>
      </c>
      <c r="W229" s="842" t="n">
        <v>11180</v>
      </c>
      <c r="X229" s="842">
        <f>W229</f>
        <v/>
      </c>
      <c r="Y229" s="845">
        <f>W229/I229</f>
        <v/>
      </c>
      <c r="Z229" s="846">
        <f>SUM(W229-U229)/U229</f>
        <v/>
      </c>
      <c r="AA229" s="842" t="inlineStr">
        <is>
          <t>E</t>
        </is>
      </c>
      <c r="AB229" s="590" t="n"/>
      <c r="AC229" s="591" t="n"/>
      <c r="AD229" s="841" t="inlineStr">
        <is>
          <t>No</t>
        </is>
      </c>
      <c r="AH229" s="312" t="n"/>
      <c r="AJ229" t="inlineStr">
        <is>
          <t>Let</t>
        </is>
      </c>
    </row>
    <row r="230">
      <c r="A230" t="inlineStr">
        <is>
          <t>25 Margaret Street</t>
        </is>
      </c>
      <c r="B230" s="838" t="n"/>
      <c r="C230" s="839" t="inlineStr">
        <is>
          <t>CM</t>
        </is>
      </c>
      <c r="D230" s="839" t="inlineStr">
        <is>
          <t>MEL</t>
        </is>
      </c>
      <c r="E230" s="838" t="n">
        <v>550800</v>
      </c>
      <c r="F230" s="840" t="inlineStr">
        <is>
          <t>25 Margaret Street</t>
        </is>
      </c>
      <c r="G230" s="840" t="inlineStr">
        <is>
          <t>First Floor (R)</t>
        </is>
      </c>
      <c r="H230" s="841" t="inlineStr">
        <is>
          <t>Office</t>
        </is>
      </c>
      <c r="I230" s="848" t="n">
        <v>117</v>
      </c>
      <c r="J230" s="848">
        <f>I230</f>
        <v/>
      </c>
      <c r="K230" s="848" t="n">
        <v>250</v>
      </c>
      <c r="L230" s="840" t="inlineStr">
        <is>
          <t>Ms J. Hogan</t>
        </is>
      </c>
      <c r="M230" s="843" t="n">
        <v>45194</v>
      </c>
      <c r="N230" s="844" t="n">
        <v>47020</v>
      </c>
      <c r="Q230" s="844" t="n">
        <v>46289</v>
      </c>
      <c r="R230" s="842" t="n">
        <v>7100</v>
      </c>
      <c r="S230" s="842">
        <f>R230</f>
        <v/>
      </c>
      <c r="U230" s="842" t="n">
        <v>7000</v>
      </c>
      <c r="V230" s="842">
        <f>U230</f>
        <v/>
      </c>
      <c r="W230" s="842" t="n">
        <v>7605</v>
      </c>
      <c r="X230" s="842">
        <f>W230</f>
        <v/>
      </c>
      <c r="Y230" s="845">
        <f>W230/I230</f>
        <v/>
      </c>
      <c r="Z230" s="846">
        <f>SUM(W230-U230)/U230</f>
        <v/>
      </c>
      <c r="AA230" s="842" t="inlineStr">
        <is>
          <t>E</t>
        </is>
      </c>
      <c r="AB230" s="590" t="n"/>
      <c r="AC230" s="591" t="n"/>
      <c r="AD230" s="841" t="inlineStr">
        <is>
          <t>No</t>
        </is>
      </c>
      <c r="AE230" s="840" t="inlineStr">
        <is>
          <t>Tenant break on 6 months notice.</t>
        </is>
      </c>
      <c r="AH230" s="312" t="n"/>
      <c r="AJ230" t="inlineStr">
        <is>
          <t>Let</t>
        </is>
      </c>
    </row>
    <row r="231">
      <c r="A231" t="inlineStr">
        <is>
          <t>25 Margaret Street</t>
        </is>
      </c>
      <c r="B231" s="838" t="n"/>
      <c r="C231" s="839" t="inlineStr">
        <is>
          <t>CM</t>
        </is>
      </c>
      <c r="D231" s="839" t="inlineStr">
        <is>
          <t>MEL</t>
        </is>
      </c>
      <c r="E231" s="838" t="n">
        <v>550800</v>
      </c>
      <c r="F231" s="840" t="inlineStr">
        <is>
          <t>25 Margaret Street</t>
        </is>
      </c>
      <c r="G231" s="840" t="inlineStr">
        <is>
          <t>Second Floor (F)</t>
        </is>
      </c>
      <c r="H231" s="841" t="inlineStr">
        <is>
          <t>Office</t>
        </is>
      </c>
      <c r="I231" s="848" t="n">
        <v>170</v>
      </c>
      <c r="J231" s="848">
        <f>I231</f>
        <v/>
      </c>
      <c r="K231" s="848" t="n">
        <v>250</v>
      </c>
      <c r="L231" s="840" t="inlineStr">
        <is>
          <t>Ms Tara Harrison</t>
        </is>
      </c>
      <c r="M231" s="843" t="n">
        <v>45632</v>
      </c>
      <c r="N231" s="844" t="n">
        <v>47457</v>
      </c>
      <c r="Q231" s="844" t="n">
        <v>46519</v>
      </c>
      <c r="R231" s="842" t="n">
        <v>9400</v>
      </c>
      <c r="S231" s="842">
        <f>R231</f>
        <v/>
      </c>
      <c r="U231" s="842" t="n">
        <v>8925</v>
      </c>
      <c r="V231" s="842">
        <f>U231</f>
        <v/>
      </c>
      <c r="W231" s="842" t="n">
        <v>11050</v>
      </c>
      <c r="X231" s="842">
        <f>W231</f>
        <v/>
      </c>
      <c r="Y231" s="845">
        <f>W231/I231</f>
        <v/>
      </c>
      <c r="Z231" s="846">
        <f>SUM(W231-U231)/U231</f>
        <v/>
      </c>
      <c r="AA231" s="842" t="inlineStr">
        <is>
          <t>E</t>
        </is>
      </c>
      <c r="AB231" s="590" t="n"/>
      <c r="AC231" s="591" t="n"/>
      <c r="AD231" s="841" t="inlineStr">
        <is>
          <t>No</t>
        </is>
      </c>
      <c r="AE231" s="840" t="inlineStr">
        <is>
          <t>Tenant break 12/05/27 on 6 months notice.</t>
        </is>
      </c>
      <c r="AH231" s="312" t="n"/>
      <c r="AJ231" t="inlineStr">
        <is>
          <t>Let</t>
        </is>
      </c>
    </row>
    <row r="232">
      <c r="A232" t="inlineStr">
        <is>
          <t>25 Margaret Street</t>
        </is>
      </c>
      <c r="B232" s="838" t="n"/>
      <c r="C232" s="839" t="inlineStr">
        <is>
          <t>CM</t>
        </is>
      </c>
      <c r="D232" s="839" t="inlineStr">
        <is>
          <t>MEL</t>
        </is>
      </c>
      <c r="E232" s="838" t="n">
        <v>550800</v>
      </c>
      <c r="F232" s="840" t="inlineStr">
        <is>
          <t>25 Margaret Street</t>
        </is>
      </c>
      <c r="G232" s="840" t="inlineStr">
        <is>
          <t>Second Floor (R)</t>
        </is>
      </c>
      <c r="H232" s="841" t="inlineStr">
        <is>
          <t>Office</t>
        </is>
      </c>
      <c r="I232" s="848" t="n">
        <v>130</v>
      </c>
      <c r="J232" s="848">
        <f>I232</f>
        <v/>
      </c>
      <c r="K232" s="848" t="n">
        <v>250</v>
      </c>
      <c r="L232" s="840" t="inlineStr">
        <is>
          <t>Mr R Backes</t>
        </is>
      </c>
      <c r="M232" s="843" t="n">
        <v>44762</v>
      </c>
      <c r="N232" s="844" t="n">
        <v>46587</v>
      </c>
      <c r="Q232" s="844" t="n">
        <v>45857</v>
      </c>
      <c r="R232" s="842" t="n">
        <v>7605</v>
      </c>
      <c r="S232" s="842">
        <f>R232</f>
        <v/>
      </c>
      <c r="U232" s="842" t="n">
        <v>7605</v>
      </c>
      <c r="V232" s="842">
        <f>U232</f>
        <v/>
      </c>
      <c r="W232" s="842" t="n">
        <v>8450</v>
      </c>
      <c r="X232" s="842">
        <f>W232</f>
        <v/>
      </c>
      <c r="Y232" s="845">
        <f>W232/I232</f>
        <v/>
      </c>
      <c r="Z232" s="846">
        <f>SUM(W232-U232)/U232</f>
        <v/>
      </c>
      <c r="AA232" s="842" t="inlineStr">
        <is>
          <t>E</t>
        </is>
      </c>
      <c r="AB232" s="590" t="n"/>
      <c r="AC232" s="591" t="n"/>
      <c r="AD232" s="841" t="inlineStr">
        <is>
          <t>No</t>
        </is>
      </c>
      <c r="AH232" s="312" t="n"/>
      <c r="AJ232" t="inlineStr">
        <is>
          <t>Let</t>
        </is>
      </c>
    </row>
    <row r="233">
      <c r="A233" t="inlineStr">
        <is>
          <t>25 Margaret Street</t>
        </is>
      </c>
      <c r="B233" s="838" t="n"/>
      <c r="C233" s="839" t="inlineStr">
        <is>
          <t>CM</t>
        </is>
      </c>
      <c r="D233" s="839" t="inlineStr">
        <is>
          <t>MEL</t>
        </is>
      </c>
      <c r="E233" s="838" t="n">
        <v>550800</v>
      </c>
      <c r="F233" s="840" t="inlineStr">
        <is>
          <t>25 Margaret Street</t>
        </is>
      </c>
      <c r="G233" s="840" t="inlineStr">
        <is>
          <t>Third &amp; Fourth Floors</t>
        </is>
      </c>
      <c r="H233" s="841" t="inlineStr">
        <is>
          <t>Residential</t>
        </is>
      </c>
      <c r="I233" s="848" t="n">
        <v>600</v>
      </c>
      <c r="J233" s="848">
        <f>I233</f>
        <v/>
      </c>
      <c r="K233" s="848" t="n">
        <v>500</v>
      </c>
      <c r="L233" s="840" t="inlineStr">
        <is>
          <t>Mr Bick Ole &amp; Miss Ana Roomas Ledo</t>
        </is>
      </c>
      <c r="M233" s="843" t="n">
        <v>45135</v>
      </c>
      <c r="N233" s="844" t="n">
        <v>45865</v>
      </c>
      <c r="R233" s="617" t="n">
        <v>40950</v>
      </c>
      <c r="S233" s="842">
        <f>R233</f>
        <v/>
      </c>
      <c r="U233" s="842" t="n">
        <v>36140</v>
      </c>
      <c r="V233" s="842">
        <f>U233</f>
        <v/>
      </c>
      <c r="W233" s="842" t="n">
        <v>39000</v>
      </c>
      <c r="X233" s="842">
        <f>W233</f>
        <v/>
      </c>
      <c r="Y233" s="845">
        <f>W233/I233</f>
        <v/>
      </c>
      <c r="Z233" s="846">
        <f>SUM(W233-U233)/U233</f>
        <v/>
      </c>
      <c r="AA233" s="842" t="inlineStr">
        <is>
          <t>E</t>
        </is>
      </c>
      <c r="AB233" s="590" t="n"/>
      <c r="AC233" s="591" t="n"/>
      <c r="AD233" s="841" t="inlineStr">
        <is>
          <t>No</t>
        </is>
      </c>
      <c r="AE233" s="29" t="inlineStr">
        <is>
          <t>1 year lease renewal completed @ £41,600 from 28/07/25</t>
        </is>
      </c>
      <c r="AH233" s="312" t="n"/>
      <c r="AJ233" t="inlineStr">
        <is>
          <t>Let</t>
        </is>
      </c>
    </row>
    <row r="234">
      <c r="A234" t="inlineStr">
        <is>
          <t>47,48 &amp; 50 Margaret Street</t>
        </is>
      </c>
      <c r="B234" s="838" t="n"/>
      <c r="C234" s="839" t="inlineStr">
        <is>
          <t>SH</t>
        </is>
      </c>
      <c r="D234" s="839" t="inlineStr">
        <is>
          <t>MEL</t>
        </is>
      </c>
      <c r="E234" s="838" t="n">
        <v>550550</v>
      </c>
      <c r="F234" s="840" t="inlineStr">
        <is>
          <t>47,48 &amp; 50 Margaret Street</t>
        </is>
      </c>
      <c r="G234" s="840" t="inlineStr">
        <is>
          <t>Basement (48-50)</t>
        </is>
      </c>
      <c r="H234" s="841" t="inlineStr">
        <is>
          <t>Nightclub</t>
        </is>
      </c>
      <c r="I234" s="848" t="n">
        <v>3664</v>
      </c>
      <c r="J234" s="848">
        <f>I234</f>
        <v/>
      </c>
      <c r="K234" s="848" t="n">
        <v>3500</v>
      </c>
      <c r="L234" s="840" t="inlineStr">
        <is>
          <t>Masterbet Ltd.</t>
        </is>
      </c>
      <c r="M234" s="843" t="n">
        <v>40946</v>
      </c>
      <c r="N234" s="843" t="n">
        <v>46424</v>
      </c>
      <c r="O234" s="843" t="n"/>
      <c r="R234" s="842" t="n">
        <v>230000</v>
      </c>
      <c r="S234" s="842">
        <f>R234</f>
        <v/>
      </c>
      <c r="U234" s="842" t="n">
        <v>225000</v>
      </c>
      <c r="V234" s="842">
        <f>U234</f>
        <v/>
      </c>
      <c r="W234" s="842" t="n">
        <v>200000</v>
      </c>
      <c r="X234" s="842">
        <f>W234</f>
        <v/>
      </c>
      <c r="Y234" s="845">
        <f>W234/I234</f>
        <v/>
      </c>
      <c r="Z234" s="846">
        <f>SUM(W234-U234)/U234</f>
        <v/>
      </c>
      <c r="AA234" s="842" t="inlineStr">
        <is>
          <t>B</t>
        </is>
      </c>
      <c r="AB234" s="590" t="n"/>
      <c r="AC234" s="847" t="n"/>
      <c r="AD234" s="841" t="inlineStr">
        <is>
          <t>No</t>
        </is>
      </c>
      <c r="AE234" s="840" t="inlineStr">
        <is>
          <t>Rent rises to £232,500 @ 07/02/26.</t>
        </is>
      </c>
      <c r="AH234" s="312" t="n"/>
      <c r="AJ234" t="inlineStr">
        <is>
          <t>Let</t>
        </is>
      </c>
    </row>
    <row r="235">
      <c r="A235" t="inlineStr">
        <is>
          <t>47,48 &amp; 50 Margaret Street</t>
        </is>
      </c>
      <c r="B235" s="838" t="n"/>
      <c r="C235" s="839" t="inlineStr">
        <is>
          <t>SH</t>
        </is>
      </c>
      <c r="D235" s="839" t="inlineStr">
        <is>
          <t>MEL</t>
        </is>
      </c>
      <c r="E235" s="838" t="n">
        <v>550550</v>
      </c>
      <c r="F235" s="840" t="inlineStr">
        <is>
          <t>47,48 &amp; 50 Margaret Street</t>
        </is>
      </c>
      <c r="G235" s="840" t="inlineStr">
        <is>
          <t>Ground Floor &amp; Basement (47)</t>
        </is>
      </c>
      <c r="H235" s="841" t="inlineStr">
        <is>
          <t>Retail</t>
        </is>
      </c>
      <c r="I235" s="848" t="n">
        <v>1496</v>
      </c>
      <c r="J235" s="848">
        <f>I235</f>
        <v/>
      </c>
      <c r="K235" s="848" t="n">
        <v>1500</v>
      </c>
      <c r="L235" s="840" t="inlineStr">
        <is>
          <t>MSBB Ltd.</t>
        </is>
      </c>
      <c r="M235" s="843" t="n">
        <v>45178</v>
      </c>
      <c r="N235" s="844" t="n">
        <v>47004</v>
      </c>
      <c r="O235" s="844" t="n"/>
      <c r="R235" s="842" t="n">
        <v>53200</v>
      </c>
      <c r="S235" s="842">
        <f>R235</f>
        <v/>
      </c>
      <c r="U235" s="842" t="n">
        <v>53200</v>
      </c>
      <c r="V235" s="842">
        <f>U235</f>
        <v/>
      </c>
      <c r="W235" s="842" t="n">
        <v>58000</v>
      </c>
      <c r="X235" s="842">
        <f>W235</f>
        <v/>
      </c>
      <c r="Y235" s="845">
        <f>W235/I235</f>
        <v/>
      </c>
      <c r="Z235" s="846">
        <f>SUM(W235-U235)/U235</f>
        <v/>
      </c>
      <c r="AA235" s="842" t="inlineStr">
        <is>
          <t>B</t>
        </is>
      </c>
      <c r="AB235" s="590" t="n"/>
      <c r="AC235" s="847" t="n"/>
      <c r="AD235" s="841" t="inlineStr">
        <is>
          <t>No</t>
        </is>
      </c>
      <c r="AE235" s="840" t="inlineStr">
        <is>
          <t>Landlord break @ 08/09/26 on 6 months notice</t>
        </is>
      </c>
      <c r="AH235" s="312" t="n"/>
      <c r="AJ235" t="inlineStr">
        <is>
          <t>Let</t>
        </is>
      </c>
    </row>
    <row r="236">
      <c r="A236" t="inlineStr">
        <is>
          <t>47,48 &amp; 50 Margaret Street</t>
        </is>
      </c>
      <c r="B236" s="838" t="n"/>
      <c r="C236" s="839" t="inlineStr">
        <is>
          <t>SH</t>
        </is>
      </c>
      <c r="D236" s="839" t="inlineStr">
        <is>
          <t>MEL</t>
        </is>
      </c>
      <c r="E236" s="838" t="n">
        <v>550550</v>
      </c>
      <c r="F236" s="840" t="inlineStr">
        <is>
          <t>47,48 &amp; 50 Margaret Street</t>
        </is>
      </c>
      <c r="G236" s="840" t="inlineStr">
        <is>
          <t>Ground Floor (50)</t>
        </is>
      </c>
      <c r="H236" s="841" t="inlineStr">
        <is>
          <t>Restaurant</t>
        </is>
      </c>
      <c r="I236" s="848" t="n">
        <v>1592</v>
      </c>
      <c r="J236" s="848">
        <f>I236</f>
        <v/>
      </c>
      <c r="K236" s="848" t="n">
        <v>1500</v>
      </c>
      <c r="L236" s="840" t="inlineStr">
        <is>
          <t>Oreno Ramen Limited</t>
        </is>
      </c>
      <c r="M236" s="843" t="n">
        <v>44663</v>
      </c>
      <c r="N236" s="844" t="n">
        <v>50141</v>
      </c>
      <c r="P236" s="844" t="n">
        <v>46489</v>
      </c>
      <c r="Q236" s="844" t="n">
        <v>48315</v>
      </c>
      <c r="R236" s="842" t="n">
        <v>95000</v>
      </c>
      <c r="S236" s="842">
        <f>R236</f>
        <v/>
      </c>
      <c r="U236" s="842" t="n">
        <v>100500</v>
      </c>
      <c r="V236" s="842">
        <f>U236</f>
        <v/>
      </c>
      <c r="W236" s="842" t="n">
        <v>100000</v>
      </c>
      <c r="X236" s="842">
        <f>W236</f>
        <v/>
      </c>
      <c r="Y236" s="845">
        <f>W236/I236</f>
        <v/>
      </c>
      <c r="Z236" s="846">
        <f>SUM(W236-U236)/U236</f>
        <v/>
      </c>
      <c r="AA236" s="617" t="inlineStr">
        <is>
          <t>B</t>
        </is>
      </c>
      <c r="AB236" s="590" t="n"/>
      <c r="AC236" s="847" t="n"/>
      <c r="AD236" s="841" t="inlineStr">
        <is>
          <t>No</t>
        </is>
      </c>
      <c r="AE236" s="840" t="inlineStr">
        <is>
          <t>Stepped rent. £100,000 wef 12/04/26. Mutual break on 9 months notice.</t>
        </is>
      </c>
      <c r="AH236" s="312" t="n"/>
      <c r="AJ236" t="inlineStr">
        <is>
          <t>Let</t>
        </is>
      </c>
    </row>
    <row r="237">
      <c r="A237" t="inlineStr">
        <is>
          <t>47,48 &amp; 50 Margaret Street</t>
        </is>
      </c>
      <c r="B237" s="838" t="n"/>
      <c r="C237" s="839" t="inlineStr">
        <is>
          <t>SH</t>
        </is>
      </c>
      <c r="D237" s="839" t="inlineStr">
        <is>
          <t>MEL</t>
        </is>
      </c>
      <c r="E237" s="838" t="n">
        <v>550550</v>
      </c>
      <c r="F237" s="840" t="inlineStr">
        <is>
          <t>47,48 &amp; 50 Margaret Street</t>
        </is>
      </c>
      <c r="G237" s="840" t="inlineStr">
        <is>
          <t xml:space="preserve">Ground Floor (48) </t>
        </is>
      </c>
      <c r="H237" s="841" t="inlineStr">
        <is>
          <t>Retail</t>
        </is>
      </c>
      <c r="I237" s="848" t="n">
        <v>1704</v>
      </c>
      <c r="J237" s="848">
        <f>I237</f>
        <v/>
      </c>
      <c r="K237" s="848" t="n">
        <v>1750</v>
      </c>
      <c r="L237" s="840" t="inlineStr">
        <is>
          <t>48 Margaret Street Trading Ltd</t>
        </is>
      </c>
      <c r="M237" s="843" t="n">
        <v>45111</v>
      </c>
      <c r="N237" s="844" t="n">
        <v>48763</v>
      </c>
      <c r="P237" s="844" t="n">
        <v>46938</v>
      </c>
      <c r="R237" s="842" t="n">
        <v>105000</v>
      </c>
      <c r="S237" s="842">
        <f>R237</f>
        <v/>
      </c>
      <c r="U237" s="842" t="n">
        <v>96300</v>
      </c>
      <c r="V237" s="842">
        <f>U237</f>
        <v/>
      </c>
      <c r="W237" s="842" t="n">
        <v>105000</v>
      </c>
      <c r="X237" s="842">
        <f>W237</f>
        <v/>
      </c>
      <c r="Y237" s="845">
        <f>W237/I237</f>
        <v/>
      </c>
      <c r="Z237" s="846">
        <f>SUM(W237-U237)/U237</f>
        <v/>
      </c>
      <c r="AA237" s="842" t="inlineStr">
        <is>
          <t>B</t>
        </is>
      </c>
      <c r="AB237" s="590" t="n"/>
      <c r="AC237" s="847" t="n"/>
      <c r="AD237" s="841" t="inlineStr">
        <is>
          <t>No</t>
        </is>
      </c>
      <c r="AH237" s="312" t="n"/>
      <c r="AJ237" t="inlineStr">
        <is>
          <t>Let</t>
        </is>
      </c>
    </row>
    <row r="238">
      <c r="A238" t="inlineStr">
        <is>
          <t>47,48 &amp; 50 Margaret Street</t>
        </is>
      </c>
      <c r="B238" s="838" t="n"/>
      <c r="C238" s="839" t="inlineStr">
        <is>
          <t>SH</t>
        </is>
      </c>
      <c r="D238" s="839" t="inlineStr">
        <is>
          <t>MEL</t>
        </is>
      </c>
      <c r="E238" s="838" t="n">
        <v>550550</v>
      </c>
      <c r="F238" s="840" t="inlineStr">
        <is>
          <t>47,48 &amp; 50 Margaret Street</t>
        </is>
      </c>
      <c r="G238" s="840" t="inlineStr">
        <is>
          <t>First Floor (East)</t>
        </is>
      </c>
      <c r="H238" s="841" t="inlineStr">
        <is>
          <t>D1</t>
        </is>
      </c>
      <c r="I238" s="848" t="n">
        <v>2955</v>
      </c>
      <c r="J238" s="848">
        <f>I238</f>
        <v/>
      </c>
      <c r="K238" s="848" t="n">
        <v>3000</v>
      </c>
      <c r="L238" s="840" t="inlineStr">
        <is>
          <t>Sun Kyeong Qi</t>
        </is>
      </c>
      <c r="M238" s="843" t="n">
        <v>45329</v>
      </c>
      <c r="N238" s="844" t="n">
        <v>46059</v>
      </c>
      <c r="R238" s="842" t="n">
        <v>150000</v>
      </c>
      <c r="S238" s="842">
        <f>R238</f>
        <v/>
      </c>
      <c r="U238" s="842" t="n">
        <v>180000</v>
      </c>
      <c r="V238" s="842">
        <f>U238</f>
        <v/>
      </c>
      <c r="W238" s="842" t="n">
        <v>177300</v>
      </c>
      <c r="X238" s="842">
        <f>W238</f>
        <v/>
      </c>
      <c r="Y238" s="845">
        <f>W238/I238</f>
        <v/>
      </c>
      <c r="Z238" s="846">
        <f>SUM(W238-U238)/U238</f>
        <v/>
      </c>
      <c r="AA238" s="842" t="inlineStr">
        <is>
          <t>C</t>
        </is>
      </c>
      <c r="AB238" s="590" t="n"/>
      <c r="AC238" s="847" t="n"/>
      <c r="AD238" s="841" t="inlineStr">
        <is>
          <t>No</t>
        </is>
      </c>
      <c r="AH238" s="312" t="n"/>
      <c r="AJ238" t="inlineStr">
        <is>
          <t>Let</t>
        </is>
      </c>
    </row>
    <row r="239">
      <c r="A239" t="inlineStr">
        <is>
          <t>47,48 &amp; 50 Margaret Street</t>
        </is>
      </c>
      <c r="B239" s="838" t="n"/>
      <c r="C239" s="839" t="inlineStr">
        <is>
          <t>SH</t>
        </is>
      </c>
      <c r="D239" s="839" t="inlineStr">
        <is>
          <t>MEL</t>
        </is>
      </c>
      <c r="E239" s="838" t="n">
        <v>550550</v>
      </c>
      <c r="F239" s="840" t="inlineStr">
        <is>
          <t>47,48 &amp; 50 Margaret Street</t>
        </is>
      </c>
      <c r="G239" s="840" t="inlineStr">
        <is>
          <t>First Floor (West)</t>
        </is>
      </c>
      <c r="H239" s="841" t="inlineStr">
        <is>
          <t>Office</t>
        </is>
      </c>
      <c r="I239" s="848" t="n">
        <v>388</v>
      </c>
      <c r="J239" s="848">
        <f>I239</f>
        <v/>
      </c>
      <c r="K239" s="848" t="n">
        <v>500</v>
      </c>
      <c r="L239" s="840" t="inlineStr">
        <is>
          <t>Hypecore Limited</t>
        </is>
      </c>
      <c r="M239" s="843" t="n">
        <v>45429</v>
      </c>
      <c r="N239" s="844" t="n">
        <v>47254</v>
      </c>
      <c r="Q239" s="844" t="n">
        <v>46158</v>
      </c>
      <c r="R239" s="842" t="n">
        <v>20520</v>
      </c>
      <c r="S239" s="842">
        <f>R239</f>
        <v/>
      </c>
      <c r="U239" s="842" t="n">
        <v>19000</v>
      </c>
      <c r="V239" s="842">
        <f>U239</f>
        <v/>
      </c>
      <c r="W239" s="842" t="n">
        <v>21000</v>
      </c>
      <c r="X239" s="842">
        <f>W239</f>
        <v/>
      </c>
      <c r="Y239" s="845">
        <f>W239/I239</f>
        <v/>
      </c>
      <c r="Z239" s="846">
        <f>SUM(W239-U239)/U239</f>
        <v/>
      </c>
      <c r="AA239" s="842" t="inlineStr">
        <is>
          <t>C</t>
        </is>
      </c>
      <c r="AB239" s="590" t="n"/>
      <c r="AC239" s="847" t="n"/>
      <c r="AD239" s="841" t="inlineStr">
        <is>
          <t>No</t>
        </is>
      </c>
      <c r="AE239" s="840" t="inlineStr">
        <is>
          <t>Tenant break on 6 months notice.</t>
        </is>
      </c>
      <c r="AH239" s="312" t="n"/>
      <c r="AJ239" t="inlineStr">
        <is>
          <t>Let</t>
        </is>
      </c>
    </row>
    <row r="240">
      <c r="A240" t="inlineStr">
        <is>
          <t>47,48 &amp; 50 Margaret Street</t>
        </is>
      </c>
      <c r="B240" s="838" t="n"/>
      <c r="C240" s="839" t="inlineStr">
        <is>
          <t>SH</t>
        </is>
      </c>
      <c r="D240" s="839" t="inlineStr">
        <is>
          <t>MEL</t>
        </is>
      </c>
      <c r="E240" s="838" t="n">
        <v>550550</v>
      </c>
      <c r="F240" s="840" t="inlineStr">
        <is>
          <t>47,48 &amp; 50 Margaret Street</t>
        </is>
      </c>
      <c r="G240" s="840" t="inlineStr">
        <is>
          <t xml:space="preserve">Second Floor (West) </t>
        </is>
      </c>
      <c r="H240" s="841" t="inlineStr">
        <is>
          <t>Office</t>
        </is>
      </c>
      <c r="I240" s="848" t="n">
        <v>395</v>
      </c>
      <c r="J240" s="848">
        <f>I240</f>
        <v/>
      </c>
      <c r="K240" s="848" t="n">
        <v>500</v>
      </c>
      <c r="L240" s="840" t="inlineStr">
        <is>
          <t>Gnosco Ltd &amp; Fortis Block Management Ltd</t>
        </is>
      </c>
      <c r="M240" s="843" t="n">
        <v>45450</v>
      </c>
      <c r="N240" s="844" t="n">
        <v>47275</v>
      </c>
      <c r="Q240" s="844" t="n">
        <v>46574</v>
      </c>
      <c r="R240" s="842" t="n">
        <v>21850</v>
      </c>
      <c r="S240" s="842">
        <f>R240</f>
        <v/>
      </c>
      <c r="U240" s="842" t="n">
        <v>18900</v>
      </c>
      <c r="V240" s="842">
        <f>U240</f>
        <v/>
      </c>
      <c r="W240" s="842" t="n">
        <v>21850</v>
      </c>
      <c r="X240" s="842">
        <f>W240</f>
        <v/>
      </c>
      <c r="Y240" s="845">
        <f>W240/I240</f>
        <v/>
      </c>
      <c r="Z240" s="846">
        <f>SUM(W240-U240)/U240</f>
        <v/>
      </c>
      <c r="AA240" s="842" t="inlineStr">
        <is>
          <t>C</t>
        </is>
      </c>
      <c r="AB240" s="590" t="n"/>
      <c r="AC240" s="847" t="n"/>
      <c r="AD240" s="841" t="inlineStr">
        <is>
          <t>No</t>
        </is>
      </c>
      <c r="AE240" s="840" t="inlineStr">
        <is>
          <t>Tenant break on 6 months notice. One mnth rent free from 07/06/27 if break not exercised.</t>
        </is>
      </c>
      <c r="AH240" s="312" t="n"/>
      <c r="AJ240" t="inlineStr">
        <is>
          <t>Let</t>
        </is>
      </c>
    </row>
    <row r="241">
      <c r="A241" t="inlineStr">
        <is>
          <t>47,48 &amp; 50 Margaret Street</t>
        </is>
      </c>
      <c r="B241" s="838" t="n"/>
      <c r="C241" s="839" t="inlineStr">
        <is>
          <t>SH</t>
        </is>
      </c>
      <c r="D241" s="839" t="inlineStr">
        <is>
          <t>MEL</t>
        </is>
      </c>
      <c r="E241" s="838" t="n">
        <v>550550</v>
      </c>
      <c r="F241" s="840" t="inlineStr">
        <is>
          <t>47,48 &amp; 50 Margaret Street</t>
        </is>
      </c>
      <c r="G241" s="840" t="inlineStr">
        <is>
          <t>Second Floor (East)</t>
        </is>
      </c>
      <c r="H241" s="841" t="inlineStr">
        <is>
          <t>Office</t>
        </is>
      </c>
      <c r="I241" s="848" t="n">
        <v>2610</v>
      </c>
      <c r="J241" s="848">
        <f>I241</f>
        <v/>
      </c>
      <c r="K241" s="848" t="n">
        <v>2500</v>
      </c>
      <c r="L241" s="840" t="inlineStr">
        <is>
          <t>Vacant</t>
        </is>
      </c>
      <c r="O241" s="844" t="n">
        <v>43783</v>
      </c>
      <c r="R241" s="842" t="n">
        <v>0</v>
      </c>
      <c r="S241" s="842">
        <f>R241</f>
        <v/>
      </c>
      <c r="U241" s="842" t="n">
        <v>182500</v>
      </c>
      <c r="V241" s="842">
        <f>U241</f>
        <v/>
      </c>
      <c r="W241" s="842" t="n">
        <v>169700</v>
      </c>
      <c r="X241" s="842">
        <f>W241</f>
        <v/>
      </c>
      <c r="Y241" s="845">
        <f>W241/I241</f>
        <v/>
      </c>
      <c r="Z241" s="846">
        <f>SUM(W241-U241)/U241</f>
        <v/>
      </c>
      <c r="AA241" s="842" t="inlineStr">
        <is>
          <t>C</t>
        </is>
      </c>
      <c r="AB241" s="590" t="n"/>
      <c r="AC241" s="847" t="n"/>
      <c r="AD241" s="841" t="inlineStr">
        <is>
          <t>No</t>
        </is>
      </c>
      <c r="AE241" s="840" t="inlineStr">
        <is>
          <t>Under offer</t>
        </is>
      </c>
      <c r="AF241" s="849" t="n">
        <v>72.5</v>
      </c>
      <c r="AG241" s="840" t="n">
        <v>3</v>
      </c>
      <c r="AH241" s="312" t="n">
        <v>6</v>
      </c>
      <c r="AJ241" t="inlineStr">
        <is>
          <t>Void</t>
        </is>
      </c>
    </row>
    <row r="242">
      <c r="A242" t="inlineStr">
        <is>
          <t>47,48 &amp; 50 Margaret Street</t>
        </is>
      </c>
      <c r="B242" s="838" t="n"/>
      <c r="C242" s="839" t="inlineStr">
        <is>
          <t>SH</t>
        </is>
      </c>
      <c r="D242" s="839" t="inlineStr">
        <is>
          <t>MEL</t>
        </is>
      </c>
      <c r="E242" s="838" t="n">
        <v>550550</v>
      </c>
      <c r="F242" s="840" t="inlineStr">
        <is>
          <t>47,48 &amp; 50 Margaret Street</t>
        </is>
      </c>
      <c r="G242" s="840" t="inlineStr">
        <is>
          <t>Third Floor (East)</t>
        </is>
      </c>
      <c r="H242" s="841" t="inlineStr">
        <is>
          <t>Office</t>
        </is>
      </c>
      <c r="I242" s="848" t="n">
        <v>2508</v>
      </c>
      <c r="J242" s="848">
        <f>I242</f>
        <v/>
      </c>
      <c r="K242" s="848" t="n">
        <v>2500</v>
      </c>
      <c r="L242" s="840" t="inlineStr">
        <is>
          <t>Vacant</t>
        </is>
      </c>
      <c r="O242" s="844" t="n">
        <v>45504</v>
      </c>
      <c r="R242" s="842" t="n">
        <v>0</v>
      </c>
      <c r="S242" s="842">
        <f>R242</f>
        <v/>
      </c>
      <c r="U242" s="842" t="n">
        <v>138800</v>
      </c>
      <c r="V242" s="842">
        <f>U242</f>
        <v/>
      </c>
      <c r="W242" s="842" t="n">
        <v>141700</v>
      </c>
      <c r="X242" s="842">
        <f>W242</f>
        <v/>
      </c>
      <c r="Y242" s="845">
        <f>W242/I242</f>
        <v/>
      </c>
      <c r="Z242" s="846">
        <f>SUM(W242-U242)/U242</f>
        <v/>
      </c>
      <c r="AA242" s="842" t="inlineStr">
        <is>
          <t>C</t>
        </is>
      </c>
      <c r="AB242" s="590" t="n"/>
      <c r="AC242" s="847" t="n"/>
      <c r="AD242" s="841" t="inlineStr">
        <is>
          <t>No</t>
        </is>
      </c>
      <c r="AE242" s="840" t="inlineStr">
        <is>
          <t>To be refurbished.</t>
        </is>
      </c>
      <c r="AF242" s="849" t="n">
        <v>72.5</v>
      </c>
      <c r="AG242" s="840" t="n">
        <v>3</v>
      </c>
      <c r="AH242" s="312" t="n">
        <v>7</v>
      </c>
      <c r="AI242" s="29" t="inlineStr">
        <is>
          <t>LDG</t>
        </is>
      </c>
      <c r="AJ242" t="inlineStr">
        <is>
          <t>Void</t>
        </is>
      </c>
    </row>
    <row r="243">
      <c r="A243" t="inlineStr">
        <is>
          <t>47,48 &amp; 50 Margaret Street</t>
        </is>
      </c>
      <c r="B243" s="838" t="n"/>
      <c r="C243" s="839" t="inlineStr">
        <is>
          <t>SH</t>
        </is>
      </c>
      <c r="D243" s="839" t="inlineStr">
        <is>
          <t>MEL</t>
        </is>
      </c>
      <c r="E243" s="838" t="n">
        <v>550550</v>
      </c>
      <c r="F243" s="840" t="inlineStr">
        <is>
          <t>47,48 &amp; 50 Margaret Street</t>
        </is>
      </c>
      <c r="G243" s="840" t="inlineStr">
        <is>
          <t>Third Floor (West)</t>
        </is>
      </c>
      <c r="H243" s="841" t="inlineStr">
        <is>
          <t>Office</t>
        </is>
      </c>
      <c r="I243" s="848" t="n">
        <v>389</v>
      </c>
      <c r="J243" s="848">
        <f>I243</f>
        <v/>
      </c>
      <c r="K243" s="848" t="n">
        <v>500</v>
      </c>
      <c r="L243" s="840" t="inlineStr">
        <is>
          <t>Vacant</t>
        </is>
      </c>
      <c r="O243" s="844" t="n">
        <v>45635</v>
      </c>
      <c r="R243" s="842" t="n">
        <v>0</v>
      </c>
      <c r="S243" s="842">
        <f>R243</f>
        <v/>
      </c>
      <c r="U243" s="842" t="n">
        <v>19500</v>
      </c>
      <c r="V243" s="842">
        <f>U243</f>
        <v/>
      </c>
      <c r="W243" s="842" t="n">
        <v>19500</v>
      </c>
      <c r="X243" s="842">
        <f>W243</f>
        <v/>
      </c>
      <c r="Y243" s="845">
        <f>W243/I243</f>
        <v/>
      </c>
      <c r="Z243" s="846">
        <f>SUM(W243-U243)/U243</f>
        <v/>
      </c>
      <c r="AA243" s="842" t="inlineStr">
        <is>
          <t>C</t>
        </is>
      </c>
      <c r="AB243" s="590" t="n"/>
      <c r="AC243" s="847" t="n"/>
      <c r="AD243" s="841" t="inlineStr">
        <is>
          <t>No</t>
        </is>
      </c>
      <c r="AE243" s="840" t="inlineStr">
        <is>
          <t>LEM marketing.</t>
        </is>
      </c>
      <c r="AF243" s="599" t="n"/>
      <c r="AH243" s="312" t="n"/>
      <c r="AJ243" t="inlineStr">
        <is>
          <t>Void</t>
        </is>
      </c>
    </row>
    <row r="244">
      <c r="A244" t="inlineStr">
        <is>
          <t>47,48 &amp; 50 Margaret Street</t>
        </is>
      </c>
      <c r="B244" s="838" t="n"/>
      <c r="C244" s="839" t="inlineStr">
        <is>
          <t>SH</t>
        </is>
      </c>
      <c r="D244" s="839" t="inlineStr">
        <is>
          <t>MEL</t>
        </is>
      </c>
      <c r="E244" s="838" t="n">
        <v>550550</v>
      </c>
      <c r="F244" s="840" t="inlineStr">
        <is>
          <t>47,48 &amp; 50 Margaret Street</t>
        </is>
      </c>
      <c r="G244" s="840" t="inlineStr">
        <is>
          <t>Fourth Floor (West)</t>
        </is>
      </c>
      <c r="H244" s="841" t="inlineStr">
        <is>
          <t>Office</t>
        </is>
      </c>
      <c r="I244" s="848" t="n">
        <v>390</v>
      </c>
      <c r="J244" s="848">
        <f>I244</f>
        <v/>
      </c>
      <c r="K244" s="848" t="n">
        <v>500</v>
      </c>
      <c r="L244" s="840" t="inlineStr">
        <is>
          <t>Sen Yoga Limited</t>
        </is>
      </c>
      <c r="M244" s="843" t="n">
        <v>45680</v>
      </c>
      <c r="N244" s="844" t="n">
        <v>47505</v>
      </c>
      <c r="O244" s="844" t="n"/>
      <c r="P244" s="844" t="n"/>
      <c r="Q244" s="844" t="n">
        <v>46774</v>
      </c>
      <c r="R244" s="842" t="n">
        <v>21060</v>
      </c>
      <c r="S244" s="842">
        <f>R244</f>
        <v/>
      </c>
      <c r="T244" s="842" t="n"/>
      <c r="U244" s="842" t="n">
        <v>0</v>
      </c>
      <c r="V244" s="842">
        <f>U244</f>
        <v/>
      </c>
      <c r="W244" s="842" t="n">
        <v>19500</v>
      </c>
      <c r="X244" s="842">
        <f>W244</f>
        <v/>
      </c>
      <c r="Y244" s="845">
        <f>W244/I244</f>
        <v/>
      </c>
      <c r="Z244" s="846" t="n"/>
      <c r="AA244" s="842" t="inlineStr">
        <is>
          <t>C</t>
        </is>
      </c>
      <c r="AB244" s="590" t="n"/>
      <c r="AC244" s="847" t="n"/>
      <c r="AD244" s="841" t="inlineStr">
        <is>
          <t>No</t>
        </is>
      </c>
      <c r="AE244" s="840" t="inlineStr">
        <is>
          <t>Tenant break on 6 months notice.</t>
        </is>
      </c>
      <c r="AF244" s="849" t="n"/>
      <c r="AG244" s="840" t="n"/>
      <c r="AH244" s="312" t="n"/>
      <c r="AI244" s="840" t="n"/>
      <c r="AJ244" t="inlineStr">
        <is>
          <t>Let</t>
        </is>
      </c>
    </row>
    <row r="245">
      <c r="A245" t="inlineStr">
        <is>
          <t>47,48 &amp; 50 Margaret Street</t>
        </is>
      </c>
      <c r="B245" s="838" t="n"/>
      <c r="C245" s="839" t="inlineStr">
        <is>
          <t>SH</t>
        </is>
      </c>
      <c r="D245" s="839" t="inlineStr">
        <is>
          <t>MEL</t>
        </is>
      </c>
      <c r="E245" s="838" t="n">
        <v>550550</v>
      </c>
      <c r="F245" s="840" t="inlineStr">
        <is>
          <t>47,48 &amp; 50 Margaret Street</t>
        </is>
      </c>
      <c r="G245" s="840" t="inlineStr">
        <is>
          <t>Fourth Floor (East)</t>
        </is>
      </c>
      <c r="H245" s="841" t="inlineStr">
        <is>
          <t>D1</t>
        </is>
      </c>
      <c r="I245" s="848" t="n">
        <v>691</v>
      </c>
      <c r="J245" s="848">
        <f>I245</f>
        <v/>
      </c>
      <c r="K245" s="848" t="n">
        <v>750</v>
      </c>
      <c r="L245" s="840" t="inlineStr">
        <is>
          <t>Vacant</t>
        </is>
      </c>
      <c r="M245" s="843" t="n"/>
      <c r="N245" s="844" t="n"/>
      <c r="O245" s="844" t="n">
        <v>45434</v>
      </c>
      <c r="P245" s="844" t="n"/>
      <c r="Q245" s="844" t="n"/>
      <c r="R245" s="842" t="n">
        <v>0</v>
      </c>
      <c r="S245" s="842">
        <f>R245</f>
        <v/>
      </c>
      <c r="T245" s="842" t="n"/>
      <c r="U245" s="842" t="n">
        <v>42000</v>
      </c>
      <c r="V245" s="842">
        <f>U245</f>
        <v/>
      </c>
      <c r="W245" s="842" t="n">
        <v>41500</v>
      </c>
      <c r="X245" s="842">
        <f>W245</f>
        <v/>
      </c>
      <c r="Y245" s="845">
        <f>W245/I245</f>
        <v/>
      </c>
      <c r="Z245" s="846">
        <f>SUM(W245-U245)/U245</f>
        <v/>
      </c>
      <c r="AA245" s="842" t="inlineStr">
        <is>
          <t>C</t>
        </is>
      </c>
      <c r="AB245" s="590" t="n"/>
      <c r="AC245" s="847" t="n"/>
      <c r="AD245" s="841" t="inlineStr">
        <is>
          <t>No</t>
        </is>
      </c>
      <c r="AE245" s="840" t="inlineStr">
        <is>
          <t>Under offer</t>
        </is>
      </c>
      <c r="AF245" s="849" t="n">
        <v>62.5</v>
      </c>
      <c r="AG245" s="840" t="n">
        <v>1</v>
      </c>
      <c r="AH245" s="312" t="n">
        <v>5</v>
      </c>
      <c r="AI245" s="840" t="n"/>
      <c r="AJ245" t="inlineStr">
        <is>
          <t>Void</t>
        </is>
      </c>
    </row>
    <row r="246">
      <c r="A246" t="inlineStr">
        <is>
          <t>51-53 Margaret Street</t>
        </is>
      </c>
      <c r="B246" s="838" t="n"/>
      <c r="C246" s="839" t="inlineStr">
        <is>
          <t>SH</t>
        </is>
      </c>
      <c r="D246" s="839" t="inlineStr">
        <is>
          <t>MEL</t>
        </is>
      </c>
      <c r="E246" s="838" t="n">
        <v>550510</v>
      </c>
      <c r="F246" s="840" t="inlineStr">
        <is>
          <t>51-53 Margaret Street</t>
        </is>
      </c>
      <c r="G246" s="840" t="inlineStr">
        <is>
          <t>Basement Vault</t>
        </is>
      </c>
      <c r="H246" s="841" t="inlineStr">
        <is>
          <t>Storage</t>
        </is>
      </c>
      <c r="I246" s="848" t="n">
        <v>120</v>
      </c>
      <c r="J246" s="848">
        <f>I246</f>
        <v/>
      </c>
      <c r="K246" s="848" t="n">
        <v>250</v>
      </c>
      <c r="L246" s="840" t="inlineStr">
        <is>
          <t>Kiss The Hippo Fritzrovia Ltd.</t>
        </is>
      </c>
      <c r="M246" s="843" t="n">
        <v>43881</v>
      </c>
      <c r="N246" s="843" t="n">
        <v>47240</v>
      </c>
      <c r="O246" s="843" t="n"/>
      <c r="R246" s="842" t="n">
        <v>0</v>
      </c>
      <c r="S246" s="842">
        <f>R246</f>
        <v/>
      </c>
      <c r="U246" s="842" t="n">
        <v>0</v>
      </c>
      <c r="V246" s="842">
        <f>U246</f>
        <v/>
      </c>
      <c r="W246" s="842" t="n">
        <v>0</v>
      </c>
      <c r="X246" s="842">
        <f>W246</f>
        <v/>
      </c>
      <c r="Y246" s="845">
        <f>W246/I246</f>
        <v/>
      </c>
      <c r="Z246" s="846" t="n"/>
      <c r="AA246" s="842" t="n"/>
      <c r="AB246" s="590" t="inlineStr">
        <is>
          <t>*</t>
        </is>
      </c>
      <c r="AC246" s="847" t="n"/>
      <c r="AD246" s="841" t="inlineStr">
        <is>
          <t>No</t>
        </is>
      </c>
      <c r="AE246" s="840" t="inlineStr">
        <is>
          <t>The rent is a peppercorn.</t>
        </is>
      </c>
      <c r="AH246" s="312" t="n"/>
      <c r="AJ246" t="inlineStr">
        <is>
          <t>Let</t>
        </is>
      </c>
    </row>
    <row r="247">
      <c r="A247" t="inlineStr">
        <is>
          <t>51-53 Margaret Street</t>
        </is>
      </c>
      <c r="B247" s="838" t="n"/>
      <c r="C247" s="839" t="inlineStr">
        <is>
          <t>SH</t>
        </is>
      </c>
      <c r="D247" s="839" t="inlineStr">
        <is>
          <t>MEL</t>
        </is>
      </c>
      <c r="E247" s="838" t="n">
        <v>550510</v>
      </c>
      <c r="F247" s="840" t="inlineStr">
        <is>
          <t>51-53 Margaret Street</t>
        </is>
      </c>
      <c r="G247" s="840" t="inlineStr">
        <is>
          <t>Basement &amp; Ground Floor (West)</t>
        </is>
      </c>
      <c r="H247" s="841" t="inlineStr">
        <is>
          <t>Shop</t>
        </is>
      </c>
      <c r="I247" s="848" t="n">
        <v>1032</v>
      </c>
      <c r="J247" s="848">
        <f>I247</f>
        <v/>
      </c>
      <c r="K247" s="848" t="n">
        <v>1000</v>
      </c>
      <c r="L247" s="840" t="inlineStr">
        <is>
          <t>Kiss The Hippo Fritzrovia Ltd.</t>
        </is>
      </c>
      <c r="M247" s="843" t="n">
        <v>43588</v>
      </c>
      <c r="N247" s="843" t="n">
        <v>47240</v>
      </c>
      <c r="O247" s="843" t="n"/>
      <c r="R247" s="617" t="n">
        <v>70000</v>
      </c>
      <c r="S247" s="842">
        <f>R247</f>
        <v/>
      </c>
      <c r="U247" s="842" t="n">
        <v>57500</v>
      </c>
      <c r="V247" s="842">
        <f>U247</f>
        <v/>
      </c>
      <c r="W247" s="842" t="n">
        <v>57500</v>
      </c>
      <c r="X247" s="842">
        <f>W247</f>
        <v/>
      </c>
      <c r="Y247" s="845">
        <f>W247/I247</f>
        <v/>
      </c>
      <c r="Z247" s="846">
        <f>SUM(W247-U247)/U247</f>
        <v/>
      </c>
      <c r="AA247" s="842" t="inlineStr">
        <is>
          <t>A</t>
        </is>
      </c>
      <c r="AB247" s="590" t="n"/>
      <c r="AC247" s="847" t="n"/>
      <c r="AD247" s="841" t="inlineStr">
        <is>
          <t>No</t>
        </is>
      </c>
      <c r="AE247" s="29" t="inlineStr">
        <is>
          <t>Rent review completed wef 03/05/24. Rent increase from £67,500 to £70,000</t>
        </is>
      </c>
      <c r="AH247" s="312" t="n"/>
      <c r="AJ247" t="inlineStr">
        <is>
          <t>Let</t>
        </is>
      </c>
    </row>
    <row r="248">
      <c r="A248" t="inlineStr">
        <is>
          <t>51-53 Margaret Street</t>
        </is>
      </c>
      <c r="B248" s="838" t="n"/>
      <c r="C248" s="839" t="inlineStr">
        <is>
          <t>SH</t>
        </is>
      </c>
      <c r="D248" s="839" t="inlineStr">
        <is>
          <t>MEL</t>
        </is>
      </c>
      <c r="E248" s="838" t="n">
        <v>550510</v>
      </c>
      <c r="F248" s="840" t="inlineStr">
        <is>
          <t>51-53 Margaret Street</t>
        </is>
      </c>
      <c r="G248" s="840" t="inlineStr">
        <is>
          <t>Basement (East)</t>
        </is>
      </c>
      <c r="H248" s="841" t="inlineStr">
        <is>
          <t>Showroom</t>
        </is>
      </c>
      <c r="I248" s="848" t="n">
        <v>1028</v>
      </c>
      <c r="J248" s="848">
        <f>I248</f>
        <v/>
      </c>
      <c r="K248" s="848" t="n">
        <v>1000</v>
      </c>
      <c r="L248" s="840" t="inlineStr">
        <is>
          <t>Shtager &amp; Schch Limited</t>
        </is>
      </c>
      <c r="M248" s="843" t="n">
        <v>44966</v>
      </c>
      <c r="N248" s="844" t="n">
        <v>46791</v>
      </c>
      <c r="O248" s="844" t="n"/>
      <c r="R248" s="842" t="n">
        <v>35000</v>
      </c>
      <c r="S248" s="842">
        <f>R248</f>
        <v/>
      </c>
      <c r="U248" s="842" t="n">
        <v>36000</v>
      </c>
      <c r="V248" s="842">
        <f>U248</f>
        <v/>
      </c>
      <c r="W248" s="842" t="n">
        <v>35000</v>
      </c>
      <c r="X248" s="842">
        <f>W248</f>
        <v/>
      </c>
      <c r="Y248" s="845">
        <f>W248/I248</f>
        <v/>
      </c>
      <c r="Z248" s="846">
        <f>SUM(W248-U248)/U248</f>
        <v/>
      </c>
      <c r="AA248" s="842" t="inlineStr">
        <is>
          <t>D</t>
        </is>
      </c>
      <c r="AB248" s="590" t="n"/>
      <c r="AC248" s="847" t="n"/>
      <c r="AD248" s="841" t="inlineStr">
        <is>
          <t>No</t>
        </is>
      </c>
      <c r="AE248" s="840" t="inlineStr">
        <is>
          <t>Struggling tenant. Unit Under offer.</t>
        </is>
      </c>
      <c r="AH248" s="312" t="n">
        <v>2</v>
      </c>
      <c r="AI248" s="840" t="inlineStr">
        <is>
          <t>LEM</t>
        </is>
      </c>
      <c r="AJ248" t="inlineStr">
        <is>
          <t>Let</t>
        </is>
      </c>
    </row>
    <row r="249">
      <c r="A249" t="inlineStr">
        <is>
          <t>51-53 Margaret Street</t>
        </is>
      </c>
      <c r="B249" s="838" t="n"/>
      <c r="C249" s="839" t="inlineStr">
        <is>
          <t>SH</t>
        </is>
      </c>
      <c r="D249" s="839" t="inlineStr">
        <is>
          <t>MEL</t>
        </is>
      </c>
      <c r="E249" s="838" t="n">
        <v>550510</v>
      </c>
      <c r="F249" s="840" t="inlineStr">
        <is>
          <t>51-53 Margaret Street</t>
        </is>
      </c>
      <c r="G249" s="840" t="inlineStr">
        <is>
          <t>Basement Vault</t>
        </is>
      </c>
      <c r="H249" s="841" t="inlineStr">
        <is>
          <t>Storage</t>
        </is>
      </c>
      <c r="I249" s="848" t="n">
        <v>90</v>
      </c>
      <c r="J249" s="848">
        <f>I249</f>
        <v/>
      </c>
      <c r="L249" s="840" t="inlineStr">
        <is>
          <t>Vacant / Landlord</t>
        </is>
      </c>
      <c r="N249" s="844" t="n"/>
      <c r="O249" s="844" t="n">
        <v>44681</v>
      </c>
      <c r="R249" s="842" t="n">
        <v>0</v>
      </c>
      <c r="S249" s="842">
        <f>R249</f>
        <v/>
      </c>
      <c r="U249" s="842" t="n">
        <v>5665</v>
      </c>
      <c r="V249" s="842">
        <f>U249</f>
        <v/>
      </c>
      <c r="W249" s="842" t="n">
        <v>900</v>
      </c>
      <c r="X249" s="842">
        <f>W249</f>
        <v/>
      </c>
      <c r="Y249" s="845">
        <f>W249/I249</f>
        <v/>
      </c>
      <c r="Z249" s="846">
        <f>SUM(W249-U249)/U249</f>
        <v/>
      </c>
      <c r="AA249" s="842" t="n"/>
      <c r="AB249" s="590" t="n"/>
      <c r="AC249" s="847" t="n"/>
      <c r="AD249" s="841" t="inlineStr">
        <is>
          <t>No</t>
        </is>
      </c>
      <c r="AH249" s="312" t="n"/>
      <c r="AJ249" t="inlineStr">
        <is>
          <t>Void</t>
        </is>
      </c>
    </row>
    <row r="250">
      <c r="A250" t="inlineStr">
        <is>
          <t>51-53 Margaret Street</t>
        </is>
      </c>
      <c r="B250" s="838" t="n"/>
      <c r="C250" s="839" t="inlineStr">
        <is>
          <t>SH</t>
        </is>
      </c>
      <c r="D250" s="839" t="inlineStr">
        <is>
          <t>MEL</t>
        </is>
      </c>
      <c r="E250" s="838" t="n">
        <v>550510</v>
      </c>
      <c r="F250" s="840" t="inlineStr">
        <is>
          <t>51-53 Margaret Street</t>
        </is>
      </c>
      <c r="G250" s="840" t="inlineStr">
        <is>
          <t>Ground Floor (East)</t>
        </is>
      </c>
      <c r="H250" s="860" t="inlineStr">
        <is>
          <t>Shop</t>
        </is>
      </c>
      <c r="I250" s="848" t="n">
        <v>894</v>
      </c>
      <c r="J250" s="848">
        <f>I250</f>
        <v/>
      </c>
      <c r="K250" s="848" t="n">
        <v>1000</v>
      </c>
      <c r="L250" s="840" t="inlineStr">
        <is>
          <t>Phyto Nourishment Limited</t>
        </is>
      </c>
      <c r="M250" s="843" t="n">
        <v>45413</v>
      </c>
      <c r="N250" s="844" t="n">
        <v>49064</v>
      </c>
      <c r="P250" s="844" t="n">
        <v>47239</v>
      </c>
      <c r="Q250" s="844" t="n">
        <v>46507</v>
      </c>
      <c r="R250" s="842" t="n">
        <v>100000</v>
      </c>
      <c r="S250" s="842">
        <f>R250</f>
        <v/>
      </c>
      <c r="U250" s="842" t="n">
        <v>90000</v>
      </c>
      <c r="V250" s="842">
        <f>U250</f>
        <v/>
      </c>
      <c r="W250" s="842" t="n">
        <v>100000</v>
      </c>
      <c r="X250" s="842">
        <f>W250</f>
        <v/>
      </c>
      <c r="Y250" s="845">
        <f>W250/I250</f>
        <v/>
      </c>
      <c r="Z250" s="846">
        <f>SUM(W250-U250)/U250</f>
        <v/>
      </c>
      <c r="AA250" s="842" t="inlineStr">
        <is>
          <t>D</t>
        </is>
      </c>
      <c r="AB250" s="590" t="n"/>
      <c r="AC250" s="847" t="n"/>
      <c r="AD250" s="841" t="inlineStr">
        <is>
          <t>No</t>
        </is>
      </c>
      <c r="AE250" s="840" t="inlineStr">
        <is>
          <t>Tenant break on 6 months notice with a penalty clause if exercised. Tenant in Administration. Under offer</t>
        </is>
      </c>
      <c r="AH250" s="312" t="n"/>
      <c r="AJ250" t="inlineStr">
        <is>
          <t>Let</t>
        </is>
      </c>
    </row>
    <row r="251">
      <c r="A251" t="inlineStr">
        <is>
          <t>51-53 Margaret Street</t>
        </is>
      </c>
      <c r="B251" s="838" t="n"/>
      <c r="C251" s="839" t="inlineStr">
        <is>
          <t>SH</t>
        </is>
      </c>
      <c r="D251" s="839" t="inlineStr">
        <is>
          <t>MEL</t>
        </is>
      </c>
      <c r="E251" s="838" t="n">
        <v>550510</v>
      </c>
      <c r="F251" s="840" t="inlineStr">
        <is>
          <t>51-53 Margaret Street</t>
        </is>
      </c>
      <c r="G251" s="840" t="inlineStr">
        <is>
          <t>First Floor (East)</t>
        </is>
      </c>
      <c r="H251" s="860" t="inlineStr">
        <is>
          <t>Office</t>
        </is>
      </c>
      <c r="I251" s="848" t="n">
        <v>635</v>
      </c>
      <c r="J251" s="848">
        <f>I251</f>
        <v/>
      </c>
      <c r="K251" s="848" t="n">
        <v>750</v>
      </c>
      <c r="L251" s="840" t="inlineStr">
        <is>
          <t>More &amp; More Studio Limited</t>
        </is>
      </c>
      <c r="M251" s="843" t="n">
        <v>45431</v>
      </c>
      <c r="N251" s="844" t="n">
        <v>46525</v>
      </c>
      <c r="R251" s="842" t="n">
        <v>36500</v>
      </c>
      <c r="S251" s="842">
        <f>R251</f>
        <v/>
      </c>
      <c r="U251" s="842" t="n">
        <v>36500</v>
      </c>
      <c r="V251" s="842">
        <f>U251</f>
        <v/>
      </c>
      <c r="W251" s="842" t="n">
        <v>36500</v>
      </c>
      <c r="X251" s="842">
        <f>W251</f>
        <v/>
      </c>
      <c r="Y251" s="845">
        <f>W251/I251</f>
        <v/>
      </c>
      <c r="Z251" s="846">
        <f>SUM(W251-U251)/U251</f>
        <v/>
      </c>
      <c r="AA251" s="842" t="inlineStr">
        <is>
          <t>E</t>
        </is>
      </c>
      <c r="AB251" s="590" t="n"/>
      <c r="AC251" s="847" t="n"/>
      <c r="AD251" s="841" t="inlineStr">
        <is>
          <t>No</t>
        </is>
      </c>
      <c r="AE251" s="29" t="inlineStr">
        <is>
          <t>Tenant break passed.</t>
        </is>
      </c>
      <c r="AH251" s="312" t="n"/>
      <c r="AJ251" t="inlineStr">
        <is>
          <t>Let</t>
        </is>
      </c>
    </row>
    <row r="252">
      <c r="A252" t="inlineStr">
        <is>
          <t>51-53 Margaret Street</t>
        </is>
      </c>
      <c r="B252" s="838" t="n"/>
      <c r="C252" s="839" t="inlineStr">
        <is>
          <t>SH</t>
        </is>
      </c>
      <c r="D252" s="839" t="inlineStr">
        <is>
          <t>MEL</t>
        </is>
      </c>
      <c r="E252" s="838" t="n">
        <v>550510</v>
      </c>
      <c r="F252" s="840" t="inlineStr">
        <is>
          <t>51-53 Margaret Street</t>
        </is>
      </c>
      <c r="G252" s="840" t="inlineStr">
        <is>
          <t>First Floor (West)</t>
        </is>
      </c>
      <c r="H252" s="841" t="inlineStr">
        <is>
          <t>Office</t>
        </is>
      </c>
      <c r="I252" s="855" t="n">
        <v>450</v>
      </c>
      <c r="J252" s="848">
        <f>I252</f>
        <v/>
      </c>
      <c r="K252" s="848" t="n">
        <v>500</v>
      </c>
      <c r="L252" s="840" t="inlineStr">
        <is>
          <t>Vacant</t>
        </is>
      </c>
      <c r="O252" s="844" t="n">
        <v>42943</v>
      </c>
      <c r="R252" s="842" t="n">
        <v>0</v>
      </c>
      <c r="S252" s="842">
        <f>R252</f>
        <v/>
      </c>
      <c r="U252" s="842" t="n">
        <v>23600</v>
      </c>
      <c r="V252" s="842">
        <f>U252</f>
        <v/>
      </c>
      <c r="W252" s="842" t="n">
        <v>24800</v>
      </c>
      <c r="X252" s="842">
        <f>W252</f>
        <v/>
      </c>
      <c r="Y252" s="845">
        <f>W252/I252</f>
        <v/>
      </c>
      <c r="Z252" s="846">
        <f>SUM(W252-U252)/U252</f>
        <v/>
      </c>
      <c r="AA252" s="842" t="inlineStr">
        <is>
          <t>B</t>
        </is>
      </c>
      <c r="AB252" s="590" t="n"/>
      <c r="AC252" s="847" t="n"/>
      <c r="AD252" s="841" t="inlineStr">
        <is>
          <t>No</t>
        </is>
      </c>
      <c r="AE252" s="840" t="inlineStr">
        <is>
          <t>To be refurbished.</t>
        </is>
      </c>
      <c r="AG252" s="840" t="n">
        <v>1</v>
      </c>
      <c r="AH252" s="312" t="n">
        <v>3</v>
      </c>
      <c r="AI252" s="840" t="inlineStr">
        <is>
          <t>LEM / RIB</t>
        </is>
      </c>
      <c r="AJ252" t="inlineStr">
        <is>
          <t>Void</t>
        </is>
      </c>
    </row>
    <row r="253">
      <c r="A253" t="inlineStr">
        <is>
          <t>51-53 Margaret Street</t>
        </is>
      </c>
      <c r="B253" s="838" t="n"/>
      <c r="C253" s="839" t="inlineStr">
        <is>
          <t>SH</t>
        </is>
      </c>
      <c r="D253" s="839" t="inlineStr">
        <is>
          <t>MEL</t>
        </is>
      </c>
      <c r="E253" s="838" t="n">
        <v>550510</v>
      </c>
      <c r="F253" s="840" t="inlineStr">
        <is>
          <t>51-53 Margaret Street</t>
        </is>
      </c>
      <c r="G253" s="840" t="inlineStr">
        <is>
          <t>Second Floor (East)</t>
        </is>
      </c>
      <c r="H253" s="841" t="inlineStr">
        <is>
          <t>Office</t>
        </is>
      </c>
      <c r="I253" s="848" t="n">
        <v>615</v>
      </c>
      <c r="J253" s="848">
        <f>I253</f>
        <v/>
      </c>
      <c r="K253" s="848" t="n">
        <v>500</v>
      </c>
      <c r="L253" s="840" t="inlineStr">
        <is>
          <t>G. McGonagle &amp; I. Robertson</t>
        </is>
      </c>
      <c r="M253" s="843" t="n">
        <v>45092</v>
      </c>
      <c r="N253" s="844" t="n">
        <v>46918</v>
      </c>
      <c r="Q253" s="844" t="n">
        <v>46187</v>
      </c>
      <c r="R253" s="842" t="n">
        <v>35363</v>
      </c>
      <c r="S253" s="842">
        <f>R253</f>
        <v/>
      </c>
      <c r="U253" s="842" t="n">
        <v>32300</v>
      </c>
      <c r="V253" s="842">
        <f>U253</f>
        <v/>
      </c>
      <c r="W253" s="842" t="n">
        <v>35363</v>
      </c>
      <c r="X253" s="842">
        <f>W253</f>
        <v/>
      </c>
      <c r="Y253" s="845">
        <f>W253/I253</f>
        <v/>
      </c>
      <c r="Z253" s="846">
        <f>SUM(W253-U253)/U253</f>
        <v/>
      </c>
      <c r="AA253" s="842" t="n"/>
      <c r="AB253" s="590" t="n"/>
      <c r="AC253" s="847" t="n"/>
      <c r="AD253" s="841" t="inlineStr">
        <is>
          <t>No</t>
        </is>
      </c>
      <c r="AE253" s="840" t="inlineStr">
        <is>
          <t>Tenant break on 6 months notice. 2 months rent free if not exercised.</t>
        </is>
      </c>
      <c r="AH253" s="312" t="n"/>
      <c r="AJ253" t="inlineStr">
        <is>
          <t>Let</t>
        </is>
      </c>
    </row>
    <row r="254">
      <c r="A254" t="inlineStr">
        <is>
          <t>51-53 Margaret Street</t>
        </is>
      </c>
      <c r="B254" s="838" t="n"/>
      <c r="C254" s="839" t="inlineStr">
        <is>
          <t>SH</t>
        </is>
      </c>
      <c r="D254" s="839" t="inlineStr">
        <is>
          <t>MEL</t>
        </is>
      </c>
      <c r="E254" s="838" t="n">
        <v>550510</v>
      </c>
      <c r="F254" s="840" t="inlineStr">
        <is>
          <t>51-53 Margaret Street</t>
        </is>
      </c>
      <c r="G254" s="840" t="inlineStr">
        <is>
          <t>Second Floor (West)</t>
        </is>
      </c>
      <c r="H254" s="841" t="inlineStr">
        <is>
          <t>Office</t>
        </is>
      </c>
      <c r="I254" s="848" t="n">
        <v>500</v>
      </c>
      <c r="J254" s="848">
        <f>I254</f>
        <v/>
      </c>
      <c r="K254" s="848" t="n">
        <v>500</v>
      </c>
      <c r="L254" s="840" t="inlineStr">
        <is>
          <t>Vacant</t>
        </is>
      </c>
      <c r="O254" s="844" t="n">
        <v>43820</v>
      </c>
      <c r="R254" s="842" t="n">
        <v>0</v>
      </c>
      <c r="S254" s="842">
        <f>R254</f>
        <v/>
      </c>
      <c r="U254" s="842" t="n">
        <v>26300</v>
      </c>
      <c r="V254" s="842">
        <f>U254</f>
        <v/>
      </c>
      <c r="W254" s="842" t="n">
        <v>27500</v>
      </c>
      <c r="X254" s="842">
        <f>W254</f>
        <v/>
      </c>
      <c r="Y254" s="845">
        <f>W254/I254</f>
        <v/>
      </c>
      <c r="Z254" s="846">
        <f>SUM(W254-U254)/U254</f>
        <v/>
      </c>
      <c r="AA254" s="842" t="inlineStr">
        <is>
          <t>E</t>
        </is>
      </c>
      <c r="AB254" s="590" t="n"/>
      <c r="AC254" s="847" t="n"/>
      <c r="AD254" s="841" t="inlineStr">
        <is>
          <t>No</t>
        </is>
      </c>
      <c r="AE254" s="840" t="inlineStr">
        <is>
          <t>LEM marketing.</t>
        </is>
      </c>
      <c r="AF254" s="849" t="n">
        <v>58.5</v>
      </c>
      <c r="AG254" s="840" t="n">
        <v>1</v>
      </c>
      <c r="AH254" s="312" t="n">
        <v>4</v>
      </c>
      <c r="AI254" s="840" t="inlineStr">
        <is>
          <t>LEM / RIB</t>
        </is>
      </c>
      <c r="AJ254" t="inlineStr">
        <is>
          <t>Void</t>
        </is>
      </c>
    </row>
    <row r="255">
      <c r="A255" t="inlineStr">
        <is>
          <t>51-53 Margaret Street</t>
        </is>
      </c>
      <c r="B255" s="838" t="n"/>
      <c r="C255" s="839" t="inlineStr">
        <is>
          <t>SH</t>
        </is>
      </c>
      <c r="D255" s="839" t="inlineStr">
        <is>
          <t>MEL</t>
        </is>
      </c>
      <c r="E255" s="838" t="n">
        <v>550510</v>
      </c>
      <c r="F255" s="840" t="inlineStr">
        <is>
          <t>51-53 Margaret Street</t>
        </is>
      </c>
      <c r="G255" s="840" t="inlineStr">
        <is>
          <t>Third Floor (West)</t>
        </is>
      </c>
      <c r="H255" s="841" t="inlineStr">
        <is>
          <t>Office</t>
        </is>
      </c>
      <c r="I255" s="848" t="n">
        <v>504</v>
      </c>
      <c r="J255" s="848">
        <f>I255</f>
        <v/>
      </c>
      <c r="K255" s="848" t="n">
        <v>500</v>
      </c>
      <c r="L255" s="840" t="inlineStr">
        <is>
          <t>Reishi Clinic Ltd</t>
        </is>
      </c>
      <c r="M255" s="843" t="n">
        <v>45601</v>
      </c>
      <c r="N255" s="844" t="n">
        <v>47426</v>
      </c>
      <c r="Q255" s="844" t="n">
        <v>46330</v>
      </c>
      <c r="R255" s="842" t="n">
        <v>28050</v>
      </c>
      <c r="S255" s="842">
        <f>R255</f>
        <v/>
      </c>
      <c r="U255" s="842" t="n">
        <v>26500</v>
      </c>
      <c r="V255" s="842">
        <f>U255</f>
        <v/>
      </c>
      <c r="W255" s="842" t="n">
        <v>27700</v>
      </c>
      <c r="X255" s="842">
        <f>W255</f>
        <v/>
      </c>
      <c r="Y255" s="845">
        <f>W255/I255</f>
        <v/>
      </c>
      <c r="Z255" s="846">
        <f>SUM(W255-U255)/U255</f>
        <v/>
      </c>
      <c r="AA255" s="842" t="inlineStr">
        <is>
          <t>E</t>
        </is>
      </c>
      <c r="AB255" s="590" t="n"/>
      <c r="AC255" s="847" t="n"/>
      <c r="AD255" s="841" t="inlineStr">
        <is>
          <t>No</t>
        </is>
      </c>
      <c r="AE255" s="840" t="inlineStr">
        <is>
          <t>Tenant break on 6 months notice.</t>
        </is>
      </c>
      <c r="AF255" s="599" t="n"/>
      <c r="AH255" s="312" t="n"/>
      <c r="AJ255" t="inlineStr">
        <is>
          <t>Let</t>
        </is>
      </c>
    </row>
    <row r="256">
      <c r="A256" t="inlineStr">
        <is>
          <t>51-53 Margaret Street</t>
        </is>
      </c>
      <c r="B256" s="838" t="n"/>
      <c r="C256" s="839" t="inlineStr">
        <is>
          <t>SH</t>
        </is>
      </c>
      <c r="D256" s="839" t="inlineStr">
        <is>
          <t>MEL</t>
        </is>
      </c>
      <c r="E256" s="838" t="n">
        <v>550510</v>
      </c>
      <c r="F256" s="840" t="inlineStr">
        <is>
          <t>51-53 Margaret Street</t>
        </is>
      </c>
      <c r="G256" s="840" t="inlineStr">
        <is>
          <t>Third Floor (East)</t>
        </is>
      </c>
      <c r="H256" s="841" t="inlineStr">
        <is>
          <t>Office</t>
        </is>
      </c>
      <c r="I256" s="848" t="n">
        <v>591</v>
      </c>
      <c r="J256" s="848">
        <f>I256</f>
        <v/>
      </c>
      <c r="K256" s="848" t="n">
        <v>500</v>
      </c>
      <c r="L256" s="840" t="inlineStr">
        <is>
          <t>Vacant</t>
        </is>
      </c>
      <c r="O256" s="844" t="n">
        <v>44119</v>
      </c>
      <c r="R256" s="842" t="n">
        <v>0</v>
      </c>
      <c r="S256" s="842">
        <f>R256</f>
        <v/>
      </c>
      <c r="U256" s="842" t="n">
        <v>31000</v>
      </c>
      <c r="V256" s="842">
        <f>U256</f>
        <v/>
      </c>
      <c r="W256" s="842" t="n">
        <v>32500</v>
      </c>
      <c r="X256" s="842">
        <f>W256</f>
        <v/>
      </c>
      <c r="Y256" s="845">
        <f>W256/I256</f>
        <v/>
      </c>
      <c r="Z256" s="846">
        <f>SUM(W256-U256)/U256</f>
        <v/>
      </c>
      <c r="AA256" s="842" t="inlineStr">
        <is>
          <t>E</t>
        </is>
      </c>
      <c r="AB256" s="590" t="n"/>
      <c r="AC256" s="847" t="n"/>
      <c r="AD256" s="841" t="inlineStr">
        <is>
          <t>No</t>
        </is>
      </c>
      <c r="AE256" s="840" t="inlineStr">
        <is>
          <t>LEM marketing.</t>
        </is>
      </c>
      <c r="AF256" s="849" t="n">
        <v>58.5</v>
      </c>
      <c r="AG256" s="840" t="n">
        <v>2</v>
      </c>
      <c r="AH256" s="312" t="n">
        <v>2</v>
      </c>
      <c r="AI256" s="840" t="inlineStr">
        <is>
          <t>LEM/LDG</t>
        </is>
      </c>
      <c r="AJ256" t="inlineStr">
        <is>
          <t>Void</t>
        </is>
      </c>
    </row>
    <row r="257">
      <c r="A257" t="inlineStr">
        <is>
          <t>51-53 Margaret Street</t>
        </is>
      </c>
      <c r="B257" s="838" t="n"/>
      <c r="C257" s="839" t="inlineStr">
        <is>
          <t>SH</t>
        </is>
      </c>
      <c r="D257" s="839" t="inlineStr">
        <is>
          <t>MEL</t>
        </is>
      </c>
      <c r="E257" s="838" t="n">
        <v>550510</v>
      </c>
      <c r="F257" s="840" t="inlineStr">
        <is>
          <t>51-53 Margaret Street</t>
        </is>
      </c>
      <c r="G257" s="840" t="inlineStr">
        <is>
          <t>Fourth Floor (West)</t>
        </is>
      </c>
      <c r="H257" s="841" t="inlineStr">
        <is>
          <t>Office</t>
        </is>
      </c>
      <c r="I257" s="848" t="n">
        <v>450</v>
      </c>
      <c r="J257" s="848">
        <f>I257</f>
        <v/>
      </c>
      <c r="K257" s="848" t="n">
        <v>500</v>
      </c>
      <c r="L257" s="840" t="inlineStr">
        <is>
          <t>Vacant</t>
        </is>
      </c>
      <c r="O257" s="844" t="n">
        <v>43389</v>
      </c>
      <c r="R257" s="842" t="n">
        <v>0</v>
      </c>
      <c r="S257" s="842">
        <f>R257</f>
        <v/>
      </c>
      <c r="U257" s="842" t="n">
        <v>23600</v>
      </c>
      <c r="V257" s="842">
        <f>U257</f>
        <v/>
      </c>
      <c r="W257" s="842" t="n">
        <v>24800</v>
      </c>
      <c r="X257" s="842">
        <f>W257</f>
        <v/>
      </c>
      <c r="Y257" s="845">
        <f>W257/I257</f>
        <v/>
      </c>
      <c r="Z257" s="846">
        <f>SUM(W257-U257)/U257</f>
        <v/>
      </c>
      <c r="AA257" s="842" t="inlineStr">
        <is>
          <t>E</t>
        </is>
      </c>
      <c r="AB257" s="590" t="n"/>
      <c r="AC257" s="847" t="n"/>
      <c r="AD257" s="841" t="inlineStr">
        <is>
          <t>No</t>
        </is>
      </c>
      <c r="AE257" s="840" t="inlineStr">
        <is>
          <t>LEM marketing.</t>
        </is>
      </c>
      <c r="AF257" s="849" t="n">
        <v>58.5</v>
      </c>
      <c r="AG257" s="840" t="n">
        <v>1</v>
      </c>
      <c r="AH257" s="312" t="n">
        <v>1</v>
      </c>
      <c r="AJ257" t="inlineStr">
        <is>
          <t>Void</t>
        </is>
      </c>
    </row>
    <row r="258">
      <c r="A258" t="inlineStr">
        <is>
          <t>51-53 Margaret Street</t>
        </is>
      </c>
      <c r="B258" s="838" t="n"/>
      <c r="C258" s="839" t="inlineStr">
        <is>
          <t>SH</t>
        </is>
      </c>
      <c r="D258" s="839" t="inlineStr">
        <is>
          <t>MEL</t>
        </is>
      </c>
      <c r="E258" s="838" t="n">
        <v>550510</v>
      </c>
      <c r="F258" s="840" t="inlineStr">
        <is>
          <t>51-53 Margaret Street</t>
        </is>
      </c>
      <c r="G258" s="840" t="inlineStr">
        <is>
          <t>Fourth Floor (East)</t>
        </is>
      </c>
      <c r="H258" s="841" t="inlineStr">
        <is>
          <t>Office</t>
        </is>
      </c>
      <c r="I258" s="848" t="n">
        <v>582</v>
      </c>
      <c r="J258" s="848">
        <f>I258</f>
        <v/>
      </c>
      <c r="K258" s="848" t="n">
        <v>500</v>
      </c>
      <c r="L258" s="840" t="inlineStr">
        <is>
          <t>MDB Sarl</t>
        </is>
      </c>
      <c r="M258" s="843" t="n">
        <v>45614</v>
      </c>
      <c r="N258" s="844" t="n">
        <v>46343</v>
      </c>
      <c r="R258" s="842" t="n">
        <v>42282</v>
      </c>
      <c r="S258" s="842">
        <f>R258</f>
        <v/>
      </c>
      <c r="U258" s="842" t="n">
        <v>34000</v>
      </c>
      <c r="V258" s="842">
        <f>U258</f>
        <v/>
      </c>
      <c r="W258" s="842" t="n">
        <v>34000</v>
      </c>
      <c r="X258" s="842">
        <f>W258</f>
        <v/>
      </c>
      <c r="Y258" s="845">
        <f>W258/I258</f>
        <v/>
      </c>
      <c r="Z258" s="846">
        <f>SUM(W258-U258)/U258</f>
        <v/>
      </c>
      <c r="AA258" s="842" t="inlineStr">
        <is>
          <t>E</t>
        </is>
      </c>
      <c r="AB258" s="590" t="n"/>
      <c r="AC258" s="847" t="n"/>
      <c r="AD258" s="841" t="inlineStr">
        <is>
          <t>No</t>
        </is>
      </c>
      <c r="AE258" s="840" t="inlineStr">
        <is>
          <t>All inclusive Service charge &amp; Insurance.</t>
        </is>
      </c>
      <c r="AF258" s="599" t="n"/>
      <c r="AH258" s="312" t="n"/>
      <c r="AJ258" t="inlineStr">
        <is>
          <t>Let</t>
        </is>
      </c>
    </row>
    <row r="259">
      <c r="A259" t="inlineStr">
        <is>
          <t>63-64 Margaret Street</t>
        </is>
      </c>
      <c r="B259" s="838" t="n"/>
      <c r="C259" s="839" t="inlineStr">
        <is>
          <t>CM</t>
        </is>
      </c>
      <c r="D259" s="839" t="inlineStr">
        <is>
          <t>MEL</t>
        </is>
      </c>
      <c r="E259" s="838" t="n">
        <v>550610</v>
      </c>
      <c r="F259" s="840" t="inlineStr">
        <is>
          <t>63-64 Margaret Street</t>
        </is>
      </c>
      <c r="G259" s="840" t="inlineStr">
        <is>
          <t>Ground Floor &amp; Basement (East)</t>
        </is>
      </c>
      <c r="H259" s="841" t="inlineStr">
        <is>
          <t>Showroom/ Educational</t>
        </is>
      </c>
      <c r="I259" s="848" t="n">
        <v>2047</v>
      </c>
      <c r="J259" s="848">
        <f>I259</f>
        <v/>
      </c>
      <c r="K259" s="848" t="n">
        <v>2000</v>
      </c>
      <c r="L259" s="840" t="inlineStr">
        <is>
          <t>Apollo Galleries Limited</t>
        </is>
      </c>
      <c r="M259" s="843" t="n">
        <v>45100</v>
      </c>
      <c r="N259" s="844" t="n">
        <v>48752</v>
      </c>
      <c r="P259" s="844" t="n">
        <v>46926</v>
      </c>
      <c r="Q259" s="844" t="n">
        <v>46195</v>
      </c>
      <c r="R259" s="842" t="n">
        <v>105000</v>
      </c>
      <c r="S259" s="842">
        <f>R259</f>
        <v/>
      </c>
      <c r="U259" s="842" t="n">
        <v>100000</v>
      </c>
      <c r="V259" s="842">
        <f>U259</f>
        <v/>
      </c>
      <c r="W259" s="842" t="n">
        <v>105000</v>
      </c>
      <c r="X259" s="842">
        <f>W259</f>
        <v/>
      </c>
      <c r="Y259" s="845">
        <f>W259/I259</f>
        <v/>
      </c>
      <c r="Z259" s="846">
        <f>SUM(W259-U259)/U259</f>
        <v/>
      </c>
      <c r="AA259" s="842" t="inlineStr">
        <is>
          <t>E</t>
        </is>
      </c>
      <c r="AB259" s="590" t="n"/>
      <c r="AC259" s="847" t="n"/>
      <c r="AD259" s="841" t="inlineStr">
        <is>
          <t>No</t>
        </is>
      </c>
      <c r="AE259" s="840" t="inlineStr">
        <is>
          <t>Tenant break on 6 months notice.</t>
        </is>
      </c>
      <c r="AH259" s="312" t="n"/>
      <c r="AJ259" t="inlineStr">
        <is>
          <t>Let</t>
        </is>
      </c>
    </row>
    <row r="260">
      <c r="A260" t="inlineStr">
        <is>
          <t>63-64 Margaret Street</t>
        </is>
      </c>
      <c r="B260" s="838" t="n"/>
      <c r="C260" s="839" t="inlineStr">
        <is>
          <t>CM</t>
        </is>
      </c>
      <c r="D260" s="839" t="inlineStr">
        <is>
          <t>MEL</t>
        </is>
      </c>
      <c r="E260" s="838" t="n">
        <v>550610</v>
      </c>
      <c r="F260" s="840" t="inlineStr">
        <is>
          <t>63-64 Margaret Street</t>
        </is>
      </c>
      <c r="G260" s="840" t="inlineStr">
        <is>
          <t>Ground  &amp; Basement (West) &amp; Rear Block</t>
        </is>
      </c>
      <c r="H260" s="841" t="inlineStr">
        <is>
          <t>Retail</t>
        </is>
      </c>
      <c r="I260" s="848" t="n">
        <v>2185</v>
      </c>
      <c r="J260" s="848">
        <f>I260</f>
        <v/>
      </c>
      <c r="K260" s="848" t="n">
        <v>2000</v>
      </c>
      <c r="L260" s="840" t="inlineStr">
        <is>
          <t>Margaret Howell Ltd</t>
        </is>
      </c>
      <c r="M260" s="843" t="n">
        <v>42655</v>
      </c>
      <c r="N260" s="844" t="n">
        <v>46306</v>
      </c>
      <c r="R260" s="842" t="n">
        <v>100000</v>
      </c>
      <c r="S260" s="842">
        <f>R260</f>
        <v/>
      </c>
      <c r="U260" s="842" t="n">
        <v>90000</v>
      </c>
      <c r="V260" s="842">
        <f>U260</f>
        <v/>
      </c>
      <c r="W260" s="842" t="n">
        <v>100000</v>
      </c>
      <c r="X260" s="842">
        <f>W260</f>
        <v/>
      </c>
      <c r="Y260" s="845">
        <f>W260/I260</f>
        <v/>
      </c>
      <c r="Z260" s="846">
        <f>SUM(W260-U260)/U260</f>
        <v/>
      </c>
      <c r="AA260" s="842" t="inlineStr">
        <is>
          <t>C</t>
        </is>
      </c>
      <c r="AB260" s="590" t="n"/>
      <c r="AC260" s="847" t="n"/>
      <c r="AD260" s="841" t="inlineStr">
        <is>
          <t>No</t>
        </is>
      </c>
      <c r="AE260" s="840" t="inlineStr">
        <is>
          <t xml:space="preserve">Tenant break on 6 months notice and a Landlord Redevelopment Break @ 01/09/22 on 6 months notice. Break not exercised. </t>
        </is>
      </c>
      <c r="AH260" s="312" t="n"/>
      <c r="AJ260" t="inlineStr">
        <is>
          <t>Let</t>
        </is>
      </c>
    </row>
    <row r="261">
      <c r="A261" t="inlineStr">
        <is>
          <t>63-64 Margaret Street</t>
        </is>
      </c>
      <c r="B261" s="838" t="n"/>
      <c r="C261" s="839" t="inlineStr">
        <is>
          <t>CM</t>
        </is>
      </c>
      <c r="D261" s="839" t="inlineStr">
        <is>
          <t>MEL</t>
        </is>
      </c>
      <c r="E261" s="838" t="n">
        <v>550610</v>
      </c>
      <c r="F261" s="840" t="inlineStr">
        <is>
          <t>63-64 Margaret Street</t>
        </is>
      </c>
      <c r="G261" s="840" t="inlineStr">
        <is>
          <t>First Floor (East)</t>
        </is>
      </c>
      <c r="H261" s="841" t="inlineStr">
        <is>
          <t>Office</t>
        </is>
      </c>
      <c r="I261" s="848" t="n">
        <v>727</v>
      </c>
      <c r="J261" s="848">
        <f>I261</f>
        <v/>
      </c>
      <c r="K261" s="848" t="n">
        <v>250</v>
      </c>
      <c r="L261" s="840" t="inlineStr">
        <is>
          <t>Kipas London Ltd</t>
        </is>
      </c>
      <c r="M261" s="843" t="n">
        <v>44703</v>
      </c>
      <c r="N261" s="844" t="n">
        <v>46528</v>
      </c>
      <c r="R261" s="842" t="n">
        <v>42350</v>
      </c>
      <c r="S261" s="842">
        <f>R261</f>
        <v/>
      </c>
      <c r="U261" s="842" t="n">
        <v>40000</v>
      </c>
      <c r="V261" s="842">
        <f>U261</f>
        <v/>
      </c>
      <c r="W261" s="842" t="n">
        <v>41800</v>
      </c>
      <c r="X261" s="842">
        <f>W261</f>
        <v/>
      </c>
      <c r="Y261" s="845">
        <f>W261/I261</f>
        <v/>
      </c>
      <c r="Z261" s="846">
        <f>SUM(W261-U261)/U261</f>
        <v/>
      </c>
      <c r="AA261" s="842" t="inlineStr">
        <is>
          <t>D</t>
        </is>
      </c>
      <c r="AB261" s="590" t="n"/>
      <c r="AC261" s="847" t="n"/>
      <c r="AD261" s="841" t="inlineStr">
        <is>
          <t>No</t>
        </is>
      </c>
      <c r="AE261" s="29" t="inlineStr">
        <is>
          <t>Tenant break passed.</t>
        </is>
      </c>
      <c r="AH261" s="312" t="n"/>
      <c r="AJ261" t="inlineStr">
        <is>
          <t>Let</t>
        </is>
      </c>
    </row>
    <row r="262">
      <c r="A262" t="inlineStr">
        <is>
          <t>63-64 Margaret Street</t>
        </is>
      </c>
      <c r="B262" s="838" t="n"/>
      <c r="C262" s="839" t="inlineStr">
        <is>
          <t>CM</t>
        </is>
      </c>
      <c r="D262" s="839" t="inlineStr">
        <is>
          <t>MEL</t>
        </is>
      </c>
      <c r="E262" s="838" t="n">
        <v>550610</v>
      </c>
      <c r="F262" s="840" t="inlineStr">
        <is>
          <t>63-64 Margaret Street</t>
        </is>
      </c>
      <c r="G262" s="840" t="inlineStr">
        <is>
          <t>First Floor (West) (Front)</t>
        </is>
      </c>
      <c r="H262" s="841" t="inlineStr">
        <is>
          <t>Office</t>
        </is>
      </c>
      <c r="I262" s="848" t="n">
        <v>710</v>
      </c>
      <c r="J262" s="848">
        <f>I262</f>
        <v/>
      </c>
      <c r="K262" s="848" t="n">
        <v>750</v>
      </c>
      <c r="L262" s="840" t="inlineStr">
        <is>
          <t>Staybrook Asset Management Ltd</t>
        </is>
      </c>
      <c r="M262" s="843" t="n">
        <v>45551</v>
      </c>
      <c r="N262" s="844" t="n">
        <v>46645</v>
      </c>
      <c r="Q262" s="844" t="n">
        <v>46280</v>
      </c>
      <c r="R262" s="842" t="n">
        <v>47250</v>
      </c>
      <c r="S262" s="842">
        <f>R262</f>
        <v/>
      </c>
      <c r="U262" s="842" t="n">
        <v>35000</v>
      </c>
      <c r="V262" s="842">
        <f>U262</f>
        <v/>
      </c>
      <c r="W262" s="842" t="n">
        <v>40800</v>
      </c>
      <c r="X262" s="842">
        <f>W262</f>
        <v/>
      </c>
      <c r="Y262" s="845">
        <f>W262/I262</f>
        <v/>
      </c>
      <c r="Z262" s="846">
        <f>SUM(W262-U262)/U262</f>
        <v/>
      </c>
      <c r="AA262" s="842" t="inlineStr">
        <is>
          <t>D</t>
        </is>
      </c>
      <c r="AB262" s="590" t="n"/>
      <c r="AC262" s="847" t="n"/>
      <c r="AD262" s="841" t="inlineStr">
        <is>
          <t>No</t>
        </is>
      </c>
      <c r="AE262" s="840" t="inlineStr">
        <is>
          <t>Tenant break on 6 months notice. 1 month rent free if not exercised.</t>
        </is>
      </c>
      <c r="AG262" s="29" t="n"/>
      <c r="AH262" s="313" t="n"/>
      <c r="AI262" s="29" t="n"/>
      <c r="AJ262" t="inlineStr">
        <is>
          <t>Let</t>
        </is>
      </c>
    </row>
    <row r="263">
      <c r="A263" t="inlineStr">
        <is>
          <t>63-64 Margaret Street</t>
        </is>
      </c>
      <c r="B263" s="838" t="n"/>
      <c r="C263" s="839" t="inlineStr">
        <is>
          <t>CM</t>
        </is>
      </c>
      <c r="D263" s="839" t="inlineStr">
        <is>
          <t>MEL</t>
        </is>
      </c>
      <c r="E263" s="838" t="n">
        <v>550610</v>
      </c>
      <c r="F263" s="840" t="inlineStr">
        <is>
          <t>63-64 Margaret Street</t>
        </is>
      </c>
      <c r="G263" s="840" t="inlineStr">
        <is>
          <t>First Floor (West) (Rear)</t>
        </is>
      </c>
      <c r="H263" s="841" t="inlineStr">
        <is>
          <t>Office</t>
        </is>
      </c>
      <c r="I263" s="848" t="n">
        <v>130</v>
      </c>
      <c r="J263" s="848">
        <f>I263</f>
        <v/>
      </c>
      <c r="K263" s="848" t="n">
        <v>250</v>
      </c>
      <c r="L263" s="840" t="inlineStr">
        <is>
          <t>Face2Face Counselling Services Ltd</t>
        </is>
      </c>
      <c r="M263" s="843" t="n">
        <v>45456</v>
      </c>
      <c r="N263" s="844" t="n">
        <v>47085</v>
      </c>
      <c r="Q263" s="844" t="n">
        <v>46354</v>
      </c>
      <c r="R263" s="842" t="n">
        <v>7320</v>
      </c>
      <c r="S263" s="842">
        <f>R263</f>
        <v/>
      </c>
      <c r="U263" s="842" t="n">
        <v>7000</v>
      </c>
      <c r="V263" s="842">
        <f>U263</f>
        <v/>
      </c>
      <c r="W263" s="842" t="n">
        <v>7360</v>
      </c>
      <c r="X263" s="842">
        <f>W263</f>
        <v/>
      </c>
      <c r="Y263" s="845">
        <f>W263/I263</f>
        <v/>
      </c>
      <c r="Z263" s="846">
        <f>SUM(W263-U263)/U263</f>
        <v/>
      </c>
      <c r="AA263" s="842" t="inlineStr">
        <is>
          <t>D</t>
        </is>
      </c>
      <c r="AB263" s="590" t="n"/>
      <c r="AC263" s="847" t="n"/>
      <c r="AD263" s="841" t="inlineStr">
        <is>
          <t>No</t>
        </is>
      </c>
      <c r="AE263" s="840" t="inlineStr">
        <is>
          <t>Tenant break on 6 months notice.</t>
        </is>
      </c>
      <c r="AH263" s="312" t="n"/>
      <c r="AJ263" t="inlineStr">
        <is>
          <t>Let</t>
        </is>
      </c>
    </row>
    <row r="264">
      <c r="A264" t="inlineStr">
        <is>
          <t>63-64 Margaret Street</t>
        </is>
      </c>
      <c r="B264" s="838" t="n"/>
      <c r="C264" s="839" t="inlineStr">
        <is>
          <t>CM</t>
        </is>
      </c>
      <c r="D264" s="839" t="inlineStr">
        <is>
          <t>MEL</t>
        </is>
      </c>
      <c r="E264" s="838" t="n">
        <v>550610</v>
      </c>
      <c r="F264" s="840" t="inlineStr">
        <is>
          <t>63-64 Margaret Street</t>
        </is>
      </c>
      <c r="G264" s="840" t="inlineStr">
        <is>
          <t>Second Floor (East)</t>
        </is>
      </c>
      <c r="H264" s="41" t="inlineStr">
        <is>
          <t>Office</t>
        </is>
      </c>
      <c r="I264" s="848" t="n">
        <v>710</v>
      </c>
      <c r="J264" s="848">
        <f>I264</f>
        <v/>
      </c>
      <c r="K264" s="848" t="n">
        <v>750</v>
      </c>
      <c r="L264" s="840" t="inlineStr">
        <is>
          <t>Cihangir Group Limited.</t>
        </is>
      </c>
      <c r="M264" s="843" t="n">
        <v>45253</v>
      </c>
      <c r="N264" s="844" t="n">
        <v>46348</v>
      </c>
      <c r="R264" s="842" t="n">
        <v>42350</v>
      </c>
      <c r="S264" s="842">
        <f>R264</f>
        <v/>
      </c>
      <c r="U264" s="842" t="n">
        <v>38700</v>
      </c>
      <c r="V264" s="842">
        <f>U264</f>
        <v/>
      </c>
      <c r="W264" s="842" t="n">
        <v>40800</v>
      </c>
      <c r="X264" s="842">
        <f>W264</f>
        <v/>
      </c>
      <c r="Y264" s="845">
        <f>W264/I264</f>
        <v/>
      </c>
      <c r="Z264" s="846">
        <f>SUM(W264-U264)/U264</f>
        <v/>
      </c>
      <c r="AA264" s="842" t="inlineStr">
        <is>
          <t>D</t>
        </is>
      </c>
      <c r="AB264" s="590" t="n"/>
      <c r="AC264" s="847" t="n"/>
      <c r="AD264" s="841" t="inlineStr">
        <is>
          <t>No</t>
        </is>
      </c>
      <c r="AG264" s="840" t="n">
        <v>1</v>
      </c>
      <c r="AH264" s="312" t="n">
        <v>1</v>
      </c>
      <c r="AJ264" t="inlineStr">
        <is>
          <t>Let</t>
        </is>
      </c>
    </row>
    <row r="265">
      <c r="A265" t="inlineStr">
        <is>
          <t>63-64 Margaret Street</t>
        </is>
      </c>
      <c r="B265" s="838" t="n"/>
      <c r="C265" s="839" t="inlineStr">
        <is>
          <t>CM</t>
        </is>
      </c>
      <c r="D265" s="839" t="inlineStr">
        <is>
          <t>MEL</t>
        </is>
      </c>
      <c r="E265" s="838" t="n">
        <v>550610</v>
      </c>
      <c r="F265" s="840" t="inlineStr">
        <is>
          <t>63-64 Margaret Street</t>
        </is>
      </c>
      <c r="G265" s="840" t="inlineStr">
        <is>
          <t>Second Floor (Rear)</t>
        </is>
      </c>
      <c r="H265" s="41" t="inlineStr">
        <is>
          <t>Office</t>
        </is>
      </c>
      <c r="I265" s="848" t="n">
        <v>130</v>
      </c>
      <c r="J265" s="848">
        <f>I265</f>
        <v/>
      </c>
      <c r="K265" s="848" t="n">
        <v>250</v>
      </c>
      <c r="L265" s="840" t="inlineStr">
        <is>
          <t>Face2Face Counselling Services Ltd</t>
        </is>
      </c>
      <c r="M265" s="843" t="n">
        <v>45259</v>
      </c>
      <c r="N265" s="844" t="n">
        <v>47085</v>
      </c>
      <c r="Q265" s="844" t="n">
        <v>46354</v>
      </c>
      <c r="R265" s="842" t="n">
        <v>7320</v>
      </c>
      <c r="S265" s="842">
        <f>R265</f>
        <v/>
      </c>
      <c r="U265" s="842" t="n">
        <v>6300</v>
      </c>
      <c r="V265" s="842">
        <f>U265</f>
        <v/>
      </c>
      <c r="W265" s="842" t="n">
        <v>7500</v>
      </c>
      <c r="X265" s="842">
        <f>W265</f>
        <v/>
      </c>
      <c r="Y265" s="845">
        <f>W265/I265</f>
        <v/>
      </c>
      <c r="Z265" s="846">
        <f>SUM(W265-U265)/U265</f>
        <v/>
      </c>
      <c r="AA265" s="842" t="inlineStr">
        <is>
          <t>D</t>
        </is>
      </c>
      <c r="AB265" s="590" t="n"/>
      <c r="AC265" s="847" t="n"/>
      <c r="AD265" s="841" t="inlineStr">
        <is>
          <t>No</t>
        </is>
      </c>
      <c r="AE265" s="840" t="inlineStr">
        <is>
          <t>Tenant break on 6 months notice.</t>
        </is>
      </c>
      <c r="AH265" s="312" t="n"/>
      <c r="AJ265" t="inlineStr">
        <is>
          <t>Let</t>
        </is>
      </c>
    </row>
    <row r="266">
      <c r="A266" t="inlineStr">
        <is>
          <t>63-64 Margaret Street</t>
        </is>
      </c>
      <c r="B266" s="838" t="n"/>
      <c r="C266" s="839" t="inlineStr">
        <is>
          <t>CM</t>
        </is>
      </c>
      <c r="D266" s="839" t="inlineStr">
        <is>
          <t>MEL</t>
        </is>
      </c>
      <c r="E266" s="838" t="n">
        <v>550610</v>
      </c>
      <c r="F266" s="840" t="inlineStr">
        <is>
          <t>63-64 Margaret Street</t>
        </is>
      </c>
      <c r="G266" s="840" t="inlineStr">
        <is>
          <t>Second Floor (West)</t>
        </is>
      </c>
      <c r="H266" s="841" t="inlineStr">
        <is>
          <t>Office</t>
        </is>
      </c>
      <c r="I266" s="848" t="n">
        <v>727</v>
      </c>
      <c r="J266" s="848">
        <f>I266</f>
        <v/>
      </c>
      <c r="K266" s="848" t="n">
        <v>750</v>
      </c>
      <c r="L266" s="840" t="inlineStr">
        <is>
          <t>Vacant</t>
        </is>
      </c>
      <c r="O266" s="844" t="n">
        <v>43080</v>
      </c>
      <c r="R266" s="842" t="n">
        <v>0</v>
      </c>
      <c r="S266" s="842">
        <f>R266</f>
        <v/>
      </c>
      <c r="U266" s="842" t="n">
        <v>35000</v>
      </c>
      <c r="V266" s="842">
        <f>U266</f>
        <v/>
      </c>
      <c r="W266" s="842" t="n">
        <v>41800</v>
      </c>
      <c r="X266" s="842">
        <f>W266</f>
        <v/>
      </c>
      <c r="Y266" s="845">
        <f>W266/I266</f>
        <v/>
      </c>
      <c r="Z266" s="846">
        <f>SUM(W266-U266)/U266</f>
        <v/>
      </c>
      <c r="AA266" s="842" t="inlineStr">
        <is>
          <t>D</t>
        </is>
      </c>
      <c r="AB266" s="590" t="n"/>
      <c r="AC266" s="847" t="n"/>
      <c r="AD266" s="841" t="inlineStr">
        <is>
          <t>No</t>
        </is>
      </c>
      <c r="AE266" s="840" t="inlineStr">
        <is>
          <t>To be refurbished.</t>
        </is>
      </c>
      <c r="AF266" s="849" t="n">
        <v>62.5</v>
      </c>
      <c r="AG266" s="840" t="n">
        <v>1</v>
      </c>
      <c r="AH266" s="312" t="n">
        <v>1</v>
      </c>
      <c r="AJ266" t="inlineStr">
        <is>
          <t>Void</t>
        </is>
      </c>
    </row>
    <row r="267">
      <c r="A267" t="inlineStr">
        <is>
          <t>63-64 Margaret Street</t>
        </is>
      </c>
      <c r="B267" s="838" t="n"/>
      <c r="C267" s="839" t="inlineStr">
        <is>
          <t>CM</t>
        </is>
      </c>
      <c r="D267" s="839" t="inlineStr">
        <is>
          <t>MEL</t>
        </is>
      </c>
      <c r="E267" s="838" t="n">
        <v>550610</v>
      </c>
      <c r="F267" s="840" t="inlineStr">
        <is>
          <t>63-64 Margaret Street</t>
        </is>
      </c>
      <c r="G267" s="840" t="inlineStr">
        <is>
          <t>Third Floor (East)</t>
        </is>
      </c>
      <c r="H267" s="841" t="inlineStr">
        <is>
          <t>Office</t>
        </is>
      </c>
      <c r="I267" s="848" t="n">
        <v>760</v>
      </c>
      <c r="J267" s="848">
        <f>I267</f>
        <v/>
      </c>
      <c r="K267" s="848" t="n">
        <v>750</v>
      </c>
      <c r="L267" s="840" t="inlineStr">
        <is>
          <t>Vacant</t>
        </is>
      </c>
      <c r="O267" s="844" t="n">
        <v>43593</v>
      </c>
      <c r="R267" s="842" t="n">
        <v>0</v>
      </c>
      <c r="S267" s="842">
        <f>R267</f>
        <v/>
      </c>
      <c r="U267" s="842" t="n">
        <v>40000</v>
      </c>
      <c r="V267" s="842">
        <f>U267</f>
        <v/>
      </c>
      <c r="W267" s="842" t="n">
        <v>43700</v>
      </c>
      <c r="X267" s="842">
        <f>W267</f>
        <v/>
      </c>
      <c r="Y267" s="845">
        <f>W267/I267</f>
        <v/>
      </c>
      <c r="Z267" s="846">
        <f>SUM(W267-U267)/U267</f>
        <v/>
      </c>
      <c r="AA267" s="842" t="inlineStr">
        <is>
          <t>D</t>
        </is>
      </c>
      <c r="AB267" s="590" t="n"/>
      <c r="AC267" s="847" t="n"/>
      <c r="AD267" s="841" t="inlineStr">
        <is>
          <t>No</t>
        </is>
      </c>
      <c r="AE267" s="840" t="inlineStr">
        <is>
          <t>To be refurbished.</t>
        </is>
      </c>
      <c r="AF267" s="849" t="n">
        <v>62.5</v>
      </c>
      <c r="AG267" s="840" t="n">
        <v>4</v>
      </c>
      <c r="AH267" s="312" t="n">
        <v>5</v>
      </c>
      <c r="AI267" s="840" t="inlineStr">
        <is>
          <t>LEM</t>
        </is>
      </c>
      <c r="AJ267" t="inlineStr">
        <is>
          <t>Void</t>
        </is>
      </c>
    </row>
    <row r="268">
      <c r="A268" t="inlineStr">
        <is>
          <t>63-64 Margaret Street</t>
        </is>
      </c>
      <c r="B268" s="838" t="n"/>
      <c r="C268" s="839" t="inlineStr">
        <is>
          <t>CM</t>
        </is>
      </c>
      <c r="D268" s="839" t="inlineStr">
        <is>
          <t>MEL</t>
        </is>
      </c>
      <c r="E268" s="838" t="n">
        <v>550610</v>
      </c>
      <c r="F268" s="840" t="inlineStr">
        <is>
          <t>63-64 Margaret Street</t>
        </is>
      </c>
      <c r="G268" s="840" t="inlineStr">
        <is>
          <t>Third Floor (West)</t>
        </is>
      </c>
      <c r="H268" s="841" t="inlineStr">
        <is>
          <t>Office</t>
        </is>
      </c>
      <c r="I268" s="848" t="n">
        <v>666</v>
      </c>
      <c r="J268" s="848">
        <f>I268</f>
        <v/>
      </c>
      <c r="K268" s="848" t="n">
        <v>750</v>
      </c>
      <c r="L268" s="840" t="inlineStr">
        <is>
          <t>Vacant</t>
        </is>
      </c>
      <c r="O268" s="844" t="n">
        <v>42905</v>
      </c>
      <c r="R268" s="842" t="n">
        <v>0</v>
      </c>
      <c r="S268" s="842">
        <f>R268</f>
        <v/>
      </c>
      <c r="U268" s="842" t="n">
        <v>35000</v>
      </c>
      <c r="V268" s="842">
        <f>U268</f>
        <v/>
      </c>
      <c r="W268" s="842" t="n">
        <v>38300</v>
      </c>
      <c r="X268" s="842">
        <f>W268</f>
        <v/>
      </c>
      <c r="Y268" s="845">
        <f>W268/I268</f>
        <v/>
      </c>
      <c r="Z268" s="846">
        <f>SUM(W268-U268)/U268</f>
        <v/>
      </c>
      <c r="AA268" s="842" t="inlineStr">
        <is>
          <t>D</t>
        </is>
      </c>
      <c r="AB268" s="590" t="n"/>
      <c r="AC268" s="847" t="n"/>
      <c r="AD268" s="841" t="inlineStr">
        <is>
          <t>No</t>
        </is>
      </c>
      <c r="AE268" s="840" t="inlineStr">
        <is>
          <t>To be refurbished.</t>
        </is>
      </c>
      <c r="AF268" s="849" t="n">
        <v>62.5</v>
      </c>
      <c r="AG268" s="840" t="n">
        <v>0</v>
      </c>
      <c r="AH268" s="312" t="n">
        <v>1</v>
      </c>
      <c r="AI268" s="840" t="inlineStr">
        <is>
          <t>LEM</t>
        </is>
      </c>
      <c r="AJ268" t="inlineStr">
        <is>
          <t>Void</t>
        </is>
      </c>
    </row>
    <row r="269">
      <c r="A269" t="inlineStr">
        <is>
          <t>63-64 Margaret Street</t>
        </is>
      </c>
      <c r="B269" s="838" t="n"/>
      <c r="C269" s="839" t="inlineStr">
        <is>
          <t>CM</t>
        </is>
      </c>
      <c r="D269" s="839" t="inlineStr">
        <is>
          <t>MEL</t>
        </is>
      </c>
      <c r="E269" s="838" t="n">
        <v>550610</v>
      </c>
      <c r="F269" s="840" t="inlineStr">
        <is>
          <t>63-64 Margaret Street</t>
        </is>
      </c>
      <c r="G269" s="840" t="inlineStr">
        <is>
          <t>Fourth Floor (East)</t>
        </is>
      </c>
      <c r="H269" s="841" t="inlineStr">
        <is>
          <t>Office</t>
        </is>
      </c>
      <c r="I269" s="848" t="n">
        <v>767</v>
      </c>
      <c r="J269" s="848">
        <f>I269</f>
        <v/>
      </c>
      <c r="K269" s="848" t="n">
        <v>750</v>
      </c>
      <c r="L269" s="840" t="inlineStr">
        <is>
          <t>Vacant</t>
        </is>
      </c>
      <c r="O269" s="844" t="n">
        <v>45719</v>
      </c>
      <c r="R269" s="842" t="n">
        <v>0</v>
      </c>
      <c r="S269" s="842">
        <f>R269</f>
        <v/>
      </c>
      <c r="U269" s="842" t="n">
        <v>40000</v>
      </c>
      <c r="V269" s="842">
        <f>U269</f>
        <v/>
      </c>
      <c r="W269" s="842" t="n">
        <v>44100</v>
      </c>
      <c r="X269" s="842">
        <f>W269</f>
        <v/>
      </c>
      <c r="Y269" s="845">
        <f>W269/I269</f>
        <v/>
      </c>
      <c r="Z269" s="846">
        <f>SUM(W269-U269)/U269</f>
        <v/>
      </c>
      <c r="AA269" s="842" t="inlineStr">
        <is>
          <t>D</t>
        </is>
      </c>
      <c r="AB269" s="590" t="n"/>
      <c r="AC269" s="847" t="n"/>
      <c r="AD269" s="841" t="inlineStr">
        <is>
          <t>No</t>
        </is>
      </c>
      <c r="AE269" s="840" t="inlineStr">
        <is>
          <t>To be refurbished.</t>
        </is>
      </c>
      <c r="AG269" s="29" t="n"/>
      <c r="AH269" s="313" t="n">
        <v>1</v>
      </c>
      <c r="AI269" s="29" t="n"/>
      <c r="AJ269" t="inlineStr">
        <is>
          <t>Void</t>
        </is>
      </c>
    </row>
    <row r="270">
      <c r="A270" t="inlineStr">
        <is>
          <t>63-64 Margaret Street</t>
        </is>
      </c>
      <c r="B270" s="838" t="n"/>
      <c r="C270" s="839" t="inlineStr">
        <is>
          <t>CM</t>
        </is>
      </c>
      <c r="D270" s="839" t="inlineStr">
        <is>
          <t>MEL</t>
        </is>
      </c>
      <c r="E270" s="838" t="n">
        <v>550610</v>
      </c>
      <c r="F270" s="840" t="inlineStr">
        <is>
          <t>63-64 Margaret Street</t>
        </is>
      </c>
      <c r="G270" s="840" t="inlineStr">
        <is>
          <t>Fourth Floor (West)</t>
        </is>
      </c>
      <c r="H270" s="841" t="inlineStr">
        <is>
          <t>Office</t>
        </is>
      </c>
      <c r="I270" s="848" t="n">
        <v>645</v>
      </c>
      <c r="J270" s="848">
        <f>I270</f>
        <v/>
      </c>
      <c r="K270" s="848" t="n">
        <v>750</v>
      </c>
      <c r="L270" s="840" t="inlineStr">
        <is>
          <t>Vacant</t>
        </is>
      </c>
      <c r="O270" s="844" t="n">
        <v>44263</v>
      </c>
      <c r="R270" s="842" t="n">
        <v>0</v>
      </c>
      <c r="S270" s="842">
        <f>R270</f>
        <v/>
      </c>
      <c r="U270" s="842" t="n">
        <v>35000</v>
      </c>
      <c r="V270" s="842">
        <f>U270</f>
        <v/>
      </c>
      <c r="W270" s="842" t="n">
        <v>37100</v>
      </c>
      <c r="X270" s="842">
        <f>W270</f>
        <v/>
      </c>
      <c r="Y270" s="845">
        <f>W270/I270</f>
        <v/>
      </c>
      <c r="Z270" s="846">
        <f>SUM(W270-U270)/U270</f>
        <v/>
      </c>
      <c r="AA270" s="842" t="inlineStr">
        <is>
          <t>D</t>
        </is>
      </c>
      <c r="AB270" s="590" t="n"/>
      <c r="AC270" s="847" t="n"/>
      <c r="AD270" s="841" t="inlineStr">
        <is>
          <t>No</t>
        </is>
      </c>
      <c r="AE270" s="840" t="inlineStr">
        <is>
          <t>To be refurbished.</t>
        </is>
      </c>
      <c r="AF270" s="849" t="n">
        <v>60</v>
      </c>
      <c r="AH270" s="312" t="n"/>
      <c r="AJ270" t="inlineStr">
        <is>
          <t>Void</t>
        </is>
      </c>
    </row>
    <row r="271">
      <c r="A271" t="inlineStr">
        <is>
          <t>63-64 Margaret Street</t>
        </is>
      </c>
      <c r="B271" s="838" t="n"/>
      <c r="C271" s="839" t="inlineStr">
        <is>
          <t>CM</t>
        </is>
      </c>
      <c r="D271" s="839" t="inlineStr">
        <is>
          <t>MEL</t>
        </is>
      </c>
      <c r="E271" s="838" t="n">
        <v>550610</v>
      </c>
      <c r="F271" s="840" t="inlineStr">
        <is>
          <t>63-64 Margaret Street</t>
        </is>
      </c>
      <c r="G271" s="840" t="inlineStr">
        <is>
          <t>Fifth Floor (East)</t>
        </is>
      </c>
      <c r="H271" s="841" t="inlineStr">
        <is>
          <t>Office</t>
        </is>
      </c>
      <c r="I271" s="848" t="n">
        <v>767</v>
      </c>
      <c r="J271" s="848">
        <f>I271</f>
        <v/>
      </c>
      <c r="K271" s="848" t="n">
        <v>750</v>
      </c>
      <c r="L271" s="840" t="inlineStr">
        <is>
          <t>Vacant</t>
        </is>
      </c>
      <c r="O271" s="844" t="n">
        <v>44263</v>
      </c>
      <c r="R271" s="842" t="n">
        <v>0</v>
      </c>
      <c r="S271" s="842">
        <f>R271</f>
        <v/>
      </c>
      <c r="U271" s="842" t="n">
        <v>40000</v>
      </c>
      <c r="V271" s="842">
        <f>U271</f>
        <v/>
      </c>
      <c r="W271" s="842" t="n">
        <v>44100</v>
      </c>
      <c r="X271" s="842">
        <f>W271</f>
        <v/>
      </c>
      <c r="Y271" s="845">
        <f>W271/I271</f>
        <v/>
      </c>
      <c r="Z271" s="846">
        <f>SUM(W271-U271)/U271</f>
        <v/>
      </c>
      <c r="AA271" s="842" t="inlineStr">
        <is>
          <t>D</t>
        </is>
      </c>
      <c r="AB271" s="590" t="n"/>
      <c r="AC271" s="847" t="n"/>
      <c r="AD271" s="841" t="inlineStr">
        <is>
          <t>No</t>
        </is>
      </c>
      <c r="AE271" s="840" t="inlineStr">
        <is>
          <t>To be refurbished.</t>
        </is>
      </c>
      <c r="AF271" s="849" t="n">
        <v>60</v>
      </c>
      <c r="AH271" s="312" t="n"/>
      <c r="AJ271" t="inlineStr">
        <is>
          <t>Void</t>
        </is>
      </c>
    </row>
    <row r="272">
      <c r="A272" t="inlineStr">
        <is>
          <t>63-64 Margaret Street</t>
        </is>
      </c>
      <c r="B272" s="838" t="n"/>
      <c r="C272" s="839" t="inlineStr">
        <is>
          <t>CM</t>
        </is>
      </c>
      <c r="D272" s="839" t="inlineStr">
        <is>
          <t>MEL</t>
        </is>
      </c>
      <c r="E272" s="838" t="n">
        <v>550610</v>
      </c>
      <c r="F272" s="840" t="inlineStr">
        <is>
          <t>63-64 Margaret Street</t>
        </is>
      </c>
      <c r="G272" s="840" t="inlineStr">
        <is>
          <t>Fifth Floor (West)</t>
        </is>
      </c>
      <c r="H272" s="841" t="inlineStr">
        <is>
          <t>Office</t>
        </is>
      </c>
      <c r="I272" s="848" t="n">
        <v>534</v>
      </c>
      <c r="J272" s="848">
        <f>I272</f>
        <v/>
      </c>
      <c r="K272" s="848" t="n">
        <v>500</v>
      </c>
      <c r="L272" s="840" t="inlineStr">
        <is>
          <t>Vacant</t>
        </is>
      </c>
      <c r="O272" s="844" t="n">
        <v>43061</v>
      </c>
      <c r="R272" s="842" t="n">
        <v>0</v>
      </c>
      <c r="S272" s="842">
        <f>R272</f>
        <v/>
      </c>
      <c r="U272" s="842" t="n">
        <v>30500</v>
      </c>
      <c r="V272" s="842">
        <f>U272</f>
        <v/>
      </c>
      <c r="W272" s="842" t="n">
        <v>30700</v>
      </c>
      <c r="X272" s="842">
        <f>W272</f>
        <v/>
      </c>
      <c r="Y272" s="845">
        <f>W272/I272</f>
        <v/>
      </c>
      <c r="Z272" s="846">
        <f>SUM(W272-U272)/U272</f>
        <v/>
      </c>
      <c r="AA272" s="842" t="inlineStr">
        <is>
          <t>D</t>
        </is>
      </c>
      <c r="AB272" s="590" t="n"/>
      <c r="AC272" s="847" t="n"/>
      <c r="AD272" s="841" t="inlineStr">
        <is>
          <t>No</t>
        </is>
      </c>
      <c r="AE272" s="840" t="inlineStr">
        <is>
          <t>To be refurbished.</t>
        </is>
      </c>
      <c r="AF272" s="849" t="n">
        <v>60</v>
      </c>
      <c r="AH272" s="312" t="n"/>
      <c r="AJ272" t="inlineStr">
        <is>
          <t>Void</t>
        </is>
      </c>
    </row>
    <row r="273">
      <c r="A273" t="inlineStr">
        <is>
          <t>65 Margaret Street</t>
        </is>
      </c>
      <c r="B273" s="838" t="n"/>
      <c r="C273" s="839" t="inlineStr">
        <is>
          <t>CM</t>
        </is>
      </c>
      <c r="D273" s="839" t="inlineStr">
        <is>
          <t>MEL</t>
        </is>
      </c>
      <c r="E273" s="838" t="n">
        <v>550620</v>
      </c>
      <c r="F273" s="840" t="inlineStr">
        <is>
          <t>65 Margaret Street</t>
        </is>
      </c>
      <c r="G273" s="840" t="inlineStr">
        <is>
          <t>Ground Floor &amp; Basement</t>
        </is>
      </c>
      <c r="H273" s="841" t="inlineStr">
        <is>
          <t>A1/D1</t>
        </is>
      </c>
      <c r="I273" s="848" t="n">
        <v>930</v>
      </c>
      <c r="J273" s="848">
        <f>I273</f>
        <v/>
      </c>
      <c r="K273" s="848" t="n">
        <v>1000</v>
      </c>
      <c r="L273" s="840" t="inlineStr">
        <is>
          <t>Advanced Beauty Medical Clinics Ltd</t>
        </is>
      </c>
      <c r="M273" s="843" t="n">
        <v>45588</v>
      </c>
      <c r="N273" s="844" t="n">
        <v>46132</v>
      </c>
      <c r="R273" s="842" t="n">
        <v>46500</v>
      </c>
      <c r="S273" s="842">
        <f>R273</f>
        <v/>
      </c>
      <c r="U273" s="842" t="n">
        <v>45350</v>
      </c>
      <c r="V273" s="842">
        <f>U273</f>
        <v/>
      </c>
      <c r="W273" s="842" t="n">
        <v>45350</v>
      </c>
      <c r="X273" s="842">
        <f>W273</f>
        <v/>
      </c>
      <c r="Y273" s="845">
        <f>W273/I273</f>
        <v/>
      </c>
      <c r="Z273" s="846">
        <f>SUM(W273-U273)/U273</f>
        <v/>
      </c>
      <c r="AA273" s="617" t="inlineStr">
        <is>
          <t>B</t>
        </is>
      </c>
      <c r="AB273" s="590" t="n"/>
      <c r="AC273" s="591" t="n"/>
      <c r="AD273" s="841" t="inlineStr">
        <is>
          <t>No</t>
        </is>
      </c>
      <c r="AH273" s="312" t="n"/>
      <c r="AJ273" t="inlineStr">
        <is>
          <t>Let</t>
        </is>
      </c>
    </row>
    <row r="274">
      <c r="A274" t="inlineStr">
        <is>
          <t>65 Margaret Street</t>
        </is>
      </c>
      <c r="B274" s="838" t="n"/>
      <c r="C274" s="839" t="inlineStr">
        <is>
          <t>CM</t>
        </is>
      </c>
      <c r="D274" s="839" t="inlineStr">
        <is>
          <t>MEL</t>
        </is>
      </c>
      <c r="E274" s="838" t="n">
        <v>550620</v>
      </c>
      <c r="F274" s="840" t="inlineStr">
        <is>
          <t>65 Margaret Street</t>
        </is>
      </c>
      <c r="G274" s="840" t="inlineStr">
        <is>
          <t>First Floor</t>
        </is>
      </c>
      <c r="H274" s="841" t="inlineStr">
        <is>
          <t>Office</t>
        </is>
      </c>
      <c r="I274" s="848" t="n">
        <v>360</v>
      </c>
      <c r="J274" s="848">
        <f>I274</f>
        <v/>
      </c>
      <c r="K274" s="848" t="n">
        <v>250</v>
      </c>
      <c r="L274" s="840" t="inlineStr">
        <is>
          <t>Advanced Beauty Medical Clinics Ltd</t>
        </is>
      </c>
      <c r="M274" s="843" t="n">
        <v>44307</v>
      </c>
      <c r="N274" s="844" t="n">
        <v>46132</v>
      </c>
      <c r="R274" s="842" t="n">
        <v>18500</v>
      </c>
      <c r="S274" s="842">
        <f>R274</f>
        <v/>
      </c>
      <c r="U274" s="842" t="n">
        <v>20200</v>
      </c>
      <c r="V274" s="842">
        <f>U274</f>
        <v/>
      </c>
      <c r="W274" s="842" t="n">
        <v>20700</v>
      </c>
      <c r="X274" s="842">
        <f>W274</f>
        <v/>
      </c>
      <c r="Y274" s="845">
        <f>W274/I274</f>
        <v/>
      </c>
      <c r="Z274" s="846">
        <f>SUM(W274-U274)/U274</f>
        <v/>
      </c>
      <c r="AA274" s="842" t="inlineStr">
        <is>
          <t>D</t>
        </is>
      </c>
      <c r="AB274" s="590" t="n"/>
      <c r="AC274" s="591" t="n"/>
      <c r="AD274" s="841" t="inlineStr">
        <is>
          <t>No</t>
        </is>
      </c>
      <c r="AH274" s="312" t="n"/>
      <c r="AJ274" t="inlineStr">
        <is>
          <t>Let</t>
        </is>
      </c>
    </row>
    <row r="275">
      <c r="A275" t="inlineStr">
        <is>
          <t>65 Margaret Street</t>
        </is>
      </c>
      <c r="B275" s="838" t="n"/>
      <c r="C275" s="839" t="inlineStr">
        <is>
          <t>CM</t>
        </is>
      </c>
      <c r="D275" s="839" t="inlineStr">
        <is>
          <t>MEL</t>
        </is>
      </c>
      <c r="E275" s="838" t="n">
        <v>550620</v>
      </c>
      <c r="F275" s="840" t="inlineStr">
        <is>
          <t>65 Margaret Street</t>
        </is>
      </c>
      <c r="G275" s="840" t="inlineStr">
        <is>
          <t>Second Floor</t>
        </is>
      </c>
      <c r="H275" s="841" t="inlineStr">
        <is>
          <t>Office</t>
        </is>
      </c>
      <c r="I275" s="848" t="n">
        <v>375</v>
      </c>
      <c r="J275" s="848">
        <f>I275</f>
        <v/>
      </c>
      <c r="K275" s="848" t="n">
        <v>500</v>
      </c>
      <c r="L275" s="840" t="inlineStr">
        <is>
          <t>Vacant</t>
        </is>
      </c>
      <c r="O275" s="844" t="n">
        <v>45407</v>
      </c>
      <c r="R275" s="842" t="n">
        <v>0</v>
      </c>
      <c r="S275" s="842">
        <f>R275</f>
        <v/>
      </c>
      <c r="U275" s="842" t="n">
        <v>21000</v>
      </c>
      <c r="V275" s="842">
        <f>U275</f>
        <v/>
      </c>
      <c r="W275" s="842" t="n">
        <v>21600</v>
      </c>
      <c r="X275" s="842">
        <f>W275</f>
        <v/>
      </c>
      <c r="Y275" s="845">
        <f>W275/I275</f>
        <v/>
      </c>
      <c r="Z275" s="846">
        <f>SUM(W275-U275)/U275</f>
        <v/>
      </c>
      <c r="AA275" s="842" t="inlineStr">
        <is>
          <t>D</t>
        </is>
      </c>
      <c r="AB275" s="590" t="n"/>
      <c r="AC275" s="591" t="n"/>
      <c r="AD275" s="841" t="inlineStr">
        <is>
          <t>No</t>
        </is>
      </c>
      <c r="AE275" s="840" t="inlineStr">
        <is>
          <t>To be refurbished.</t>
        </is>
      </c>
      <c r="AG275" s="840" t="n">
        <v>4</v>
      </c>
      <c r="AH275" s="312" t="n">
        <v>8</v>
      </c>
      <c r="AJ275" t="inlineStr">
        <is>
          <t>Void</t>
        </is>
      </c>
    </row>
    <row r="276">
      <c r="A276" t="inlineStr">
        <is>
          <t>65 Margaret Street</t>
        </is>
      </c>
      <c r="B276" s="838" t="n"/>
      <c r="C276" s="839" t="inlineStr">
        <is>
          <t>CM</t>
        </is>
      </c>
      <c r="D276" s="839" t="inlineStr">
        <is>
          <t>MEL</t>
        </is>
      </c>
      <c r="E276" s="838" t="n">
        <v>550620</v>
      </c>
      <c r="F276" s="840" t="inlineStr">
        <is>
          <t>65 Margaret Street</t>
        </is>
      </c>
      <c r="G276" s="840" t="inlineStr">
        <is>
          <t>Third Floor</t>
        </is>
      </c>
      <c r="H276" s="841" t="inlineStr">
        <is>
          <t>Office</t>
        </is>
      </c>
      <c r="I276" s="848" t="n">
        <v>350</v>
      </c>
      <c r="J276" s="848">
        <f>I276</f>
        <v/>
      </c>
      <c r="K276" s="848" t="n">
        <v>500</v>
      </c>
      <c r="L276" s="840" t="inlineStr">
        <is>
          <t>Leap Productions Limited</t>
        </is>
      </c>
      <c r="M276" s="843" t="n">
        <v>44974</v>
      </c>
      <c r="N276" s="844" t="n">
        <v>46799</v>
      </c>
      <c r="Q276" s="844" t="n">
        <v>46069</v>
      </c>
      <c r="R276" s="842" t="n">
        <v>19600</v>
      </c>
      <c r="S276" s="842">
        <f>R276</f>
        <v/>
      </c>
      <c r="U276" s="842" t="n">
        <v>19600</v>
      </c>
      <c r="V276" s="842">
        <f>U276</f>
        <v/>
      </c>
      <c r="W276" s="842" t="n">
        <v>20100</v>
      </c>
      <c r="X276" s="842">
        <f>W276</f>
        <v/>
      </c>
      <c r="Y276" s="845">
        <f>W276/I276</f>
        <v/>
      </c>
      <c r="Z276" s="846">
        <f>SUM(W276-U276)/U276</f>
        <v/>
      </c>
      <c r="AA276" s="842" t="inlineStr">
        <is>
          <t>D</t>
        </is>
      </c>
      <c r="AB276" s="590" t="n"/>
      <c r="AC276" s="591" t="n"/>
      <c r="AD276" s="841" t="inlineStr">
        <is>
          <t>No</t>
        </is>
      </c>
      <c r="AE276" s="840" t="inlineStr">
        <is>
          <t>Tenant break on 6 months notice.</t>
        </is>
      </c>
      <c r="AH276" s="312" t="n"/>
      <c r="AJ276" t="inlineStr">
        <is>
          <t>Let</t>
        </is>
      </c>
    </row>
    <row r="277">
      <c r="A277" t="inlineStr">
        <is>
          <t>65 Margaret Street</t>
        </is>
      </c>
      <c r="B277" s="838" t="n"/>
      <c r="C277" s="839" t="inlineStr">
        <is>
          <t>CM</t>
        </is>
      </c>
      <c r="D277" s="839" t="inlineStr">
        <is>
          <t>MEL</t>
        </is>
      </c>
      <c r="E277" s="838" t="n">
        <v>550620</v>
      </c>
      <c r="F277" s="840" t="inlineStr">
        <is>
          <t>65 Margaret Street</t>
        </is>
      </c>
      <c r="G277" s="840" t="inlineStr">
        <is>
          <t>Fourth Floor</t>
        </is>
      </c>
      <c r="H277" s="841" t="inlineStr">
        <is>
          <t>Office</t>
        </is>
      </c>
      <c r="I277" s="848" t="n">
        <v>350</v>
      </c>
      <c r="J277" s="848">
        <f>I277</f>
        <v/>
      </c>
      <c r="K277" s="848" t="n">
        <v>500</v>
      </c>
      <c r="L277" s="840" t="inlineStr">
        <is>
          <t>Philips Lockhart Ltd.</t>
        </is>
      </c>
      <c r="M277" s="843" t="n">
        <v>45359</v>
      </c>
      <c r="N277" s="844" t="n">
        <v>46453</v>
      </c>
      <c r="Q277" s="844" t="n">
        <v>45907</v>
      </c>
      <c r="R277" s="842" t="n">
        <v>19600</v>
      </c>
      <c r="S277" s="842">
        <f>R277</f>
        <v/>
      </c>
      <c r="U277" s="842" t="n">
        <v>17500</v>
      </c>
      <c r="V277" s="842">
        <f>U277</f>
        <v/>
      </c>
      <c r="W277" s="842" t="n">
        <v>19600</v>
      </c>
      <c r="X277" s="842">
        <f>W277</f>
        <v/>
      </c>
      <c r="Y277" s="845">
        <f>W277/I277</f>
        <v/>
      </c>
      <c r="Z277" s="846">
        <f>SUM(W277-U277)/U277</f>
        <v/>
      </c>
      <c r="AA277" s="842" t="inlineStr">
        <is>
          <t>D</t>
        </is>
      </c>
      <c r="AB277" s="590" t="n"/>
      <c r="AC277" s="591" t="n"/>
      <c r="AD277" s="841" t="inlineStr">
        <is>
          <t>No</t>
        </is>
      </c>
      <c r="AE277" s="840" t="inlineStr">
        <is>
          <t>Tenant break on 6 months notice. 2 months rent free at 08/09/25 if break not exercised.</t>
        </is>
      </c>
      <c r="AH277" s="312" t="n"/>
      <c r="AJ277" t="inlineStr">
        <is>
          <t>Let</t>
        </is>
      </c>
    </row>
    <row r="278">
      <c r="A278" t="inlineStr">
        <is>
          <t>65 Margaret Street</t>
        </is>
      </c>
      <c r="B278" s="838" t="n"/>
      <c r="C278" s="839" t="inlineStr">
        <is>
          <t>CM</t>
        </is>
      </c>
      <c r="D278" s="839" t="inlineStr">
        <is>
          <t>MEL</t>
        </is>
      </c>
      <c r="E278" s="838" t="n">
        <v>550620</v>
      </c>
      <c r="F278" s="840" t="inlineStr">
        <is>
          <t>65 Margaret Street</t>
        </is>
      </c>
      <c r="G278" s="840" t="inlineStr">
        <is>
          <t>Fifth Floor</t>
        </is>
      </c>
      <c r="H278" s="841" t="inlineStr">
        <is>
          <t>Office</t>
        </is>
      </c>
      <c r="I278" s="848" t="n">
        <v>350</v>
      </c>
      <c r="J278" s="848">
        <f>I278</f>
        <v/>
      </c>
      <c r="K278" s="848" t="n">
        <v>500</v>
      </c>
      <c r="L278" s="840" t="inlineStr">
        <is>
          <t>Mercury Creations Limited</t>
        </is>
      </c>
      <c r="M278" s="843" t="n">
        <v>45744</v>
      </c>
      <c r="N278" s="844" t="n">
        <v>47569</v>
      </c>
      <c r="Q278" s="844" t="n">
        <v>46839</v>
      </c>
      <c r="R278" s="842" t="n">
        <v>0</v>
      </c>
      <c r="S278" s="842">
        <f>R278</f>
        <v/>
      </c>
      <c r="U278" s="842" t="n">
        <v>17500</v>
      </c>
      <c r="V278" s="842">
        <f>U278</f>
        <v/>
      </c>
      <c r="W278" s="842" t="n">
        <v>19600</v>
      </c>
      <c r="X278" s="842">
        <f>W278</f>
        <v/>
      </c>
      <c r="Y278" s="845">
        <f>W278/I278</f>
        <v/>
      </c>
      <c r="Z278" s="846">
        <f>SUM(W278-U278)/U278</f>
        <v/>
      </c>
      <c r="AA278" s="842" t="inlineStr">
        <is>
          <t>D</t>
        </is>
      </c>
      <c r="AB278" s="590" t="n"/>
      <c r="AC278" s="591" t="n"/>
      <c r="AD278" s="841" t="inlineStr">
        <is>
          <t>No</t>
        </is>
      </c>
      <c r="AE278" s="840" t="inlineStr">
        <is>
          <t>Rent £19,950 wef 28/07/25. Tenant break on 6 months notice. 2 months rent free if not exercised. Tenant name corrected.</t>
        </is>
      </c>
      <c r="AG278" s="840" t="n">
        <v>1</v>
      </c>
      <c r="AH278" s="312" t="n">
        <v>3</v>
      </c>
      <c r="AI278" s="840" t="inlineStr">
        <is>
          <t>LEM</t>
        </is>
      </c>
      <c r="AJ278" t="inlineStr">
        <is>
          <t>Let</t>
        </is>
      </c>
    </row>
    <row r="279">
      <c r="A279" t="inlineStr">
        <is>
          <t>75-77 Margaret Street</t>
        </is>
      </c>
      <c r="B279" s="838" t="n"/>
      <c r="C279" s="839" t="inlineStr">
        <is>
          <t>CD</t>
        </is>
      </c>
      <c r="D279" s="839" t="inlineStr">
        <is>
          <t>MEL</t>
        </is>
      </c>
      <c r="E279" s="838" t="n">
        <v>550640</v>
      </c>
      <c r="F279" s="840" t="inlineStr">
        <is>
          <t>75-77 Margaret Street</t>
        </is>
      </c>
      <c r="G279" s="840" t="inlineStr">
        <is>
          <t>Sub-Basement</t>
        </is>
      </c>
      <c r="H279" s="841" t="inlineStr">
        <is>
          <t>Office</t>
        </is>
      </c>
      <c r="I279" s="848" t="n">
        <v>3760</v>
      </c>
      <c r="J279" s="848">
        <f>I279</f>
        <v/>
      </c>
      <c r="K279" s="848" t="n">
        <v>2750</v>
      </c>
      <c r="L279" s="840" t="inlineStr">
        <is>
          <t>M&amp;C Saatchi World Services Ltd.</t>
        </is>
      </c>
      <c r="M279" s="843" t="n">
        <v>44769</v>
      </c>
      <c r="N279" s="844" t="n">
        <v>46594</v>
      </c>
      <c r="Q279" s="844" t="n">
        <v>45864</v>
      </c>
      <c r="R279" s="842" t="n">
        <v>95000</v>
      </c>
      <c r="S279" s="842">
        <f>R279</f>
        <v/>
      </c>
      <c r="U279" s="842" t="n">
        <v>95000</v>
      </c>
      <c r="V279" s="842">
        <f>U279</f>
        <v/>
      </c>
      <c r="W279" s="842" t="n">
        <v>95000</v>
      </c>
      <c r="X279" s="842">
        <f>W279</f>
        <v/>
      </c>
      <c r="Y279" s="845">
        <f>W279/I279</f>
        <v/>
      </c>
      <c r="Z279" s="846">
        <f>SUM(W279-U279)/U279</f>
        <v/>
      </c>
      <c r="AA279" s="842" t="inlineStr">
        <is>
          <t>E</t>
        </is>
      </c>
      <c r="AB279" s="590" t="n"/>
      <c r="AC279" s="847" t="n"/>
      <c r="AD279" s="841" t="inlineStr">
        <is>
          <t>No</t>
        </is>
      </c>
      <c r="AE279" s="840" t="inlineStr">
        <is>
          <t>Tenant break on 6 months notice.</t>
        </is>
      </c>
      <c r="AH279" s="312" t="n"/>
      <c r="AJ279" t="inlineStr">
        <is>
          <t>Let</t>
        </is>
      </c>
    </row>
    <row r="280">
      <c r="A280" t="inlineStr">
        <is>
          <t>75-77 Margaret Street</t>
        </is>
      </c>
      <c r="B280" s="838" t="n"/>
      <c r="C280" s="839" t="inlineStr">
        <is>
          <t>CD</t>
        </is>
      </c>
      <c r="D280" s="839" t="inlineStr">
        <is>
          <t>MEL</t>
        </is>
      </c>
      <c r="E280" s="838" t="n">
        <v>550640</v>
      </c>
      <c r="F280" s="840" t="inlineStr">
        <is>
          <t>75-77 Margaret Street</t>
        </is>
      </c>
      <c r="G280" s="840" t="inlineStr">
        <is>
          <t>Lower Ground Floor</t>
        </is>
      </c>
      <c r="H280" s="841" t="inlineStr">
        <is>
          <t>Retail / Showroom</t>
        </is>
      </c>
      <c r="I280" s="848" t="n">
        <v>7994</v>
      </c>
      <c r="J280" s="848">
        <f>I280</f>
        <v/>
      </c>
      <c r="K280" s="848" t="n">
        <v>8000</v>
      </c>
      <c r="L280" s="840" t="inlineStr">
        <is>
          <t>EDC2 Ltd.</t>
        </is>
      </c>
      <c r="M280" s="843" t="n">
        <v>45417</v>
      </c>
      <c r="N280" s="844" t="n">
        <v>49068</v>
      </c>
      <c r="P280" s="844" t="n">
        <v>47243</v>
      </c>
      <c r="Q280" s="844" t="n">
        <v>47242</v>
      </c>
      <c r="R280" s="842" t="n">
        <v>424275</v>
      </c>
      <c r="S280" s="842">
        <f>R280</f>
        <v/>
      </c>
      <c r="U280" s="842" t="n">
        <v>379100</v>
      </c>
      <c r="V280" s="842">
        <f>U280</f>
        <v/>
      </c>
      <c r="W280" s="842" t="n">
        <v>424275</v>
      </c>
      <c r="X280" s="842">
        <f>W280</f>
        <v/>
      </c>
      <c r="Y280" s="845">
        <f>W280/I280</f>
        <v/>
      </c>
      <c r="Z280" s="846">
        <f>SUM(W280-U280)/U280</f>
        <v/>
      </c>
      <c r="AA280" s="842" t="inlineStr">
        <is>
          <t>B</t>
        </is>
      </c>
      <c r="AB280" s="590" t="n"/>
      <c r="AC280" s="847" t="n"/>
      <c r="AD280" s="841" t="inlineStr">
        <is>
          <t>No</t>
        </is>
      </c>
      <c r="AE280" s="840" t="inlineStr">
        <is>
          <t>Tenant break on 6 months notice. Half rent for 1year from 05/05/29 if break not exercised. Penalty clause of £106k if exercised.</t>
        </is>
      </c>
      <c r="AH280" s="312" t="n"/>
      <c r="AJ280" t="inlineStr">
        <is>
          <t>Let</t>
        </is>
      </c>
    </row>
    <row r="281">
      <c r="A281" t="inlineStr">
        <is>
          <t>75-77 Margaret Street</t>
        </is>
      </c>
      <c r="B281" s="838" t="n"/>
      <c r="C281" s="839" t="inlineStr">
        <is>
          <t>CD</t>
        </is>
      </c>
      <c r="D281" s="839" t="inlineStr">
        <is>
          <t>MEL</t>
        </is>
      </c>
      <c r="E281" s="838" t="n">
        <v>550640</v>
      </c>
      <c r="F281" s="840" t="inlineStr">
        <is>
          <t>75-77 Margaret Street</t>
        </is>
      </c>
      <c r="G281" s="840" t="inlineStr">
        <is>
          <t>First Floor (Front)</t>
        </is>
      </c>
      <c r="H281" s="841" t="inlineStr">
        <is>
          <t>Office</t>
        </is>
      </c>
      <c r="I281" s="848" t="n">
        <v>2106</v>
      </c>
      <c r="J281" s="848">
        <f>I281</f>
        <v/>
      </c>
      <c r="K281" s="848" t="n">
        <v>2000</v>
      </c>
      <c r="L281" s="840" t="inlineStr">
        <is>
          <t>Maxguard Limited</t>
        </is>
      </c>
      <c r="M281" s="843" t="n">
        <v>44317</v>
      </c>
      <c r="N281" s="844" t="n">
        <v>46142</v>
      </c>
      <c r="R281" s="842" t="n">
        <v>115500</v>
      </c>
      <c r="S281" s="842">
        <f>R281</f>
        <v/>
      </c>
      <c r="U281" s="842" t="n">
        <v>120700</v>
      </c>
      <c r="V281" s="842">
        <f>U281</f>
        <v/>
      </c>
      <c r="W281" s="842" t="n">
        <v>121100</v>
      </c>
      <c r="X281" s="842">
        <f>W281</f>
        <v/>
      </c>
      <c r="Y281" s="845">
        <f>W281/I281</f>
        <v/>
      </c>
      <c r="Z281" s="846">
        <f>SUM(W281-U281)/U281</f>
        <v/>
      </c>
      <c r="AA281" s="842" t="inlineStr">
        <is>
          <t>D</t>
        </is>
      </c>
      <c r="AB281" s="590" t="n"/>
      <c r="AC281" s="847" t="n"/>
      <c r="AD281" s="841" t="inlineStr">
        <is>
          <t>No</t>
        </is>
      </c>
      <c r="AH281" s="312" t="n"/>
      <c r="AJ281" t="inlineStr">
        <is>
          <t>Let</t>
        </is>
      </c>
    </row>
    <row r="282">
      <c r="A282" t="inlineStr">
        <is>
          <t>75-77 Margaret Street</t>
        </is>
      </c>
      <c r="B282" s="838" t="n"/>
      <c r="C282" s="839" t="inlineStr">
        <is>
          <t>CD</t>
        </is>
      </c>
      <c r="D282" s="839" t="inlineStr">
        <is>
          <t>MEL</t>
        </is>
      </c>
      <c r="E282" s="838" t="n">
        <v>550640</v>
      </c>
      <c r="F282" s="840" t="inlineStr">
        <is>
          <t>75-77 Margaret Street</t>
        </is>
      </c>
      <c r="G282" s="840" t="inlineStr">
        <is>
          <t>First Floor (Rear)</t>
        </is>
      </c>
      <c r="H282" s="841" t="inlineStr">
        <is>
          <t>Office</t>
        </is>
      </c>
      <c r="I282" s="848" t="n">
        <v>1218</v>
      </c>
      <c r="J282" s="848">
        <f>I282</f>
        <v/>
      </c>
      <c r="K282" s="848" t="n">
        <v>1250</v>
      </c>
      <c r="L282" s="840" t="inlineStr">
        <is>
          <t>Vacant</t>
        </is>
      </c>
      <c r="O282" s="844" t="n">
        <v>42705</v>
      </c>
      <c r="R282" s="842" t="n">
        <v>0</v>
      </c>
      <c r="S282" s="842">
        <f>R282</f>
        <v/>
      </c>
      <c r="U282" s="842" t="n">
        <v>61500</v>
      </c>
      <c r="V282" s="842">
        <f>U282</f>
        <v/>
      </c>
      <c r="W282" s="842" t="n">
        <v>63900</v>
      </c>
      <c r="X282" s="842">
        <f>W282</f>
        <v/>
      </c>
      <c r="Y282" s="845">
        <f>W282/I282</f>
        <v/>
      </c>
      <c r="Z282" s="846">
        <f>SUM(W282-U282)/U282</f>
        <v/>
      </c>
      <c r="AA282" s="842" t="inlineStr">
        <is>
          <t>D</t>
        </is>
      </c>
      <c r="AB282" s="590" t="n"/>
      <c r="AC282" s="847" t="n"/>
      <c r="AD282" s="841" t="inlineStr">
        <is>
          <t>No</t>
        </is>
      </c>
      <c r="AE282" s="840" t="inlineStr">
        <is>
          <t>To be refurbished.</t>
        </is>
      </c>
      <c r="AF282" s="849" t="n">
        <v>62.5</v>
      </c>
      <c r="AH282" s="312" t="n"/>
      <c r="AJ282" t="inlineStr">
        <is>
          <t>Void</t>
        </is>
      </c>
    </row>
    <row r="283">
      <c r="A283" t="inlineStr">
        <is>
          <t>75-77 Margaret Street</t>
        </is>
      </c>
      <c r="B283" s="838" t="n"/>
      <c r="C283" s="839" t="inlineStr">
        <is>
          <t>CD</t>
        </is>
      </c>
      <c r="D283" s="839" t="inlineStr">
        <is>
          <t>MEL</t>
        </is>
      </c>
      <c r="E283" s="838" t="n">
        <v>550640</v>
      </c>
      <c r="F283" s="840" t="inlineStr">
        <is>
          <t>75-77 Margaret Street</t>
        </is>
      </c>
      <c r="G283" s="840" t="inlineStr">
        <is>
          <t>Second Floor (Front)</t>
        </is>
      </c>
      <c r="H283" s="841" t="inlineStr">
        <is>
          <t>Office</t>
        </is>
      </c>
      <c r="I283" s="848" t="n">
        <v>2256</v>
      </c>
      <c r="J283" s="848">
        <f>I283</f>
        <v/>
      </c>
      <c r="K283" s="848" t="n">
        <v>2250</v>
      </c>
      <c r="L283" s="840" t="inlineStr">
        <is>
          <t>Vacant</t>
        </is>
      </c>
      <c r="O283" s="844" t="n">
        <v>44782</v>
      </c>
      <c r="R283" s="842" t="n">
        <v>0</v>
      </c>
      <c r="S283" s="842">
        <f>R283</f>
        <v/>
      </c>
      <c r="U283" s="842" t="n">
        <v>129200</v>
      </c>
      <c r="V283" s="842">
        <f>U283</f>
        <v/>
      </c>
      <c r="W283" s="842" t="n">
        <v>129700</v>
      </c>
      <c r="X283" s="842">
        <f>W283</f>
        <v/>
      </c>
      <c r="Y283" s="845">
        <f>W283/I283</f>
        <v/>
      </c>
      <c r="Z283" s="846">
        <f>SUM(W283-U283)/U283</f>
        <v/>
      </c>
      <c r="AA283" s="842" t="inlineStr">
        <is>
          <t>D</t>
        </is>
      </c>
      <c r="AB283" s="590" t="n"/>
      <c r="AC283" s="847" t="n"/>
      <c r="AD283" s="841" t="inlineStr">
        <is>
          <t>No</t>
        </is>
      </c>
      <c r="AE283" s="840" t="inlineStr">
        <is>
          <t>To be refurbished.</t>
        </is>
      </c>
      <c r="AF283" s="849" t="n">
        <v>62.5</v>
      </c>
      <c r="AG283" s="840" t="n">
        <v>1</v>
      </c>
      <c r="AH283" s="312" t="n">
        <v>1</v>
      </c>
      <c r="AJ283" t="inlineStr">
        <is>
          <t>Void</t>
        </is>
      </c>
    </row>
    <row r="284">
      <c r="A284" t="inlineStr">
        <is>
          <t>75-77 Margaret Street</t>
        </is>
      </c>
      <c r="B284" s="838" t="n"/>
      <c r="C284" s="839" t="inlineStr">
        <is>
          <t>CD</t>
        </is>
      </c>
      <c r="D284" s="839" t="inlineStr">
        <is>
          <t>MEL</t>
        </is>
      </c>
      <c r="E284" s="838" t="n">
        <v>550640</v>
      </c>
      <c r="F284" s="840" t="inlineStr">
        <is>
          <t>75-77 Margaret Street</t>
        </is>
      </c>
      <c r="G284" s="840" t="inlineStr">
        <is>
          <t>Second Floor (Rear)</t>
        </is>
      </c>
      <c r="H284" s="841" t="inlineStr">
        <is>
          <t>Office</t>
        </is>
      </c>
      <c r="I284" s="848" t="n">
        <v>1218</v>
      </c>
      <c r="J284" s="848">
        <f>I284</f>
        <v/>
      </c>
      <c r="K284" s="848" t="n">
        <v>1250</v>
      </c>
      <c r="L284" s="840" t="inlineStr">
        <is>
          <t>Vacant</t>
        </is>
      </c>
      <c r="O284" s="844" t="n">
        <v>42513</v>
      </c>
      <c r="R284" s="842" t="n">
        <v>0</v>
      </c>
      <c r="S284" s="842">
        <f>R284</f>
        <v/>
      </c>
      <c r="U284" s="842" t="n">
        <v>59700</v>
      </c>
      <c r="V284" s="842">
        <f>U284</f>
        <v/>
      </c>
      <c r="W284" s="842" t="n">
        <v>63900</v>
      </c>
      <c r="X284" s="842">
        <f>W284</f>
        <v/>
      </c>
      <c r="Y284" s="845">
        <f>W284/I284</f>
        <v/>
      </c>
      <c r="Z284" s="846">
        <f>SUM(W284-U284)/U284</f>
        <v/>
      </c>
      <c r="AA284" s="842" t="inlineStr">
        <is>
          <t>E</t>
        </is>
      </c>
      <c r="AB284" s="590" t="n"/>
      <c r="AC284" s="847" t="n"/>
      <c r="AD284" s="841" t="inlineStr">
        <is>
          <t>No</t>
        </is>
      </c>
      <c r="AE284" s="840" t="inlineStr">
        <is>
          <t>To be refurbished.</t>
        </is>
      </c>
      <c r="AF284" s="849" t="n">
        <v>62.5</v>
      </c>
      <c r="AH284" s="312" t="n"/>
      <c r="AJ284" t="inlineStr">
        <is>
          <t>Void</t>
        </is>
      </c>
    </row>
    <row r="285">
      <c r="A285" t="inlineStr">
        <is>
          <t>75-77 Margaret Street</t>
        </is>
      </c>
      <c r="B285" s="838" t="n"/>
      <c r="C285" s="839" t="inlineStr">
        <is>
          <t>CD</t>
        </is>
      </c>
      <c r="D285" s="839" t="inlineStr">
        <is>
          <t>MEL</t>
        </is>
      </c>
      <c r="E285" s="838" t="n">
        <v>550640</v>
      </c>
      <c r="F285" s="840" t="inlineStr">
        <is>
          <t>75-77 Margaret Street</t>
        </is>
      </c>
      <c r="G285" s="840" t="inlineStr">
        <is>
          <t>Third Floor</t>
        </is>
      </c>
      <c r="H285" s="841" t="inlineStr">
        <is>
          <t>Office</t>
        </is>
      </c>
      <c r="I285" s="848" t="n">
        <v>2194</v>
      </c>
      <c r="J285" s="848">
        <f>I285</f>
        <v/>
      </c>
      <c r="K285" s="848" t="n">
        <v>2000</v>
      </c>
      <c r="L285" s="840" t="inlineStr">
        <is>
          <t>Major League Baseball Europe Ltd.</t>
        </is>
      </c>
      <c r="M285" s="843" t="n">
        <v>45082</v>
      </c>
      <c r="N285" s="844" t="n">
        <v>46908</v>
      </c>
      <c r="Q285" s="844" t="n">
        <v>46177</v>
      </c>
      <c r="R285" s="842" t="n">
        <v>130980</v>
      </c>
      <c r="S285" s="842">
        <f>R285</f>
        <v/>
      </c>
      <c r="U285" s="842" t="n">
        <v>122200</v>
      </c>
      <c r="V285" s="842">
        <f>U285</f>
        <v/>
      </c>
      <c r="W285" s="842" t="n">
        <v>126200</v>
      </c>
      <c r="X285" s="842">
        <f>W285</f>
        <v/>
      </c>
      <c r="Y285" s="845">
        <f>W285/I285</f>
        <v/>
      </c>
      <c r="Z285" s="846">
        <f>SUM(W285-U285)/U285</f>
        <v/>
      </c>
      <c r="AA285" s="842" t="inlineStr">
        <is>
          <t>C</t>
        </is>
      </c>
      <c r="AB285" s="590" t="n"/>
      <c r="AC285" s="847" t="n"/>
      <c r="AD285" s="841" t="inlineStr">
        <is>
          <t>No</t>
        </is>
      </c>
      <c r="AE285" s="840" t="inlineStr">
        <is>
          <t>Tenant break on 6 months notice.</t>
        </is>
      </c>
      <c r="AG285" s="29" t="n"/>
      <c r="AH285" s="313" t="n"/>
      <c r="AI285" s="29" t="n"/>
      <c r="AJ285" t="inlineStr">
        <is>
          <t>Let</t>
        </is>
      </c>
    </row>
    <row r="286">
      <c r="A286" t="inlineStr">
        <is>
          <t>75-77 Margaret Street</t>
        </is>
      </c>
      <c r="B286" s="838" t="n"/>
      <c r="C286" s="839" t="inlineStr">
        <is>
          <t>CD</t>
        </is>
      </c>
      <c r="D286" s="839" t="inlineStr">
        <is>
          <t>MEL</t>
        </is>
      </c>
      <c r="E286" s="838" t="n">
        <v>550640</v>
      </c>
      <c r="F286" s="840" t="inlineStr">
        <is>
          <t>75-77 Margaret Street</t>
        </is>
      </c>
      <c r="G286" s="840" t="inlineStr">
        <is>
          <t>Fourth Floor</t>
        </is>
      </c>
      <c r="H286" s="841" t="inlineStr">
        <is>
          <t>Office</t>
        </is>
      </c>
      <c r="I286" s="848" t="n">
        <v>2080</v>
      </c>
      <c r="J286" s="848">
        <f>I286</f>
        <v/>
      </c>
      <c r="K286" s="848" t="n">
        <v>2000</v>
      </c>
      <c r="L286" s="840" t="inlineStr">
        <is>
          <t>Vacant</t>
        </is>
      </c>
      <c r="O286" s="844" t="n">
        <v>44647</v>
      </c>
      <c r="R286" s="842" t="n">
        <v>0</v>
      </c>
      <c r="S286" s="842">
        <f>R286</f>
        <v/>
      </c>
      <c r="U286" s="842" t="n">
        <v>117900</v>
      </c>
      <c r="V286" s="842">
        <f>U286</f>
        <v/>
      </c>
      <c r="W286" s="842" t="n">
        <v>119600</v>
      </c>
      <c r="X286" s="842">
        <f>W286</f>
        <v/>
      </c>
      <c r="Y286" s="845">
        <f>W286/I286</f>
        <v/>
      </c>
      <c r="Z286" s="846">
        <f>SUM(W286-U286)/U286</f>
        <v/>
      </c>
      <c r="AA286" s="842" t="inlineStr">
        <is>
          <t>D</t>
        </is>
      </c>
      <c r="AB286" s="590" t="n"/>
      <c r="AC286" s="847" t="n"/>
      <c r="AD286" s="841" t="inlineStr">
        <is>
          <t>No</t>
        </is>
      </c>
      <c r="AE286" s="840" t="inlineStr">
        <is>
          <t>To be refurbished.</t>
        </is>
      </c>
      <c r="AF286" s="849" t="n">
        <v>63</v>
      </c>
      <c r="AG286" s="840" t="n">
        <v>1</v>
      </c>
      <c r="AH286" s="312" t="n">
        <v>4</v>
      </c>
      <c r="AI286" s="840" t="inlineStr">
        <is>
          <t>LEM / LDG</t>
        </is>
      </c>
      <c r="AJ286" t="inlineStr">
        <is>
          <t>Void</t>
        </is>
      </c>
    </row>
    <row r="287">
      <c r="A287" t="inlineStr">
        <is>
          <t>75-77 Margaret Street</t>
        </is>
      </c>
      <c r="B287" s="838" t="n"/>
      <c r="C287" s="839" t="inlineStr">
        <is>
          <t>CD</t>
        </is>
      </c>
      <c r="D287" s="839" t="inlineStr">
        <is>
          <t>MEL</t>
        </is>
      </c>
      <c r="E287" s="838" t="n">
        <v>550640</v>
      </c>
      <c r="F287" s="840" t="inlineStr">
        <is>
          <t>75-77 Margaret Street</t>
        </is>
      </c>
      <c r="G287" s="840" t="inlineStr">
        <is>
          <t>Fifth Floor</t>
        </is>
      </c>
      <c r="H287" s="841" t="inlineStr">
        <is>
          <t>Office</t>
        </is>
      </c>
      <c r="I287" s="848" t="n">
        <v>1713</v>
      </c>
      <c r="J287" s="848">
        <f>I287</f>
        <v/>
      </c>
      <c r="K287" s="848" t="n">
        <v>1750</v>
      </c>
      <c r="L287" s="840" t="inlineStr">
        <is>
          <t>Vacant</t>
        </is>
      </c>
      <c r="O287" s="844" t="n">
        <v>45195</v>
      </c>
      <c r="R287" s="842" t="n">
        <v>0</v>
      </c>
      <c r="S287" s="842">
        <f>R287</f>
        <v/>
      </c>
      <c r="U287" s="842" t="n">
        <v>94300</v>
      </c>
      <c r="V287" s="842">
        <f>U287</f>
        <v/>
      </c>
      <c r="W287" s="842" t="n">
        <v>98500</v>
      </c>
      <c r="X287" s="842">
        <f>W287</f>
        <v/>
      </c>
      <c r="Y287" s="845">
        <f>W287/I287</f>
        <v/>
      </c>
      <c r="Z287" s="846">
        <f>SUM(W287-U287)/U287</f>
        <v/>
      </c>
      <c r="AA287" s="842" t="inlineStr">
        <is>
          <t>E</t>
        </is>
      </c>
      <c r="AB287" s="590" t="n"/>
      <c r="AC287" s="847" t="n"/>
      <c r="AD287" s="841" t="inlineStr">
        <is>
          <t>No</t>
        </is>
      </c>
      <c r="AE287" s="840" t="inlineStr">
        <is>
          <t>To be refurbished.</t>
        </is>
      </c>
      <c r="AF287" s="849" t="n">
        <v>65</v>
      </c>
      <c r="AG287" s="840" t="n">
        <v>1</v>
      </c>
      <c r="AH287" s="312" t="n">
        <v>1</v>
      </c>
      <c r="AJ287" t="inlineStr">
        <is>
          <t>Void</t>
        </is>
      </c>
    </row>
    <row r="288">
      <c r="A288" t="inlineStr">
        <is>
          <t>Sackville House - 78 Margaret Street</t>
        </is>
      </c>
      <c r="B288" s="838" t="n"/>
      <c r="C288" s="839" t="inlineStr">
        <is>
          <t>JM</t>
        </is>
      </c>
      <c r="D288" s="839" t="inlineStr">
        <is>
          <t>MEL</t>
        </is>
      </c>
      <c r="E288" s="838" t="n">
        <v>550630</v>
      </c>
      <c r="F288" s="840" t="inlineStr">
        <is>
          <t>Sackville House - 78 Margaret Street</t>
        </is>
      </c>
      <c r="G288" s="840" t="inlineStr">
        <is>
          <t>Basement</t>
        </is>
      </c>
      <c r="H288" s="841" t="inlineStr">
        <is>
          <t>Storage</t>
        </is>
      </c>
      <c r="I288" s="848" t="n">
        <v>927</v>
      </c>
      <c r="J288" s="848">
        <f>I288</f>
        <v/>
      </c>
      <c r="K288" s="848" t="n">
        <v>1000</v>
      </c>
      <c r="L288" s="840" t="inlineStr">
        <is>
          <t>Langham Estate Management Ltd</t>
        </is>
      </c>
      <c r="M288" s="844" t="n">
        <v>43184</v>
      </c>
      <c r="N288" s="844" t="n">
        <v>46836</v>
      </c>
      <c r="P288" s="844" t="n">
        <v>45010</v>
      </c>
      <c r="R288" s="842" t="n">
        <v>13900</v>
      </c>
      <c r="S288" s="842">
        <f>R288</f>
        <v/>
      </c>
      <c r="U288" s="842" t="n">
        <v>13900</v>
      </c>
      <c r="V288" s="842">
        <f>U288</f>
        <v/>
      </c>
      <c r="W288" s="842" t="n">
        <v>13900</v>
      </c>
      <c r="X288" s="842">
        <f>W288</f>
        <v/>
      </c>
      <c r="Y288" s="845">
        <f>W288/I288</f>
        <v/>
      </c>
      <c r="Z288" s="846">
        <f>SUM(W288-U288)/U288</f>
        <v/>
      </c>
      <c r="AA288" s="842" t="inlineStr">
        <is>
          <t>D</t>
        </is>
      </c>
      <c r="AB288" s="590" t="n"/>
      <c r="AC288" s="591" t="n"/>
      <c r="AD288" s="841" t="inlineStr">
        <is>
          <t>No</t>
        </is>
      </c>
      <c r="AE288" s="840" t="inlineStr">
        <is>
          <t>Mothballed.</t>
        </is>
      </c>
      <c r="AG288" s="29" t="n"/>
      <c r="AH288" s="313" t="n"/>
      <c r="AI288" s="29" t="n"/>
      <c r="AJ288" t="inlineStr">
        <is>
          <t>Let</t>
        </is>
      </c>
    </row>
    <row r="289">
      <c r="A289" t="inlineStr">
        <is>
          <t>Sackville House - 78 Margaret Street</t>
        </is>
      </c>
      <c r="B289" s="838" t="n"/>
      <c r="C289" s="839" t="inlineStr">
        <is>
          <t>JM</t>
        </is>
      </c>
      <c r="D289" s="839" t="inlineStr">
        <is>
          <t>MEL</t>
        </is>
      </c>
      <c r="E289" s="838" t="n">
        <v>550630</v>
      </c>
      <c r="F289" s="840" t="inlineStr">
        <is>
          <t>Sackville House - 78 Margaret Street</t>
        </is>
      </c>
      <c r="G289" s="840" t="inlineStr">
        <is>
          <t>Ground</t>
        </is>
      </c>
      <c r="H289" s="841" t="inlineStr">
        <is>
          <t>Office</t>
        </is>
      </c>
      <c r="I289" s="848" t="n">
        <v>1010</v>
      </c>
      <c r="J289" s="848">
        <f>I289</f>
        <v/>
      </c>
      <c r="K289" s="848" t="n">
        <v>1000</v>
      </c>
      <c r="L289" s="840" t="inlineStr">
        <is>
          <t>Vacant</t>
        </is>
      </c>
      <c r="O289" s="844" t="n">
        <v>42794</v>
      </c>
      <c r="R289" s="842" t="n">
        <v>0</v>
      </c>
      <c r="S289" s="842">
        <f>R289</f>
        <v/>
      </c>
      <c r="U289" s="842" t="n">
        <v>55600</v>
      </c>
      <c r="V289" s="842">
        <f>U289</f>
        <v/>
      </c>
      <c r="W289" s="842" t="n">
        <v>58100</v>
      </c>
      <c r="X289" s="842">
        <f>W289</f>
        <v/>
      </c>
      <c r="Y289" s="845">
        <f>W289/I289</f>
        <v/>
      </c>
      <c r="Z289" s="846">
        <f>SUM(W289-U289)/U289</f>
        <v/>
      </c>
      <c r="AA289" s="842" t="inlineStr">
        <is>
          <t>D</t>
        </is>
      </c>
      <c r="AB289" s="590" t="n"/>
      <c r="AC289" s="591" t="n"/>
      <c r="AD289" s="841" t="inlineStr">
        <is>
          <t>No</t>
        </is>
      </c>
      <c r="AE289" s="840" t="inlineStr">
        <is>
          <t>Mothballed.</t>
        </is>
      </c>
      <c r="AG289" s="29" t="n"/>
      <c r="AH289" s="313" t="n"/>
      <c r="AI289" s="29" t="n"/>
      <c r="AJ289" t="inlineStr">
        <is>
          <t>Void</t>
        </is>
      </c>
    </row>
    <row r="290">
      <c r="A290" t="inlineStr">
        <is>
          <t>Sackville House - 78 Margaret Street</t>
        </is>
      </c>
      <c r="B290" s="838" t="n"/>
      <c r="C290" s="839" t="inlineStr">
        <is>
          <t>JM</t>
        </is>
      </c>
      <c r="D290" s="839" t="inlineStr">
        <is>
          <t>MEL</t>
        </is>
      </c>
      <c r="E290" s="838" t="n">
        <v>550630</v>
      </c>
      <c r="F290" s="840" t="inlineStr">
        <is>
          <t>Sackville House - 78 Margaret Street</t>
        </is>
      </c>
      <c r="G290" s="840" t="inlineStr">
        <is>
          <t>First Floor</t>
        </is>
      </c>
      <c r="H290" s="841" t="inlineStr">
        <is>
          <t>Office</t>
        </is>
      </c>
      <c r="I290" s="848" t="n">
        <v>971</v>
      </c>
      <c r="J290" s="848">
        <f>I290</f>
        <v/>
      </c>
      <c r="K290" s="848" t="n">
        <v>1000</v>
      </c>
      <c r="L290" s="840" t="inlineStr">
        <is>
          <t>Vacant</t>
        </is>
      </c>
      <c r="O290" s="844" t="n">
        <v>44071</v>
      </c>
      <c r="R290" s="842" t="n">
        <v>0</v>
      </c>
      <c r="S290" s="842">
        <f>R290</f>
        <v/>
      </c>
      <c r="U290" s="842" t="n">
        <v>53400</v>
      </c>
      <c r="V290" s="842">
        <f>U290</f>
        <v/>
      </c>
      <c r="W290" s="842" t="n">
        <v>55800</v>
      </c>
      <c r="X290" s="842">
        <f>W290</f>
        <v/>
      </c>
      <c r="Y290" s="845">
        <f>W290/I290</f>
        <v/>
      </c>
      <c r="Z290" s="846">
        <f>SUM(W290-U290)/U290</f>
        <v/>
      </c>
      <c r="AA290" s="842" t="inlineStr">
        <is>
          <t>D</t>
        </is>
      </c>
      <c r="AB290" s="590" t="n"/>
      <c r="AC290" s="591" t="n"/>
      <c r="AD290" s="841" t="inlineStr">
        <is>
          <t>No</t>
        </is>
      </c>
      <c r="AE290" s="840" t="inlineStr">
        <is>
          <t>Mothballed.</t>
        </is>
      </c>
      <c r="AG290" s="29" t="n"/>
      <c r="AH290" s="313" t="n"/>
      <c r="AI290" s="29" t="n"/>
      <c r="AJ290" t="inlineStr">
        <is>
          <t>Void</t>
        </is>
      </c>
    </row>
    <row r="291">
      <c r="A291" t="inlineStr">
        <is>
          <t>Sackville House - 78 Margaret Street</t>
        </is>
      </c>
      <c r="B291" s="838" t="n"/>
      <c r="C291" s="839" t="inlineStr">
        <is>
          <t>JM</t>
        </is>
      </c>
      <c r="D291" s="839" t="inlineStr">
        <is>
          <t>MEL</t>
        </is>
      </c>
      <c r="E291" s="838" t="n">
        <v>550630</v>
      </c>
      <c r="F291" s="840" t="inlineStr">
        <is>
          <t>Sackville House - 78 Margaret Street</t>
        </is>
      </c>
      <c r="G291" s="840" t="inlineStr">
        <is>
          <t>Second Floor</t>
        </is>
      </c>
      <c r="H291" s="841" t="inlineStr">
        <is>
          <t>Office</t>
        </is>
      </c>
      <c r="I291" s="848" t="n">
        <v>1000</v>
      </c>
      <c r="J291" s="848">
        <f>I291</f>
        <v/>
      </c>
      <c r="K291" s="848" t="n">
        <v>1000</v>
      </c>
      <c r="L291" s="840" t="inlineStr">
        <is>
          <t>Vacant</t>
        </is>
      </c>
      <c r="O291" s="844" t="n">
        <v>43261</v>
      </c>
      <c r="R291" s="842" t="n">
        <v>0</v>
      </c>
      <c r="S291" s="842">
        <f>R291</f>
        <v/>
      </c>
      <c r="U291" s="842" t="n">
        <v>52500</v>
      </c>
      <c r="V291" s="842">
        <f>U291</f>
        <v/>
      </c>
      <c r="W291" s="842" t="n">
        <v>55000</v>
      </c>
      <c r="X291" s="842">
        <f>W291</f>
        <v/>
      </c>
      <c r="Y291" s="845">
        <f>W291/I291</f>
        <v/>
      </c>
      <c r="Z291" s="846">
        <f>SUM(W291-U291)/U291</f>
        <v/>
      </c>
      <c r="AA291" s="842" t="inlineStr">
        <is>
          <t>D</t>
        </is>
      </c>
      <c r="AB291" s="590" t="n"/>
      <c r="AC291" s="591" t="n"/>
      <c r="AD291" s="841" t="inlineStr">
        <is>
          <t>No</t>
        </is>
      </c>
      <c r="AE291" s="840" t="inlineStr">
        <is>
          <t>Mothballed.</t>
        </is>
      </c>
      <c r="AG291" s="29" t="n"/>
      <c r="AH291" s="313" t="n"/>
      <c r="AI291" s="29" t="n"/>
      <c r="AJ291" t="inlineStr">
        <is>
          <t>Void</t>
        </is>
      </c>
    </row>
    <row r="292">
      <c r="A292" t="inlineStr">
        <is>
          <t>Kenilworth House - 79-80 Margaret Street</t>
        </is>
      </c>
      <c r="B292" s="838" t="n"/>
      <c r="C292" s="839" t="inlineStr">
        <is>
          <t>JM</t>
        </is>
      </c>
      <c r="D292" s="839" t="inlineStr">
        <is>
          <t>MEL</t>
        </is>
      </c>
      <c r="E292" s="838" t="n">
        <v>550690</v>
      </c>
      <c r="F292" s="840" t="inlineStr">
        <is>
          <t>Kenilworth House - 79-80 Margaret Street</t>
        </is>
      </c>
      <c r="G292" s="840" t="inlineStr">
        <is>
          <t>Basement (E)</t>
        </is>
      </c>
      <c r="H292" s="841" t="inlineStr">
        <is>
          <t>Educational</t>
        </is>
      </c>
      <c r="I292" s="848" t="n">
        <v>1519</v>
      </c>
      <c r="J292" s="848">
        <f>I292</f>
        <v/>
      </c>
      <c r="K292" s="848" t="n">
        <v>1500</v>
      </c>
      <c r="L292" s="29" t="inlineStr">
        <is>
          <t>Jewells Retail Ltd</t>
        </is>
      </c>
      <c r="M292" s="628" t="n">
        <v>45824</v>
      </c>
      <c r="N292" s="620" t="n">
        <v>46188</v>
      </c>
      <c r="R292" s="617" t="n">
        <v>61812</v>
      </c>
      <c r="S292" s="842">
        <f>R292</f>
        <v/>
      </c>
      <c r="U292" s="842" t="n">
        <v>53600</v>
      </c>
      <c r="V292" s="842">
        <f>U292</f>
        <v/>
      </c>
      <c r="W292" s="842" t="n">
        <v>54700</v>
      </c>
      <c r="X292" s="842">
        <f>W292</f>
        <v/>
      </c>
      <c r="Y292" s="845">
        <f>W292/I292</f>
        <v/>
      </c>
      <c r="Z292" s="846">
        <f>SUM(W292-U292)/U292</f>
        <v/>
      </c>
      <c r="AA292" s="842" t="inlineStr">
        <is>
          <t>E</t>
        </is>
      </c>
      <c r="AB292" s="590" t="inlineStr">
        <is>
          <t>*</t>
        </is>
      </c>
      <c r="AC292" s="847" t="n"/>
      <c r="AD292" s="841" t="inlineStr">
        <is>
          <t>No</t>
        </is>
      </c>
      <c r="AE292" s="29" t="inlineStr">
        <is>
          <t>New letting completed. Rent all inclusive (excl rates).</t>
        </is>
      </c>
      <c r="AG292" s="840" t="n">
        <v>1</v>
      </c>
      <c r="AH292" s="312" t="n">
        <v>4</v>
      </c>
      <c r="AI292" s="840" t="inlineStr">
        <is>
          <t>LEM</t>
        </is>
      </c>
      <c r="AJ292" t="inlineStr">
        <is>
          <t>Let</t>
        </is>
      </c>
    </row>
    <row r="293">
      <c r="A293" t="inlineStr">
        <is>
          <t>Kenilworth House - 79-80 Margaret Street</t>
        </is>
      </c>
      <c r="B293" s="838" t="n"/>
      <c r="C293" s="839" t="inlineStr">
        <is>
          <t>JM</t>
        </is>
      </c>
      <c r="D293" s="839" t="inlineStr">
        <is>
          <t>MEL</t>
        </is>
      </c>
      <c r="E293" s="838" t="n">
        <v>550690</v>
      </c>
      <c r="F293" s="840" t="inlineStr">
        <is>
          <t>Kenilworth House - 79-80 Margaret Street</t>
        </is>
      </c>
      <c r="G293" s="840" t="inlineStr">
        <is>
          <t xml:space="preserve">Ground (East) </t>
        </is>
      </c>
      <c r="H293" s="841" t="inlineStr">
        <is>
          <t>Office</t>
        </is>
      </c>
      <c r="I293" s="848" t="n">
        <v>1525</v>
      </c>
      <c r="J293" s="848">
        <f>I293</f>
        <v/>
      </c>
      <c r="K293" s="848" t="n">
        <v>1500</v>
      </c>
      <c r="L293" s="29" t="inlineStr">
        <is>
          <t xml:space="preserve">Lualdi UK </t>
        </is>
      </c>
      <c r="M293" s="628" t="n">
        <v>45834</v>
      </c>
      <c r="N293" s="620" t="n">
        <v>47659</v>
      </c>
      <c r="R293" s="617" t="n">
        <v>0</v>
      </c>
      <c r="S293" s="842">
        <f>R293</f>
        <v/>
      </c>
      <c r="U293" s="842" t="n">
        <v>90600</v>
      </c>
      <c r="V293" s="842">
        <f>U293</f>
        <v/>
      </c>
      <c r="W293" s="842" t="n">
        <v>91500</v>
      </c>
      <c r="X293" s="842">
        <f>W293</f>
        <v/>
      </c>
      <c r="Y293" s="845">
        <f>W293/I293</f>
        <v/>
      </c>
      <c r="Z293" s="846">
        <f>SUM(W293-U293)/U293</f>
        <v/>
      </c>
      <c r="AA293" s="842" t="inlineStr">
        <is>
          <t>E</t>
        </is>
      </c>
      <c r="AB293" s="590" t="n"/>
      <c r="AC293" s="847" t="n"/>
      <c r="AD293" s="841" t="inlineStr">
        <is>
          <t>No</t>
        </is>
      </c>
      <c r="AE293" s="29" t="inlineStr">
        <is>
          <t>New letting completed. Stepped rent. Rent £62,500 wef 26/09/25. Fixed increases to £72,500 wef 26/06/26, £82,000 wef 26/06/27, £90,000 wef 26/06/28 and £93,000 wef 26/06/29.</t>
        </is>
      </c>
      <c r="AH293" s="312" t="n">
        <v>3</v>
      </c>
      <c r="AJ293" t="inlineStr">
        <is>
          <t>Let</t>
        </is>
      </c>
    </row>
    <row r="294">
      <c r="A294" t="inlineStr">
        <is>
          <t>Kenilworth House - 79-80 Margaret Street</t>
        </is>
      </c>
      <c r="B294" s="838" t="n"/>
      <c r="C294" s="839" t="inlineStr">
        <is>
          <t>JM</t>
        </is>
      </c>
      <c r="D294" s="839" t="inlineStr">
        <is>
          <t>MEL</t>
        </is>
      </c>
      <c r="E294" s="838" t="n">
        <v>550690</v>
      </c>
      <c r="F294" s="840" t="inlineStr">
        <is>
          <t>Kenilworth House - 79-80 Margaret Street</t>
        </is>
      </c>
      <c r="G294" s="840" t="inlineStr">
        <is>
          <t>Ground (West) &amp; Part Basement</t>
        </is>
      </c>
      <c r="H294" s="841" t="inlineStr">
        <is>
          <t>Showroom</t>
        </is>
      </c>
      <c r="I294" s="848" t="n">
        <v>1989</v>
      </c>
      <c r="J294" s="848">
        <f>I294</f>
        <v/>
      </c>
      <c r="K294" s="848" t="n">
        <v>2000</v>
      </c>
      <c r="L294" s="840" t="inlineStr">
        <is>
          <t>Edwards Cheshire Company Ltd.</t>
        </is>
      </c>
      <c r="M294" s="843" t="n">
        <v>42874</v>
      </c>
      <c r="N294" s="844" t="n">
        <v>46525</v>
      </c>
      <c r="P294" s="844" t="n">
        <v>44700</v>
      </c>
      <c r="R294" s="842" t="n">
        <v>82575</v>
      </c>
      <c r="S294" s="842">
        <f>R294</f>
        <v/>
      </c>
      <c r="U294" s="842" t="n">
        <v>75000</v>
      </c>
      <c r="V294" s="842">
        <f>U294</f>
        <v/>
      </c>
      <c r="W294" s="842" t="n">
        <v>87300</v>
      </c>
      <c r="X294" s="842">
        <f>W294</f>
        <v/>
      </c>
      <c r="Y294" s="845">
        <f>W294/I294</f>
        <v/>
      </c>
      <c r="Z294" s="846">
        <f>SUM(W294-U294)/U294</f>
        <v/>
      </c>
      <c r="AA294" s="842" t="inlineStr">
        <is>
          <t>C</t>
        </is>
      </c>
      <c r="AB294" s="590" t="n"/>
      <c r="AC294" s="847" t="n"/>
      <c r="AD294" s="841" t="inlineStr">
        <is>
          <t>No</t>
        </is>
      </c>
      <c r="AH294" s="312" t="n"/>
      <c r="AJ294" t="inlineStr">
        <is>
          <t>Let</t>
        </is>
      </c>
    </row>
    <row r="295">
      <c r="A295" t="inlineStr">
        <is>
          <t>Kenilworth House - 79-80 Margaret Street</t>
        </is>
      </c>
      <c r="B295" s="838" t="n"/>
      <c r="C295" s="839" t="inlineStr">
        <is>
          <t>JM</t>
        </is>
      </c>
      <c r="D295" s="839" t="inlineStr">
        <is>
          <t>MEL</t>
        </is>
      </c>
      <c r="E295" s="838" t="n">
        <v>550690</v>
      </c>
      <c r="F295" s="840" t="inlineStr">
        <is>
          <t>Kenilworth House - 79-80 Margaret Street</t>
        </is>
      </c>
      <c r="G295" s="840" t="inlineStr">
        <is>
          <t>First Floor (East)</t>
        </is>
      </c>
      <c r="H295" s="841" t="inlineStr">
        <is>
          <t>Showroom/ Office</t>
        </is>
      </c>
      <c r="I295" s="848" t="n">
        <v>1143</v>
      </c>
      <c r="J295" s="848">
        <f>I295</f>
        <v/>
      </c>
      <c r="K295" s="848" t="n">
        <v>1000</v>
      </c>
      <c r="L295" s="840" t="inlineStr">
        <is>
          <t>Vacant</t>
        </is>
      </c>
      <c r="O295" s="844" t="n">
        <v>44293</v>
      </c>
      <c r="R295" s="842" t="n">
        <v>0</v>
      </c>
      <c r="S295" s="842">
        <f>R295</f>
        <v/>
      </c>
      <c r="U295" s="842" t="n">
        <v>73600</v>
      </c>
      <c r="V295" s="842">
        <f>U295</f>
        <v/>
      </c>
      <c r="W295" s="842" t="n">
        <v>74300</v>
      </c>
      <c r="X295" s="842">
        <f>W295</f>
        <v/>
      </c>
      <c r="Y295" s="845">
        <f>W295/I295</f>
        <v/>
      </c>
      <c r="Z295" s="846">
        <f>SUM(W295-U295)/U295</f>
        <v/>
      </c>
      <c r="AA295" s="842" t="inlineStr">
        <is>
          <t>D</t>
        </is>
      </c>
      <c r="AB295" s="590" t="n"/>
      <c r="AC295" s="847" t="n"/>
      <c r="AD295" s="841" t="inlineStr">
        <is>
          <t>No</t>
        </is>
      </c>
      <c r="AE295" s="840" t="inlineStr">
        <is>
          <t>Mothballed.</t>
        </is>
      </c>
      <c r="AG295" s="29" t="n"/>
      <c r="AH295" s="313" t="n">
        <v>3</v>
      </c>
      <c r="AI295" s="29" t="n"/>
      <c r="AJ295" t="inlineStr">
        <is>
          <t>Void</t>
        </is>
      </c>
    </row>
    <row r="296">
      <c r="A296" t="inlineStr">
        <is>
          <t>Kenilworth House - 79-80 Margaret Street</t>
        </is>
      </c>
      <c r="B296" s="838" t="n"/>
      <c r="C296" s="839" t="inlineStr">
        <is>
          <t>JM</t>
        </is>
      </c>
      <c r="D296" s="839" t="inlineStr">
        <is>
          <t>MEL</t>
        </is>
      </c>
      <c r="E296" s="838" t="n">
        <v>550690</v>
      </c>
      <c r="F296" s="840" t="inlineStr">
        <is>
          <t>Kenilworth House - 79-80 Margaret Street</t>
        </is>
      </c>
      <c r="G296" s="840" t="inlineStr">
        <is>
          <t>First Floor (West)</t>
        </is>
      </c>
      <c r="H296" s="841" t="inlineStr">
        <is>
          <t>Office</t>
        </is>
      </c>
      <c r="I296" s="848" t="n">
        <v>805</v>
      </c>
      <c r="J296" s="848">
        <f>I296</f>
        <v/>
      </c>
      <c r="K296" s="848" t="n">
        <v>1000</v>
      </c>
      <c r="L296" s="840" t="inlineStr">
        <is>
          <t>Vacant</t>
        </is>
      </c>
      <c r="O296" s="844" t="n">
        <v>44336</v>
      </c>
      <c r="R296" s="842" t="n">
        <v>0</v>
      </c>
      <c r="S296" s="842">
        <f>R296</f>
        <v/>
      </c>
      <c r="U296" s="842" t="n">
        <v>45600</v>
      </c>
      <c r="V296" s="842">
        <f>U296</f>
        <v/>
      </c>
      <c r="W296" s="842" t="n">
        <v>52300</v>
      </c>
      <c r="X296" s="842">
        <f>W296</f>
        <v/>
      </c>
      <c r="Y296" s="845">
        <f>W296/I296</f>
        <v/>
      </c>
      <c r="Z296" s="846">
        <f>SUM(W296-U296)/U296</f>
        <v/>
      </c>
      <c r="AA296" s="842" t="inlineStr">
        <is>
          <t>D</t>
        </is>
      </c>
      <c r="AB296" s="590" t="n"/>
      <c r="AC296" s="847" t="n"/>
      <c r="AD296" s="841" t="inlineStr">
        <is>
          <t>No</t>
        </is>
      </c>
      <c r="AE296" s="840" t="inlineStr">
        <is>
          <t>Mothballed.</t>
        </is>
      </c>
      <c r="AG296" s="29" t="n"/>
      <c r="AH296" s="313" t="n"/>
      <c r="AI296" s="29" t="n"/>
      <c r="AJ296" t="inlineStr">
        <is>
          <t>Void</t>
        </is>
      </c>
    </row>
    <row r="297">
      <c r="A297" t="inlineStr">
        <is>
          <t>Kenilworth House - 79-80 Margaret Street</t>
        </is>
      </c>
      <c r="B297" s="838" t="n"/>
      <c r="C297" s="839" t="inlineStr">
        <is>
          <t>JM</t>
        </is>
      </c>
      <c r="D297" s="839" t="inlineStr">
        <is>
          <t>MEL</t>
        </is>
      </c>
      <c r="E297" s="838" t="n">
        <v>550690</v>
      </c>
      <c r="F297" s="840" t="inlineStr">
        <is>
          <t>Kenilworth House - 79-80 Margaret Street</t>
        </is>
      </c>
      <c r="G297" s="840" t="inlineStr">
        <is>
          <t>Second Floor (East)</t>
        </is>
      </c>
      <c r="H297" s="841" t="inlineStr">
        <is>
          <t>Office</t>
        </is>
      </c>
      <c r="I297" s="848" t="n">
        <v>1171</v>
      </c>
      <c r="J297" s="848">
        <f>I297</f>
        <v/>
      </c>
      <c r="K297" s="848" t="n">
        <v>1000</v>
      </c>
      <c r="L297" s="840" t="inlineStr">
        <is>
          <t>Vacant</t>
        </is>
      </c>
      <c r="N297" s="844" t="n"/>
      <c r="O297" s="844" t="n">
        <v>44049</v>
      </c>
      <c r="R297" s="842" t="n">
        <v>0</v>
      </c>
      <c r="S297" s="842">
        <f>R297</f>
        <v/>
      </c>
      <c r="U297" s="842" t="n">
        <v>72300</v>
      </c>
      <c r="V297" s="842">
        <f>U297</f>
        <v/>
      </c>
      <c r="W297" s="842" t="n">
        <v>76100</v>
      </c>
      <c r="X297" s="842">
        <f>W297</f>
        <v/>
      </c>
      <c r="Y297" s="845">
        <f>W297/I297</f>
        <v/>
      </c>
      <c r="Z297" s="846">
        <f>SUM(W297-U297)/U297</f>
        <v/>
      </c>
      <c r="AA297" s="842" t="inlineStr">
        <is>
          <t>D</t>
        </is>
      </c>
      <c r="AB297" s="590" t="n"/>
      <c r="AC297" s="847" t="n"/>
      <c r="AD297" s="841" t="inlineStr">
        <is>
          <t>No</t>
        </is>
      </c>
      <c r="AE297" s="840" t="inlineStr">
        <is>
          <t>Mothballed.</t>
        </is>
      </c>
      <c r="AG297" s="29" t="n"/>
      <c r="AH297" s="313" t="n"/>
      <c r="AI297" s="29" t="n"/>
      <c r="AJ297" t="inlineStr">
        <is>
          <t>Void</t>
        </is>
      </c>
    </row>
    <row r="298">
      <c r="A298" t="inlineStr">
        <is>
          <t>Kenilworth House - 79-80 Margaret Street</t>
        </is>
      </c>
      <c r="B298" s="838" t="n"/>
      <c r="C298" s="839" t="inlineStr">
        <is>
          <t>JM</t>
        </is>
      </c>
      <c r="D298" s="839" t="inlineStr">
        <is>
          <t>MEL</t>
        </is>
      </c>
      <c r="E298" s="838" t="n">
        <v>550690</v>
      </c>
      <c r="F298" s="840" t="inlineStr">
        <is>
          <t>Kenilworth House - 79-80 Margaret Street</t>
        </is>
      </c>
      <c r="G298" s="840" t="inlineStr">
        <is>
          <t>Second Floor (West)</t>
        </is>
      </c>
      <c r="H298" s="841" t="inlineStr">
        <is>
          <t>Office</t>
        </is>
      </c>
      <c r="I298" s="848" t="n">
        <v>793</v>
      </c>
      <c r="J298" s="848">
        <f>I298</f>
        <v/>
      </c>
      <c r="K298" s="848" t="n">
        <v>750</v>
      </c>
      <c r="L298" s="840" t="inlineStr">
        <is>
          <t>Vacant</t>
        </is>
      </c>
      <c r="N298" s="844" t="n"/>
      <c r="O298" s="844" t="n">
        <v>44805</v>
      </c>
      <c r="R298" s="842" t="n">
        <v>0</v>
      </c>
      <c r="S298" s="842">
        <f>R298</f>
        <v/>
      </c>
      <c r="U298" s="842" t="n">
        <v>46300</v>
      </c>
      <c r="V298" s="842">
        <f>U298</f>
        <v/>
      </c>
      <c r="W298" s="842" t="n">
        <v>51500</v>
      </c>
      <c r="X298" s="842">
        <f>W298</f>
        <v/>
      </c>
      <c r="Y298" s="845">
        <f>W298/I298</f>
        <v/>
      </c>
      <c r="Z298" s="846">
        <f>SUM(W298-U298)/U298</f>
        <v/>
      </c>
      <c r="AA298" s="842" t="inlineStr">
        <is>
          <t>D</t>
        </is>
      </c>
      <c r="AB298" s="590" t="n"/>
      <c r="AC298" s="847" t="n"/>
      <c r="AD298" s="841" t="inlineStr">
        <is>
          <t>No</t>
        </is>
      </c>
      <c r="AE298" s="840" t="inlineStr">
        <is>
          <t>Mothballed.</t>
        </is>
      </c>
      <c r="AG298" s="29" t="n"/>
      <c r="AH298" s="313" t="n"/>
      <c r="AI298" s="29" t="n"/>
      <c r="AJ298" t="inlineStr">
        <is>
          <t>Void</t>
        </is>
      </c>
    </row>
    <row r="299">
      <c r="A299" t="inlineStr">
        <is>
          <t>Kenilworth House - 79-80 Margaret Street</t>
        </is>
      </c>
      <c r="B299" s="838" t="n"/>
      <c r="C299" s="839" t="inlineStr">
        <is>
          <t>JM</t>
        </is>
      </c>
      <c r="D299" s="839" t="inlineStr">
        <is>
          <t>MEL</t>
        </is>
      </c>
      <c r="E299" s="838" t="n">
        <v>550690</v>
      </c>
      <c r="F299" s="840" t="inlineStr">
        <is>
          <t>Kenilworth House - 79-80 Margaret Street</t>
        </is>
      </c>
      <c r="G299" s="840" t="inlineStr">
        <is>
          <t>Third Floor (East)</t>
        </is>
      </c>
      <c r="H299" s="841" t="inlineStr">
        <is>
          <t>Office</t>
        </is>
      </c>
      <c r="I299" s="848" t="n">
        <v>1030</v>
      </c>
      <c r="J299" s="848">
        <f>I299</f>
        <v/>
      </c>
      <c r="K299" s="848" t="n">
        <v>1000</v>
      </c>
      <c r="L299" s="840" t="inlineStr">
        <is>
          <t>Vacant</t>
        </is>
      </c>
      <c r="O299" s="844" t="n">
        <v>43914</v>
      </c>
      <c r="R299" s="842" t="n">
        <v>0</v>
      </c>
      <c r="S299" s="842">
        <f>R299</f>
        <v/>
      </c>
      <c r="U299" s="842" t="n">
        <v>63800</v>
      </c>
      <c r="V299" s="842">
        <f>U299</f>
        <v/>
      </c>
      <c r="W299" s="842" t="n">
        <v>67000</v>
      </c>
      <c r="X299" s="842">
        <f>W299</f>
        <v/>
      </c>
      <c r="Y299" s="845">
        <f>W299/I299</f>
        <v/>
      </c>
      <c r="Z299" s="846">
        <f>SUM(W299-U299)/U299</f>
        <v/>
      </c>
      <c r="AA299" s="842" t="inlineStr">
        <is>
          <t>D</t>
        </is>
      </c>
      <c r="AB299" s="590" t="n"/>
      <c r="AC299" s="847" t="n"/>
      <c r="AD299" s="841" t="inlineStr">
        <is>
          <t>No</t>
        </is>
      </c>
      <c r="AE299" s="840" t="inlineStr">
        <is>
          <t>Mothballed.</t>
        </is>
      </c>
      <c r="AG299" s="29" t="n"/>
      <c r="AH299" s="313" t="n"/>
      <c r="AI299" s="29" t="n"/>
      <c r="AJ299" t="inlineStr">
        <is>
          <t>Void</t>
        </is>
      </c>
    </row>
    <row r="300">
      <c r="A300" t="inlineStr">
        <is>
          <t>Kenilworth House - 79-80 Margaret Street</t>
        </is>
      </c>
      <c r="B300" s="838" t="n"/>
      <c r="C300" s="839" t="inlineStr">
        <is>
          <t>JM</t>
        </is>
      </c>
      <c r="D300" s="839" t="inlineStr">
        <is>
          <t>MEL</t>
        </is>
      </c>
      <c r="E300" s="838" t="n">
        <v>550690</v>
      </c>
      <c r="F300" s="840" t="inlineStr">
        <is>
          <t>Kenilworth House - 79-80 Margaret Street</t>
        </is>
      </c>
      <c r="G300" s="840" t="inlineStr">
        <is>
          <t>Third Floor (West)</t>
        </is>
      </c>
      <c r="H300" s="841" t="inlineStr">
        <is>
          <t>Office</t>
        </is>
      </c>
      <c r="I300" s="848" t="n">
        <v>731</v>
      </c>
      <c r="J300" s="848">
        <f>I300</f>
        <v/>
      </c>
      <c r="K300" s="848" t="n">
        <v>750</v>
      </c>
      <c r="L300" s="840" t="inlineStr">
        <is>
          <t>Vacant</t>
        </is>
      </c>
      <c r="O300" s="844" t="n">
        <v>44321</v>
      </c>
      <c r="R300" s="842" t="n">
        <v>0</v>
      </c>
      <c r="S300" s="842">
        <f>R300</f>
        <v/>
      </c>
      <c r="U300" s="842" t="n">
        <v>46100</v>
      </c>
      <c r="V300" s="842">
        <f>U300</f>
        <v/>
      </c>
      <c r="W300" s="842" t="n">
        <v>47500</v>
      </c>
      <c r="X300" s="842">
        <f>W300</f>
        <v/>
      </c>
      <c r="Y300" s="845">
        <f>W300/I300</f>
        <v/>
      </c>
      <c r="Z300" s="846">
        <f>SUM(W300-U300)/U300</f>
        <v/>
      </c>
      <c r="AA300" s="842" t="inlineStr">
        <is>
          <t>D</t>
        </is>
      </c>
      <c r="AB300" s="590" t="n"/>
      <c r="AC300" s="847" t="n"/>
      <c r="AD300" s="841" t="inlineStr">
        <is>
          <t>No</t>
        </is>
      </c>
      <c r="AE300" s="840" t="inlineStr">
        <is>
          <t>Mothballed.</t>
        </is>
      </c>
      <c r="AG300" s="29" t="n"/>
      <c r="AH300" s="313" t="n"/>
      <c r="AI300" s="29" t="n"/>
      <c r="AJ300" t="inlineStr">
        <is>
          <t>Void</t>
        </is>
      </c>
    </row>
    <row r="301">
      <c r="A301" t="inlineStr">
        <is>
          <t>Kenilworth House - 79-80 Margaret Street</t>
        </is>
      </c>
      <c r="B301" s="838" t="n"/>
      <c r="C301" s="839" t="inlineStr">
        <is>
          <t>JM</t>
        </is>
      </c>
      <c r="D301" s="839" t="inlineStr">
        <is>
          <t>MEL</t>
        </is>
      </c>
      <c r="E301" s="838" t="n">
        <v>550690</v>
      </c>
      <c r="F301" s="840" t="inlineStr">
        <is>
          <t>Kenilworth House - 79-80 Margaret Street</t>
        </is>
      </c>
      <c r="G301" s="840" t="inlineStr">
        <is>
          <t>Fourth Floor (East)</t>
        </is>
      </c>
      <c r="H301" s="841" t="inlineStr">
        <is>
          <t>Office</t>
        </is>
      </c>
      <c r="I301" s="848" t="n">
        <v>949</v>
      </c>
      <c r="J301" s="848">
        <f>I301</f>
        <v/>
      </c>
      <c r="K301" s="848" t="n">
        <v>1000</v>
      </c>
      <c r="L301" s="840" t="inlineStr">
        <is>
          <t>Vacant</t>
        </is>
      </c>
      <c r="O301" s="844" t="n">
        <v>42550</v>
      </c>
      <c r="R301" s="842" t="n">
        <v>0</v>
      </c>
      <c r="S301" s="842">
        <f>R301</f>
        <v/>
      </c>
      <c r="U301" s="842" t="n">
        <v>55600</v>
      </c>
      <c r="V301" s="842">
        <f>U301</f>
        <v/>
      </c>
      <c r="W301" s="842" t="n">
        <v>59300</v>
      </c>
      <c r="X301" s="842">
        <f>W301</f>
        <v/>
      </c>
      <c r="Y301" s="845">
        <f>W301/I301</f>
        <v/>
      </c>
      <c r="Z301" s="846">
        <f>SUM(W301-U301)/U301</f>
        <v/>
      </c>
      <c r="AA301" s="842" t="inlineStr">
        <is>
          <t>D</t>
        </is>
      </c>
      <c r="AB301" s="590" t="n"/>
      <c r="AC301" s="847" t="n"/>
      <c r="AD301" s="841" t="inlineStr">
        <is>
          <t>No</t>
        </is>
      </c>
      <c r="AE301" s="840" t="inlineStr">
        <is>
          <t>Mothballed.</t>
        </is>
      </c>
      <c r="AG301" s="29" t="n"/>
      <c r="AH301" s="313" t="n"/>
      <c r="AI301" s="29" t="n"/>
      <c r="AJ301" t="inlineStr">
        <is>
          <t>Void</t>
        </is>
      </c>
    </row>
    <row r="302">
      <c r="A302" t="inlineStr">
        <is>
          <t>Kenilworth House - 79-80 Margaret Street</t>
        </is>
      </c>
      <c r="B302" s="838" t="n"/>
      <c r="C302" s="839" t="inlineStr">
        <is>
          <t>JM</t>
        </is>
      </c>
      <c r="D302" s="839" t="inlineStr">
        <is>
          <t>MEL</t>
        </is>
      </c>
      <c r="E302" s="838" t="n">
        <v>550690</v>
      </c>
      <c r="F302" s="840" t="inlineStr">
        <is>
          <t>Kenilworth House - 79-80 Margaret Street</t>
        </is>
      </c>
      <c r="G302" s="840" t="inlineStr">
        <is>
          <t>Fourth Floor (West)</t>
        </is>
      </c>
      <c r="H302" s="841" t="inlineStr">
        <is>
          <t>Office</t>
        </is>
      </c>
      <c r="I302" s="848" t="n">
        <v>601</v>
      </c>
      <c r="J302" s="848">
        <f>I302</f>
        <v/>
      </c>
      <c r="K302" s="848" t="n">
        <v>500</v>
      </c>
      <c r="L302" s="840" t="inlineStr">
        <is>
          <t>Vacant</t>
        </is>
      </c>
      <c r="N302" s="844" t="n"/>
      <c r="O302" s="844" t="n">
        <v>44027</v>
      </c>
      <c r="R302" s="842" t="n">
        <v>0</v>
      </c>
      <c r="S302" s="842">
        <f>R302</f>
        <v/>
      </c>
      <c r="U302" s="842" t="n">
        <v>36800</v>
      </c>
      <c r="V302" s="842">
        <f>U302</f>
        <v/>
      </c>
      <c r="W302" s="842" t="n">
        <v>37600</v>
      </c>
      <c r="X302" s="842">
        <f>W302</f>
        <v/>
      </c>
      <c r="Y302" s="845">
        <f>W302/I302</f>
        <v/>
      </c>
      <c r="Z302" s="846">
        <f>SUM(W302-U302)/U302</f>
        <v/>
      </c>
      <c r="AA302" s="842" t="inlineStr">
        <is>
          <t>D</t>
        </is>
      </c>
      <c r="AB302" s="590" t="n"/>
      <c r="AC302" s="847" t="n"/>
      <c r="AD302" s="841" t="inlineStr">
        <is>
          <t>No</t>
        </is>
      </c>
      <c r="AE302" s="840" t="inlineStr">
        <is>
          <t>Mothballed.</t>
        </is>
      </c>
      <c r="AG302" s="29" t="n"/>
      <c r="AH302" s="313" t="n"/>
      <c r="AI302" s="29" t="n"/>
      <c r="AJ302" t="inlineStr">
        <is>
          <t>Void</t>
        </is>
      </c>
    </row>
    <row r="303">
      <c r="A303" t="inlineStr">
        <is>
          <t>Kenilworth House - 79-80 Margaret Street</t>
        </is>
      </c>
      <c r="B303" s="838" t="n"/>
      <c r="C303" s="839" t="inlineStr">
        <is>
          <t>JM</t>
        </is>
      </c>
      <c r="D303" s="839" t="inlineStr">
        <is>
          <t>MEL</t>
        </is>
      </c>
      <c r="E303" s="838" t="n">
        <v>550690</v>
      </c>
      <c r="F303" s="840" t="inlineStr">
        <is>
          <t>Kenilworth House - 79-80 Margaret Street</t>
        </is>
      </c>
      <c r="G303" s="840" t="inlineStr">
        <is>
          <t>Fifth Floor (East)</t>
        </is>
      </c>
      <c r="H303" s="841" t="inlineStr">
        <is>
          <t>Office</t>
        </is>
      </c>
      <c r="I303" s="848" t="n">
        <v>730</v>
      </c>
      <c r="J303" s="848">
        <f>I303</f>
        <v/>
      </c>
      <c r="K303" s="848" t="n">
        <v>750</v>
      </c>
      <c r="L303" s="840" t="inlineStr">
        <is>
          <t>Vacant</t>
        </is>
      </c>
      <c r="O303" s="844" t="n">
        <v>42723</v>
      </c>
      <c r="R303" s="842" t="n">
        <v>0</v>
      </c>
      <c r="S303" s="842">
        <f>R303</f>
        <v/>
      </c>
      <c r="U303" s="842" t="n">
        <v>44700</v>
      </c>
      <c r="V303" s="842">
        <f>U303</f>
        <v/>
      </c>
      <c r="W303" s="842" t="n">
        <v>45600</v>
      </c>
      <c r="X303" s="842">
        <f>W303</f>
        <v/>
      </c>
      <c r="Y303" s="845">
        <f>W303/I303</f>
        <v/>
      </c>
      <c r="Z303" s="846">
        <f>SUM(W303-U303)/U303</f>
        <v/>
      </c>
      <c r="AA303" s="842" t="inlineStr">
        <is>
          <t>D</t>
        </is>
      </c>
      <c r="AB303" s="590" t="n"/>
      <c r="AC303" s="847" t="n"/>
      <c r="AD303" s="841" t="inlineStr">
        <is>
          <t>No</t>
        </is>
      </c>
      <c r="AE303" s="840" t="inlineStr">
        <is>
          <t>Mothballed.</t>
        </is>
      </c>
      <c r="AG303" s="29" t="n"/>
      <c r="AH303" s="313" t="n"/>
      <c r="AI303" s="29" t="n"/>
      <c r="AJ303" t="inlineStr">
        <is>
          <t>Void</t>
        </is>
      </c>
    </row>
    <row r="304">
      <c r="A304" t="inlineStr">
        <is>
          <t>Kenilworth House - 79-80 Margaret Street</t>
        </is>
      </c>
      <c r="B304" s="838" t="n"/>
      <c r="C304" s="839" t="inlineStr">
        <is>
          <t>JM</t>
        </is>
      </c>
      <c r="D304" s="839" t="inlineStr">
        <is>
          <t>MEL</t>
        </is>
      </c>
      <c r="E304" s="838" t="n">
        <v>550690</v>
      </c>
      <c r="F304" s="840" t="inlineStr">
        <is>
          <t>Kenilworth House - 79-80 Margaret Street</t>
        </is>
      </c>
      <c r="G304" s="840" t="inlineStr">
        <is>
          <t>Fifth Floor (West)</t>
        </is>
      </c>
      <c r="H304" s="841" t="inlineStr">
        <is>
          <t>Office</t>
        </is>
      </c>
      <c r="I304" s="848" t="n">
        <v>462</v>
      </c>
      <c r="J304" s="848">
        <f>I304</f>
        <v/>
      </c>
      <c r="K304" s="848" t="n">
        <v>500</v>
      </c>
      <c r="L304" s="840" t="inlineStr">
        <is>
          <t>Vacant</t>
        </is>
      </c>
      <c r="O304" s="844" t="n">
        <v>43824</v>
      </c>
      <c r="R304" s="842" t="n">
        <v>0</v>
      </c>
      <c r="S304" s="842">
        <f>R304</f>
        <v/>
      </c>
      <c r="U304" s="842" t="n">
        <v>27300</v>
      </c>
      <c r="V304" s="842">
        <f>U304</f>
        <v/>
      </c>
      <c r="W304" s="842" t="n">
        <v>28900</v>
      </c>
      <c r="X304" s="842">
        <f>W304</f>
        <v/>
      </c>
      <c r="Y304" s="845">
        <f>W304/I304</f>
        <v/>
      </c>
      <c r="Z304" s="846">
        <f>SUM(W304-U304)/U304</f>
        <v/>
      </c>
      <c r="AA304" s="842" t="inlineStr">
        <is>
          <t>D</t>
        </is>
      </c>
      <c r="AB304" s="590" t="n"/>
      <c r="AC304" s="847" t="n"/>
      <c r="AD304" s="841" t="inlineStr">
        <is>
          <t>No</t>
        </is>
      </c>
      <c r="AE304" s="840" t="inlineStr">
        <is>
          <t>Mothballed.</t>
        </is>
      </c>
      <c r="AG304" s="29" t="n"/>
      <c r="AH304" s="313" t="n"/>
      <c r="AI304" s="29" t="n"/>
      <c r="AJ304" t="inlineStr">
        <is>
          <t>Void</t>
        </is>
      </c>
    </row>
    <row r="305">
      <c r="A305" t="inlineStr">
        <is>
          <t>4 Market Place</t>
        </is>
      </c>
      <c r="B305" s="838" t="n"/>
      <c r="C305" s="839" t="inlineStr">
        <is>
          <t>WS</t>
        </is>
      </c>
      <c r="D305" s="839" t="inlineStr">
        <is>
          <t>MEL</t>
        </is>
      </c>
      <c r="E305" s="838" t="n">
        <v>550810</v>
      </c>
      <c r="F305" s="840" t="inlineStr">
        <is>
          <t>4 Market Place</t>
        </is>
      </c>
      <c r="G305" s="840" t="inlineStr">
        <is>
          <t>Ground, Basement &amp; Vaults</t>
        </is>
      </c>
      <c r="H305" s="841" t="inlineStr">
        <is>
          <t>Restaurant</t>
        </is>
      </c>
      <c r="I305" s="848" t="n">
        <v>1190</v>
      </c>
      <c r="J305" s="848">
        <f>I305</f>
        <v/>
      </c>
      <c r="K305" s="848" t="n">
        <v>1000</v>
      </c>
      <c r="L305" s="840" t="inlineStr">
        <is>
          <t>Honest Burgers Ltd</t>
        </is>
      </c>
      <c r="M305" s="843" t="n">
        <v>41673</v>
      </c>
      <c r="N305" s="844" t="n">
        <v>47151</v>
      </c>
      <c r="R305" s="842" t="n">
        <v>115000</v>
      </c>
      <c r="S305" s="842">
        <f>R305</f>
        <v/>
      </c>
      <c r="U305" s="842" t="n">
        <v>106000</v>
      </c>
      <c r="V305" s="842">
        <f>U305</f>
        <v/>
      </c>
      <c r="W305" s="842" t="n">
        <v>106000</v>
      </c>
      <c r="X305" s="842">
        <f>W305</f>
        <v/>
      </c>
      <c r="Y305" s="845">
        <f>W305/I305</f>
        <v/>
      </c>
      <c r="Z305" s="846">
        <f>SUM(W305-U305)/U305</f>
        <v/>
      </c>
      <c r="AA305" s="842" t="inlineStr">
        <is>
          <t>D</t>
        </is>
      </c>
      <c r="AB305" s="590" t="n"/>
      <c r="AC305" s="591" t="n"/>
      <c r="AD305" s="841" t="inlineStr">
        <is>
          <t>No</t>
        </is>
      </c>
      <c r="AE305" s="840" t="inlineStr">
        <is>
          <t xml:space="preserve">Landlords redevelopment break @ 02/02/24 on 6 months notice. </t>
        </is>
      </c>
      <c r="AH305" s="312" t="n"/>
      <c r="AJ305" t="inlineStr">
        <is>
          <t>Let</t>
        </is>
      </c>
    </row>
    <row r="306">
      <c r="A306" t="inlineStr">
        <is>
          <t>4 Market Place</t>
        </is>
      </c>
      <c r="B306" s="838" t="n"/>
      <c r="C306" s="839" t="inlineStr">
        <is>
          <t>WS</t>
        </is>
      </c>
      <c r="D306" s="839" t="inlineStr">
        <is>
          <t>MEL</t>
        </is>
      </c>
      <c r="E306" s="838" t="n">
        <v>550810</v>
      </c>
      <c r="F306" s="840" t="inlineStr">
        <is>
          <t>4 Market Place</t>
        </is>
      </c>
      <c r="G306" s="840" t="inlineStr">
        <is>
          <t>First to Third Floors</t>
        </is>
      </c>
      <c r="H306" s="841" t="inlineStr">
        <is>
          <t>Office</t>
        </is>
      </c>
      <c r="I306" s="848" t="n">
        <v>1044</v>
      </c>
      <c r="J306" s="848">
        <f>I306</f>
        <v/>
      </c>
      <c r="K306" s="848" t="n">
        <v>1000</v>
      </c>
      <c r="L306" s="840" t="inlineStr">
        <is>
          <t>Feel Films Ltd.</t>
        </is>
      </c>
      <c r="M306" s="843" t="n">
        <v>45413</v>
      </c>
      <c r="N306" s="844" t="n">
        <v>47238</v>
      </c>
      <c r="Q306" s="844" t="n">
        <v>46326</v>
      </c>
      <c r="R306" s="842" t="n">
        <v>52500</v>
      </c>
      <c r="S306" s="842">
        <f>R306</f>
        <v/>
      </c>
      <c r="U306" s="842" t="n">
        <v>53800</v>
      </c>
      <c r="V306" s="842">
        <f>U306</f>
        <v/>
      </c>
      <c r="W306" s="842" t="n">
        <v>53800</v>
      </c>
      <c r="X306" s="842">
        <f>W306</f>
        <v/>
      </c>
      <c r="Y306" s="845">
        <f>W306/I306</f>
        <v/>
      </c>
      <c r="Z306" s="846">
        <f>SUM(W306-U306)/U306</f>
        <v/>
      </c>
      <c r="AA306" s="842" t="inlineStr">
        <is>
          <t>D</t>
        </is>
      </c>
      <c r="AB306" s="590" t="n"/>
      <c r="AC306" s="591" t="n"/>
      <c r="AD306" s="841" t="inlineStr">
        <is>
          <t>No</t>
        </is>
      </c>
      <c r="AE306" s="840" t="inlineStr">
        <is>
          <t>Tenant break on 6 months notice.</t>
        </is>
      </c>
      <c r="AH306" s="312" t="n"/>
      <c r="AJ306" t="inlineStr">
        <is>
          <t>Let</t>
        </is>
      </c>
    </row>
    <row r="307">
      <c r="A307" t="inlineStr">
        <is>
          <t>11-13 Market Place</t>
        </is>
      </c>
      <c r="B307" s="838" t="n"/>
      <c r="C307" s="839" t="inlineStr">
        <is>
          <t>WS</t>
        </is>
      </c>
      <c r="D307" s="839" t="inlineStr">
        <is>
          <t>MEL</t>
        </is>
      </c>
      <c r="E307" s="838" t="n">
        <v>550490</v>
      </c>
      <c r="F307" s="840" t="inlineStr">
        <is>
          <t>11-13 Market Place</t>
        </is>
      </c>
      <c r="G307" s="840" t="inlineStr">
        <is>
          <t>Whole Building</t>
        </is>
      </c>
      <c r="H307" s="841" t="inlineStr">
        <is>
          <t>Bar &amp; Office</t>
        </is>
      </c>
      <c r="I307" s="18" t="n">
        <v>6979</v>
      </c>
      <c r="J307" s="842">
        <f>I307</f>
        <v/>
      </c>
      <c r="K307" s="842" t="n">
        <v>7000</v>
      </c>
      <c r="L307" s="840" t="inlineStr">
        <is>
          <t>Market Place (London) Holdings Ltd</t>
        </is>
      </c>
      <c r="M307" s="843" t="n">
        <v>44185</v>
      </c>
      <c r="N307" s="844" t="n">
        <v>47836</v>
      </c>
      <c r="P307" s="844" t="n">
        <v>46011</v>
      </c>
      <c r="R307" s="591" t="n">
        <v>420000</v>
      </c>
      <c r="S307" s="842">
        <f>R307</f>
        <v/>
      </c>
      <c r="T307" s="591">
        <f>S307</f>
        <v/>
      </c>
      <c r="U307" s="591" t="n">
        <v>364600</v>
      </c>
      <c r="V307" s="842">
        <f>U307</f>
        <v/>
      </c>
      <c r="W307" s="591" t="n">
        <v>414100</v>
      </c>
      <c r="X307" s="842">
        <f>W307</f>
        <v/>
      </c>
      <c r="Y307" s="845">
        <f>W307/I307</f>
        <v/>
      </c>
      <c r="Z307" s="846">
        <f>SUM(W307-U307)/U307</f>
        <v/>
      </c>
      <c r="AA307" s="842" t="inlineStr">
        <is>
          <t>E</t>
        </is>
      </c>
      <c r="AB307" s="590" t="n"/>
      <c r="AC307" s="591" t="n">
        <v>7475000</v>
      </c>
      <c r="AD307" s="841" t="inlineStr">
        <is>
          <t>No</t>
        </is>
      </c>
      <c r="AE307" s="840" t="inlineStr">
        <is>
          <t>Upper floors sublet.</t>
        </is>
      </c>
      <c r="AH307" s="312" t="n"/>
      <c r="AJ307" t="inlineStr">
        <is>
          <t>Let</t>
        </is>
      </c>
    </row>
    <row r="308">
      <c r="A308" t="inlineStr">
        <is>
          <t>Radiant House, 34-38 Mortimer Street &amp; 3-4 Bywell Place</t>
        </is>
      </c>
      <c r="B308" s="838" t="n"/>
      <c r="C308" s="839" t="inlineStr">
        <is>
          <t>JM</t>
        </is>
      </c>
      <c r="D308" s="839" t="inlineStr">
        <is>
          <t>MEL</t>
        </is>
      </c>
      <c r="E308" s="838" t="n">
        <v>550940</v>
      </c>
      <c r="F308" s="840" t="inlineStr">
        <is>
          <t>Radiant House, 34-38 Mortimer Street &amp; 3-4 Bywell Place</t>
        </is>
      </c>
      <c r="G308" s="840" t="inlineStr">
        <is>
          <t>Ground &amp; Basement (34)</t>
        </is>
      </c>
      <c r="H308" s="841" t="inlineStr">
        <is>
          <t>Showroom/Studio</t>
        </is>
      </c>
      <c r="I308" s="848" t="n">
        <v>2662</v>
      </c>
      <c r="J308" s="848">
        <f>I308</f>
        <v/>
      </c>
      <c r="K308" s="848" t="n">
        <v>2500</v>
      </c>
      <c r="L308" s="840" t="inlineStr">
        <is>
          <t>Ab-Anbar Limited</t>
        </is>
      </c>
      <c r="M308" s="843" t="n">
        <v>44942</v>
      </c>
      <c r="N308" s="844" t="n">
        <v>46767</v>
      </c>
      <c r="Q308" s="844" t="n">
        <v>46037</v>
      </c>
      <c r="R308" s="842" t="n">
        <v>100000</v>
      </c>
      <c r="S308" s="842">
        <f>R308</f>
        <v/>
      </c>
      <c r="U308" s="848" t="n">
        <v>100000</v>
      </c>
      <c r="V308" s="842">
        <f>U308</f>
        <v/>
      </c>
      <c r="W308" s="848" t="n">
        <v>100000</v>
      </c>
      <c r="X308" s="842">
        <f>W308</f>
        <v/>
      </c>
      <c r="Y308" s="845">
        <f>W308/I308</f>
        <v/>
      </c>
      <c r="Z308" s="846">
        <f>SUM(W308-U308)/U308</f>
        <v/>
      </c>
      <c r="AA308" s="842" t="inlineStr">
        <is>
          <t>E</t>
        </is>
      </c>
      <c r="AB308" s="590" t="n"/>
      <c r="AC308" s="847" t="n"/>
      <c r="AD308" s="841" t="inlineStr">
        <is>
          <t>No</t>
        </is>
      </c>
      <c r="AE308" s="840" t="inlineStr">
        <is>
          <t>Tenant break on 6 months notice. 3 months rent free if not exercised.</t>
        </is>
      </c>
      <c r="AH308" s="312" t="n"/>
      <c r="AJ308" t="inlineStr">
        <is>
          <t>Let</t>
        </is>
      </c>
    </row>
    <row r="309">
      <c r="A309" t="inlineStr">
        <is>
          <t>Radiant House, 34-38 Mortimer Street &amp; 3-4 Bywell Place</t>
        </is>
      </c>
      <c r="B309" s="838" t="n"/>
      <c r="C309" s="839" t="inlineStr">
        <is>
          <t>JM</t>
        </is>
      </c>
      <c r="D309" s="839" t="inlineStr">
        <is>
          <t>MEL</t>
        </is>
      </c>
      <c r="E309" s="838" t="n">
        <v>550940</v>
      </c>
      <c r="F309" s="840" t="inlineStr">
        <is>
          <t>Radiant House, 34-38 Mortimer Street &amp; 3-4 Bywell Place</t>
        </is>
      </c>
      <c r="G309" s="840" t="inlineStr">
        <is>
          <t>Ground &amp; Basement (36-38)</t>
        </is>
      </c>
      <c r="H309" s="841" t="inlineStr">
        <is>
          <t>Office</t>
        </is>
      </c>
      <c r="I309" s="848" t="n">
        <v>3452</v>
      </c>
      <c r="J309" s="848">
        <f>I309</f>
        <v/>
      </c>
      <c r="K309" s="848" t="n">
        <v>3500</v>
      </c>
      <c r="L309" s="840" t="inlineStr">
        <is>
          <t>Europride Ltd.</t>
        </is>
      </c>
      <c r="M309" s="843" t="n">
        <v>45707</v>
      </c>
      <c r="N309" s="844" t="n">
        <v>46071</v>
      </c>
      <c r="Q309" s="844" t="n">
        <v>45887</v>
      </c>
      <c r="R309" s="848" t="n">
        <v>138440</v>
      </c>
      <c r="S309" s="842">
        <f>R309</f>
        <v/>
      </c>
      <c r="U309" s="848" t="n">
        <v>109600</v>
      </c>
      <c r="V309" s="842">
        <f>U309</f>
        <v/>
      </c>
      <c r="W309" s="848" t="n">
        <v>112000</v>
      </c>
      <c r="X309" s="842">
        <f>W309</f>
        <v/>
      </c>
      <c r="Y309" s="845">
        <f>W309/I309</f>
        <v/>
      </c>
      <c r="Z309" s="846">
        <f>SUM(W309-U309)/U309</f>
        <v/>
      </c>
      <c r="AA309" s="842" t="inlineStr">
        <is>
          <t>E</t>
        </is>
      </c>
      <c r="AB309" s="590" t="n"/>
      <c r="AC309" s="847" t="n"/>
      <c r="AD309" s="841" t="inlineStr">
        <is>
          <t>No</t>
        </is>
      </c>
      <c r="AE309" s="840" t="inlineStr">
        <is>
          <t>Tenant break on 6 months notice.</t>
        </is>
      </c>
      <c r="AH309" s="312" t="n"/>
      <c r="AJ309" t="inlineStr">
        <is>
          <t>Let</t>
        </is>
      </c>
    </row>
    <row r="310">
      <c r="A310" t="inlineStr">
        <is>
          <t>Radiant House, 34-38 Mortimer Street &amp; 3-4 Bywell Place</t>
        </is>
      </c>
      <c r="B310" s="838" t="n"/>
      <c r="C310" s="839" t="inlineStr">
        <is>
          <t>JM</t>
        </is>
      </c>
      <c r="D310" s="839" t="inlineStr">
        <is>
          <t>MEL</t>
        </is>
      </c>
      <c r="E310" s="838" t="n">
        <v>550940</v>
      </c>
      <c r="F310" s="840" t="inlineStr">
        <is>
          <t>Radiant House, 34-38 Mortimer Street &amp; 3-4 Bywell Place</t>
        </is>
      </c>
      <c r="G310" s="840" t="inlineStr">
        <is>
          <t>Part Ground, First to Fourth Floor (34)</t>
        </is>
      </c>
      <c r="H310" s="841" t="inlineStr">
        <is>
          <t>Office</t>
        </is>
      </c>
      <c r="I310" s="848" t="n">
        <v>2274</v>
      </c>
      <c r="J310" s="848">
        <f>I310</f>
        <v/>
      </c>
      <c r="K310" s="848" t="n">
        <v>2250</v>
      </c>
      <c r="L310" s="840" t="inlineStr">
        <is>
          <t>Vacant</t>
        </is>
      </c>
      <c r="O310" s="844" t="n">
        <v>44280</v>
      </c>
      <c r="R310" s="842" t="n">
        <v>0</v>
      </c>
      <c r="S310" s="842">
        <f>R310</f>
        <v/>
      </c>
      <c r="U310" s="848" t="n">
        <v>124700</v>
      </c>
      <c r="V310" s="842">
        <f>U310</f>
        <v/>
      </c>
      <c r="W310" s="848" t="n">
        <v>125100</v>
      </c>
      <c r="X310" s="842">
        <f>W310</f>
        <v/>
      </c>
      <c r="Y310" s="845">
        <f>W310/I310</f>
        <v/>
      </c>
      <c r="Z310" s="846">
        <f>SUM(W310-U310)/U310</f>
        <v/>
      </c>
      <c r="AA310" s="842" t="inlineStr">
        <is>
          <t>E</t>
        </is>
      </c>
      <c r="AB310" s="590" t="n"/>
      <c r="AC310" s="847" t="n"/>
      <c r="AD310" s="841" t="inlineStr">
        <is>
          <t>Yes</t>
        </is>
      </c>
      <c r="AE310" s="840" t="inlineStr">
        <is>
          <t>LEM marketing.</t>
        </is>
      </c>
      <c r="AF310" s="599" t="n"/>
      <c r="AH310" s="312" t="n"/>
      <c r="AJ310" t="inlineStr">
        <is>
          <t>Void</t>
        </is>
      </c>
    </row>
    <row r="311">
      <c r="A311" t="inlineStr">
        <is>
          <t>Radiant House, 34-38 Mortimer Street &amp; 3-4 Bywell Place</t>
        </is>
      </c>
      <c r="B311" s="838" t="n"/>
      <c r="C311" s="839" t="inlineStr">
        <is>
          <t>JM</t>
        </is>
      </c>
      <c r="D311" s="839" t="inlineStr">
        <is>
          <t>MEL</t>
        </is>
      </c>
      <c r="E311" s="838" t="n">
        <v>550940</v>
      </c>
      <c r="F311" s="840" t="inlineStr">
        <is>
          <t>Radiant House, 34-38 Mortimer Street &amp; 3-4 Bywell Place</t>
        </is>
      </c>
      <c r="G311" s="840" t="inlineStr">
        <is>
          <t>First (36-38)</t>
        </is>
      </c>
      <c r="H311" s="841" t="inlineStr">
        <is>
          <t>Office</t>
        </is>
      </c>
      <c r="I311" s="848" t="n">
        <v>1201</v>
      </c>
      <c r="J311" s="848">
        <f>I311</f>
        <v/>
      </c>
      <c r="K311" s="848" t="n">
        <v>1250</v>
      </c>
      <c r="L311" s="840" t="inlineStr">
        <is>
          <t>Vacant</t>
        </is>
      </c>
      <c r="O311" s="844" t="n">
        <v>45521</v>
      </c>
      <c r="R311" s="842" t="n">
        <v>0</v>
      </c>
      <c r="S311" s="842">
        <f>R311</f>
        <v/>
      </c>
      <c r="U311" s="848" t="n">
        <v>64100</v>
      </c>
      <c r="V311" s="842">
        <f>U311</f>
        <v/>
      </c>
      <c r="W311" s="848" t="n">
        <v>63100</v>
      </c>
      <c r="X311" s="842">
        <f>W311</f>
        <v/>
      </c>
      <c r="Y311" s="845">
        <f>W311/I311</f>
        <v/>
      </c>
      <c r="Z311" s="846">
        <f>SUM(W311-U311)/U311</f>
        <v/>
      </c>
      <c r="AA311" s="842" t="inlineStr">
        <is>
          <t>D</t>
        </is>
      </c>
      <c r="AB311" s="590" t="n"/>
      <c r="AC311" s="847" t="n"/>
      <c r="AD311" s="841" t="inlineStr">
        <is>
          <t>No</t>
        </is>
      </c>
      <c r="AE311" s="840" t="inlineStr">
        <is>
          <t>LEM marketing.</t>
        </is>
      </c>
      <c r="AG311" s="29" t="n"/>
      <c r="AH311" s="313" t="n">
        <v>2</v>
      </c>
      <c r="AI311" s="29" t="n"/>
      <c r="AJ311" t="inlineStr">
        <is>
          <t>Void</t>
        </is>
      </c>
    </row>
    <row r="312">
      <c r="A312" t="inlineStr">
        <is>
          <t>Radiant House, 34-38 Mortimer Street &amp; 3-4 Bywell Place</t>
        </is>
      </c>
      <c r="B312" s="838" t="n"/>
      <c r="C312" s="839" t="inlineStr">
        <is>
          <t>JM</t>
        </is>
      </c>
      <c r="D312" s="839" t="inlineStr">
        <is>
          <t>MEL</t>
        </is>
      </c>
      <c r="E312" s="838" t="n">
        <v>550940</v>
      </c>
      <c r="F312" s="840" t="inlineStr">
        <is>
          <t>Radiant House, 34-38 Mortimer Street &amp; 3-4 Bywell Place</t>
        </is>
      </c>
      <c r="G312" s="840" t="inlineStr">
        <is>
          <t>Second (36-38)</t>
        </is>
      </c>
      <c r="H312" s="841" t="inlineStr">
        <is>
          <t>Office</t>
        </is>
      </c>
      <c r="I312" s="848" t="n">
        <v>1255</v>
      </c>
      <c r="J312" s="848">
        <f>I312</f>
        <v/>
      </c>
      <c r="K312" s="848" t="n">
        <v>1250</v>
      </c>
      <c r="L312" s="840" t="inlineStr">
        <is>
          <t>Vacant</t>
        </is>
      </c>
      <c r="O312" s="844" t="n">
        <v>44320</v>
      </c>
      <c r="R312" s="842" t="n">
        <v>0</v>
      </c>
      <c r="S312" s="842">
        <f>R312</f>
        <v/>
      </c>
      <c r="U312" s="848" t="n">
        <v>67300</v>
      </c>
      <c r="V312" s="842">
        <f>U312</f>
        <v/>
      </c>
      <c r="W312" s="848" t="n">
        <v>69000</v>
      </c>
      <c r="X312" s="842">
        <f>W312</f>
        <v/>
      </c>
      <c r="Y312" s="845">
        <f>W312/I312</f>
        <v/>
      </c>
      <c r="Z312" s="846">
        <f>SUM(W312-U312)/U312</f>
        <v/>
      </c>
      <c r="AA312" s="842" t="inlineStr">
        <is>
          <t>D</t>
        </is>
      </c>
      <c r="AB312" s="590" t="n"/>
      <c r="AC312" s="847" t="n"/>
      <c r="AD312" s="841" t="inlineStr">
        <is>
          <t>No</t>
        </is>
      </c>
      <c r="AE312" s="840" t="inlineStr">
        <is>
          <t>To be refurbished.</t>
        </is>
      </c>
      <c r="AH312" s="312" t="n">
        <v>2</v>
      </c>
      <c r="AJ312" t="inlineStr">
        <is>
          <t>Void</t>
        </is>
      </c>
    </row>
    <row r="313">
      <c r="A313" t="inlineStr">
        <is>
          <t>Radiant House, 34-38 Mortimer Street &amp; 3-4 Bywell Place</t>
        </is>
      </c>
      <c r="B313" s="838" t="n"/>
      <c r="C313" s="839" t="inlineStr">
        <is>
          <t>JM</t>
        </is>
      </c>
      <c r="D313" s="839" t="inlineStr">
        <is>
          <t>MEL</t>
        </is>
      </c>
      <c r="E313" s="838" t="n">
        <v>550940</v>
      </c>
      <c r="F313" s="840" t="inlineStr">
        <is>
          <t>Radiant House, 34-38 Mortimer Street &amp; 3-4 Bywell Place</t>
        </is>
      </c>
      <c r="G313" s="840" t="inlineStr">
        <is>
          <t>Third (36-38)</t>
        </is>
      </c>
      <c r="H313" s="841" t="inlineStr">
        <is>
          <t>Office</t>
        </is>
      </c>
      <c r="I313" s="848" t="n">
        <v>1252</v>
      </c>
      <c r="J313" s="848">
        <f>I313</f>
        <v/>
      </c>
      <c r="K313" s="848" t="n">
        <v>1250</v>
      </c>
      <c r="L313" s="840" t="inlineStr">
        <is>
          <t>Vacant</t>
        </is>
      </c>
      <c r="O313" s="844" t="n">
        <v>44622</v>
      </c>
      <c r="R313" s="842" t="n">
        <v>0</v>
      </c>
      <c r="S313" s="842">
        <f>R313</f>
        <v/>
      </c>
      <c r="U313" s="848" t="n">
        <v>67600</v>
      </c>
      <c r="V313" s="842">
        <f>U313</f>
        <v/>
      </c>
      <c r="W313" s="848" t="n">
        <v>68900</v>
      </c>
      <c r="X313" s="842">
        <f>W313</f>
        <v/>
      </c>
      <c r="Y313" s="845">
        <f>W313/I313</f>
        <v/>
      </c>
      <c r="Z313" s="846">
        <f>SUM(W313-U313)/U313</f>
        <v/>
      </c>
      <c r="AA313" s="842" t="inlineStr">
        <is>
          <t>E</t>
        </is>
      </c>
      <c r="AB313" s="590" t="n"/>
      <c r="AC313" s="847" t="n"/>
      <c r="AD313" s="841" t="inlineStr">
        <is>
          <t>No</t>
        </is>
      </c>
      <c r="AE313" s="840" t="inlineStr">
        <is>
          <t>To be refurbished.</t>
        </is>
      </c>
      <c r="AH313" s="312" t="n">
        <v>2</v>
      </c>
      <c r="AJ313" t="inlineStr">
        <is>
          <t>Void</t>
        </is>
      </c>
    </row>
    <row r="314">
      <c r="A314" t="inlineStr">
        <is>
          <t>Radiant House, 34-38 Mortimer Street &amp; 3-4 Bywell Place</t>
        </is>
      </c>
      <c r="B314" s="838" t="n"/>
      <c r="C314" s="839" t="inlineStr">
        <is>
          <t>JM</t>
        </is>
      </c>
      <c r="D314" s="839" t="inlineStr">
        <is>
          <t>MEL</t>
        </is>
      </c>
      <c r="E314" s="838" t="n">
        <v>550940</v>
      </c>
      <c r="F314" s="840" t="inlineStr">
        <is>
          <t>Radiant House, 34-38 Mortimer Street &amp; 3-4 Bywell Place</t>
        </is>
      </c>
      <c r="G314" s="840" t="inlineStr">
        <is>
          <t>Fourth (36-38)</t>
        </is>
      </c>
      <c r="H314" s="841" t="inlineStr">
        <is>
          <t>Office</t>
        </is>
      </c>
      <c r="I314" s="848" t="n">
        <v>1055</v>
      </c>
      <c r="J314" s="848">
        <f>I314</f>
        <v/>
      </c>
      <c r="K314" s="848" t="n">
        <v>1000</v>
      </c>
      <c r="L314" s="840" t="inlineStr">
        <is>
          <t>Carver Associates Ltd.</t>
        </is>
      </c>
      <c r="M314" s="843" t="n">
        <v>44887</v>
      </c>
      <c r="N314" s="844" t="n">
        <v>46712</v>
      </c>
      <c r="P314" s="844" t="n">
        <v>45983</v>
      </c>
      <c r="Q314" s="844" t="n">
        <v>45982</v>
      </c>
      <c r="R314" s="848" t="n">
        <v>63070</v>
      </c>
      <c r="S314" s="842">
        <f>R314</f>
        <v/>
      </c>
      <c r="U314" s="848" t="n">
        <v>61000</v>
      </c>
      <c r="V314" s="842">
        <f>U314</f>
        <v/>
      </c>
      <c r="W314" s="848" t="n">
        <v>60700</v>
      </c>
      <c r="X314" s="842">
        <f>W314</f>
        <v/>
      </c>
      <c r="Y314" s="845">
        <f>W314/I314</f>
        <v/>
      </c>
      <c r="Z314" s="846">
        <f>SUM(W314-U314)/U314</f>
        <v/>
      </c>
      <c r="AA314" s="842" t="inlineStr">
        <is>
          <t>D</t>
        </is>
      </c>
      <c r="AB314" s="590" t="n"/>
      <c r="AC314" s="847" t="n"/>
      <c r="AD314" s="841" t="inlineStr">
        <is>
          <t>No</t>
        </is>
      </c>
      <c r="AE314" s="840" t="inlineStr">
        <is>
          <t xml:space="preserve">Tenant has annual breaks on 6 months notice. </t>
        </is>
      </c>
      <c r="AH314" s="312" t="n"/>
      <c r="AJ314" t="inlineStr">
        <is>
          <t>Let</t>
        </is>
      </c>
    </row>
    <row r="315">
      <c r="A315" t="inlineStr">
        <is>
          <t>Radiant House, 34-38 Mortimer Street &amp; 3-4 Bywell Place</t>
        </is>
      </c>
      <c r="B315" s="838" t="n"/>
      <c r="C315" s="839" t="inlineStr">
        <is>
          <t>JM</t>
        </is>
      </c>
      <c r="D315" s="839" t="inlineStr">
        <is>
          <t>MEL</t>
        </is>
      </c>
      <c r="E315" s="838" t="n">
        <v>550940</v>
      </c>
      <c r="F315" s="840" t="inlineStr">
        <is>
          <t>Radiant House, 34-38 Mortimer Street &amp; 3-4 Bywell Place</t>
        </is>
      </c>
      <c r="G315" s="840" t="inlineStr">
        <is>
          <t>Ground &amp; Basement, 3-4 Bywell Place</t>
        </is>
      </c>
      <c r="H315" s="839" t="inlineStr">
        <is>
          <t>Office</t>
        </is>
      </c>
      <c r="I315" s="848" t="n">
        <v>1167</v>
      </c>
      <c r="J315" s="848">
        <f>I315</f>
        <v/>
      </c>
      <c r="K315" s="848" t="n">
        <v>1000</v>
      </c>
      <c r="L315" s="840" t="inlineStr">
        <is>
          <t>Solo60 Ltd</t>
        </is>
      </c>
      <c r="M315" s="843" t="n">
        <v>45573</v>
      </c>
      <c r="N315" s="844" t="n">
        <v>47398</v>
      </c>
      <c r="R315" s="842" t="n">
        <v>46800</v>
      </c>
      <c r="S315" s="842">
        <f>R315</f>
        <v/>
      </c>
      <c r="U315" s="848" t="n">
        <v>37700</v>
      </c>
      <c r="V315" s="842">
        <f>U315</f>
        <v/>
      </c>
      <c r="W315" s="848" t="n">
        <v>46800</v>
      </c>
      <c r="X315" s="842">
        <f>W315</f>
        <v/>
      </c>
      <c r="Y315" s="845">
        <f>W315/I315</f>
        <v/>
      </c>
      <c r="Z315" s="846">
        <f>SUM(W315-U315)/U315</f>
        <v/>
      </c>
      <c r="AA315" s="842" t="inlineStr">
        <is>
          <t>B</t>
        </is>
      </c>
      <c r="AB315" s="590" t="inlineStr">
        <is>
          <t>*</t>
        </is>
      </c>
      <c r="AC315" s="847" t="n"/>
      <c r="AD315" s="841" t="inlineStr">
        <is>
          <t>No</t>
        </is>
      </c>
      <c r="AH315" s="312" t="n"/>
      <c r="AJ315" t="inlineStr">
        <is>
          <t>Let</t>
        </is>
      </c>
    </row>
    <row r="316">
      <c r="A316" t="inlineStr">
        <is>
          <t>Radiant House, 34-38 Mortimer Street &amp; 3-4 Bywell Place</t>
        </is>
      </c>
      <c r="B316" s="838" t="n"/>
      <c r="C316" s="839" t="inlineStr">
        <is>
          <t>JM</t>
        </is>
      </c>
      <c r="D316" s="839" t="inlineStr">
        <is>
          <t>MEL</t>
        </is>
      </c>
      <c r="E316" s="838" t="n">
        <v>550940</v>
      </c>
      <c r="F316" s="840" t="inlineStr">
        <is>
          <t>Radiant House, 34-38 Mortimer Street &amp; 3-4 Bywell Place</t>
        </is>
      </c>
      <c r="G316" s="840" t="inlineStr">
        <is>
          <t>First , 3-4 Bywell Place</t>
        </is>
      </c>
      <c r="H316" s="839" t="inlineStr">
        <is>
          <t>Office</t>
        </is>
      </c>
      <c r="I316" s="848" t="n">
        <v>922</v>
      </c>
      <c r="J316" s="848">
        <f>I316</f>
        <v/>
      </c>
      <c r="K316" s="848" t="n">
        <v>1000</v>
      </c>
      <c r="L316" s="840" t="inlineStr">
        <is>
          <t>Olsen UK Limited</t>
        </is>
      </c>
      <c r="M316" s="843" t="n">
        <v>45204</v>
      </c>
      <c r="N316" s="844" t="n">
        <v>46299</v>
      </c>
      <c r="R316" s="848" t="n">
        <v>45800</v>
      </c>
      <c r="S316" s="842">
        <f>R316</f>
        <v/>
      </c>
      <c r="U316" s="848" t="n">
        <v>39100</v>
      </c>
      <c r="V316" s="842">
        <f>U316</f>
        <v/>
      </c>
      <c r="W316" s="848" t="n">
        <v>39200</v>
      </c>
      <c r="X316" s="842">
        <f>W316</f>
        <v/>
      </c>
      <c r="Y316" s="845">
        <f>W316/I316</f>
        <v/>
      </c>
      <c r="Z316" s="846">
        <f>SUM(W316-U316)/U316</f>
        <v/>
      </c>
      <c r="AA316" s="842" t="inlineStr">
        <is>
          <t>B</t>
        </is>
      </c>
      <c r="AB316" s="590" t="inlineStr">
        <is>
          <t>*</t>
        </is>
      </c>
      <c r="AC316" s="847" t="n"/>
      <c r="AD316" s="841" t="inlineStr">
        <is>
          <t>No</t>
        </is>
      </c>
      <c r="AH316" s="312" t="n"/>
      <c r="AJ316" t="inlineStr">
        <is>
          <t>Let</t>
        </is>
      </c>
    </row>
    <row r="317">
      <c r="A317" t="inlineStr">
        <is>
          <t>Radiant House, 34-38 Mortimer Street &amp; 3-4 Bywell Place</t>
        </is>
      </c>
      <c r="B317" s="838" t="n"/>
      <c r="C317" s="839" t="inlineStr">
        <is>
          <t>JM</t>
        </is>
      </c>
      <c r="D317" s="839" t="inlineStr">
        <is>
          <t>MEL</t>
        </is>
      </c>
      <c r="E317" s="838" t="n">
        <v>550940</v>
      </c>
      <c r="F317" s="840" t="inlineStr">
        <is>
          <t>Radiant House, 34-38 Mortimer Street &amp; 3-4 Bywell Place</t>
        </is>
      </c>
      <c r="G317" s="840" t="inlineStr">
        <is>
          <t>Second, 3-4 Bywell Place</t>
        </is>
      </c>
      <c r="H317" s="839" t="inlineStr">
        <is>
          <t>Office</t>
        </is>
      </c>
      <c r="I317" s="848" t="n">
        <v>781</v>
      </c>
      <c r="J317" s="848">
        <f>I317</f>
        <v/>
      </c>
      <c r="K317" s="848" t="n">
        <v>750</v>
      </c>
      <c r="L317" s="840" t="inlineStr">
        <is>
          <t>Vacant</t>
        </is>
      </c>
      <c r="O317" s="844" t="n">
        <v>45383</v>
      </c>
      <c r="R317" s="842" t="n">
        <v>0</v>
      </c>
      <c r="S317" s="842">
        <f>R317</f>
        <v/>
      </c>
      <c r="U317" s="848" t="n">
        <v>37300</v>
      </c>
      <c r="V317" s="842">
        <f>U317</f>
        <v/>
      </c>
      <c r="W317" s="848" t="n">
        <v>33200</v>
      </c>
      <c r="X317" s="842">
        <f>W317</f>
        <v/>
      </c>
      <c r="Y317" s="845">
        <f>W317/I317</f>
        <v/>
      </c>
      <c r="Z317" s="846">
        <f>SUM(W317-U317)/U317</f>
        <v/>
      </c>
      <c r="AA317" s="842" t="inlineStr">
        <is>
          <t>B</t>
        </is>
      </c>
      <c r="AB317" s="590" t="inlineStr">
        <is>
          <t>*</t>
        </is>
      </c>
      <c r="AC317" s="847" t="n"/>
      <c r="AD317" s="841" t="inlineStr">
        <is>
          <t>No</t>
        </is>
      </c>
      <c r="AE317" s="840" t="inlineStr">
        <is>
          <t>LEM marketing.</t>
        </is>
      </c>
      <c r="AH317" s="312" t="n"/>
      <c r="AJ317" t="inlineStr">
        <is>
          <t>Void</t>
        </is>
      </c>
    </row>
    <row r="318">
      <c r="A318" t="inlineStr">
        <is>
          <t>Gilmoora House, 57-61 Mortimer Street</t>
        </is>
      </c>
      <c r="B318" s="838" t="n"/>
      <c r="C318" s="839" t="inlineStr">
        <is>
          <t>CM</t>
        </is>
      </c>
      <c r="D318" s="839" t="inlineStr">
        <is>
          <t>MEL</t>
        </is>
      </c>
      <c r="E318" s="838" t="n">
        <v>550390</v>
      </c>
      <c r="F318" s="840" t="inlineStr">
        <is>
          <t>Gilmoora House, 57-61 Mortimer Street</t>
        </is>
      </c>
      <c r="G318" s="840" t="inlineStr">
        <is>
          <t>Part Basement &amp; Part Ground Floor - 36 Gt Titchfield St</t>
        </is>
      </c>
      <c r="H318" s="841" t="inlineStr">
        <is>
          <t>Medical</t>
        </is>
      </c>
      <c r="I318" s="848" t="n">
        <v>6542</v>
      </c>
      <c r="J318" s="842">
        <f>I318</f>
        <v/>
      </c>
      <c r="K318" s="842" t="n">
        <v>6500</v>
      </c>
      <c r="L318" s="840" t="inlineStr">
        <is>
          <t>The Central London Clinic Ltd.</t>
        </is>
      </c>
      <c r="M318" s="843" t="n">
        <v>44609</v>
      </c>
      <c r="N318" s="844" t="n">
        <v>50087</v>
      </c>
      <c r="P318" s="843" t="n">
        <v>46435</v>
      </c>
      <c r="Q318" s="843" t="n">
        <v>48260</v>
      </c>
      <c r="R318" s="842" t="n">
        <v>210000</v>
      </c>
      <c r="S318" s="842">
        <f>R318</f>
        <v/>
      </c>
      <c r="U318" s="634" t="n">
        <v>210000</v>
      </c>
      <c r="V318" s="842">
        <f>U318</f>
        <v/>
      </c>
      <c r="W318" s="634" t="n">
        <v>232000</v>
      </c>
      <c r="X318" s="842">
        <f>W318</f>
        <v/>
      </c>
      <c r="Y318" s="845">
        <f>W318/I318</f>
        <v/>
      </c>
      <c r="Z318" s="846">
        <f>SUM(W318-U318)/U318</f>
        <v/>
      </c>
      <c r="AA318" s="842" t="inlineStr">
        <is>
          <t>A</t>
        </is>
      </c>
      <c r="AB318" s="590" t="n"/>
      <c r="AC318" s="18" t="n"/>
      <c r="AD318" s="841" t="inlineStr">
        <is>
          <t>No</t>
        </is>
      </c>
      <c r="AE318" s="840" t="inlineStr">
        <is>
          <t>Mutual break on 6 months notice.</t>
        </is>
      </c>
      <c r="AH318" s="312" t="n"/>
      <c r="AJ318" t="inlineStr">
        <is>
          <t>Let</t>
        </is>
      </c>
    </row>
    <row r="319">
      <c r="A319" t="inlineStr">
        <is>
          <t>Gilmoora House, 57-61 Mortimer Street</t>
        </is>
      </c>
      <c r="B319" s="838" t="n"/>
      <c r="C319" s="839" t="inlineStr">
        <is>
          <t>CM</t>
        </is>
      </c>
      <c r="D319" s="839" t="inlineStr">
        <is>
          <t>MEL</t>
        </is>
      </c>
      <c r="E319" s="838" t="n">
        <v>550390</v>
      </c>
      <c r="F319" s="840" t="inlineStr">
        <is>
          <t>Gilmoora House, 57-61 Mortimer Street</t>
        </is>
      </c>
      <c r="G319" s="840" t="inlineStr">
        <is>
          <t>Part Ground to Fifth Floors</t>
        </is>
      </c>
      <c r="H319" s="841" t="inlineStr">
        <is>
          <t>Office</t>
        </is>
      </c>
      <c r="I319" s="848" t="n">
        <v>20993</v>
      </c>
      <c r="J319" s="842">
        <f>I319</f>
        <v/>
      </c>
      <c r="K319" s="842" t="n">
        <v>21000</v>
      </c>
      <c r="L319" s="840" t="inlineStr">
        <is>
          <t>Gilmoora House Ltd</t>
        </is>
      </c>
      <c r="M319" s="843" t="n">
        <v>45564</v>
      </c>
      <c r="N319" s="844" t="n">
        <v>47389</v>
      </c>
      <c r="R319" s="842" t="n">
        <v>1000000</v>
      </c>
      <c r="S319" s="842">
        <f>R319</f>
        <v/>
      </c>
      <c r="U319" s="842" t="n">
        <v>1688000</v>
      </c>
      <c r="V319" s="842">
        <f>U319</f>
        <v/>
      </c>
      <c r="W319" s="842" t="n">
        <v>1953000</v>
      </c>
      <c r="X319" s="842">
        <f>W319</f>
        <v/>
      </c>
      <c r="Y319" s="845">
        <f>W319/I319</f>
        <v/>
      </c>
      <c r="Z319" s="846">
        <f>SUM(W319-U319)/U319</f>
        <v/>
      </c>
      <c r="AA319" s="842" t="inlineStr">
        <is>
          <t>E</t>
        </is>
      </c>
      <c r="AB319" s="590" t="n"/>
      <c r="AC319" s="18" t="n"/>
      <c r="AD319" s="841" t="inlineStr">
        <is>
          <t>No</t>
        </is>
      </c>
      <c r="AE319" s="840" t="inlineStr">
        <is>
          <t>Internal Lease to another Lee Family Group Company.</t>
        </is>
      </c>
      <c r="AH319" s="312" t="n"/>
      <c r="AJ319" t="inlineStr">
        <is>
          <t>Let</t>
        </is>
      </c>
    </row>
    <row r="320">
      <c r="A320" t="inlineStr">
        <is>
          <t>67 - 81 Mortimer Street</t>
        </is>
      </c>
      <c r="B320" s="838" t="n"/>
      <c r="C320" s="839" t="inlineStr">
        <is>
          <t>WS</t>
        </is>
      </c>
      <c r="D320" s="839" t="inlineStr">
        <is>
          <t>MEL</t>
        </is>
      </c>
      <c r="E320" s="838" t="n">
        <v>550870</v>
      </c>
      <c r="F320" s="840" t="inlineStr">
        <is>
          <t>67 - 81 Mortimer Street</t>
        </is>
      </c>
      <c r="G320" s="840" t="inlineStr">
        <is>
          <t>Ground Floor &amp; Bsmt. (No.67)</t>
        </is>
      </c>
      <c r="H320" s="841" t="inlineStr">
        <is>
          <t>Shop</t>
        </is>
      </c>
      <c r="I320" s="848" t="n">
        <v>1330</v>
      </c>
      <c r="J320" s="848">
        <f>I320</f>
        <v/>
      </c>
      <c r="K320" s="848" t="n">
        <v>1250</v>
      </c>
      <c r="L320" s="840" t="inlineStr">
        <is>
          <t>Status Beauty Limited</t>
        </is>
      </c>
      <c r="M320" s="843" t="n">
        <v>44936</v>
      </c>
      <c r="N320" s="844" t="n">
        <v>46761</v>
      </c>
      <c r="Q320" s="844" t="n">
        <v>46031</v>
      </c>
      <c r="R320" s="842" t="n">
        <v>70000</v>
      </c>
      <c r="S320" s="842">
        <f>R320</f>
        <v/>
      </c>
      <c r="U320" s="842" t="n">
        <v>69900</v>
      </c>
      <c r="V320" s="842">
        <f>U320</f>
        <v/>
      </c>
      <c r="W320" s="842" t="n">
        <v>69900</v>
      </c>
      <c r="X320" s="842">
        <f>W320</f>
        <v/>
      </c>
      <c r="Y320" s="845">
        <f>W320/I320</f>
        <v/>
      </c>
      <c r="Z320" s="846">
        <f>SUM(W320-U320)/U320</f>
        <v/>
      </c>
      <c r="AA320" s="842" t="inlineStr">
        <is>
          <t>D</t>
        </is>
      </c>
      <c r="AB320" s="590" t="n"/>
      <c r="AC320" s="847" t="n"/>
      <c r="AD320" s="841" t="inlineStr">
        <is>
          <t>No</t>
        </is>
      </c>
      <c r="AE320" s="840" t="inlineStr">
        <is>
          <t>Tenant break on 6 months notice. Rent free from 10/01/26 to 28/03/26 if not exercised.</t>
        </is>
      </c>
      <c r="AH320" s="312" t="n"/>
      <c r="AJ320" t="inlineStr">
        <is>
          <t>Let</t>
        </is>
      </c>
    </row>
    <row r="321">
      <c r="A321" t="inlineStr">
        <is>
          <t>67 - 81 Mortimer Street</t>
        </is>
      </c>
      <c r="B321" s="838" t="n"/>
      <c r="C321" s="839" t="inlineStr">
        <is>
          <t>WS</t>
        </is>
      </c>
      <c r="D321" s="839" t="inlineStr">
        <is>
          <t>MEL</t>
        </is>
      </c>
      <c r="E321" s="838" t="n">
        <v>550870</v>
      </c>
      <c r="F321" s="840" t="inlineStr">
        <is>
          <t>67 - 81 Mortimer Street</t>
        </is>
      </c>
      <c r="G321" s="840" t="inlineStr">
        <is>
          <t>Ground Floor &amp; Bsmt. (No.69)</t>
        </is>
      </c>
      <c r="H321" s="841" t="inlineStr">
        <is>
          <t>Shop/ Showroom</t>
        </is>
      </c>
      <c r="I321" s="848" t="n">
        <v>1486</v>
      </c>
      <c r="J321" s="848">
        <f>I321</f>
        <v/>
      </c>
      <c r="K321" s="848" t="n">
        <v>1500</v>
      </c>
      <c r="L321" s="840" t="inlineStr">
        <is>
          <t>ABC Smile Limited</t>
        </is>
      </c>
      <c r="M321" s="843" t="n">
        <v>44314</v>
      </c>
      <c r="N321" s="844" t="n">
        <v>47965</v>
      </c>
      <c r="Q321" s="844" t="n">
        <v>46139</v>
      </c>
      <c r="R321" s="842" t="n">
        <v>59500</v>
      </c>
      <c r="S321" s="842">
        <f>R321</f>
        <v/>
      </c>
      <c r="U321" s="842" t="n">
        <v>64900</v>
      </c>
      <c r="V321" s="842">
        <f>U321</f>
        <v/>
      </c>
      <c r="W321" s="842" t="n">
        <v>64900</v>
      </c>
      <c r="X321" s="842">
        <f>W321</f>
        <v/>
      </c>
      <c r="Y321" s="845">
        <f>W321/I321</f>
        <v/>
      </c>
      <c r="Z321" s="846">
        <f>SUM(W321-U321)/U321</f>
        <v/>
      </c>
      <c r="AA321" s="842" t="inlineStr">
        <is>
          <t>C</t>
        </is>
      </c>
      <c r="AB321" s="590" t="n"/>
      <c r="AC321" s="847" t="n"/>
      <c r="AD321" s="841" t="inlineStr">
        <is>
          <t>No</t>
        </is>
      </c>
      <c r="AE321" s="840" t="inlineStr">
        <is>
          <t>Tenant break on 6 month notice.</t>
        </is>
      </c>
      <c r="AH321" s="312" t="n"/>
      <c r="AJ321" t="inlineStr">
        <is>
          <t>Let</t>
        </is>
      </c>
    </row>
    <row r="322">
      <c r="A322" t="inlineStr">
        <is>
          <t>67 - 81 Mortimer Street</t>
        </is>
      </c>
      <c r="B322" s="838" t="n"/>
      <c r="C322" s="839" t="inlineStr">
        <is>
          <t>WS</t>
        </is>
      </c>
      <c r="D322" s="839" t="inlineStr">
        <is>
          <t>MEL</t>
        </is>
      </c>
      <c r="E322" s="838" t="n">
        <v>550870</v>
      </c>
      <c r="F322" s="840" t="inlineStr">
        <is>
          <t>67 - 81 Mortimer Street</t>
        </is>
      </c>
      <c r="G322" s="840" t="inlineStr">
        <is>
          <t>Ground Floor &amp; Bsmt. (No.71)</t>
        </is>
      </c>
      <c r="H322" s="841" t="inlineStr">
        <is>
          <t>Shop/ Showroom</t>
        </is>
      </c>
      <c r="I322" s="848" t="n">
        <v>1204</v>
      </c>
      <c r="J322" s="848">
        <f>I322</f>
        <v/>
      </c>
      <c r="K322" s="848" t="n">
        <v>1250</v>
      </c>
      <c r="L322" s="840" t="inlineStr">
        <is>
          <t>Folia Ltd.</t>
        </is>
      </c>
      <c r="M322" s="843" t="n">
        <v>45741</v>
      </c>
      <c r="N322" s="844" t="n">
        <v>46836</v>
      </c>
      <c r="Q322" s="844" t="n">
        <v>46106</v>
      </c>
      <c r="R322" s="842" t="n">
        <v>0</v>
      </c>
      <c r="S322" s="842">
        <f>R322</f>
        <v/>
      </c>
      <c r="U322" s="842" t="n">
        <v>53100</v>
      </c>
      <c r="V322" s="842">
        <f>U322</f>
        <v/>
      </c>
      <c r="W322" s="842" t="n">
        <v>53100</v>
      </c>
      <c r="X322" s="842">
        <f>W322</f>
        <v/>
      </c>
      <c r="Y322" s="845">
        <f>W322/I322</f>
        <v/>
      </c>
      <c r="Z322" s="846">
        <f>SUM(W322-U322)/U322</f>
        <v/>
      </c>
      <c r="AA322" s="842" t="inlineStr">
        <is>
          <t>C</t>
        </is>
      </c>
      <c r="AB322" s="590" t="n"/>
      <c r="AC322" s="847" t="n"/>
      <c r="AD322" s="841" t="inlineStr">
        <is>
          <t>No</t>
        </is>
      </c>
      <c r="AE322" s="840" t="inlineStr">
        <is>
          <t>Rent £55,000 wef 6 weeks after landlord works completed. Work expected to complete by 27/06/25, Further tenant break 25/03/27.</t>
        </is>
      </c>
      <c r="AF322" s="849" t="n"/>
      <c r="AG322" s="840" t="n"/>
      <c r="AH322" s="312" t="n"/>
      <c r="AI322" s="840" t="n"/>
      <c r="AJ322" t="inlineStr">
        <is>
          <t>Let</t>
        </is>
      </c>
    </row>
    <row r="323">
      <c r="A323" t="inlineStr">
        <is>
          <t>67 - 81 Mortimer Street</t>
        </is>
      </c>
      <c r="B323" s="838" t="n"/>
      <c r="C323" s="839" t="inlineStr">
        <is>
          <t>WS</t>
        </is>
      </c>
      <c r="D323" s="839" t="inlineStr">
        <is>
          <t>MEL</t>
        </is>
      </c>
      <c r="E323" s="838" t="n">
        <v>550870</v>
      </c>
      <c r="F323" s="840" t="inlineStr">
        <is>
          <t>67 - 81 Mortimer Street</t>
        </is>
      </c>
      <c r="G323" s="840" t="inlineStr">
        <is>
          <t>Ground Floor &amp; Bsmt. (No. 77)</t>
        </is>
      </c>
      <c r="H323" s="841" t="inlineStr">
        <is>
          <t>Shop/ Showroom</t>
        </is>
      </c>
      <c r="I323" s="848" t="n">
        <v>1119</v>
      </c>
      <c r="J323" s="848">
        <f>I323</f>
        <v/>
      </c>
      <c r="K323" s="848" t="n">
        <v>1250</v>
      </c>
      <c r="L323" s="840" t="inlineStr">
        <is>
          <t>Folia Ltd.</t>
        </is>
      </c>
      <c r="M323" s="843" t="n">
        <v>45741</v>
      </c>
      <c r="N323" s="844" t="n">
        <v>46836</v>
      </c>
      <c r="R323" s="842" t="n">
        <v>55000</v>
      </c>
      <c r="S323" s="842">
        <f>R323</f>
        <v/>
      </c>
      <c r="U323" s="842" t="n">
        <v>51200</v>
      </c>
      <c r="V323" s="842">
        <f>U323</f>
        <v/>
      </c>
      <c r="W323" s="842" t="n">
        <v>51200</v>
      </c>
      <c r="X323" s="842">
        <f>W323</f>
        <v/>
      </c>
      <c r="Y323" s="845">
        <f>W323/I323</f>
        <v/>
      </c>
      <c r="Z323" s="846">
        <f>SUM(W323-U323)/U323</f>
        <v/>
      </c>
      <c r="AA323" s="842" t="inlineStr">
        <is>
          <t>D</t>
        </is>
      </c>
      <c r="AB323" s="590" t="n"/>
      <c r="AC323" s="847" t="n"/>
      <c r="AD323" s="841" t="inlineStr">
        <is>
          <t>No</t>
        </is>
      </c>
      <c r="AE323" s="840" t="n"/>
      <c r="AF323" s="849" t="n"/>
      <c r="AG323" s="840" t="n"/>
      <c r="AH323" s="312" t="n"/>
      <c r="AI323" s="840" t="n"/>
      <c r="AJ323" t="inlineStr">
        <is>
          <t>Let</t>
        </is>
      </c>
    </row>
    <row r="324">
      <c r="A324" t="inlineStr">
        <is>
          <t>67 - 81 Mortimer Street</t>
        </is>
      </c>
      <c r="B324" s="838" t="n"/>
      <c r="C324" s="839" t="inlineStr">
        <is>
          <t>WS</t>
        </is>
      </c>
      <c r="D324" s="839" t="inlineStr">
        <is>
          <t>MEL</t>
        </is>
      </c>
      <c r="E324" s="838" t="n">
        <v>550870</v>
      </c>
      <c r="F324" s="840" t="inlineStr">
        <is>
          <t>67 - 81 Mortimer Street</t>
        </is>
      </c>
      <c r="G324" s="840" t="inlineStr">
        <is>
          <t>Ground Floor &amp; Bsmt. (No.79-81)</t>
        </is>
      </c>
      <c r="H324" s="841" t="inlineStr">
        <is>
          <t>Restaurant</t>
        </is>
      </c>
      <c r="I324" s="848" t="n">
        <v>3114</v>
      </c>
      <c r="J324" s="848">
        <f>I324</f>
        <v/>
      </c>
      <c r="K324" s="848" t="n">
        <v>3000</v>
      </c>
      <c r="L324" s="840" t="inlineStr">
        <is>
          <t>PHBB Restaurants Ltd.</t>
        </is>
      </c>
      <c r="M324" s="843" t="n">
        <v>44143</v>
      </c>
      <c r="N324" s="844" t="n">
        <v>49620</v>
      </c>
      <c r="P324" s="844" t="n">
        <v>45969</v>
      </c>
      <c r="R324" s="842" t="n">
        <v>175000</v>
      </c>
      <c r="S324" s="842">
        <f>R324</f>
        <v/>
      </c>
      <c r="U324" s="842" t="n">
        <v>146200</v>
      </c>
      <c r="V324" s="842">
        <f>U324</f>
        <v/>
      </c>
      <c r="W324" s="842" t="n">
        <v>146200</v>
      </c>
      <c r="X324" s="842">
        <f>W324</f>
        <v/>
      </c>
      <c r="Y324" s="845">
        <f>W324/I324</f>
        <v/>
      </c>
      <c r="Z324" s="846">
        <f>SUM(W324-U324)/U324</f>
        <v/>
      </c>
      <c r="AA324" s="842" t="inlineStr">
        <is>
          <t>D</t>
        </is>
      </c>
      <c r="AB324" s="590" t="n"/>
      <c r="AC324" s="847" t="n"/>
      <c r="AD324" s="841" t="inlineStr">
        <is>
          <t>Yes</t>
        </is>
      </c>
      <c r="AE324" s="840" t="inlineStr">
        <is>
          <t xml:space="preserve">54 Act protected lease. All Inclusive (excl rates). </t>
        </is>
      </c>
      <c r="AF324" s="849" t="n"/>
      <c r="AG324" s="840" t="n"/>
      <c r="AH324" s="312" t="n"/>
      <c r="AI324" s="840" t="n"/>
      <c r="AJ324" t="inlineStr">
        <is>
          <t>Let</t>
        </is>
      </c>
    </row>
    <row r="325">
      <c r="A325" t="inlineStr">
        <is>
          <t>67 - 81 Mortimer Street</t>
        </is>
      </c>
      <c r="B325" s="838" t="n"/>
      <c r="C325" s="839" t="inlineStr">
        <is>
          <t>WS</t>
        </is>
      </c>
      <c r="D325" s="839" t="inlineStr">
        <is>
          <t>MEL</t>
        </is>
      </c>
      <c r="E325" s="838" t="n">
        <v>550870</v>
      </c>
      <c r="F325" s="840" t="inlineStr">
        <is>
          <t>67 - 81 Mortimer Street</t>
        </is>
      </c>
      <c r="G325" s="840" t="inlineStr">
        <is>
          <t>First Floor (East)</t>
        </is>
      </c>
      <c r="H325" s="841" t="inlineStr">
        <is>
          <t>Office</t>
        </is>
      </c>
      <c r="I325" s="848" t="n">
        <v>1560</v>
      </c>
      <c r="J325" s="848">
        <f>I325</f>
        <v/>
      </c>
      <c r="K325" s="848" t="n">
        <v>1500</v>
      </c>
      <c r="L325" s="840" t="inlineStr">
        <is>
          <t>Feel Films Ltd.</t>
        </is>
      </c>
      <c r="M325" s="843" t="n">
        <v>44732</v>
      </c>
      <c r="N325" s="844" t="n">
        <v>46557</v>
      </c>
      <c r="P325" s="843" t="n"/>
      <c r="Q325" s="843" t="n">
        <v>45827</v>
      </c>
      <c r="R325" s="617" t="n">
        <v>67146</v>
      </c>
      <c r="S325" s="842">
        <f>R325</f>
        <v/>
      </c>
      <c r="U325" s="842" t="n">
        <v>85800</v>
      </c>
      <c r="V325" s="842">
        <f>U325</f>
        <v/>
      </c>
      <c r="W325" s="842" t="n">
        <v>85800</v>
      </c>
      <c r="X325" s="842">
        <f>W325</f>
        <v/>
      </c>
      <c r="Y325" s="845">
        <f>W325/I325</f>
        <v/>
      </c>
      <c r="Z325" s="846">
        <f>SUM(W325-U325)/U325</f>
        <v/>
      </c>
      <c r="AA325" s="842" t="inlineStr">
        <is>
          <t>C</t>
        </is>
      </c>
      <c r="AB325" s="590" t="n"/>
      <c r="AC325" s="847" t="n"/>
      <c r="AD325" s="841" t="inlineStr">
        <is>
          <t>No</t>
        </is>
      </c>
      <c r="AE325" s="840" t="inlineStr">
        <is>
          <t>Tenant break on 6 months notice. If break not exercised, rent reduces to £67,146 wef 20/06/25 to 19/06/26. Break passed</t>
        </is>
      </c>
      <c r="AH325" s="312" t="n"/>
      <c r="AJ325" t="inlineStr">
        <is>
          <t>Let</t>
        </is>
      </c>
    </row>
    <row r="326">
      <c r="A326" t="inlineStr">
        <is>
          <t>67 - 81 Mortimer Street</t>
        </is>
      </c>
      <c r="B326" s="838" t="n"/>
      <c r="C326" s="839" t="inlineStr">
        <is>
          <t>WS</t>
        </is>
      </c>
      <c r="D326" s="839" t="inlineStr">
        <is>
          <t>MEL</t>
        </is>
      </c>
      <c r="E326" s="838" t="n">
        <v>550870</v>
      </c>
      <c r="F326" s="840" t="inlineStr">
        <is>
          <t>67 - 81 Mortimer Street</t>
        </is>
      </c>
      <c r="G326" s="840" t="inlineStr">
        <is>
          <t>First Floor (West)</t>
        </is>
      </c>
      <c r="H326" s="841" t="inlineStr">
        <is>
          <t>Office</t>
        </is>
      </c>
      <c r="I326" s="848" t="n">
        <v>1454</v>
      </c>
      <c r="J326" s="848">
        <f>I326</f>
        <v/>
      </c>
      <c r="K326" s="848" t="n">
        <v>1500</v>
      </c>
      <c r="L326" s="840" t="inlineStr">
        <is>
          <t>Feel Films Ltd.</t>
        </is>
      </c>
      <c r="M326" s="843" t="n">
        <v>44419</v>
      </c>
      <c r="N326" s="844" t="n">
        <v>46244</v>
      </c>
      <c r="P326" s="843" t="n"/>
      <c r="Q326" s="843" t="n"/>
      <c r="R326" s="842" t="n">
        <v>62963</v>
      </c>
      <c r="S326" s="842">
        <f>R326</f>
        <v/>
      </c>
      <c r="U326" s="842" t="n">
        <v>80000</v>
      </c>
      <c r="V326" s="842">
        <f>U326</f>
        <v/>
      </c>
      <c r="W326" s="842" t="n">
        <v>80000</v>
      </c>
      <c r="X326" s="842">
        <f>W326</f>
        <v/>
      </c>
      <c r="Y326" s="845">
        <f>W326/I326</f>
        <v/>
      </c>
      <c r="Z326" s="846">
        <f>SUM(W326-U326)/U326</f>
        <v/>
      </c>
      <c r="AA326" s="842" t="inlineStr">
        <is>
          <t>D</t>
        </is>
      </c>
      <c r="AB326" s="590" t="n"/>
      <c r="AC326" s="847" t="n"/>
      <c r="AD326" s="841" t="inlineStr">
        <is>
          <t>No</t>
        </is>
      </c>
      <c r="AE326" s="840" t="inlineStr">
        <is>
          <t xml:space="preserve">Rent rises to £83,950 wef 11/08/25. </t>
        </is>
      </c>
      <c r="AH326" s="312" t="n"/>
      <c r="AJ326" t="inlineStr">
        <is>
          <t>Let</t>
        </is>
      </c>
    </row>
    <row r="327">
      <c r="A327" t="inlineStr">
        <is>
          <t>67 - 81 Mortimer Street</t>
        </is>
      </c>
      <c r="B327" s="838" t="n"/>
      <c r="C327" s="839" t="inlineStr">
        <is>
          <t>WS</t>
        </is>
      </c>
      <c r="D327" s="839" t="inlineStr">
        <is>
          <t>MEL</t>
        </is>
      </c>
      <c r="E327" s="838" t="n">
        <v>550870</v>
      </c>
      <c r="F327" s="840" t="inlineStr">
        <is>
          <t>67 - 81 Mortimer Street</t>
        </is>
      </c>
      <c r="G327" s="840" t="inlineStr">
        <is>
          <t>Second Floor (West)</t>
        </is>
      </c>
      <c r="H327" s="841" t="inlineStr">
        <is>
          <t>Office</t>
        </is>
      </c>
      <c r="I327" s="848" t="n">
        <v>1395</v>
      </c>
      <c r="J327" s="848">
        <f>I327</f>
        <v/>
      </c>
      <c r="K327" s="848" t="n">
        <v>1500</v>
      </c>
      <c r="L327" s="29" t="inlineStr">
        <is>
          <t>Vacant</t>
        </is>
      </c>
      <c r="M327" s="628" t="n"/>
      <c r="N327" s="620" t="n"/>
      <c r="O327" s="620" t="n">
        <v>45837</v>
      </c>
      <c r="P327" s="628" t="n"/>
      <c r="Q327" s="628" t="n"/>
      <c r="R327" s="617" t="n">
        <v>0</v>
      </c>
      <c r="S327" s="842">
        <f>R327</f>
        <v/>
      </c>
      <c r="U327" s="842" t="n">
        <v>76700</v>
      </c>
      <c r="V327" s="842">
        <f>U327</f>
        <v/>
      </c>
      <c r="W327" s="842" t="n">
        <v>76700</v>
      </c>
      <c r="X327" s="842">
        <f>W327</f>
        <v/>
      </c>
      <c r="Y327" s="845">
        <f>W327/I327</f>
        <v/>
      </c>
      <c r="Z327" s="846">
        <f>SUM(W327-U327)/U327</f>
        <v/>
      </c>
      <c r="AA327" s="842" t="inlineStr">
        <is>
          <t>E</t>
        </is>
      </c>
      <c r="AB327" s="590" t="n"/>
      <c r="AC327" s="847" t="n"/>
      <c r="AD327" s="841" t="inlineStr">
        <is>
          <t>No</t>
        </is>
      </c>
      <c r="AE327" s="29" t="inlineStr">
        <is>
          <t>Under offer.</t>
        </is>
      </c>
      <c r="AH327" s="312" t="n"/>
      <c r="AJ327" t="inlineStr">
        <is>
          <t>Void</t>
        </is>
      </c>
    </row>
    <row r="328">
      <c r="A328" t="inlineStr">
        <is>
          <t>67 - 81 Mortimer Street</t>
        </is>
      </c>
      <c r="B328" s="838" t="n"/>
      <c r="C328" s="839" t="inlineStr">
        <is>
          <t>WS</t>
        </is>
      </c>
      <c r="D328" s="839" t="inlineStr">
        <is>
          <t>MEL</t>
        </is>
      </c>
      <c r="E328" s="838" t="n">
        <v>550870</v>
      </c>
      <c r="F328" s="840" t="inlineStr">
        <is>
          <t>67 - 81 Mortimer Street</t>
        </is>
      </c>
      <c r="G328" s="840" t="inlineStr">
        <is>
          <t>Second Floor (East)</t>
        </is>
      </c>
      <c r="H328" s="841" t="inlineStr">
        <is>
          <t>Office</t>
        </is>
      </c>
      <c r="I328" s="848" t="n">
        <v>1281</v>
      </c>
      <c r="J328" s="848">
        <f>I328</f>
        <v/>
      </c>
      <c r="K328" s="848" t="n">
        <v>1250</v>
      </c>
      <c r="L328" s="840" t="inlineStr">
        <is>
          <t>Feel Films Ltd.</t>
        </is>
      </c>
      <c r="M328" s="843" t="n">
        <v>45393</v>
      </c>
      <c r="N328" s="844" t="n">
        <v>47218</v>
      </c>
      <c r="Q328" s="844" t="n">
        <v>46488</v>
      </c>
      <c r="R328" s="842" t="n">
        <v>72800</v>
      </c>
      <c r="S328" s="842">
        <f>R328</f>
        <v/>
      </c>
      <c r="U328" s="842" t="n">
        <v>70500</v>
      </c>
      <c r="V328" s="842">
        <f>U328</f>
        <v/>
      </c>
      <c r="W328" s="842" t="n">
        <v>70500</v>
      </c>
      <c r="X328" s="842">
        <f>W328</f>
        <v/>
      </c>
      <c r="Y328" s="845">
        <f>W328/I328</f>
        <v/>
      </c>
      <c r="Z328" s="846">
        <f>SUM(W328-U328)/U328</f>
        <v/>
      </c>
      <c r="AA328" s="842" t="inlineStr">
        <is>
          <t>D</t>
        </is>
      </c>
      <c r="AB328" s="590" t="n"/>
      <c r="AC328" s="847" t="n"/>
      <c r="AD328" s="841" t="inlineStr">
        <is>
          <t>No</t>
        </is>
      </c>
      <c r="AE328" s="840" t="inlineStr">
        <is>
          <t>Tenant break on 6 months notice. 3 months rent free if break not exercised.</t>
        </is>
      </c>
      <c r="AH328" s="312" t="n"/>
      <c r="AJ328" t="inlineStr">
        <is>
          <t>Let</t>
        </is>
      </c>
    </row>
    <row r="329">
      <c r="A329" t="inlineStr">
        <is>
          <t>67 - 81 Mortimer Street</t>
        </is>
      </c>
      <c r="B329" s="838" t="n"/>
      <c r="C329" s="839" t="inlineStr">
        <is>
          <t>WS</t>
        </is>
      </c>
      <c r="D329" s="839" t="inlineStr">
        <is>
          <t>MEL</t>
        </is>
      </c>
      <c r="E329" s="838" t="n">
        <v>550870</v>
      </c>
      <c r="F329" s="840" t="inlineStr">
        <is>
          <t>67 - 81 Mortimer Street</t>
        </is>
      </c>
      <c r="G329" s="840" t="inlineStr">
        <is>
          <t>Third Floor (East)</t>
        </is>
      </c>
      <c r="H329" s="841" t="inlineStr">
        <is>
          <t>Office</t>
        </is>
      </c>
      <c r="I329" s="848" t="n">
        <v>1371</v>
      </c>
      <c r="J329" s="848">
        <f>I329</f>
        <v/>
      </c>
      <c r="K329" s="848" t="n">
        <v>1250</v>
      </c>
      <c r="L329" s="840" t="inlineStr">
        <is>
          <t>Vacant</t>
        </is>
      </c>
      <c r="O329" s="844" t="n">
        <v>44647</v>
      </c>
      <c r="P329" s="843" t="n"/>
      <c r="Q329" s="843" t="n"/>
      <c r="R329" s="842" t="n">
        <v>0</v>
      </c>
      <c r="S329" s="842">
        <f>R329</f>
        <v/>
      </c>
      <c r="U329" s="842" t="n">
        <v>75400</v>
      </c>
      <c r="V329" s="842">
        <f>U329</f>
        <v/>
      </c>
      <c r="W329" s="842" t="n">
        <v>75400</v>
      </c>
      <c r="X329" s="842">
        <f>W329</f>
        <v/>
      </c>
      <c r="Y329" s="845">
        <f>W329/I329</f>
        <v/>
      </c>
      <c r="Z329" s="846">
        <f>SUM(W329-U329)/U329</f>
        <v/>
      </c>
      <c r="AA329" s="617" t="inlineStr">
        <is>
          <t>B</t>
        </is>
      </c>
      <c r="AB329" s="590" t="n"/>
      <c r="AC329" s="847" t="n"/>
      <c r="AD329" s="841" t="inlineStr">
        <is>
          <t>No</t>
        </is>
      </c>
      <c r="AE329" s="840" t="inlineStr">
        <is>
          <t>Under offer</t>
        </is>
      </c>
      <c r="AF329" s="849" t="n">
        <v>62</v>
      </c>
      <c r="AG329" s="840" t="n"/>
      <c r="AH329" s="312" t="n">
        <v>2</v>
      </c>
      <c r="AI329" s="840" t="n"/>
      <c r="AJ329" t="inlineStr">
        <is>
          <t>Void</t>
        </is>
      </c>
    </row>
    <row r="330">
      <c r="A330" t="inlineStr">
        <is>
          <t>67 - 81 Mortimer Street</t>
        </is>
      </c>
      <c r="B330" s="838" t="n"/>
      <c r="C330" s="839" t="inlineStr">
        <is>
          <t>WS</t>
        </is>
      </c>
      <c r="D330" s="839" t="inlineStr">
        <is>
          <t>MEL</t>
        </is>
      </c>
      <c r="E330" s="838" t="n">
        <v>550870</v>
      </c>
      <c r="F330" s="840" t="inlineStr">
        <is>
          <t>67 - 81 Mortimer Street</t>
        </is>
      </c>
      <c r="G330" s="840" t="inlineStr">
        <is>
          <t>Third Floor (West)</t>
        </is>
      </c>
      <c r="H330" s="841" t="inlineStr">
        <is>
          <t>Office</t>
        </is>
      </c>
      <c r="I330" s="848" t="n">
        <v>1204</v>
      </c>
      <c r="J330" s="848">
        <f>I330</f>
        <v/>
      </c>
      <c r="K330" s="848" t="n">
        <v>1250</v>
      </c>
      <c r="L330" s="840" t="inlineStr">
        <is>
          <t>Vacant</t>
        </is>
      </c>
      <c r="O330" s="844" t="n">
        <v>42983</v>
      </c>
      <c r="P330" s="843" t="n"/>
      <c r="Q330" s="843" t="n"/>
      <c r="R330" s="842" t="n">
        <v>0</v>
      </c>
      <c r="S330" s="842">
        <f>R330</f>
        <v/>
      </c>
      <c r="U330" s="842" t="n">
        <v>66200</v>
      </c>
      <c r="V330" s="842">
        <f>U330</f>
        <v/>
      </c>
      <c r="W330" s="842" t="n">
        <v>66200</v>
      </c>
      <c r="X330" s="842">
        <f>W330</f>
        <v/>
      </c>
      <c r="Y330" s="845">
        <f>W330/I330</f>
        <v/>
      </c>
      <c r="Z330" s="846">
        <f>SUM(W330-U330)/U330</f>
        <v/>
      </c>
      <c r="AA330" s="617" t="inlineStr">
        <is>
          <t>B</t>
        </is>
      </c>
      <c r="AB330" s="590" t="n"/>
      <c r="AC330" s="847" t="n"/>
      <c r="AD330" s="841" t="inlineStr">
        <is>
          <t>No</t>
        </is>
      </c>
      <c r="AE330" s="840" t="inlineStr">
        <is>
          <t>Under offer</t>
        </is>
      </c>
      <c r="AF330" s="849" t="n">
        <v>62</v>
      </c>
      <c r="AG330" s="840" t="n"/>
      <c r="AH330" s="312" t="n">
        <v>2</v>
      </c>
      <c r="AI330" s="840" t="n"/>
      <c r="AJ330" t="inlineStr">
        <is>
          <t>Void</t>
        </is>
      </c>
    </row>
    <row r="331">
      <c r="A331" t="inlineStr">
        <is>
          <t>93 Mortimer Street &amp; 43 Great Portland Street</t>
        </is>
      </c>
      <c r="B331" s="838" t="n"/>
      <c r="C331" s="839" t="inlineStr">
        <is>
          <t>WS</t>
        </is>
      </c>
      <c r="D331" s="839" t="inlineStr">
        <is>
          <t>MEL</t>
        </is>
      </c>
      <c r="E331" s="838" t="n">
        <v>550980</v>
      </c>
      <c r="F331" s="840" t="inlineStr">
        <is>
          <t>93 Mortimer Street &amp; 43 Great Portland Street</t>
        </is>
      </c>
      <c r="G331" s="840" t="inlineStr">
        <is>
          <t>Whole</t>
        </is>
      </c>
      <c r="H331" s="841" t="inlineStr">
        <is>
          <t>Gallery</t>
        </is>
      </c>
      <c r="I331" s="18" t="n">
        <v>10112</v>
      </c>
      <c r="J331" s="591">
        <f>I331</f>
        <v/>
      </c>
      <c r="K331" s="591" t="n"/>
      <c r="L331" s="840" t="inlineStr">
        <is>
          <t>IBRAAZ</t>
        </is>
      </c>
      <c r="M331" s="843" t="n">
        <v>45708</v>
      </c>
      <c r="N331" s="844" t="n">
        <v>51185</v>
      </c>
      <c r="P331" s="844" t="n">
        <v>47534</v>
      </c>
      <c r="Q331" s="844" t="n">
        <v>47898</v>
      </c>
      <c r="R331" s="591" t="n">
        <v>550000</v>
      </c>
      <c r="S331" s="591">
        <f>R331</f>
        <v/>
      </c>
      <c r="T331" s="591">
        <f>S331</f>
        <v/>
      </c>
      <c r="U331" s="591" t="n">
        <v>750000</v>
      </c>
      <c r="V331" s="591">
        <f>U331</f>
        <v/>
      </c>
      <c r="W331" s="591" t="n">
        <v>685000</v>
      </c>
      <c r="X331" s="591">
        <f>W331</f>
        <v/>
      </c>
      <c r="Y331" s="845">
        <f>W331/I331</f>
        <v/>
      </c>
      <c r="Z331" s="846">
        <f>SUM(W331-U331)/U331</f>
        <v/>
      </c>
      <c r="AA331" s="591" t="inlineStr">
        <is>
          <t>A</t>
        </is>
      </c>
      <c r="AB331" s="603" t="n"/>
      <c r="AC331" s="591" t="n">
        <v>11800000</v>
      </c>
      <c r="AD331" s="841" t="inlineStr">
        <is>
          <t>No</t>
        </is>
      </c>
      <c r="AE331" s="840" t="inlineStr">
        <is>
          <t>Rent increases reverts to £700,000 wef 20/02/30 subject to rent review.</t>
        </is>
      </c>
      <c r="AG331" s="840" t="n">
        <v>1</v>
      </c>
      <c r="AH331" s="312" t="n">
        <v>3</v>
      </c>
      <c r="AJ331" t="inlineStr">
        <is>
          <t>Let</t>
        </is>
      </c>
    </row>
    <row r="332">
      <c r="A332" t="inlineStr">
        <is>
          <t>142-144 Oxford Street</t>
        </is>
      </c>
      <c r="B332" s="838" t="n"/>
      <c r="C332" s="839" t="inlineStr">
        <is>
          <t>JM</t>
        </is>
      </c>
      <c r="D332" s="839" t="inlineStr">
        <is>
          <t>MEL</t>
        </is>
      </c>
      <c r="E332" s="838" t="n">
        <v>100850</v>
      </c>
      <c r="F332" s="840" t="inlineStr">
        <is>
          <t>142-144 Oxford Street</t>
        </is>
      </c>
      <c r="G332" s="840" t="inlineStr">
        <is>
          <t>Basement, Ground &amp; First Floors</t>
        </is>
      </c>
      <c r="H332" s="841" t="inlineStr">
        <is>
          <t>Retail/ Ancillary</t>
        </is>
      </c>
      <c r="I332" s="848" t="n">
        <v>5200</v>
      </c>
      <c r="J332" s="848">
        <f>I332</f>
        <v/>
      </c>
      <c r="K332" s="848" t="n">
        <v>5000</v>
      </c>
      <c r="L332" s="840" t="inlineStr">
        <is>
          <t>Telefonica UK Ltd</t>
        </is>
      </c>
      <c r="M332" s="843" t="n">
        <v>45776</v>
      </c>
      <c r="N332" s="844" t="n">
        <v>49427</v>
      </c>
      <c r="P332" s="844" t="n">
        <v>47602</v>
      </c>
      <c r="Q332" s="844" t="n">
        <v>47601</v>
      </c>
      <c r="R332" s="842" t="n">
        <v>0</v>
      </c>
      <c r="S332" s="842">
        <f>R332</f>
        <v/>
      </c>
      <c r="U332" s="848" t="n">
        <v>616000</v>
      </c>
      <c r="V332" s="842">
        <f>U332</f>
        <v/>
      </c>
      <c r="W332" s="848" t="n">
        <v>617000</v>
      </c>
      <c r="X332" s="842">
        <f>W332</f>
        <v/>
      </c>
      <c r="Y332" s="845">
        <f>W332/I332</f>
        <v/>
      </c>
      <c r="Z332" s="846">
        <f>SUM(W332-U332)/U332</f>
        <v/>
      </c>
      <c r="AA332" s="842" t="inlineStr">
        <is>
          <t>B</t>
        </is>
      </c>
      <c r="AB332" s="590" t="n"/>
      <c r="AC332" s="591" t="n"/>
      <c r="AD332" s="841" t="inlineStr">
        <is>
          <t>No</t>
        </is>
      </c>
      <c r="AE332" s="840" t="inlineStr">
        <is>
          <t>Rent wef £352,500 wef 23/07/25, increasing to £705,000 wef 24/07/26. Tenant break on 6 months notice.</t>
        </is>
      </c>
      <c r="AF332" s="849" t="n"/>
      <c r="AG332" s="840" t="n">
        <v>1</v>
      </c>
      <c r="AH332" s="312" t="n">
        <v>3</v>
      </c>
      <c r="AI332" s="840" t="inlineStr">
        <is>
          <t>LEM</t>
        </is>
      </c>
      <c r="AJ332" t="inlineStr">
        <is>
          <t>Let</t>
        </is>
      </c>
    </row>
    <row r="333">
      <c r="A333" t="inlineStr">
        <is>
          <t>142-144 Oxford Street</t>
        </is>
      </c>
      <c r="B333" s="838" t="n"/>
      <c r="C333" s="839" t="inlineStr">
        <is>
          <t>JM</t>
        </is>
      </c>
      <c r="D333" s="839" t="inlineStr">
        <is>
          <t>MEL</t>
        </is>
      </c>
      <c r="E333" s="838" t="n">
        <v>100850</v>
      </c>
      <c r="F333" s="840" t="inlineStr">
        <is>
          <t>142-144 Oxford Street</t>
        </is>
      </c>
      <c r="G333" s="840" t="inlineStr">
        <is>
          <t>Kiosk in Adam and Eve Court</t>
        </is>
      </c>
      <c r="H333" s="841" t="inlineStr">
        <is>
          <t>Kiosk</t>
        </is>
      </c>
      <c r="I333" s="855" t="n">
        <v>85</v>
      </c>
      <c r="J333" s="848">
        <f>I333</f>
        <v/>
      </c>
      <c r="L333" s="853" t="inlineStr">
        <is>
          <t>The Prudential Assurance Company Ltd.</t>
        </is>
      </c>
      <c r="M333" s="843" t="n">
        <v>45589</v>
      </c>
      <c r="N333" s="843" t="n">
        <v>45953</v>
      </c>
      <c r="O333" s="843" t="n"/>
      <c r="R333" s="842" t="n">
        <v>68250</v>
      </c>
      <c r="S333" s="842">
        <f>R333</f>
        <v/>
      </c>
      <c r="U333" s="848" t="n">
        <v>65000</v>
      </c>
      <c r="V333" s="842">
        <f>U333</f>
        <v/>
      </c>
      <c r="W333" s="848" t="n">
        <v>0</v>
      </c>
      <c r="X333" s="842">
        <f>W333</f>
        <v/>
      </c>
      <c r="Y333" s="845">
        <f>W333/I333</f>
        <v/>
      </c>
      <c r="Z333" s="846">
        <f>SUM(W333-U333)/U333</f>
        <v/>
      </c>
      <c r="AA333" s="842" t="n"/>
      <c r="AB333" s="590" t="n"/>
      <c r="AC333" s="591" t="n"/>
      <c r="AD333" s="841" t="inlineStr">
        <is>
          <t>No</t>
        </is>
      </c>
      <c r="AE333" s="853" t="inlineStr">
        <is>
          <t>Tenant rolling break on 3 months notice. Tenant has renewal option at stepped rent. Landlord redevelopment break @ 16/01/27 on 6 months notice.</t>
        </is>
      </c>
      <c r="AG333" s="853" t="n"/>
      <c r="AH333" s="318" t="n"/>
      <c r="AI333" s="853" t="n"/>
      <c r="AJ333" t="inlineStr">
        <is>
          <t>Let</t>
        </is>
      </c>
    </row>
    <row r="334">
      <c r="A334" t="inlineStr">
        <is>
          <t>142-144 Oxford Street</t>
        </is>
      </c>
      <c r="B334" s="838" t="n"/>
      <c r="C334" s="839" t="inlineStr">
        <is>
          <t>JM</t>
        </is>
      </c>
      <c r="D334" s="839" t="inlineStr">
        <is>
          <t>MEL</t>
        </is>
      </c>
      <c r="E334" s="838" t="n">
        <v>100850</v>
      </c>
      <c r="F334" s="840" t="inlineStr">
        <is>
          <t>142-144 Oxford Street</t>
        </is>
      </c>
      <c r="G334" s="840" t="inlineStr">
        <is>
          <t>Flats 1 - 9 Inclusive</t>
        </is>
      </c>
      <c r="H334" s="841" t="inlineStr">
        <is>
          <t>Residential</t>
        </is>
      </c>
      <c r="I334" s="855" t="n">
        <v>4011</v>
      </c>
      <c r="J334" s="848">
        <f>I334</f>
        <v/>
      </c>
      <c r="K334" s="848" t="n">
        <v>4000</v>
      </c>
      <c r="L334" s="840" t="inlineStr">
        <is>
          <t>Advan Capital Limited</t>
        </is>
      </c>
      <c r="M334" s="843" t="n">
        <v>44204</v>
      </c>
      <c r="N334" s="844" t="n">
        <v>47855</v>
      </c>
      <c r="P334" s="844" t="n">
        <v>46030</v>
      </c>
      <c r="R334" s="842" t="n">
        <v>130000</v>
      </c>
      <c r="S334" s="842">
        <f>R334</f>
        <v/>
      </c>
      <c r="U334" s="848" t="n">
        <v>130000</v>
      </c>
      <c r="V334" s="842">
        <f>U334</f>
        <v/>
      </c>
      <c r="W334" s="848" t="n">
        <v>130000</v>
      </c>
      <c r="X334" s="842">
        <f>W334</f>
        <v/>
      </c>
      <c r="Y334" s="845">
        <f>W334/I334</f>
        <v/>
      </c>
      <c r="Z334" s="846">
        <f>SUM(W334-U334)/U334</f>
        <v/>
      </c>
      <c r="AA334" s="842" t="inlineStr">
        <is>
          <t>B</t>
        </is>
      </c>
      <c r="AB334" s="590" t="n"/>
      <c r="AC334" s="591" t="n"/>
      <c r="AD334" s="841" t="inlineStr">
        <is>
          <t>No</t>
        </is>
      </c>
      <c r="AE334" s="853" t="n"/>
      <c r="AG334" s="853" t="n"/>
      <c r="AH334" s="318" t="n"/>
      <c r="AI334" s="853" t="n"/>
      <c r="AJ334" t="inlineStr">
        <is>
          <t>Let</t>
        </is>
      </c>
    </row>
    <row r="335">
      <c r="A335" t="inlineStr">
        <is>
          <t>146/148 Oxford Street</t>
        </is>
      </c>
      <c r="B335" s="838" t="n"/>
      <c r="C335" s="839" t="inlineStr">
        <is>
          <t>JM</t>
        </is>
      </c>
      <c r="D335" s="839" t="inlineStr">
        <is>
          <t>MEL</t>
        </is>
      </c>
      <c r="E335" s="838" t="n">
        <v>100670</v>
      </c>
      <c r="F335" s="840" t="inlineStr">
        <is>
          <t>146/148 Oxford Street</t>
        </is>
      </c>
      <c r="G335" s="840" t="inlineStr">
        <is>
          <t>Vaults, Basement &amp; Ground Floors</t>
        </is>
      </c>
      <c r="H335" s="841" t="inlineStr">
        <is>
          <t>Retail</t>
        </is>
      </c>
      <c r="I335" s="848" t="n">
        <v>3348</v>
      </c>
      <c r="J335" s="842">
        <f>I335</f>
        <v/>
      </c>
      <c r="K335" s="842" t="n">
        <v>3250</v>
      </c>
      <c r="L335" s="840" t="inlineStr">
        <is>
          <t>Holland &amp; Barrett Retail Ltd</t>
        </is>
      </c>
      <c r="M335" s="843" t="n">
        <v>45600</v>
      </c>
      <c r="N335" s="844" t="n">
        <v>49251</v>
      </c>
      <c r="P335" s="844" t="n">
        <v>47426</v>
      </c>
      <c r="Q335" s="844" t="n">
        <v>47790</v>
      </c>
      <c r="R335" s="842" t="n">
        <v>260000</v>
      </c>
      <c r="S335" s="842">
        <f>R335</f>
        <v/>
      </c>
      <c r="U335" s="842" t="n">
        <v>522500</v>
      </c>
      <c r="V335" s="842">
        <f>U335</f>
        <v/>
      </c>
      <c r="W335" s="842" t="n">
        <v>522500</v>
      </c>
      <c r="X335" s="842">
        <f>W335</f>
        <v/>
      </c>
      <c r="Y335" s="845">
        <f>W335/I335</f>
        <v/>
      </c>
      <c r="Z335" s="846">
        <f>SUM(W335-U335)/U335</f>
        <v/>
      </c>
      <c r="AA335" s="842" t="inlineStr">
        <is>
          <t>B</t>
        </is>
      </c>
      <c r="AB335" s="590" t="n"/>
      <c r="AC335" s="854" t="n"/>
      <c r="AD335" s="841" t="inlineStr">
        <is>
          <t>No</t>
        </is>
      </c>
      <c r="AE335" s="840" t="inlineStr">
        <is>
          <t xml:space="preserve">Rent increases to £520,000 wef 04/08/26. Tenant break on 6 months notice. </t>
        </is>
      </c>
      <c r="AF335" s="599" t="n"/>
      <c r="AG335" s="29" t="n"/>
      <c r="AH335" s="313" t="n"/>
      <c r="AI335" s="29" t="n"/>
      <c r="AJ335" t="inlineStr">
        <is>
          <t>Let</t>
        </is>
      </c>
    </row>
    <row r="336">
      <c r="A336" t="inlineStr">
        <is>
          <t>146/148 Oxford Street</t>
        </is>
      </c>
      <c r="B336" s="838" t="n"/>
      <c r="C336" s="839" t="inlineStr">
        <is>
          <t>JM</t>
        </is>
      </c>
      <c r="D336" s="839" t="inlineStr">
        <is>
          <t>MEL</t>
        </is>
      </c>
      <c r="E336" s="838" t="n">
        <v>100670</v>
      </c>
      <c r="F336" s="840" t="inlineStr">
        <is>
          <t>146/148 Oxford Street</t>
        </is>
      </c>
      <c r="G336" s="840" t="inlineStr">
        <is>
          <t>First to Fourth Floors</t>
        </is>
      </c>
      <c r="H336" s="841" t="inlineStr">
        <is>
          <t>Educational</t>
        </is>
      </c>
      <c r="I336" s="848" t="n">
        <v>2964</v>
      </c>
      <c r="J336" s="842">
        <f>I336</f>
        <v/>
      </c>
      <c r="K336" s="842" t="n">
        <v>3000</v>
      </c>
      <c r="L336" s="840" t="inlineStr">
        <is>
          <t>Vacant</t>
        </is>
      </c>
      <c r="O336" s="844" t="n">
        <v>42593</v>
      </c>
      <c r="R336" s="842" t="n">
        <v>0</v>
      </c>
      <c r="S336" s="842">
        <f>R336</f>
        <v/>
      </c>
      <c r="U336" s="842" t="n">
        <v>115000</v>
      </c>
      <c r="V336" s="842">
        <f>U336</f>
        <v/>
      </c>
      <c r="W336" s="842" t="n">
        <v>115000</v>
      </c>
      <c r="X336" s="842">
        <f>W336</f>
        <v/>
      </c>
      <c r="Y336" s="845">
        <f>W336/I336</f>
        <v/>
      </c>
      <c r="Z336" s="846">
        <f>SUM(W336-U336)/U336</f>
        <v/>
      </c>
      <c r="AA336" s="842" t="inlineStr">
        <is>
          <t>E</t>
        </is>
      </c>
      <c r="AB336" s="590" t="n"/>
      <c r="AC336" s="854" t="n"/>
      <c r="AD336" s="841" t="inlineStr">
        <is>
          <t>No</t>
        </is>
      </c>
      <c r="AE336" s="840" t="inlineStr">
        <is>
          <t>To be refurbished.</t>
        </is>
      </c>
      <c r="AH336" s="312" t="n"/>
      <c r="AJ336" t="inlineStr">
        <is>
          <t>Void</t>
        </is>
      </c>
    </row>
    <row r="337">
      <c r="A337" t="inlineStr">
        <is>
          <t>150/154 Oxford Street</t>
        </is>
      </c>
      <c r="B337" s="838" t="n"/>
      <c r="C337" s="839" t="inlineStr">
        <is>
          <t>JM</t>
        </is>
      </c>
      <c r="D337" s="839" t="inlineStr">
        <is>
          <t>MEL</t>
        </is>
      </c>
      <c r="E337" s="838" t="n">
        <v>100650</v>
      </c>
      <c r="F337" s="840" t="inlineStr">
        <is>
          <t>150/154 Oxford Street</t>
        </is>
      </c>
      <c r="G337" s="840" t="inlineStr">
        <is>
          <t>Part Basement to Second Floors &amp; Rooftop Switch Room</t>
        </is>
      </c>
      <c r="H337" s="841" t="inlineStr">
        <is>
          <t>Retail</t>
        </is>
      </c>
      <c r="I337" s="18" t="n">
        <v>61433</v>
      </c>
      <c r="J337" s="842">
        <f>I337</f>
        <v/>
      </c>
      <c r="K337" s="842" t="n">
        <v>60000</v>
      </c>
      <c r="L337" s="840" t="inlineStr">
        <is>
          <t>Sportsdirect.com Retail Ltd</t>
        </is>
      </c>
      <c r="M337" s="843" t="n">
        <v>40925</v>
      </c>
      <c r="N337" s="844" t="n">
        <v>46403</v>
      </c>
      <c r="P337" s="844" t="n">
        <v>44578</v>
      </c>
      <c r="R337" s="591" t="n">
        <v>4275000</v>
      </c>
      <c r="S337" s="842">
        <f>R337</f>
        <v/>
      </c>
      <c r="T337" s="591">
        <f>S337</f>
        <v/>
      </c>
      <c r="U337" s="591" t="n">
        <v>2569000</v>
      </c>
      <c r="V337" s="842">
        <f>U337</f>
        <v/>
      </c>
      <c r="W337" s="591" t="n">
        <v>3039000</v>
      </c>
      <c r="X337" s="842">
        <f>W337</f>
        <v/>
      </c>
      <c r="Y337" s="845">
        <f>W337/I337</f>
        <v/>
      </c>
      <c r="Z337" s="846">
        <f>SUM(W337-U337)/U337</f>
        <v/>
      </c>
      <c r="AA337" s="842" t="inlineStr">
        <is>
          <t>B</t>
        </is>
      </c>
      <c r="AB337" s="590" t="n"/>
      <c r="AC337" s="591" t="n">
        <v>66775000</v>
      </c>
      <c r="AD337" s="841" t="inlineStr">
        <is>
          <t>Yes</t>
        </is>
      </c>
      <c r="AE337" s="840" t="inlineStr">
        <is>
          <t xml:space="preserve">Electricity Substation sublet by Sportsdirect.com. Rent review not yet activated. </t>
        </is>
      </c>
      <c r="AF337" s="849" t="n"/>
      <c r="AG337" s="840" t="n"/>
      <c r="AH337" s="312" t="n"/>
      <c r="AI337" s="840" t="n"/>
      <c r="AJ337" t="inlineStr">
        <is>
          <t>Let</t>
        </is>
      </c>
    </row>
    <row r="338">
      <c r="A338" t="inlineStr">
        <is>
          <t>50 Eastcastle Street</t>
        </is>
      </c>
      <c r="B338" s="838" t="n"/>
      <c r="C338" s="839" t="inlineStr">
        <is>
          <t>JM</t>
        </is>
      </c>
      <c r="D338" s="839" t="inlineStr">
        <is>
          <t>MEL</t>
        </is>
      </c>
      <c r="E338" s="838" t="n">
        <v>100650</v>
      </c>
      <c r="F338" s="840" t="inlineStr">
        <is>
          <t>50-60 Eastcastle Street</t>
        </is>
      </c>
      <c r="G338" s="840" t="inlineStr">
        <is>
          <t>Basement (South East)</t>
        </is>
      </c>
      <c r="H338" s="841" t="inlineStr">
        <is>
          <t>Storage</t>
        </is>
      </c>
      <c r="I338" s="848" t="n">
        <v>114</v>
      </c>
      <c r="J338" s="848">
        <f>I338</f>
        <v/>
      </c>
      <c r="L338" s="840" t="inlineStr">
        <is>
          <t>Building Workshop</t>
        </is>
      </c>
      <c r="R338" s="842" t="n">
        <v>0</v>
      </c>
      <c r="S338" s="842">
        <f>R338</f>
        <v/>
      </c>
      <c r="U338" s="842" t="n">
        <v>2007</v>
      </c>
      <c r="V338" s="842">
        <f>U338</f>
        <v/>
      </c>
      <c r="W338" s="842" t="n">
        <v>2007</v>
      </c>
      <c r="X338" s="842">
        <f>W338</f>
        <v/>
      </c>
      <c r="Y338" s="845">
        <f>W338/I338</f>
        <v/>
      </c>
      <c r="Z338" s="846">
        <f>SUM(W338-U338)/U338</f>
        <v/>
      </c>
      <c r="AA338" s="842" t="n"/>
      <c r="AB338" s="590" t="n"/>
      <c r="AC338" s="847" t="n"/>
      <c r="AD338" s="841" t="inlineStr">
        <is>
          <t>No</t>
        </is>
      </c>
      <c r="AH338" s="312" t="n"/>
      <c r="AJ338" t="inlineStr">
        <is>
          <t>Void</t>
        </is>
      </c>
    </row>
    <row r="339">
      <c r="A339" t="inlineStr">
        <is>
          <t>50 Eastcastle Street</t>
        </is>
      </c>
      <c r="B339" s="838" t="n"/>
      <c r="C339" s="839" t="inlineStr">
        <is>
          <t>JM</t>
        </is>
      </c>
      <c r="D339" s="839" t="inlineStr">
        <is>
          <t>MEL</t>
        </is>
      </c>
      <c r="E339" s="838" t="n">
        <v>100650</v>
      </c>
      <c r="F339" s="840" t="inlineStr">
        <is>
          <t>50-60 Eastcastle Street</t>
        </is>
      </c>
      <c r="G339" s="840" t="inlineStr">
        <is>
          <t>Basement Store A</t>
        </is>
      </c>
      <c r="H339" s="841" t="inlineStr">
        <is>
          <t>Storage</t>
        </is>
      </c>
      <c r="I339" s="848" t="n">
        <v>454</v>
      </c>
      <c r="J339" s="848">
        <f>I339</f>
        <v/>
      </c>
      <c r="L339" s="840" t="inlineStr">
        <is>
          <t>Hope93 Ltd.</t>
        </is>
      </c>
      <c r="M339" s="843" t="n">
        <v>45685</v>
      </c>
      <c r="N339" s="844" t="n">
        <v>47358</v>
      </c>
      <c r="Q339" s="844" t="n">
        <v>46627</v>
      </c>
      <c r="R339" s="842" t="n">
        <v>18000</v>
      </c>
      <c r="S339" s="842">
        <f>R339</f>
        <v/>
      </c>
      <c r="U339" s="842" t="n">
        <v>7993</v>
      </c>
      <c r="V339" s="842" t="n"/>
      <c r="W339" s="842" t="n">
        <v>7993</v>
      </c>
      <c r="X339" s="842" t="n"/>
      <c r="Y339" s="845">
        <f>W339/I339</f>
        <v/>
      </c>
      <c r="Z339" s="846">
        <f>SUM(W339-U339)/U339</f>
        <v/>
      </c>
      <c r="AA339" s="842" t="n"/>
      <c r="AB339" s="590" t="n"/>
      <c r="AC339" s="847" t="n"/>
      <c r="AD339" s="841" t="n"/>
      <c r="AE339" s="840" t="inlineStr">
        <is>
          <t>Tenant break on 6 months notice.</t>
        </is>
      </c>
      <c r="AH339" s="312" t="n"/>
      <c r="AJ339" t="inlineStr">
        <is>
          <t>Let</t>
        </is>
      </c>
    </row>
    <row r="340">
      <c r="A340" t="inlineStr">
        <is>
          <t>50 Eastcastle Street</t>
        </is>
      </c>
      <c r="B340" s="838" t="n"/>
      <c r="C340" s="839" t="inlineStr">
        <is>
          <t>JM</t>
        </is>
      </c>
      <c r="D340" s="839" t="inlineStr">
        <is>
          <t>MEL</t>
        </is>
      </c>
      <c r="E340" s="838" t="n">
        <v>100650</v>
      </c>
      <c r="F340" s="840" t="inlineStr">
        <is>
          <t>50-60 Eastcastle Street</t>
        </is>
      </c>
      <c r="G340" s="840" t="inlineStr">
        <is>
          <t>Basement (West)</t>
        </is>
      </c>
      <c r="H340" s="841" t="inlineStr">
        <is>
          <t>Building Managers Office</t>
        </is>
      </c>
      <c r="I340" s="848" t="n">
        <v>780</v>
      </c>
      <c r="J340" s="848">
        <f>I340</f>
        <v/>
      </c>
      <c r="K340" s="848" t="n">
        <v>750</v>
      </c>
      <c r="L340" s="840" t="inlineStr">
        <is>
          <t>Langham Estate Management Ltd</t>
        </is>
      </c>
      <c r="M340" s="843" t="n">
        <v>44562</v>
      </c>
      <c r="N340" s="844" t="n">
        <v>46752</v>
      </c>
      <c r="P340" s="844" t="n">
        <v>45292</v>
      </c>
      <c r="R340" s="842" t="n">
        <v>17100</v>
      </c>
      <c r="S340" s="842">
        <f>R340</f>
        <v/>
      </c>
      <c r="U340" s="842" t="n">
        <v>12500</v>
      </c>
      <c r="V340" s="842">
        <f>U340</f>
        <v/>
      </c>
      <c r="W340" s="842" t="n">
        <v>12500</v>
      </c>
      <c r="X340" s="842">
        <f>W340</f>
        <v/>
      </c>
      <c r="Y340" s="845">
        <f>W340/I340</f>
        <v/>
      </c>
      <c r="Z340" s="846">
        <f>SUM(W340-U340)/U340</f>
        <v/>
      </c>
      <c r="AA340" s="842" t="inlineStr">
        <is>
          <t>D</t>
        </is>
      </c>
      <c r="AB340" s="590" t="n"/>
      <c r="AC340" s="847" t="n"/>
      <c r="AD340" s="841" t="inlineStr">
        <is>
          <t>No</t>
        </is>
      </c>
      <c r="AE340" s="840" t="inlineStr">
        <is>
          <t>2 yearly rent reviews. Mutual rolling break on 6 months notice. Internal Lease to another Lee Family Group Company.</t>
        </is>
      </c>
      <c r="AH340" s="312" t="n"/>
      <c r="AJ340" t="inlineStr">
        <is>
          <t>Let</t>
        </is>
      </c>
    </row>
    <row r="341">
      <c r="A341" t="inlineStr">
        <is>
          <t>50 Eastcastle Street</t>
        </is>
      </c>
      <c r="B341" s="838" t="n"/>
      <c r="C341" s="839" t="inlineStr">
        <is>
          <t>JM</t>
        </is>
      </c>
      <c r="D341" s="839" t="inlineStr">
        <is>
          <t>MEL</t>
        </is>
      </c>
      <c r="E341" s="838" t="n">
        <v>100650</v>
      </c>
      <c r="F341" s="840" t="inlineStr">
        <is>
          <t>50-60 Eastcastle Street</t>
        </is>
      </c>
      <c r="G341" s="840" t="inlineStr">
        <is>
          <t>Grnd/Basement  - 10 &amp; 12 Winsley St.</t>
        </is>
      </c>
      <c r="H341" s="841" t="inlineStr">
        <is>
          <t>Restaurant</t>
        </is>
      </c>
      <c r="I341" s="848" t="n">
        <v>3661</v>
      </c>
      <c r="J341" s="848">
        <f>I341</f>
        <v/>
      </c>
      <c r="K341" s="848" t="n">
        <v>3500</v>
      </c>
      <c r="L341" s="840" t="inlineStr">
        <is>
          <t>Comptoir Group Plc</t>
        </is>
      </c>
      <c r="M341" s="843" t="n">
        <v>44115</v>
      </c>
      <c r="N341" s="844" t="n">
        <v>46670</v>
      </c>
      <c r="R341" s="842" t="n">
        <v>170000</v>
      </c>
      <c r="S341" s="842">
        <f>R341</f>
        <v/>
      </c>
      <c r="U341" s="842" t="n">
        <v>216700</v>
      </c>
      <c r="V341" s="842">
        <f>U341</f>
        <v/>
      </c>
      <c r="W341" s="842" t="n">
        <v>216700</v>
      </c>
      <c r="X341" s="842">
        <f>W341</f>
        <v/>
      </c>
      <c r="Y341" s="845">
        <f>W341/I341</f>
        <v/>
      </c>
      <c r="Z341" s="846">
        <f>SUM(W341-U341)/U341</f>
        <v/>
      </c>
      <c r="AA341" s="842" t="inlineStr">
        <is>
          <t>D</t>
        </is>
      </c>
      <c r="AB341" s="590" t="n"/>
      <c r="AC341" s="847" t="n"/>
      <c r="AD341" s="841" t="inlineStr">
        <is>
          <t>No</t>
        </is>
      </c>
      <c r="AH341" s="312" t="n"/>
      <c r="AJ341" t="inlineStr">
        <is>
          <t>Let</t>
        </is>
      </c>
    </row>
    <row r="342">
      <c r="A342" t="inlineStr">
        <is>
          <t>50 Eastcastle Street</t>
        </is>
      </c>
      <c r="B342" s="838" t="n"/>
      <c r="C342" s="839" t="inlineStr">
        <is>
          <t>JM</t>
        </is>
      </c>
      <c r="D342" s="839" t="inlineStr">
        <is>
          <t>MEL</t>
        </is>
      </c>
      <c r="E342" s="838" t="n">
        <v>100650</v>
      </c>
      <c r="F342" s="840" t="inlineStr">
        <is>
          <t>50-60 Eastcastle Street</t>
        </is>
      </c>
      <c r="G342" s="840" t="inlineStr">
        <is>
          <t>Basement 56-57 Eastcastle St.</t>
        </is>
      </c>
      <c r="H342" s="841" t="inlineStr">
        <is>
          <t>Showroom</t>
        </is>
      </c>
      <c r="I342" s="848" t="n">
        <v>1716</v>
      </c>
      <c r="J342" s="848">
        <f>I342</f>
        <v/>
      </c>
      <c r="K342" s="848" t="n">
        <v>1750</v>
      </c>
      <c r="L342" s="840" t="inlineStr">
        <is>
          <t>Vacant</t>
        </is>
      </c>
      <c r="R342" s="842" t="n">
        <v>0</v>
      </c>
      <c r="S342" s="842">
        <f>R342</f>
        <v/>
      </c>
      <c r="U342" s="842" t="n">
        <v>107600</v>
      </c>
      <c r="V342" s="842">
        <f>U342</f>
        <v/>
      </c>
      <c r="W342" s="842" t="n">
        <v>107600</v>
      </c>
      <c r="X342" s="842">
        <f>W342</f>
        <v/>
      </c>
      <c r="Y342" s="845">
        <f>W342/I342</f>
        <v/>
      </c>
      <c r="Z342" s="846">
        <f>SUM(W342-U342)/U342</f>
        <v/>
      </c>
      <c r="AA342" s="842" t="inlineStr">
        <is>
          <t>D</t>
        </is>
      </c>
      <c r="AB342" s="590" t="n"/>
      <c r="AC342" s="847" t="n"/>
      <c r="AD342" s="841" t="inlineStr">
        <is>
          <t>No</t>
        </is>
      </c>
      <c r="AE342" s="840" t="inlineStr">
        <is>
          <t>Mothballed.</t>
        </is>
      </c>
      <c r="AH342" s="312" t="n"/>
      <c r="AJ342" t="inlineStr">
        <is>
          <t>Void</t>
        </is>
      </c>
    </row>
    <row r="343">
      <c r="A343" t="inlineStr">
        <is>
          <t>50 Eastcastle Street</t>
        </is>
      </c>
      <c r="B343" s="838" t="n"/>
      <c r="C343" s="839" t="inlineStr">
        <is>
          <t>JM</t>
        </is>
      </c>
      <c r="D343" s="839" t="inlineStr">
        <is>
          <t>MEL</t>
        </is>
      </c>
      <c r="E343" s="838" t="n">
        <v>100650</v>
      </c>
      <c r="F343" s="840" t="inlineStr">
        <is>
          <t>50-60 Eastcastle Street</t>
        </is>
      </c>
      <c r="G343" s="840" t="inlineStr">
        <is>
          <t>Ground 56-57 Eastcastle St.</t>
        </is>
      </c>
      <c r="H343" s="841" t="inlineStr">
        <is>
          <t>Showroom</t>
        </is>
      </c>
      <c r="I343" s="848" t="n">
        <v>1952</v>
      </c>
      <c r="J343" s="848">
        <f>I343</f>
        <v/>
      </c>
      <c r="K343" s="848" t="n">
        <v>2000</v>
      </c>
      <c r="L343" s="840" t="inlineStr">
        <is>
          <t>YG Group Ltd</t>
        </is>
      </c>
      <c r="M343" s="843" t="n">
        <v>45450</v>
      </c>
      <c r="N343" s="844" t="n">
        <v>49101</v>
      </c>
      <c r="P343" s="844" t="n">
        <v>47276</v>
      </c>
      <c r="Q343" s="844" t="n">
        <v>47275</v>
      </c>
      <c r="R343" s="617" t="n">
        <v>159500</v>
      </c>
      <c r="S343" s="842">
        <f>R343</f>
        <v/>
      </c>
      <c r="U343" s="842" t="n">
        <v>122400</v>
      </c>
      <c r="V343" s="842">
        <f>U343</f>
        <v/>
      </c>
      <c r="W343" s="842" t="n">
        <v>122400</v>
      </c>
      <c r="X343" s="842">
        <f>W343</f>
        <v/>
      </c>
      <c r="Y343" s="845">
        <f>W343/I343</f>
        <v/>
      </c>
      <c r="Z343" s="846">
        <f>SUM(W343-U343)/U343</f>
        <v/>
      </c>
      <c r="AA343" s="842" t="inlineStr">
        <is>
          <t>C</t>
        </is>
      </c>
      <c r="AB343" s="590" t="n"/>
      <c r="AC343" s="847" t="n"/>
      <c r="AD343" s="841" t="inlineStr">
        <is>
          <t>No</t>
        </is>
      </c>
      <c r="AE343" s="840" t="inlineStr">
        <is>
          <t>Mutual break on 6 months notice. 5 months rent free amortised over 1yr if break not exercised.</t>
        </is>
      </c>
      <c r="AH343" s="312" t="n"/>
      <c r="AJ343" t="inlineStr">
        <is>
          <t>Let</t>
        </is>
      </c>
    </row>
    <row r="344">
      <c r="A344" t="inlineStr">
        <is>
          <t>50 Eastcastle Street</t>
        </is>
      </c>
      <c r="B344" s="838" t="n"/>
      <c r="C344" s="839" t="inlineStr">
        <is>
          <t>JM</t>
        </is>
      </c>
      <c r="D344" s="839" t="inlineStr">
        <is>
          <t>MEL</t>
        </is>
      </c>
      <c r="E344" s="838" t="n">
        <v>100650</v>
      </c>
      <c r="F344" s="840" t="inlineStr">
        <is>
          <t>50-60 Eastcastle Street</t>
        </is>
      </c>
      <c r="G344" s="840" t="inlineStr">
        <is>
          <t>Grnd/Basement - 55 Eastcastle St.</t>
        </is>
      </c>
      <c r="H344" s="841" t="inlineStr">
        <is>
          <t>Art Gallery</t>
        </is>
      </c>
      <c r="I344" s="848" t="n">
        <v>1710</v>
      </c>
      <c r="J344" s="848">
        <f>I344</f>
        <v/>
      </c>
      <c r="K344" s="848" t="n">
        <v>1750</v>
      </c>
      <c r="L344" s="840" t="inlineStr">
        <is>
          <t>PI Artworks Ltd.</t>
        </is>
      </c>
      <c r="M344" s="843" t="n">
        <v>45143</v>
      </c>
      <c r="N344" s="844" t="n">
        <v>45873</v>
      </c>
      <c r="R344" s="842" t="n">
        <v>100000</v>
      </c>
      <c r="S344" s="842">
        <f>R344</f>
        <v/>
      </c>
      <c r="U344" s="842" t="n">
        <v>85500</v>
      </c>
      <c r="V344" s="842">
        <f>U344</f>
        <v/>
      </c>
      <c r="W344" s="842" t="n">
        <v>100000</v>
      </c>
      <c r="X344" s="842">
        <f>W344</f>
        <v/>
      </c>
      <c r="Y344" s="845">
        <f>W344/I344</f>
        <v/>
      </c>
      <c r="Z344" s="846">
        <f>SUM(W344-U344)/U344</f>
        <v/>
      </c>
      <c r="AA344" s="842" t="inlineStr">
        <is>
          <t>D</t>
        </is>
      </c>
      <c r="AB344" s="590" t="n"/>
      <c r="AC344" s="847" t="n"/>
      <c r="AD344" s="841" t="inlineStr">
        <is>
          <t>No</t>
        </is>
      </c>
      <c r="AE344" s="840" t="inlineStr">
        <is>
          <t>Tenant confirmed they will vacate on expiry.</t>
        </is>
      </c>
      <c r="AH344" s="312" t="n"/>
      <c r="AJ344" t="inlineStr">
        <is>
          <t>Let</t>
        </is>
      </c>
    </row>
    <row r="345">
      <c r="A345" t="inlineStr">
        <is>
          <t>50 Eastcastle Street</t>
        </is>
      </c>
      <c r="B345" s="838" t="n"/>
      <c r="C345" s="839" t="inlineStr">
        <is>
          <t>JM</t>
        </is>
      </c>
      <c r="D345" s="839" t="inlineStr">
        <is>
          <t>MEL</t>
        </is>
      </c>
      <c r="E345" s="838" t="n">
        <v>100650</v>
      </c>
      <c r="F345" s="840" t="inlineStr">
        <is>
          <t>50-60 Eastcastle Street</t>
        </is>
      </c>
      <c r="G345" s="840" t="inlineStr">
        <is>
          <t>Grnd/Basement - 54 Eastcastle St</t>
        </is>
      </c>
      <c r="H345" s="841" t="inlineStr">
        <is>
          <t>Art Gallery</t>
        </is>
      </c>
      <c r="I345" s="848" t="n">
        <v>3601</v>
      </c>
      <c r="J345" s="848">
        <f>I345</f>
        <v/>
      </c>
      <c r="K345" s="848" t="n">
        <v>3500</v>
      </c>
      <c r="L345" s="840" t="inlineStr">
        <is>
          <t>Hope93 Ltd.</t>
        </is>
      </c>
      <c r="M345" s="843" t="n">
        <v>45533</v>
      </c>
      <c r="N345" s="844" t="n">
        <v>49184</v>
      </c>
      <c r="P345" s="844" t="n">
        <v>47359</v>
      </c>
      <c r="Q345" s="844" t="n">
        <v>46627</v>
      </c>
      <c r="R345" s="842" t="n">
        <v>83500</v>
      </c>
      <c r="S345" s="842">
        <f>R345</f>
        <v/>
      </c>
      <c r="U345" s="842" t="n">
        <v>144000</v>
      </c>
      <c r="V345" s="842">
        <f>U345</f>
        <v/>
      </c>
      <c r="W345" s="842" t="n">
        <v>167400</v>
      </c>
      <c r="X345" s="842">
        <f>W345</f>
        <v/>
      </c>
      <c r="Y345" s="845">
        <f>W345/I345</f>
        <v/>
      </c>
      <c r="Z345" s="846">
        <f>SUM(W345-U345)/U345</f>
        <v/>
      </c>
      <c r="AA345" s="842" t="inlineStr">
        <is>
          <t>D</t>
        </is>
      </c>
      <c r="AB345" s="590" t="n"/>
      <c r="AC345" s="854" t="n"/>
      <c r="AD345" s="841" t="inlineStr">
        <is>
          <t>No</t>
        </is>
      </c>
      <c r="AE345" s="840" t="inlineStr">
        <is>
          <t>Rent increasing to £167,000 pa wef 29/08/29. Further break @ 28/08/29 on 6 months notice. Penalty clause of £27,833 for first break.</t>
        </is>
      </c>
      <c r="AG345" s="29" t="n"/>
      <c r="AH345" s="313" t="n"/>
      <c r="AI345" s="29" t="n"/>
      <c r="AJ345" t="inlineStr">
        <is>
          <t>Let</t>
        </is>
      </c>
    </row>
    <row r="346">
      <c r="A346" t="inlineStr">
        <is>
          <t>50 Eastcastle Street</t>
        </is>
      </c>
      <c r="B346" s="838" t="n"/>
      <c r="C346" s="839" t="inlineStr">
        <is>
          <t>JM</t>
        </is>
      </c>
      <c r="D346" s="839" t="inlineStr">
        <is>
          <t>MEL</t>
        </is>
      </c>
      <c r="E346" s="838" t="n">
        <v>100650</v>
      </c>
      <c r="F346" s="840" t="inlineStr">
        <is>
          <t>50-60 Eastcastle Street</t>
        </is>
      </c>
      <c r="G346" s="840" t="inlineStr">
        <is>
          <t>Grnd/Basement - 51, 52 &amp; 53 Eastcastle St.</t>
        </is>
      </c>
      <c r="H346" s="841" t="inlineStr">
        <is>
          <t>Restaurant</t>
        </is>
      </c>
      <c r="I346" s="848" t="n">
        <v>6889</v>
      </c>
      <c r="J346" s="848">
        <f>I346</f>
        <v/>
      </c>
      <c r="K346" s="848" t="n">
        <v>7000</v>
      </c>
      <c r="L346" s="840" t="inlineStr">
        <is>
          <t>Stay On Target Ltd</t>
        </is>
      </c>
      <c r="M346" s="843" t="n">
        <v>44630</v>
      </c>
      <c r="N346" s="844" t="n">
        <v>48282</v>
      </c>
      <c r="P346" s="844" t="n">
        <v>46456</v>
      </c>
      <c r="R346" s="842" t="n">
        <v>385000</v>
      </c>
      <c r="S346" s="842">
        <f>R346</f>
        <v/>
      </c>
      <c r="U346" s="842" t="n">
        <v>390000</v>
      </c>
      <c r="V346" s="842">
        <f>U346</f>
        <v/>
      </c>
      <c r="W346" s="842" t="n">
        <v>390000</v>
      </c>
      <c r="X346" s="842">
        <f>W346</f>
        <v/>
      </c>
      <c r="Y346" s="845">
        <f>W346/I346</f>
        <v/>
      </c>
      <c r="Z346" s="846">
        <f>SUM(W346-U346)/U346</f>
        <v/>
      </c>
      <c r="AA346" s="842" t="inlineStr">
        <is>
          <t>A</t>
        </is>
      </c>
      <c r="AB346" s="590" t="n"/>
      <c r="AC346" s="854" t="n"/>
      <c r="AD346" s="841" t="inlineStr">
        <is>
          <t>No</t>
        </is>
      </c>
      <c r="AE346" s="840" t="inlineStr">
        <is>
          <t>Stepped rent. £390,000 wef 10/03/26. Penalty of £27,833 if first break activated. Parent company (Whistle Punks Ltd) in liquidation.</t>
        </is>
      </c>
      <c r="AH346" s="312" t="n"/>
      <c r="AJ346" t="inlineStr">
        <is>
          <t>Let</t>
        </is>
      </c>
    </row>
    <row r="347">
      <c r="A347" t="inlineStr">
        <is>
          <t>50 Eastcastle Street</t>
        </is>
      </c>
      <c r="B347" s="838" t="n"/>
      <c r="C347" s="839" t="inlineStr">
        <is>
          <t>JM</t>
        </is>
      </c>
      <c r="D347" s="839" t="inlineStr">
        <is>
          <t>MEL</t>
        </is>
      </c>
      <c r="E347" s="838" t="n">
        <v>100650</v>
      </c>
      <c r="F347" s="840" t="inlineStr">
        <is>
          <t>50-60 Eastcastle Street</t>
        </is>
      </c>
      <c r="G347" s="840" t="inlineStr">
        <is>
          <t>First Floor (100)</t>
        </is>
      </c>
      <c r="H347" s="841" t="inlineStr">
        <is>
          <t>Office</t>
        </is>
      </c>
      <c r="I347" s="848" t="n">
        <v>1200</v>
      </c>
      <c r="J347" s="848">
        <f>I347</f>
        <v/>
      </c>
      <c r="K347" s="848" t="n">
        <v>1250</v>
      </c>
      <c r="L347" s="29" t="inlineStr">
        <is>
          <t>Vacant</t>
        </is>
      </c>
      <c r="O347" s="620" t="n">
        <v>45793</v>
      </c>
      <c r="R347" s="617" t="n">
        <v>0</v>
      </c>
      <c r="S347" s="842">
        <f>R347</f>
        <v/>
      </c>
      <c r="U347" s="842" t="n">
        <v>72000</v>
      </c>
      <c r="V347" s="842">
        <f>U347</f>
        <v/>
      </c>
      <c r="W347" s="842" t="n">
        <v>69000</v>
      </c>
      <c r="X347" s="842">
        <f>W347</f>
        <v/>
      </c>
      <c r="Y347" s="845">
        <f>W347/I347</f>
        <v/>
      </c>
      <c r="Z347" s="846">
        <f>SUM(W347-U347)/U347</f>
        <v/>
      </c>
      <c r="AA347" s="842" t="inlineStr">
        <is>
          <t>D</t>
        </is>
      </c>
      <c r="AB347" s="590" t="n"/>
      <c r="AC347" s="854" t="n"/>
      <c r="AD347" s="841" t="inlineStr">
        <is>
          <t>No</t>
        </is>
      </c>
      <c r="AE347" s="29" t="inlineStr">
        <is>
          <t>LEM marketing.</t>
        </is>
      </c>
      <c r="AH347" s="312" t="n">
        <v>8</v>
      </c>
      <c r="AJ347" t="inlineStr">
        <is>
          <t>Void</t>
        </is>
      </c>
    </row>
    <row r="348">
      <c r="A348" t="inlineStr">
        <is>
          <t>50 Eastcastle Street</t>
        </is>
      </c>
      <c r="B348" s="838" t="n"/>
      <c r="C348" s="839" t="inlineStr">
        <is>
          <t>JM</t>
        </is>
      </c>
      <c r="D348" s="839" t="inlineStr">
        <is>
          <t>MEL</t>
        </is>
      </c>
      <c r="E348" s="838" t="n">
        <v>100650</v>
      </c>
      <c r="F348" s="840" t="inlineStr">
        <is>
          <t>50-60 Eastcastle Street</t>
        </is>
      </c>
      <c r="G348" s="840" t="inlineStr">
        <is>
          <t>First Floor  (140)</t>
        </is>
      </c>
      <c r="H348" s="841" t="inlineStr">
        <is>
          <t>Showroom/ Office</t>
        </is>
      </c>
      <c r="I348" s="848" t="n">
        <v>1372</v>
      </c>
      <c r="J348" s="848">
        <f>I348</f>
        <v/>
      </c>
      <c r="K348" s="848" t="n">
        <v>1250</v>
      </c>
      <c r="L348" s="840" t="inlineStr">
        <is>
          <t>Vacant</t>
        </is>
      </c>
      <c r="O348" s="844" t="n">
        <v>45672</v>
      </c>
      <c r="R348" s="842" t="n">
        <v>0</v>
      </c>
      <c r="S348" s="842">
        <f>R348</f>
        <v/>
      </c>
      <c r="U348" s="842" t="n">
        <v>82300</v>
      </c>
      <c r="V348" s="842">
        <f>U348</f>
        <v/>
      </c>
      <c r="W348" s="842" t="n">
        <v>78900</v>
      </c>
      <c r="X348" s="842">
        <f>W348</f>
        <v/>
      </c>
      <c r="Y348" s="845">
        <f>W348/I348</f>
        <v/>
      </c>
      <c r="Z348" s="846">
        <f>SUM(W348-U348)/U348</f>
        <v/>
      </c>
      <c r="AA348" s="842" t="inlineStr">
        <is>
          <t>D</t>
        </is>
      </c>
      <c r="AB348" s="590" t="n"/>
      <c r="AC348" s="854" t="n"/>
      <c r="AD348" s="841" t="inlineStr">
        <is>
          <t>No</t>
        </is>
      </c>
      <c r="AE348" s="840" t="inlineStr">
        <is>
          <t>LEM marketing.</t>
        </is>
      </c>
      <c r="AH348" s="312" t="n"/>
      <c r="AJ348" t="inlineStr">
        <is>
          <t>Void</t>
        </is>
      </c>
    </row>
    <row r="349">
      <c r="A349" t="inlineStr">
        <is>
          <t>50 Eastcastle Street</t>
        </is>
      </c>
      <c r="B349" s="838" t="n"/>
      <c r="C349" s="839" t="inlineStr">
        <is>
          <t>JM</t>
        </is>
      </c>
      <c r="D349" s="839" t="inlineStr">
        <is>
          <t>MEL</t>
        </is>
      </c>
      <c r="E349" s="838" t="n">
        <v>100650</v>
      </c>
      <c r="F349" s="840" t="inlineStr">
        <is>
          <t>50-60 Eastcastle Street</t>
        </is>
      </c>
      <c r="G349" s="840" t="inlineStr">
        <is>
          <t>First Floor (120)</t>
        </is>
      </c>
      <c r="H349" s="841" t="inlineStr">
        <is>
          <t>Showroom/ Office</t>
        </is>
      </c>
      <c r="I349" s="848" t="n">
        <v>1020</v>
      </c>
      <c r="J349" s="848">
        <f>I349</f>
        <v/>
      </c>
      <c r="K349" s="848" t="n">
        <v>1000</v>
      </c>
      <c r="L349" s="840" t="inlineStr">
        <is>
          <t>Vacant</t>
        </is>
      </c>
      <c r="O349" s="844" t="n">
        <v>44576</v>
      </c>
      <c r="R349" s="842" t="n">
        <v>0</v>
      </c>
      <c r="S349" s="842">
        <f>R349</f>
        <v/>
      </c>
      <c r="U349" s="842" t="n">
        <v>61200</v>
      </c>
      <c r="V349" s="842">
        <f>U349</f>
        <v/>
      </c>
      <c r="W349" s="842" t="n">
        <v>58700</v>
      </c>
      <c r="X349" s="842">
        <f>W349</f>
        <v/>
      </c>
      <c r="Y349" s="845">
        <f>W349/I349</f>
        <v/>
      </c>
      <c r="Z349" s="846">
        <f>SUM(W349-U349)/U349</f>
        <v/>
      </c>
      <c r="AA349" s="842" t="inlineStr">
        <is>
          <t>D</t>
        </is>
      </c>
      <c r="AB349" s="590" t="n"/>
      <c r="AC349" s="854" t="n"/>
      <c r="AD349" s="841" t="inlineStr">
        <is>
          <t>No</t>
        </is>
      </c>
      <c r="AE349" s="840" t="inlineStr">
        <is>
          <t>To be refurbished.</t>
        </is>
      </c>
      <c r="AH349" s="312" t="n"/>
      <c r="AJ349" t="inlineStr">
        <is>
          <t>Void</t>
        </is>
      </c>
    </row>
    <row r="350">
      <c r="A350" t="inlineStr">
        <is>
          <t>50 Eastcastle Street</t>
        </is>
      </c>
      <c r="B350" s="838" t="n"/>
      <c r="C350" s="839" t="inlineStr">
        <is>
          <t>JM</t>
        </is>
      </c>
      <c r="D350" s="839" t="inlineStr">
        <is>
          <t>MEL</t>
        </is>
      </c>
      <c r="E350" s="838" t="n">
        <v>100650</v>
      </c>
      <c r="F350" s="840" t="inlineStr">
        <is>
          <t>50-60 Eastcastle Street</t>
        </is>
      </c>
      <c r="G350" s="840" t="inlineStr">
        <is>
          <t>First Floor (Centre)</t>
        </is>
      </c>
      <c r="H350" s="841" t="inlineStr">
        <is>
          <t>Office</t>
        </is>
      </c>
      <c r="I350" s="848" t="n">
        <v>6636</v>
      </c>
      <c r="J350" s="848">
        <f>I350</f>
        <v/>
      </c>
      <c r="K350" s="848" t="n">
        <v>6500</v>
      </c>
      <c r="L350" s="840" t="inlineStr">
        <is>
          <t>Vacant</t>
        </is>
      </c>
      <c r="O350" s="844" t="n">
        <v>44172</v>
      </c>
      <c r="R350" s="842" t="n">
        <v>0</v>
      </c>
      <c r="S350" s="842">
        <f>R350</f>
        <v/>
      </c>
      <c r="U350" s="842" t="n">
        <v>398200</v>
      </c>
      <c r="V350" s="842">
        <f>U350</f>
        <v/>
      </c>
      <c r="W350" s="842" t="n">
        <v>381600</v>
      </c>
      <c r="X350" s="842">
        <f>W350</f>
        <v/>
      </c>
      <c r="Y350" s="845">
        <f>W350/I350</f>
        <v/>
      </c>
      <c r="Z350" s="846">
        <f>SUM(W350-U350)/U350</f>
        <v/>
      </c>
      <c r="AA350" s="842" t="inlineStr">
        <is>
          <t>E</t>
        </is>
      </c>
      <c r="AB350" s="590" t="n"/>
      <c r="AC350" s="854" t="n"/>
      <c r="AD350" s="841" t="inlineStr">
        <is>
          <t>No</t>
        </is>
      </c>
      <c r="AE350" s="840" t="inlineStr">
        <is>
          <t>To be refurbished.</t>
        </is>
      </c>
      <c r="AH350" s="312" t="n"/>
      <c r="AJ350" t="inlineStr">
        <is>
          <t>Void</t>
        </is>
      </c>
    </row>
    <row r="351">
      <c r="A351" t="inlineStr">
        <is>
          <t>50 Eastcastle Street</t>
        </is>
      </c>
      <c r="B351" s="838" t="n"/>
      <c r="C351" s="839" t="inlineStr">
        <is>
          <t>JM</t>
        </is>
      </c>
      <c r="D351" s="839" t="inlineStr">
        <is>
          <t>MEL</t>
        </is>
      </c>
      <c r="E351" s="838" t="n">
        <v>100650</v>
      </c>
      <c r="F351" s="840" t="inlineStr">
        <is>
          <t>50-60 Eastcastle Street</t>
        </is>
      </c>
      <c r="G351" s="840" t="inlineStr">
        <is>
          <t>First Floor (160, 180)</t>
        </is>
      </c>
      <c r="H351" s="841" t="inlineStr">
        <is>
          <t>Showroom/ Office</t>
        </is>
      </c>
      <c r="I351" s="848" t="n">
        <v>950</v>
      </c>
      <c r="J351" s="848">
        <f>I351</f>
        <v/>
      </c>
      <c r="K351" s="848" t="n">
        <v>1000</v>
      </c>
      <c r="L351" s="840" t="inlineStr">
        <is>
          <t>Vacant</t>
        </is>
      </c>
      <c r="O351" s="844" t="n">
        <v>44682</v>
      </c>
      <c r="R351" s="842" t="n">
        <v>0</v>
      </c>
      <c r="S351" s="842">
        <f>R351</f>
        <v/>
      </c>
      <c r="U351" s="842" t="n">
        <v>57000</v>
      </c>
      <c r="V351" s="842">
        <f>U351</f>
        <v/>
      </c>
      <c r="W351" s="842" t="n">
        <v>54600</v>
      </c>
      <c r="X351" s="842">
        <f>W351</f>
        <v/>
      </c>
      <c r="Y351" s="845">
        <f>W351/I351</f>
        <v/>
      </c>
      <c r="Z351" s="846">
        <f>SUM(W351-U351)/U351</f>
        <v/>
      </c>
      <c r="AA351" s="842" t="inlineStr">
        <is>
          <t>D</t>
        </is>
      </c>
      <c r="AB351" s="590" t="n"/>
      <c r="AC351" s="854" t="n"/>
      <c r="AD351" s="841" t="inlineStr">
        <is>
          <t>No</t>
        </is>
      </c>
      <c r="AE351" s="840" t="inlineStr">
        <is>
          <t>To be refurbished.</t>
        </is>
      </c>
      <c r="AH351" s="312" t="n"/>
      <c r="AJ351" t="inlineStr">
        <is>
          <t>Void</t>
        </is>
      </c>
    </row>
    <row r="352">
      <c r="A352" t="inlineStr">
        <is>
          <t>50 Eastcastle Street</t>
        </is>
      </c>
      <c r="B352" s="838" t="n"/>
      <c r="C352" s="839" t="inlineStr">
        <is>
          <t>JM</t>
        </is>
      </c>
      <c r="D352" s="839" t="inlineStr">
        <is>
          <t>MEL</t>
        </is>
      </c>
      <c r="E352" s="838" t="n">
        <v>100650</v>
      </c>
      <c r="F352" s="840" t="inlineStr">
        <is>
          <t>50-60 Eastcastle Street</t>
        </is>
      </c>
      <c r="G352" s="840" t="inlineStr">
        <is>
          <t>Second Floor (South)</t>
        </is>
      </c>
      <c r="H352" s="841" t="inlineStr">
        <is>
          <t>Office</t>
        </is>
      </c>
      <c r="I352" s="848" t="n">
        <v>15445</v>
      </c>
      <c r="J352" s="848">
        <f>I352</f>
        <v/>
      </c>
      <c r="K352" s="848" t="n">
        <v>15500</v>
      </c>
      <c r="L352" s="840" t="inlineStr">
        <is>
          <t>Vacant</t>
        </is>
      </c>
      <c r="O352" s="844" t="n">
        <v>45358</v>
      </c>
      <c r="R352" s="842" t="n">
        <v>0</v>
      </c>
      <c r="S352" s="842">
        <f>R352</f>
        <v/>
      </c>
      <c r="U352" s="842" t="n">
        <v>926700</v>
      </c>
      <c r="V352" s="842">
        <f>U352</f>
        <v/>
      </c>
      <c r="W352" s="842" t="n">
        <v>810900</v>
      </c>
      <c r="X352" s="842">
        <f>W352</f>
        <v/>
      </c>
      <c r="Y352" s="845">
        <f>W352/I352</f>
        <v/>
      </c>
      <c r="Z352" s="846">
        <f>SUM(W352-U352)/U352</f>
        <v/>
      </c>
      <c r="AA352" s="842" t="inlineStr">
        <is>
          <t>D</t>
        </is>
      </c>
      <c r="AB352" s="590" t="n"/>
      <c r="AC352" s="854" t="n"/>
      <c r="AD352" s="841" t="inlineStr">
        <is>
          <t>No</t>
        </is>
      </c>
      <c r="AE352" s="840" t="inlineStr">
        <is>
          <t>To be refurbished.</t>
        </is>
      </c>
      <c r="AG352" s="840" t="n">
        <v>3</v>
      </c>
      <c r="AH352" s="312" t="n">
        <v>3</v>
      </c>
      <c r="AI352" s="840" t="inlineStr">
        <is>
          <t>LEM</t>
        </is>
      </c>
      <c r="AJ352" t="inlineStr">
        <is>
          <t>Void</t>
        </is>
      </c>
    </row>
    <row r="353">
      <c r="A353" t="inlineStr">
        <is>
          <t>50 Eastcastle Street</t>
        </is>
      </c>
      <c r="B353" s="838" t="n"/>
      <c r="C353" s="839" t="inlineStr">
        <is>
          <t>JM</t>
        </is>
      </c>
      <c r="D353" s="839" t="inlineStr">
        <is>
          <t>MEL</t>
        </is>
      </c>
      <c r="E353" s="838" t="n">
        <v>100650</v>
      </c>
      <c r="F353" s="840" t="inlineStr">
        <is>
          <t>50-60 Eastcastle Street</t>
        </is>
      </c>
      <c r="G353" s="840" t="inlineStr">
        <is>
          <t>Second Floor (Centre)</t>
        </is>
      </c>
      <c r="H353" s="841" t="inlineStr">
        <is>
          <t>Office</t>
        </is>
      </c>
      <c r="I353" s="848" t="n">
        <v>5350</v>
      </c>
      <c r="J353" s="848">
        <f>I353</f>
        <v/>
      </c>
      <c r="K353" s="848" t="n">
        <v>5250</v>
      </c>
      <c r="L353" s="840" t="inlineStr">
        <is>
          <t>Fintech Partners Limited.</t>
        </is>
      </c>
      <c r="M353" s="843" t="n">
        <v>44986</v>
      </c>
      <c r="N353" s="844" t="n">
        <v>46081</v>
      </c>
      <c r="R353" s="842" t="n">
        <v>320000</v>
      </c>
      <c r="S353" s="842">
        <f>R353</f>
        <v/>
      </c>
      <c r="U353" s="842" t="n">
        <v>321000</v>
      </c>
      <c r="V353" s="842">
        <f>U353</f>
        <v/>
      </c>
      <c r="W353" s="842" t="n">
        <v>307600</v>
      </c>
      <c r="X353" s="842">
        <f>W353</f>
        <v/>
      </c>
      <c r="Y353" s="845">
        <f>W353/I353</f>
        <v/>
      </c>
      <c r="Z353" s="846">
        <f>SUM(W353-U353)/U353</f>
        <v/>
      </c>
      <c r="AA353" s="842" t="inlineStr">
        <is>
          <t>D</t>
        </is>
      </c>
      <c r="AB353" s="590" t="n"/>
      <c r="AC353" s="854" t="n"/>
      <c r="AD353" s="841" t="inlineStr">
        <is>
          <t>No</t>
        </is>
      </c>
      <c r="AG353" s="840" t="n">
        <v>1</v>
      </c>
      <c r="AH353" s="312" t="n">
        <v>1</v>
      </c>
      <c r="AJ353" t="inlineStr">
        <is>
          <t>Let</t>
        </is>
      </c>
    </row>
    <row r="354">
      <c r="A354" t="inlineStr">
        <is>
          <t>50 Eastcastle Street</t>
        </is>
      </c>
      <c r="B354" s="838" t="n"/>
      <c r="C354" s="839" t="inlineStr">
        <is>
          <t>JM</t>
        </is>
      </c>
      <c r="D354" s="839" t="inlineStr">
        <is>
          <t>MEL</t>
        </is>
      </c>
      <c r="E354" s="838" t="n">
        <v>100650</v>
      </c>
      <c r="F354" s="840" t="inlineStr">
        <is>
          <t>50-60 Eastcastle Street</t>
        </is>
      </c>
      <c r="G354" s="840" t="inlineStr">
        <is>
          <t>Second Floor (210,220, 230 &amp; 231)</t>
        </is>
      </c>
      <c r="H354" s="841" t="inlineStr">
        <is>
          <t>Office</t>
        </is>
      </c>
      <c r="I354" s="848" t="n">
        <v>3461</v>
      </c>
      <c r="J354" s="848">
        <f>I354</f>
        <v/>
      </c>
      <c r="K354" s="848" t="n">
        <v>3500</v>
      </c>
      <c r="L354" s="840" t="inlineStr">
        <is>
          <t>Vacant</t>
        </is>
      </c>
      <c r="O354" s="844" t="n">
        <v>44958</v>
      </c>
      <c r="R354" s="842" t="n">
        <v>0</v>
      </c>
      <c r="S354" s="842">
        <f>R354</f>
        <v/>
      </c>
      <c r="U354" s="842" t="n">
        <v>207700</v>
      </c>
      <c r="V354" s="842">
        <f>U354</f>
        <v/>
      </c>
      <c r="W354" s="842" t="n">
        <v>199000</v>
      </c>
      <c r="X354" s="842">
        <f>W354</f>
        <v/>
      </c>
      <c r="Y354" s="845">
        <f>W354/I354</f>
        <v/>
      </c>
      <c r="Z354" s="846">
        <f>SUM(W354-U354)/U354</f>
        <v/>
      </c>
      <c r="AA354" s="842" t="inlineStr">
        <is>
          <t>D</t>
        </is>
      </c>
      <c r="AB354" s="590" t="n"/>
      <c r="AC354" s="854" t="n"/>
      <c r="AD354" s="841" t="inlineStr">
        <is>
          <t>No</t>
        </is>
      </c>
      <c r="AE354" s="840" t="inlineStr">
        <is>
          <t>To be refurbished.</t>
        </is>
      </c>
      <c r="AG354" s="840" t="n">
        <v>1</v>
      </c>
      <c r="AH354" s="312" t="n">
        <v>1</v>
      </c>
      <c r="AJ354" t="inlineStr">
        <is>
          <t>Void</t>
        </is>
      </c>
    </row>
    <row r="355">
      <c r="A355" t="inlineStr">
        <is>
          <t>50 Eastcastle Street</t>
        </is>
      </c>
      <c r="B355" s="838" t="n"/>
      <c r="C355" s="839" t="inlineStr">
        <is>
          <t>JM</t>
        </is>
      </c>
      <c r="D355" s="839" t="inlineStr">
        <is>
          <t>MEL</t>
        </is>
      </c>
      <c r="E355" s="838" t="n">
        <v>100650</v>
      </c>
      <c r="F355" s="840" t="inlineStr">
        <is>
          <t>50-60 Eastcastle Street</t>
        </is>
      </c>
      <c r="G355" s="840" t="inlineStr">
        <is>
          <t>Second Floor (240)</t>
        </is>
      </c>
      <c r="H355" s="841" t="inlineStr">
        <is>
          <t>Office</t>
        </is>
      </c>
      <c r="I355" s="848" t="n">
        <v>445</v>
      </c>
      <c r="J355" s="848">
        <f>I355</f>
        <v/>
      </c>
      <c r="K355" s="848" t="n">
        <v>500</v>
      </c>
      <c r="L355" s="840" t="inlineStr">
        <is>
          <t>Vacant</t>
        </is>
      </c>
      <c r="M355" s="843" t="n"/>
      <c r="N355" s="844" t="n"/>
      <c r="O355" s="844" t="n">
        <v>44849</v>
      </c>
      <c r="P355" s="844" t="n"/>
      <c r="Q355" s="844" t="n"/>
      <c r="R355" s="842" t="n">
        <v>0</v>
      </c>
      <c r="S355" s="842">
        <f>R355</f>
        <v/>
      </c>
      <c r="T355" s="842" t="n"/>
      <c r="U355" s="842" t="n">
        <v>26700</v>
      </c>
      <c r="V355" s="842">
        <f>U355</f>
        <v/>
      </c>
      <c r="W355" s="842" t="n">
        <v>25600</v>
      </c>
      <c r="X355" s="842">
        <f>W355</f>
        <v/>
      </c>
      <c r="Y355" s="845">
        <f>W355/I355</f>
        <v/>
      </c>
      <c r="Z355" s="846">
        <f>SUM(W355-U355)/U355</f>
        <v/>
      </c>
      <c r="AA355" s="842" t="inlineStr">
        <is>
          <t>D</t>
        </is>
      </c>
      <c r="AB355" s="590" t="n"/>
      <c r="AC355" s="854" t="n"/>
      <c r="AD355" s="841" t="inlineStr">
        <is>
          <t>No</t>
        </is>
      </c>
      <c r="AE355" s="840" t="inlineStr">
        <is>
          <t>To be refurbished.</t>
        </is>
      </c>
      <c r="AF355" s="849" t="n"/>
      <c r="AG355" s="840" t="n">
        <v>1</v>
      </c>
      <c r="AH355" s="312" t="n">
        <v>2</v>
      </c>
      <c r="AI355" s="840" t="inlineStr">
        <is>
          <t>LEM</t>
        </is>
      </c>
      <c r="AJ355" t="inlineStr">
        <is>
          <t>Void</t>
        </is>
      </c>
    </row>
    <row r="356">
      <c r="A356" t="inlineStr">
        <is>
          <t>50 Eastcastle Street</t>
        </is>
      </c>
      <c r="B356" s="838" t="n"/>
      <c r="C356" s="839" t="inlineStr">
        <is>
          <t>JM</t>
        </is>
      </c>
      <c r="D356" s="839" t="inlineStr">
        <is>
          <t>MEL</t>
        </is>
      </c>
      <c r="E356" s="838" t="n">
        <v>100650</v>
      </c>
      <c r="F356" s="840" t="inlineStr">
        <is>
          <t>50-60 Eastcastle Street</t>
        </is>
      </c>
      <c r="G356" s="840" t="inlineStr">
        <is>
          <t>Third Floor (303)</t>
        </is>
      </c>
      <c r="H356" s="841" t="inlineStr">
        <is>
          <t>Office</t>
        </is>
      </c>
      <c r="I356" s="848" t="n">
        <v>783</v>
      </c>
      <c r="J356" s="848">
        <f>I356</f>
        <v/>
      </c>
      <c r="K356" s="848" t="n">
        <v>750</v>
      </c>
      <c r="L356" s="840" t="inlineStr">
        <is>
          <t>Vacant</t>
        </is>
      </c>
      <c r="O356" s="844" t="n">
        <v>45406</v>
      </c>
      <c r="R356" s="842" t="n">
        <v>0</v>
      </c>
      <c r="S356" s="842">
        <f>R356</f>
        <v/>
      </c>
      <c r="U356" s="842" t="n">
        <v>45000</v>
      </c>
      <c r="V356" s="842">
        <f>U356</f>
        <v/>
      </c>
      <c r="W356" s="842" t="n">
        <v>45000</v>
      </c>
      <c r="X356" s="842">
        <f>W356</f>
        <v/>
      </c>
      <c r="Y356" s="845">
        <f>W356/I356</f>
        <v/>
      </c>
      <c r="Z356" s="846">
        <f>SUM(W356-U356)/U356</f>
        <v/>
      </c>
      <c r="AA356" s="842" t="inlineStr">
        <is>
          <t>D</t>
        </is>
      </c>
      <c r="AB356" s="590" t="n"/>
      <c r="AC356" s="854" t="n"/>
      <c r="AD356" s="841" t="inlineStr">
        <is>
          <t>No</t>
        </is>
      </c>
      <c r="AE356" s="840" t="inlineStr">
        <is>
          <t>To be refurbished.</t>
        </is>
      </c>
      <c r="AH356" s="312" t="n">
        <v>1</v>
      </c>
      <c r="AI356" s="840" t="inlineStr">
        <is>
          <t>LEM</t>
        </is>
      </c>
      <c r="AJ356" t="inlineStr">
        <is>
          <t>Void</t>
        </is>
      </c>
    </row>
    <row r="357">
      <c r="A357" t="inlineStr">
        <is>
          <t>50 Eastcastle Street</t>
        </is>
      </c>
      <c r="B357" s="838" t="n"/>
      <c r="C357" s="839" t="inlineStr">
        <is>
          <t>JM</t>
        </is>
      </c>
      <c r="D357" s="839" t="inlineStr">
        <is>
          <t>MEL</t>
        </is>
      </c>
      <c r="E357" s="838" t="n">
        <v>100650</v>
      </c>
      <c r="F357" s="840" t="inlineStr">
        <is>
          <t>50-60 Eastcastle Street</t>
        </is>
      </c>
      <c r="G357" s="840" t="inlineStr">
        <is>
          <t>Third Floor (305)</t>
        </is>
      </c>
      <c r="H357" s="841" t="inlineStr">
        <is>
          <t>Office</t>
        </is>
      </c>
      <c r="I357" s="848" t="n">
        <v>1929</v>
      </c>
      <c r="J357" s="848">
        <f>I357</f>
        <v/>
      </c>
      <c r="K357" s="848" t="n">
        <v>2000</v>
      </c>
      <c r="L357" s="859" t="inlineStr">
        <is>
          <t>Property Management Recruitment Ltd.</t>
        </is>
      </c>
      <c r="M357" s="843" t="n">
        <v>45096</v>
      </c>
      <c r="N357" s="844" t="n">
        <v>46191</v>
      </c>
      <c r="R357" s="842" t="n">
        <v>111825</v>
      </c>
      <c r="S357" s="842">
        <f>R357</f>
        <v/>
      </c>
      <c r="U357" s="842" t="n">
        <v>110900</v>
      </c>
      <c r="V357" s="842">
        <f>U357</f>
        <v/>
      </c>
      <c r="W357" s="842" t="n">
        <v>110900</v>
      </c>
      <c r="X357" s="842">
        <f>W357</f>
        <v/>
      </c>
      <c r="Y357" s="845">
        <f>W357/I357</f>
        <v/>
      </c>
      <c r="Z357" s="846">
        <f>SUM(W357-U357)/U357</f>
        <v/>
      </c>
      <c r="AA357" s="842" t="inlineStr">
        <is>
          <t>E</t>
        </is>
      </c>
      <c r="AB357" s="590" t="n"/>
      <c r="AC357" s="854" t="n"/>
      <c r="AD357" s="841" t="inlineStr">
        <is>
          <t>No</t>
        </is>
      </c>
      <c r="AE357" s="840" t="inlineStr">
        <is>
          <t>To be refurbished.</t>
        </is>
      </c>
      <c r="AH357" s="312" t="n"/>
      <c r="AJ357" t="inlineStr">
        <is>
          <t>Let</t>
        </is>
      </c>
    </row>
    <row r="358">
      <c r="A358" t="inlineStr">
        <is>
          <t>50 Eastcastle Street</t>
        </is>
      </c>
      <c r="B358" s="838" t="n"/>
      <c r="C358" s="839" t="inlineStr">
        <is>
          <t>JM</t>
        </is>
      </c>
      <c r="D358" s="839" t="inlineStr">
        <is>
          <t>MEL</t>
        </is>
      </c>
      <c r="E358" s="838" t="n">
        <v>100650</v>
      </c>
      <c r="F358" s="840" t="inlineStr">
        <is>
          <t>50-60 Eastcastle Street</t>
        </is>
      </c>
      <c r="G358" s="840" t="inlineStr">
        <is>
          <t>Third Floor North (320)</t>
        </is>
      </c>
      <c r="H358" s="841" t="inlineStr">
        <is>
          <t>Offices</t>
        </is>
      </c>
      <c r="I358" s="848" t="n">
        <v>6893</v>
      </c>
      <c r="J358" s="848">
        <f>I358</f>
        <v/>
      </c>
      <c r="K358" s="848" t="n">
        <v>7000</v>
      </c>
      <c r="L358" s="840" t="inlineStr">
        <is>
          <t>Vacant</t>
        </is>
      </c>
      <c r="O358" s="844" t="n">
        <v>44340</v>
      </c>
      <c r="R358" s="842" t="n">
        <v>0</v>
      </c>
      <c r="S358" s="842">
        <f>R358</f>
        <v/>
      </c>
      <c r="U358" s="842" t="n">
        <v>396300</v>
      </c>
      <c r="V358" s="842">
        <f>U358</f>
        <v/>
      </c>
      <c r="W358" s="842" t="n">
        <v>396300</v>
      </c>
      <c r="X358" s="842">
        <f>W358</f>
        <v/>
      </c>
      <c r="Y358" s="845">
        <f>W358/I358</f>
        <v/>
      </c>
      <c r="Z358" s="846">
        <f>SUM(W358-U358)/U358</f>
        <v/>
      </c>
      <c r="AA358" s="842" t="inlineStr">
        <is>
          <t>E</t>
        </is>
      </c>
      <c r="AB358" s="590" t="n"/>
      <c r="AC358" s="854" t="n"/>
      <c r="AD358" s="841" t="inlineStr">
        <is>
          <t>No</t>
        </is>
      </c>
      <c r="AE358" s="840" t="inlineStr">
        <is>
          <t>To be refurbished.</t>
        </is>
      </c>
      <c r="AG358" s="840" t="n">
        <v>2</v>
      </c>
      <c r="AH358" s="312" t="n">
        <v>6</v>
      </c>
      <c r="AI358" s="840" t="inlineStr">
        <is>
          <t>LEM</t>
        </is>
      </c>
      <c r="AJ358" t="inlineStr">
        <is>
          <t>Void</t>
        </is>
      </c>
    </row>
    <row r="359">
      <c r="A359" t="inlineStr">
        <is>
          <t>50 Eastcastle Street</t>
        </is>
      </c>
      <c r="B359" s="838" t="n"/>
      <c r="C359" s="839" t="inlineStr">
        <is>
          <t>JM</t>
        </is>
      </c>
      <c r="D359" s="839" t="inlineStr">
        <is>
          <t>MEL</t>
        </is>
      </c>
      <c r="E359" s="838" t="n">
        <v>100650</v>
      </c>
      <c r="F359" s="840" t="inlineStr">
        <is>
          <t>50-60 Eastcastle Street</t>
        </is>
      </c>
      <c r="G359" s="840" t="inlineStr">
        <is>
          <t>Third Floor (325)</t>
        </is>
      </c>
      <c r="H359" s="841" t="inlineStr">
        <is>
          <t>Showroom/ Office</t>
        </is>
      </c>
      <c r="I359" s="848" t="n">
        <v>363</v>
      </c>
      <c r="J359" s="848">
        <f>I359</f>
        <v/>
      </c>
      <c r="K359" s="848" t="n">
        <v>500</v>
      </c>
      <c r="L359" s="840" t="inlineStr">
        <is>
          <t>Vacant</t>
        </is>
      </c>
      <c r="O359" s="844" t="n">
        <v>45139</v>
      </c>
      <c r="R359" s="842" t="n">
        <v>0</v>
      </c>
      <c r="S359" s="842">
        <f>R359</f>
        <v/>
      </c>
      <c r="U359" s="842" t="n">
        <v>20900</v>
      </c>
      <c r="V359" s="842">
        <f>U359</f>
        <v/>
      </c>
      <c r="W359" s="842" t="n">
        <v>20900</v>
      </c>
      <c r="X359" s="842">
        <f>W359</f>
        <v/>
      </c>
      <c r="Y359" s="845">
        <f>W359/I359</f>
        <v/>
      </c>
      <c r="Z359" s="846">
        <f>SUM(W359-U359)/U359</f>
        <v/>
      </c>
      <c r="AA359" s="842" t="inlineStr">
        <is>
          <t>D</t>
        </is>
      </c>
      <c r="AB359" s="590" t="n"/>
      <c r="AC359" s="854" t="n"/>
      <c r="AD359" s="841" t="inlineStr">
        <is>
          <t>No</t>
        </is>
      </c>
      <c r="AE359" s="840" t="inlineStr">
        <is>
          <t>To be refurbished.</t>
        </is>
      </c>
      <c r="AH359" s="312" t="n"/>
      <c r="AJ359" t="inlineStr">
        <is>
          <t>Void</t>
        </is>
      </c>
    </row>
    <row r="360">
      <c r="A360" t="inlineStr">
        <is>
          <t>50 Eastcastle Street</t>
        </is>
      </c>
      <c r="B360" s="838" t="n"/>
      <c r="C360" s="839" t="inlineStr">
        <is>
          <t>JM</t>
        </is>
      </c>
      <c r="D360" s="839" t="inlineStr">
        <is>
          <t>MEL</t>
        </is>
      </c>
      <c r="E360" s="838" t="n">
        <v>100650</v>
      </c>
      <c r="F360" s="840" t="inlineStr">
        <is>
          <t>50-60 Eastcastle Street</t>
        </is>
      </c>
      <c r="G360" s="840" t="inlineStr">
        <is>
          <t>Third Floor (335, 390)</t>
        </is>
      </c>
      <c r="H360" s="841" t="inlineStr">
        <is>
          <t>Showroom/ Office</t>
        </is>
      </c>
      <c r="I360" s="848" t="n">
        <v>933</v>
      </c>
      <c r="J360" s="848">
        <f>I360</f>
        <v/>
      </c>
      <c r="K360" s="848" t="n">
        <v>1000</v>
      </c>
      <c r="L360" s="840" t="inlineStr">
        <is>
          <t>Vacant</t>
        </is>
      </c>
      <c r="O360" s="844" t="n">
        <v>44340</v>
      </c>
      <c r="R360" s="842" t="n">
        <v>0</v>
      </c>
      <c r="S360" s="842">
        <f>R360</f>
        <v/>
      </c>
      <c r="U360" s="842" t="n">
        <v>53600</v>
      </c>
      <c r="V360" s="842">
        <f>U360</f>
        <v/>
      </c>
      <c r="W360" s="842" t="n">
        <v>53600</v>
      </c>
      <c r="X360" s="842">
        <f>W360</f>
        <v/>
      </c>
      <c r="Y360" s="845">
        <f>W360/I360</f>
        <v/>
      </c>
      <c r="Z360" s="846">
        <f>SUM(W360-U360)/U360</f>
        <v/>
      </c>
      <c r="AA360" s="842" t="inlineStr">
        <is>
          <t>E</t>
        </is>
      </c>
      <c r="AB360" s="590" t="n"/>
      <c r="AC360" s="854" t="n"/>
      <c r="AD360" s="841" t="inlineStr">
        <is>
          <t>No</t>
        </is>
      </c>
      <c r="AE360" s="840" t="inlineStr">
        <is>
          <t>To be refurbished.</t>
        </is>
      </c>
      <c r="AH360" s="312" t="n">
        <v>1</v>
      </c>
      <c r="AI360" s="840" t="inlineStr">
        <is>
          <t>LEM</t>
        </is>
      </c>
      <c r="AJ360" t="inlineStr">
        <is>
          <t>Void</t>
        </is>
      </c>
    </row>
    <row r="361">
      <c r="A361" t="inlineStr">
        <is>
          <t>50 Eastcastle Street</t>
        </is>
      </c>
      <c r="B361" s="838" t="n"/>
      <c r="C361" s="839" t="inlineStr">
        <is>
          <t>JM</t>
        </is>
      </c>
      <c r="D361" s="839" t="inlineStr">
        <is>
          <t>MEL</t>
        </is>
      </c>
      <c r="E361" s="838" t="n">
        <v>100650</v>
      </c>
      <c r="F361" s="840" t="inlineStr">
        <is>
          <t>50-60 Eastcastle Street</t>
        </is>
      </c>
      <c r="G361" s="840" t="inlineStr">
        <is>
          <t>Third Floor (330)</t>
        </is>
      </c>
      <c r="H361" s="841" t="inlineStr">
        <is>
          <t>Showroom/ Office</t>
        </is>
      </c>
      <c r="I361" s="848" t="n">
        <v>1350</v>
      </c>
      <c r="J361" s="848">
        <f>I361</f>
        <v/>
      </c>
      <c r="K361" s="848" t="n">
        <v>1350</v>
      </c>
      <c r="L361" s="840" t="inlineStr">
        <is>
          <t>Brand Murray Fuller Services Ltd.</t>
        </is>
      </c>
      <c r="M361" s="843" t="n">
        <v>44501</v>
      </c>
      <c r="N361" s="844" t="n">
        <v>46326</v>
      </c>
      <c r="R361" s="842" t="n">
        <v>74250</v>
      </c>
      <c r="S361" s="842">
        <f>R361</f>
        <v/>
      </c>
      <c r="U361" s="848" t="n">
        <v>77600</v>
      </c>
      <c r="V361" s="842">
        <f>U361</f>
        <v/>
      </c>
      <c r="W361" s="842" t="n">
        <v>77600</v>
      </c>
      <c r="X361" s="842">
        <f>W361</f>
        <v/>
      </c>
      <c r="Y361" s="845">
        <f>W361/I361</f>
        <v/>
      </c>
      <c r="Z361" s="846">
        <f>SUM(W361-U361)/U361</f>
        <v/>
      </c>
      <c r="AA361" s="842" t="inlineStr">
        <is>
          <t>E</t>
        </is>
      </c>
      <c r="AB361" s="590" t="n"/>
      <c r="AC361" s="854" t="n"/>
      <c r="AD361" s="841" t="inlineStr">
        <is>
          <t>No</t>
        </is>
      </c>
      <c r="AH361" s="312" t="n"/>
      <c r="AJ361" t="inlineStr">
        <is>
          <t>Let</t>
        </is>
      </c>
    </row>
    <row r="362">
      <c r="A362" t="inlineStr">
        <is>
          <t>50 Eastcastle Street</t>
        </is>
      </c>
      <c r="B362" s="838" t="n"/>
      <c r="C362" s="839" t="inlineStr">
        <is>
          <t>JM</t>
        </is>
      </c>
      <c r="D362" s="839" t="inlineStr">
        <is>
          <t>MEL</t>
        </is>
      </c>
      <c r="E362" s="838" t="n">
        <v>100650</v>
      </c>
      <c r="F362" s="840" t="inlineStr">
        <is>
          <t>50-60 Eastcastle Street</t>
        </is>
      </c>
      <c r="G362" s="840" t="inlineStr">
        <is>
          <t>Third Floor (340)</t>
        </is>
      </c>
      <c r="H362" s="841" t="inlineStr">
        <is>
          <t>Office</t>
        </is>
      </c>
      <c r="I362" s="848" t="n">
        <v>688</v>
      </c>
      <c r="J362" s="848">
        <f>I362</f>
        <v/>
      </c>
      <c r="K362" s="848" t="n">
        <v>750</v>
      </c>
      <c r="L362" s="840" t="inlineStr">
        <is>
          <t>Vacant</t>
        </is>
      </c>
      <c r="O362" s="844" t="n">
        <v>45139</v>
      </c>
      <c r="R362" s="842" t="n">
        <v>0</v>
      </c>
      <c r="S362" s="842">
        <f>R362</f>
        <v/>
      </c>
      <c r="U362" s="842" t="n">
        <v>39600</v>
      </c>
      <c r="V362" s="842">
        <f>U362</f>
        <v/>
      </c>
      <c r="W362" s="842" t="n">
        <v>39600</v>
      </c>
      <c r="X362" s="842">
        <f>W362</f>
        <v/>
      </c>
      <c r="Y362" s="845">
        <f>W362/I362</f>
        <v/>
      </c>
      <c r="Z362" s="846">
        <f>SUM(W362-U362)/U362</f>
        <v/>
      </c>
      <c r="AA362" s="842" t="inlineStr">
        <is>
          <t>E</t>
        </is>
      </c>
      <c r="AB362" s="590" t="n"/>
      <c r="AC362" s="854" t="n"/>
      <c r="AD362" s="841" t="inlineStr">
        <is>
          <t>No</t>
        </is>
      </c>
      <c r="AE362" s="840" t="inlineStr">
        <is>
          <t>To be refurbished.</t>
        </is>
      </c>
      <c r="AH362" s="312" t="n"/>
      <c r="AJ362" t="inlineStr">
        <is>
          <t>Void</t>
        </is>
      </c>
    </row>
    <row r="363">
      <c r="A363" t="inlineStr">
        <is>
          <t>50 Eastcastle Street</t>
        </is>
      </c>
      <c r="B363" s="838" t="n"/>
      <c r="C363" s="839" t="inlineStr">
        <is>
          <t>JM</t>
        </is>
      </c>
      <c r="D363" s="839" t="inlineStr">
        <is>
          <t>MEL</t>
        </is>
      </c>
      <c r="E363" s="838" t="n">
        <v>100650</v>
      </c>
      <c r="F363" s="840" t="inlineStr">
        <is>
          <t>50-60 Eastcastle Street</t>
        </is>
      </c>
      <c r="G363" s="840" t="inlineStr">
        <is>
          <t>Third Floor (345)</t>
        </is>
      </c>
      <c r="H363" s="841" t="inlineStr">
        <is>
          <t>Office</t>
        </is>
      </c>
      <c r="I363" s="848" t="n">
        <v>325</v>
      </c>
      <c r="J363" s="848">
        <f>I363</f>
        <v/>
      </c>
      <c r="K363" s="848" t="n">
        <v>500</v>
      </c>
      <c r="L363" s="840" t="inlineStr">
        <is>
          <t>Vacant</t>
        </is>
      </c>
      <c r="O363" s="844" t="n">
        <v>44340</v>
      </c>
      <c r="R363" s="842" t="n">
        <v>0</v>
      </c>
      <c r="S363" s="842">
        <f>R363</f>
        <v/>
      </c>
      <c r="U363" s="842" t="n">
        <v>18700</v>
      </c>
      <c r="V363" s="842">
        <f>U363</f>
        <v/>
      </c>
      <c r="W363" s="842" t="n">
        <v>18700</v>
      </c>
      <c r="X363" s="842">
        <f>W363</f>
        <v/>
      </c>
      <c r="Y363" s="845">
        <f>W363/I363</f>
        <v/>
      </c>
      <c r="Z363" s="846">
        <f>SUM(W363-U363)/U363</f>
        <v/>
      </c>
      <c r="AA363" s="842" t="inlineStr">
        <is>
          <t>E</t>
        </is>
      </c>
      <c r="AB363" s="590" t="n"/>
      <c r="AC363" s="854" t="n"/>
      <c r="AD363" s="841" t="inlineStr">
        <is>
          <t>No</t>
        </is>
      </c>
      <c r="AE363" s="840" t="inlineStr">
        <is>
          <t>To be refurbished.</t>
        </is>
      </c>
      <c r="AH363" s="312" t="n"/>
      <c r="AJ363" t="inlineStr">
        <is>
          <t>Void</t>
        </is>
      </c>
    </row>
    <row r="364">
      <c r="A364" t="inlineStr">
        <is>
          <t>50 Eastcastle Street</t>
        </is>
      </c>
      <c r="B364" s="838" t="n"/>
      <c r="C364" s="839" t="inlineStr">
        <is>
          <t>JM</t>
        </is>
      </c>
      <c r="D364" s="839" t="inlineStr">
        <is>
          <t>MEL</t>
        </is>
      </c>
      <c r="E364" s="838" t="n">
        <v>100650</v>
      </c>
      <c r="F364" s="840" t="inlineStr">
        <is>
          <t>50-60 Eastcastle Street</t>
        </is>
      </c>
      <c r="G364" s="840" t="inlineStr">
        <is>
          <t>Third Floor (350)</t>
        </is>
      </c>
      <c r="H364" s="841" t="inlineStr">
        <is>
          <t>Office</t>
        </is>
      </c>
      <c r="I364" s="848" t="n">
        <v>489</v>
      </c>
      <c r="J364" s="848">
        <f>I364</f>
        <v/>
      </c>
      <c r="K364" s="848" t="n">
        <v>500</v>
      </c>
      <c r="L364" s="840" t="inlineStr">
        <is>
          <t>Jewells Retail Ltd</t>
        </is>
      </c>
      <c r="M364" s="843" t="n">
        <v>45770</v>
      </c>
      <c r="N364" s="844" t="n">
        <v>46088</v>
      </c>
      <c r="O364" s="844" t="n"/>
      <c r="R364" s="842" t="n">
        <v>36529</v>
      </c>
      <c r="S364" s="842">
        <f>R364</f>
        <v/>
      </c>
      <c r="U364" s="842" t="n">
        <v>28100</v>
      </c>
      <c r="V364" s="842">
        <f>U364</f>
        <v/>
      </c>
      <c r="W364" s="842" t="n">
        <v>28100</v>
      </c>
      <c r="X364" s="842">
        <f>W364</f>
        <v/>
      </c>
      <c r="Y364" s="845">
        <f>W364/I364</f>
        <v/>
      </c>
      <c r="Z364" s="846">
        <f>SUM(W364-U364)/U364</f>
        <v/>
      </c>
      <c r="AA364" s="842" t="inlineStr">
        <is>
          <t>E</t>
        </is>
      </c>
      <c r="AB364" s="590" t="n"/>
      <c r="AC364" s="854" t="n"/>
      <c r="AD364" s="841" t="inlineStr">
        <is>
          <t>No</t>
        </is>
      </c>
      <c r="AE364" s="840" t="inlineStr">
        <is>
          <t>Rent inclusive of service charge and insurance.</t>
        </is>
      </c>
      <c r="AH364" s="312" t="n"/>
      <c r="AJ364" t="inlineStr">
        <is>
          <t>Let</t>
        </is>
      </c>
    </row>
    <row r="365">
      <c r="A365" t="inlineStr">
        <is>
          <t>50 Eastcastle Street</t>
        </is>
      </c>
      <c r="B365" s="838" t="n"/>
      <c r="C365" s="839" t="inlineStr">
        <is>
          <t>JM</t>
        </is>
      </c>
      <c r="D365" s="839" t="inlineStr">
        <is>
          <t>MEL</t>
        </is>
      </c>
      <c r="E365" s="838" t="n">
        <v>100650</v>
      </c>
      <c r="F365" s="840" t="inlineStr">
        <is>
          <t>50-60 Eastcastle Street</t>
        </is>
      </c>
      <c r="G365" s="840" t="inlineStr">
        <is>
          <t>Third Floor (360 &amp; 365)</t>
        </is>
      </c>
      <c r="H365" s="841" t="inlineStr">
        <is>
          <t>Office</t>
        </is>
      </c>
      <c r="I365" s="848" t="n">
        <v>3558</v>
      </c>
      <c r="J365" s="848">
        <f>I365</f>
        <v/>
      </c>
      <c r="K365" s="848" t="n">
        <v>3500</v>
      </c>
      <c r="L365" s="840" t="inlineStr">
        <is>
          <t>TGR1.618 Limited</t>
        </is>
      </c>
      <c r="M365" s="843" t="n">
        <v>45072</v>
      </c>
      <c r="N365" s="844" t="n">
        <v>46898</v>
      </c>
      <c r="Q365" s="844" t="n">
        <v>46167</v>
      </c>
      <c r="R365" s="842" t="n">
        <v>202920</v>
      </c>
      <c r="S365" s="842">
        <f>R365</f>
        <v/>
      </c>
      <c r="U365" s="842" t="n">
        <v>204600</v>
      </c>
      <c r="V365" s="842">
        <f>U365</f>
        <v/>
      </c>
      <c r="W365" s="842" t="n">
        <v>204600</v>
      </c>
      <c r="X365" s="842">
        <f>W365</f>
        <v/>
      </c>
      <c r="Y365" s="845">
        <f>W365/I365</f>
        <v/>
      </c>
      <c r="Z365" s="846">
        <f>SUM(W365-U365)/U365</f>
        <v/>
      </c>
      <c r="AA365" s="842" t="inlineStr">
        <is>
          <t>D</t>
        </is>
      </c>
      <c r="AB365" s="590" t="n"/>
      <c r="AC365" s="854" t="n"/>
      <c r="AD365" s="841" t="inlineStr">
        <is>
          <t>No</t>
        </is>
      </c>
      <c r="AE365" s="840" t="inlineStr">
        <is>
          <t>Tenant break on 6 months notice. 2 months rent free if not exercised.</t>
        </is>
      </c>
      <c r="AH365" s="312" t="n"/>
      <c r="AJ365" t="inlineStr">
        <is>
          <t>Let</t>
        </is>
      </c>
    </row>
    <row r="366">
      <c r="A366" t="inlineStr">
        <is>
          <t>50 Eastcastle Street</t>
        </is>
      </c>
      <c r="B366" s="838" t="n"/>
      <c r="C366" s="839" t="inlineStr">
        <is>
          <t>JM</t>
        </is>
      </c>
      <c r="D366" s="839" t="inlineStr">
        <is>
          <t>MEL</t>
        </is>
      </c>
      <c r="E366" s="838" t="n">
        <v>100650</v>
      </c>
      <c r="F366" s="840" t="inlineStr">
        <is>
          <t>50-60 Eastcastle Street</t>
        </is>
      </c>
      <c r="G366" s="840" t="inlineStr">
        <is>
          <t>Third Floor (395)</t>
        </is>
      </c>
      <c r="H366" s="841" t="inlineStr">
        <is>
          <t>Office</t>
        </is>
      </c>
      <c r="I366" s="848" t="n">
        <v>3500</v>
      </c>
      <c r="J366" s="848">
        <f>I366</f>
        <v/>
      </c>
      <c r="K366" s="848" t="n">
        <v>3500</v>
      </c>
      <c r="L366" s="840" t="inlineStr">
        <is>
          <t>Pixi Limited</t>
        </is>
      </c>
      <c r="M366" s="843" t="n">
        <v>44879</v>
      </c>
      <c r="N366" s="844" t="n">
        <v>46704</v>
      </c>
      <c r="R366" s="842" t="n">
        <v>200000</v>
      </c>
      <c r="S366" s="842">
        <f>R366</f>
        <v/>
      </c>
      <c r="U366" s="842" t="n">
        <v>201300</v>
      </c>
      <c r="V366" s="842">
        <f>U366</f>
        <v/>
      </c>
      <c r="W366" s="842" t="n">
        <v>201300</v>
      </c>
      <c r="X366" s="842">
        <f>W366</f>
        <v/>
      </c>
      <c r="Y366" s="845">
        <f>W366/I366</f>
        <v/>
      </c>
      <c r="Z366" s="846">
        <f>SUM(W366-U366)/U366</f>
        <v/>
      </c>
      <c r="AA366" s="842" t="inlineStr">
        <is>
          <t>D</t>
        </is>
      </c>
      <c r="AB366" s="590" t="n"/>
      <c r="AC366" s="854" t="n"/>
      <c r="AD366" s="841" t="inlineStr">
        <is>
          <t>No</t>
        </is>
      </c>
      <c r="AH366" s="312" t="n"/>
      <c r="AJ366" t="inlineStr">
        <is>
          <t>Let</t>
        </is>
      </c>
    </row>
    <row r="367">
      <c r="A367" t="inlineStr">
        <is>
          <t>50 Eastcastle Street</t>
        </is>
      </c>
      <c r="B367" s="838" t="n"/>
      <c r="C367" s="839" t="inlineStr">
        <is>
          <t>JM</t>
        </is>
      </c>
      <c r="D367" s="839" t="inlineStr">
        <is>
          <t>MEL</t>
        </is>
      </c>
      <c r="E367" s="838" t="n">
        <v>100650</v>
      </c>
      <c r="F367" s="840" t="inlineStr">
        <is>
          <t>50-60 Eastcastle Street</t>
        </is>
      </c>
      <c r="G367" s="840" t="inlineStr">
        <is>
          <t>Third Floor (398)</t>
        </is>
      </c>
      <c r="H367" s="841" t="inlineStr">
        <is>
          <t>Office</t>
        </is>
      </c>
      <c r="I367" s="848" t="n">
        <v>416</v>
      </c>
      <c r="J367" s="848">
        <f>I367</f>
        <v/>
      </c>
      <c r="K367" s="848" t="n">
        <v>500</v>
      </c>
      <c r="L367" s="840" t="inlineStr">
        <is>
          <t>Pixi Limited</t>
        </is>
      </c>
      <c r="M367" s="843" t="n">
        <v>45701</v>
      </c>
      <c r="N367" s="844" t="n">
        <v>46704</v>
      </c>
      <c r="R367" s="842" t="n">
        <v>15000</v>
      </c>
      <c r="S367" s="842">
        <f>R367</f>
        <v/>
      </c>
      <c r="U367" s="842" t="n">
        <v>23900</v>
      </c>
      <c r="V367" s="842">
        <f>U367</f>
        <v/>
      </c>
      <c r="W367" s="842" t="n">
        <v>23900</v>
      </c>
      <c r="X367" s="842">
        <f>W367</f>
        <v/>
      </c>
      <c r="Y367" s="845">
        <f>W367/I367</f>
        <v/>
      </c>
      <c r="Z367" s="846">
        <f>SUM(W367-U367)/U367</f>
        <v/>
      </c>
      <c r="AA367" s="842" t="inlineStr">
        <is>
          <t>E</t>
        </is>
      </c>
      <c r="AB367" s="590" t="n"/>
      <c r="AC367" s="854" t="n"/>
      <c r="AD367" s="841" t="inlineStr">
        <is>
          <t>No</t>
        </is>
      </c>
      <c r="AE367" s="840" t="inlineStr">
        <is>
          <t>Rolling tenant break on 6 months notice.</t>
        </is>
      </c>
      <c r="AH367" s="312" t="n"/>
      <c r="AJ367" t="inlineStr">
        <is>
          <t>Let</t>
        </is>
      </c>
    </row>
    <row r="368">
      <c r="A368" t="inlineStr">
        <is>
          <t>50 Eastcastle Street</t>
        </is>
      </c>
      <c r="B368" s="838" t="n"/>
      <c r="C368" s="839" t="inlineStr">
        <is>
          <t>JM</t>
        </is>
      </c>
      <c r="D368" s="839" t="inlineStr">
        <is>
          <t>MEL</t>
        </is>
      </c>
      <c r="E368" s="838" t="n">
        <v>100650</v>
      </c>
      <c r="F368" s="840" t="inlineStr">
        <is>
          <t>50-60 Eastcastle Street</t>
        </is>
      </c>
      <c r="G368" s="840" t="inlineStr">
        <is>
          <t>Third Floor (396)</t>
        </is>
      </c>
      <c r="H368" s="841" t="inlineStr">
        <is>
          <t>Showroom/ Office</t>
        </is>
      </c>
      <c r="I368" s="848" t="n">
        <v>1400</v>
      </c>
      <c r="J368" s="848">
        <f>I368</f>
        <v/>
      </c>
      <c r="K368" s="848" t="n">
        <v>1500</v>
      </c>
      <c r="L368" s="840" t="inlineStr">
        <is>
          <t>Lovisa UK Ltd</t>
        </is>
      </c>
      <c r="M368" s="843" t="n">
        <v>45359</v>
      </c>
      <c r="N368" s="844" t="n">
        <v>46088</v>
      </c>
      <c r="R368" s="842" t="n">
        <v>81900</v>
      </c>
      <c r="S368" s="842">
        <f>R368</f>
        <v/>
      </c>
      <c r="U368" s="842" t="n">
        <v>80500</v>
      </c>
      <c r="V368" s="842">
        <f>U368</f>
        <v/>
      </c>
      <c r="W368" s="842" t="n">
        <v>80500</v>
      </c>
      <c r="X368" s="842">
        <f>W368</f>
        <v/>
      </c>
      <c r="Y368" s="845">
        <f>W368/I368</f>
        <v/>
      </c>
      <c r="Z368" s="846">
        <f>SUM(W368-U368)/U368</f>
        <v/>
      </c>
      <c r="AA368" s="842" t="inlineStr">
        <is>
          <t>E</t>
        </is>
      </c>
      <c r="AB368" s="590" t="n"/>
      <c r="AC368" s="854" t="n"/>
      <c r="AD368" s="841" t="inlineStr">
        <is>
          <t>No</t>
        </is>
      </c>
      <c r="AH368" s="312" t="n"/>
      <c r="AJ368" t="inlineStr">
        <is>
          <t>Let</t>
        </is>
      </c>
    </row>
    <row r="369">
      <c r="A369" t="inlineStr">
        <is>
          <t>50 Eastcastle Street</t>
        </is>
      </c>
      <c r="B369" s="838" t="n"/>
      <c r="C369" s="839" t="inlineStr">
        <is>
          <t>JM</t>
        </is>
      </c>
      <c r="D369" s="839" t="inlineStr">
        <is>
          <t>MEL</t>
        </is>
      </c>
      <c r="E369" s="838" t="n">
        <v>100650</v>
      </c>
      <c r="F369" s="840" t="inlineStr">
        <is>
          <t>50-60 Eastcastle Street</t>
        </is>
      </c>
      <c r="G369" s="840" t="inlineStr">
        <is>
          <t>Third Floor (375 &amp; 380)</t>
        </is>
      </c>
      <c r="H369" s="841" t="inlineStr">
        <is>
          <t>Showroom/ Office</t>
        </is>
      </c>
      <c r="I369" s="848" t="n">
        <v>1277</v>
      </c>
      <c r="J369" s="848">
        <f>I369</f>
        <v/>
      </c>
      <c r="K369" s="848" t="n">
        <v>750</v>
      </c>
      <c r="L369" s="840" t="inlineStr">
        <is>
          <t>Jewells Retail Ltd</t>
        </is>
      </c>
      <c r="M369" s="843" t="n">
        <v>45714</v>
      </c>
      <c r="N369" s="844" t="n">
        <v>46088</v>
      </c>
      <c r="R369" s="842" t="n">
        <v>95395</v>
      </c>
      <c r="S369" s="842">
        <f>R369</f>
        <v/>
      </c>
      <c r="U369" s="842" t="n">
        <v>73400</v>
      </c>
      <c r="V369" s="842">
        <f>U369</f>
        <v/>
      </c>
      <c r="W369" s="842" t="n">
        <v>73400</v>
      </c>
      <c r="X369" s="842">
        <f>W369</f>
        <v/>
      </c>
      <c r="Y369" s="845">
        <f>W369/I369</f>
        <v/>
      </c>
      <c r="Z369" s="846">
        <f>SUM(W369-U369)/U369</f>
        <v/>
      </c>
      <c r="AA369" s="842" t="inlineStr">
        <is>
          <t>E</t>
        </is>
      </c>
      <c r="AB369" s="590" t="n"/>
      <c r="AC369" s="854" t="n"/>
      <c r="AD369" s="841" t="inlineStr">
        <is>
          <t>No</t>
        </is>
      </c>
      <c r="AE369" s="840" t="inlineStr">
        <is>
          <t>Rent all inclusive (excluding rates).</t>
        </is>
      </c>
      <c r="AG369" s="840" t="n">
        <v>1</v>
      </c>
      <c r="AH369" s="312" t="n">
        <v>3</v>
      </c>
      <c r="AI369" s="840" t="inlineStr">
        <is>
          <t>LEM</t>
        </is>
      </c>
      <c r="AJ369" t="inlineStr">
        <is>
          <t>Let</t>
        </is>
      </c>
    </row>
    <row r="370">
      <c r="A370" t="inlineStr">
        <is>
          <t>50 Eastcastle Street</t>
        </is>
      </c>
      <c r="B370" s="838" t="n"/>
      <c r="C370" s="839" t="inlineStr">
        <is>
          <t>JM</t>
        </is>
      </c>
      <c r="D370" s="839" t="inlineStr">
        <is>
          <t>MEL</t>
        </is>
      </c>
      <c r="E370" s="838" t="n">
        <v>100650</v>
      </c>
      <c r="F370" s="840" t="inlineStr">
        <is>
          <t>50-60 Eastcastle Street</t>
        </is>
      </c>
      <c r="G370" s="840" t="inlineStr">
        <is>
          <t>Winsley St. Sub-station (N)</t>
        </is>
      </c>
      <c r="H370" s="841" t="inlineStr">
        <is>
          <t>Plant Room</t>
        </is>
      </c>
      <c r="I370" s="848" t="n">
        <v>0</v>
      </c>
      <c r="J370" s="848">
        <f>I370</f>
        <v/>
      </c>
      <c r="L370" s="840" t="inlineStr">
        <is>
          <t>London Power Networks Plc</t>
        </is>
      </c>
      <c r="M370" s="843" t="n">
        <v>39295</v>
      </c>
      <c r="N370" s="844" t="n">
        <v>46599</v>
      </c>
      <c r="P370" s="844" t="n">
        <v>44409</v>
      </c>
      <c r="R370" s="842" t="n">
        <v>681</v>
      </c>
      <c r="S370" s="842">
        <f>R370</f>
        <v/>
      </c>
      <c r="U370" s="842" t="n">
        <v>700</v>
      </c>
      <c r="V370" s="842">
        <f>U370</f>
        <v/>
      </c>
      <c r="W370" s="842" t="n">
        <v>700</v>
      </c>
      <c r="X370" s="842">
        <f>W370</f>
        <v/>
      </c>
      <c r="Y370" s="845" t="n"/>
      <c r="Z370" s="846" t="n"/>
      <c r="AA370" s="842" t="n"/>
      <c r="AB370" s="590" t="n"/>
      <c r="AC370" s="854" t="n"/>
      <c r="AD370" s="841" t="inlineStr">
        <is>
          <t>No</t>
        </is>
      </c>
      <c r="AE370" s="840" t="inlineStr">
        <is>
          <t xml:space="preserve">Landlords redevelopment break on 6 months notice. Rent review is RPI indexation. </t>
        </is>
      </c>
      <c r="AH370" s="312" t="n"/>
      <c r="AJ370" t="inlineStr">
        <is>
          <t>Let</t>
        </is>
      </c>
    </row>
    <row r="371">
      <c r="A371" t="inlineStr">
        <is>
          <t>50 Eastcastle Street</t>
        </is>
      </c>
      <c r="B371" s="838" t="n"/>
      <c r="C371" s="839" t="inlineStr">
        <is>
          <t>JM</t>
        </is>
      </c>
      <c r="D371" s="839" t="inlineStr">
        <is>
          <t>MEL</t>
        </is>
      </c>
      <c r="E371" s="838" t="n">
        <v>100650</v>
      </c>
      <c r="F371" s="840" t="inlineStr">
        <is>
          <t>50-60 Eastcastle Street</t>
        </is>
      </c>
      <c r="G371" s="840" t="inlineStr">
        <is>
          <t>Winsley St. Sub-station (S)</t>
        </is>
      </c>
      <c r="H371" s="841" t="inlineStr">
        <is>
          <t>Plant Room</t>
        </is>
      </c>
      <c r="I371" s="848" t="n">
        <v>0</v>
      </c>
      <c r="J371" s="848">
        <f>I371</f>
        <v/>
      </c>
      <c r="L371" s="840" t="inlineStr">
        <is>
          <t>London Power Networks Plc</t>
        </is>
      </c>
      <c r="M371" s="843" t="n">
        <v>39295</v>
      </c>
      <c r="N371" s="844" t="n">
        <v>46599</v>
      </c>
      <c r="P371" s="844" t="n">
        <v>44409</v>
      </c>
      <c r="R371" s="842" t="n">
        <v>681</v>
      </c>
      <c r="S371" s="842">
        <f>R371</f>
        <v/>
      </c>
      <c r="U371" s="842" t="n">
        <v>700</v>
      </c>
      <c r="V371" s="842">
        <f>U371</f>
        <v/>
      </c>
      <c r="W371" s="842" t="n">
        <v>700</v>
      </c>
      <c r="X371" s="842">
        <f>W371</f>
        <v/>
      </c>
      <c r="Y371" s="845" t="n"/>
      <c r="Z371" s="846" t="n"/>
      <c r="AA371" s="842" t="n"/>
      <c r="AB371" s="590" t="n"/>
      <c r="AC371" s="854" t="n"/>
      <c r="AD371" s="841" t="inlineStr">
        <is>
          <t>No</t>
        </is>
      </c>
      <c r="AE371" s="840" t="inlineStr">
        <is>
          <t xml:space="preserve">Landlords redevelopment break on 6 months notice. Rent review is RPI indexation. </t>
        </is>
      </c>
      <c r="AH371" s="312" t="n"/>
      <c r="AJ371" t="inlineStr">
        <is>
          <t>Let</t>
        </is>
      </c>
    </row>
    <row r="372">
      <c r="A372" t="inlineStr">
        <is>
          <t>Mappin House, 156-162 Oxford Street</t>
        </is>
      </c>
      <c r="B372" s="838" t="n"/>
      <c r="C372" s="839" t="inlineStr">
        <is>
          <t>JM</t>
        </is>
      </c>
      <c r="D372" s="839" t="inlineStr">
        <is>
          <t>MEL</t>
        </is>
      </c>
      <c r="E372" s="838" t="n">
        <v>100680</v>
      </c>
      <c r="F372" s="840" t="inlineStr">
        <is>
          <t>Mappin House, 156-162 Oxford Street</t>
        </is>
      </c>
      <c r="G372" s="840" t="inlineStr">
        <is>
          <t>Part Basement</t>
        </is>
      </c>
      <c r="H372" s="841" t="inlineStr">
        <is>
          <t>Storage</t>
        </is>
      </c>
      <c r="I372" s="839" t="n">
        <v>0</v>
      </c>
      <c r="J372" s="848">
        <f>I372</f>
        <v/>
      </c>
      <c r="L372" s="840" t="inlineStr">
        <is>
          <t>Vincere NK Group Ltd</t>
        </is>
      </c>
      <c r="M372" s="843" t="n">
        <v>44736</v>
      </c>
      <c r="N372" s="844" t="n">
        <v>46657</v>
      </c>
      <c r="R372" s="842" t="n">
        <v>1000</v>
      </c>
      <c r="S372" s="842">
        <f>R372</f>
        <v/>
      </c>
      <c r="U372" s="842" t="n">
        <v>1000</v>
      </c>
      <c r="V372" s="842">
        <f>U372</f>
        <v/>
      </c>
      <c r="W372" s="842" t="n">
        <v>0</v>
      </c>
      <c r="X372" s="842">
        <f>W372</f>
        <v/>
      </c>
      <c r="Y372" s="845" t="n"/>
      <c r="Z372" s="846" t="n"/>
      <c r="AA372" s="842" t="n"/>
      <c r="AB372" s="590" t="n"/>
      <c r="AC372" s="847" t="n"/>
      <c r="AD372" s="841" t="inlineStr">
        <is>
          <t>No</t>
        </is>
      </c>
      <c r="AE372" s="840" t="inlineStr">
        <is>
          <t>Landlord can terminate on 1 months notice.</t>
        </is>
      </c>
      <c r="AH372" s="312" t="n"/>
      <c r="AJ372" t="inlineStr">
        <is>
          <t>Let</t>
        </is>
      </c>
    </row>
    <row r="373">
      <c r="A373" t="inlineStr">
        <is>
          <t>Mappin House, 156-162 Oxford Street</t>
        </is>
      </c>
      <c r="B373" s="838" t="n"/>
      <c r="C373" s="839" t="inlineStr">
        <is>
          <t>JM</t>
        </is>
      </c>
      <c r="D373" s="839" t="inlineStr">
        <is>
          <t>MEL</t>
        </is>
      </c>
      <c r="E373" s="838" t="n">
        <v>100680</v>
      </c>
      <c r="F373" s="840" t="inlineStr">
        <is>
          <t>Mappin House, 156-162 Oxford Street</t>
        </is>
      </c>
      <c r="G373" s="840" t="inlineStr">
        <is>
          <t>Ground Floor &amp; Basement                           Winsley Street</t>
        </is>
      </c>
      <c r="H373" s="841" t="inlineStr">
        <is>
          <t>Nightclub</t>
        </is>
      </c>
      <c r="I373" s="848" t="n">
        <v>7079</v>
      </c>
      <c r="J373" s="848">
        <f>I373</f>
        <v/>
      </c>
      <c r="K373" s="848" t="n">
        <v>7000</v>
      </c>
      <c r="L373" s="840" t="inlineStr">
        <is>
          <t>Vincere NK Group Ltd</t>
        </is>
      </c>
      <c r="M373" s="843" t="n">
        <v>41180</v>
      </c>
      <c r="N373" s="844" t="n">
        <v>46657</v>
      </c>
      <c r="R373" s="842" t="n">
        <v>425033</v>
      </c>
      <c r="S373" s="842">
        <f>R373</f>
        <v/>
      </c>
      <c r="U373" s="842" t="n">
        <v>447350</v>
      </c>
      <c r="V373" s="842">
        <f>U373</f>
        <v/>
      </c>
      <c r="W373" s="842" t="n">
        <v>360100</v>
      </c>
      <c r="X373" s="842">
        <f>W373</f>
        <v/>
      </c>
      <c r="Y373" s="845">
        <f>W373/I373</f>
        <v/>
      </c>
      <c r="Z373" s="846">
        <f>SUM(W373-U373)/U373</f>
        <v/>
      </c>
      <c r="AA373" s="842" t="inlineStr">
        <is>
          <t>B</t>
        </is>
      </c>
      <c r="AB373" s="590" t="n"/>
      <c r="AC373" s="854" t="n"/>
      <c r="AD373" s="841" t="inlineStr">
        <is>
          <t>Yes</t>
        </is>
      </c>
      <c r="AH373" s="312" t="n"/>
      <c r="AJ373" t="inlineStr">
        <is>
          <t>Let</t>
        </is>
      </c>
    </row>
    <row r="374">
      <c r="A374" t="inlineStr">
        <is>
          <t>Mappin House, 156-162 Oxford Street</t>
        </is>
      </c>
      <c r="B374" s="838" t="n"/>
      <c r="C374" s="839" t="inlineStr">
        <is>
          <t>JM</t>
        </is>
      </c>
      <c r="D374" s="839" t="inlineStr">
        <is>
          <t>MEL</t>
        </is>
      </c>
      <c r="E374" s="838" t="n">
        <v>100680</v>
      </c>
      <c r="F374" s="840" t="inlineStr">
        <is>
          <t>Mappin House, 156-162 Oxford Street</t>
        </is>
      </c>
      <c r="G374" s="840" t="inlineStr">
        <is>
          <t>Basement - 158 Oxford Street</t>
        </is>
      </c>
      <c r="H374" s="841" t="inlineStr">
        <is>
          <t>Storage</t>
        </is>
      </c>
      <c r="I374" s="848" t="n">
        <v>0</v>
      </c>
      <c r="J374" s="848">
        <f>I374</f>
        <v/>
      </c>
      <c r="L374" s="840" t="inlineStr">
        <is>
          <t>Vincere NK Group Ltd</t>
        </is>
      </c>
      <c r="M374" s="843" t="n">
        <v>42114</v>
      </c>
      <c r="N374" s="844" t="n">
        <v>46657</v>
      </c>
      <c r="R374" s="842" t="n">
        <v>22317</v>
      </c>
      <c r="S374" s="842">
        <f>R374</f>
        <v/>
      </c>
      <c r="U374" s="842" t="n">
        <v>21000</v>
      </c>
      <c r="V374" s="842">
        <f>U374</f>
        <v/>
      </c>
      <c r="W374" s="842" t="n">
        <v>0</v>
      </c>
      <c r="X374" s="842">
        <f>W374</f>
        <v/>
      </c>
      <c r="Y374" s="845" t="n"/>
      <c r="Z374" s="846" t="n"/>
      <c r="AA374" s="842" t="n"/>
      <c r="AB374" s="590" t="n"/>
      <c r="AC374" s="854" t="n"/>
      <c r="AD374" s="841" t="inlineStr">
        <is>
          <t>No</t>
        </is>
      </c>
      <c r="AH374" s="312" t="n"/>
      <c r="AJ374" t="inlineStr">
        <is>
          <t>Let</t>
        </is>
      </c>
    </row>
    <row r="375">
      <c r="A375" t="inlineStr">
        <is>
          <t>Mappin House, 156-162 Oxford Street</t>
        </is>
      </c>
      <c r="B375" s="838" t="n"/>
      <c r="C375" s="839" t="inlineStr">
        <is>
          <t>JM</t>
        </is>
      </c>
      <c r="D375" s="839" t="inlineStr">
        <is>
          <t>MEL</t>
        </is>
      </c>
      <c r="E375" s="838" t="n">
        <v>100680</v>
      </c>
      <c r="F375" s="840" t="inlineStr">
        <is>
          <t>Mappin House, 156-162 Oxford Street</t>
        </is>
      </c>
      <c r="G375" s="840" t="inlineStr">
        <is>
          <t>Ground Floor &amp; Basement                           162 Oxford Street</t>
        </is>
      </c>
      <c r="H375" s="839" t="inlineStr">
        <is>
          <t>Retail</t>
        </is>
      </c>
      <c r="I375" s="848" t="n">
        <v>3030</v>
      </c>
      <c r="J375" s="848">
        <f>I375</f>
        <v/>
      </c>
      <c r="K375" s="848" t="n">
        <v>3000</v>
      </c>
      <c r="L375" s="840" t="inlineStr">
        <is>
          <t>Dune Group Ltd.</t>
        </is>
      </c>
      <c r="M375" s="843" t="n">
        <v>45711</v>
      </c>
      <c r="N375" s="844" t="n">
        <v>49362</v>
      </c>
      <c r="R375" s="617" t="n">
        <v>500000</v>
      </c>
      <c r="S375" s="842">
        <f>R375</f>
        <v/>
      </c>
      <c r="U375" s="842" t="n">
        <v>393300</v>
      </c>
      <c r="V375" s="842">
        <f>U375</f>
        <v/>
      </c>
      <c r="W375" s="842" t="n">
        <v>500000</v>
      </c>
      <c r="X375" s="842">
        <f>W375</f>
        <v/>
      </c>
      <c r="Y375" s="845">
        <f>W375/I375</f>
        <v/>
      </c>
      <c r="Z375" s="846">
        <f>SUM(W375-U375)/U375</f>
        <v/>
      </c>
      <c r="AA375" s="842" t="inlineStr">
        <is>
          <t>C</t>
        </is>
      </c>
      <c r="AB375" s="590" t="n"/>
      <c r="AC375" s="854" t="n"/>
      <c r="AD375" s="841" t="inlineStr">
        <is>
          <t>No</t>
        </is>
      </c>
      <c r="AE375" s="840" t="inlineStr">
        <is>
          <t>Tenant break on 6 months notice.</t>
        </is>
      </c>
      <c r="AF375" s="849" t="n"/>
      <c r="AG375" s="840" t="n"/>
      <c r="AH375" s="312" t="n"/>
      <c r="AI375" s="840" t="n"/>
      <c r="AJ375" t="inlineStr">
        <is>
          <t>Let</t>
        </is>
      </c>
    </row>
    <row r="376">
      <c r="A376" t="inlineStr">
        <is>
          <t>Mappin House, 156-162 Oxford Street</t>
        </is>
      </c>
      <c r="B376" s="838" t="n"/>
      <c r="C376" s="839" t="inlineStr">
        <is>
          <t>JM</t>
        </is>
      </c>
      <c r="D376" s="839" t="inlineStr">
        <is>
          <t>MEL</t>
        </is>
      </c>
      <c r="E376" s="838" t="n">
        <v>100680</v>
      </c>
      <c r="F376" s="840" t="inlineStr">
        <is>
          <t>Mappin House, 156-162 Oxford Street</t>
        </is>
      </c>
      <c r="G376" s="840" t="inlineStr">
        <is>
          <t>Ground Floor - 160 Oxford Street</t>
        </is>
      </c>
      <c r="H376" s="841" t="inlineStr">
        <is>
          <t>Retail</t>
        </is>
      </c>
      <c r="I376" s="848" t="n">
        <v>1296</v>
      </c>
      <c r="J376" s="848">
        <f>I376</f>
        <v/>
      </c>
      <c r="K376" s="848" t="n">
        <v>1250</v>
      </c>
      <c r="L376" s="840" t="inlineStr">
        <is>
          <t>Hutchison 3 G UK Ltd</t>
        </is>
      </c>
      <c r="M376" s="843" t="n">
        <v>44908</v>
      </c>
      <c r="N376" s="844" t="n">
        <v>46003</v>
      </c>
      <c r="R376" s="842" t="n">
        <v>295000</v>
      </c>
      <c r="S376" s="842">
        <f>R376</f>
        <v/>
      </c>
      <c r="U376" s="842" t="n">
        <v>275300</v>
      </c>
      <c r="V376" s="842">
        <f>U376</f>
        <v/>
      </c>
      <c r="W376" s="842" t="n">
        <v>333100</v>
      </c>
      <c r="X376" s="842">
        <f>W376</f>
        <v/>
      </c>
      <c r="Y376" s="845">
        <f>W376/I376</f>
        <v/>
      </c>
      <c r="Z376" s="846">
        <f>SUM(W376-U376)/U376</f>
        <v/>
      </c>
      <c r="AA376" s="842" t="inlineStr">
        <is>
          <t>B</t>
        </is>
      </c>
      <c r="AB376" s="590" t="n"/>
      <c r="AC376" s="854" t="n"/>
      <c r="AD376" s="841" t="inlineStr">
        <is>
          <t>No</t>
        </is>
      </c>
      <c r="AE376" s="840" t="n"/>
      <c r="AF376" s="849" t="n"/>
      <c r="AG376" s="840" t="n"/>
      <c r="AH376" s="312" t="n"/>
      <c r="AI376" s="840" t="n"/>
      <c r="AJ376" t="inlineStr">
        <is>
          <t>Let</t>
        </is>
      </c>
    </row>
    <row r="377">
      <c r="A377" t="inlineStr">
        <is>
          <t>Mappin House, 156-162 Oxford Street</t>
        </is>
      </c>
      <c r="B377" s="838" t="n"/>
      <c r="C377" s="839" t="inlineStr">
        <is>
          <t>JM</t>
        </is>
      </c>
      <c r="D377" s="839" t="inlineStr">
        <is>
          <t>MEL</t>
        </is>
      </c>
      <c r="E377" s="838" t="n">
        <v>100680</v>
      </c>
      <c r="F377" s="840" t="inlineStr">
        <is>
          <t>Mappin House, 156-162 Oxford Street</t>
        </is>
      </c>
      <c r="G377" s="840" t="inlineStr">
        <is>
          <t>Ground Floor - 158 Oxford Street</t>
        </is>
      </c>
      <c r="H377" s="841" t="inlineStr">
        <is>
          <t>Retail</t>
        </is>
      </c>
      <c r="I377" s="848" t="n">
        <v>1690</v>
      </c>
      <c r="J377" s="848">
        <f>I377</f>
        <v/>
      </c>
      <c r="K377" s="848" t="n">
        <v>1500</v>
      </c>
      <c r="L377" s="840" t="inlineStr">
        <is>
          <t>VF Northern Europe Services Ltd</t>
        </is>
      </c>
      <c r="M377" s="843" t="n">
        <v>42388</v>
      </c>
      <c r="N377" s="844" t="n">
        <v>46040</v>
      </c>
      <c r="R377" s="842" t="n">
        <v>500000</v>
      </c>
      <c r="S377" s="842">
        <f>R377</f>
        <v/>
      </c>
      <c r="U377" s="842" t="n">
        <v>337700</v>
      </c>
      <c r="V377" s="842">
        <f>U377</f>
        <v/>
      </c>
      <c r="W377" s="842" t="n">
        <v>415900</v>
      </c>
      <c r="X377" s="842">
        <f>W377</f>
        <v/>
      </c>
      <c r="Y377" s="845">
        <f>W377/I377</f>
        <v/>
      </c>
      <c r="Z377" s="846">
        <f>SUM(W377-U377)/U377</f>
        <v/>
      </c>
      <c r="AA377" s="842" t="inlineStr">
        <is>
          <t>B</t>
        </is>
      </c>
      <c r="AB377" s="590" t="n"/>
      <c r="AC377" s="854" t="n"/>
      <c r="AD377" s="841" t="inlineStr">
        <is>
          <t>No</t>
        </is>
      </c>
      <c r="AH377" s="312" t="n"/>
      <c r="AJ377" t="inlineStr">
        <is>
          <t>Let</t>
        </is>
      </c>
    </row>
    <row r="378">
      <c r="A378" t="inlineStr">
        <is>
          <t>Mappin House, 156-162 Oxford Street</t>
        </is>
      </c>
      <c r="B378" s="838" t="n"/>
      <c r="C378" s="839" t="inlineStr">
        <is>
          <t>JM</t>
        </is>
      </c>
      <c r="D378" s="839" t="inlineStr">
        <is>
          <t>MEL</t>
        </is>
      </c>
      <c r="E378" s="838" t="n">
        <v>100680</v>
      </c>
      <c r="F378" s="840" t="inlineStr">
        <is>
          <t>Mappin House, 156-162 Oxford Street</t>
        </is>
      </c>
      <c r="G378" s="840" t="inlineStr">
        <is>
          <t>Ground Floor - 156 Oxford Street</t>
        </is>
      </c>
      <c r="H378" s="841" t="inlineStr">
        <is>
          <t>Retail</t>
        </is>
      </c>
      <c r="I378" s="848" t="n">
        <v>2304</v>
      </c>
      <c r="J378" s="848">
        <f>I378</f>
        <v/>
      </c>
      <c r="K378" s="848" t="n">
        <v>2250</v>
      </c>
      <c r="L378" s="840" t="inlineStr">
        <is>
          <t>Hawes &amp; Curtis Ltd</t>
        </is>
      </c>
      <c r="M378" s="628" t="n">
        <v>45748</v>
      </c>
      <c r="R378" s="617" t="n">
        <v>255000</v>
      </c>
      <c r="S378" s="842">
        <f>R378</f>
        <v/>
      </c>
      <c r="U378" s="842" t="n">
        <v>371300</v>
      </c>
      <c r="V378" s="842">
        <f>U378</f>
        <v/>
      </c>
      <c r="W378" s="842" t="n">
        <v>426800</v>
      </c>
      <c r="X378" s="842">
        <f>W378</f>
        <v/>
      </c>
      <c r="Y378" s="845">
        <f>W378/I378</f>
        <v/>
      </c>
      <c r="Z378" s="846">
        <f>SUM(W378-U378)/U378</f>
        <v/>
      </c>
      <c r="AA378" s="842" t="inlineStr">
        <is>
          <t>C</t>
        </is>
      </c>
      <c r="AB378" s="590" t="n"/>
      <c r="AC378" s="854" t="n"/>
      <c r="AD378" s="841" t="inlineStr">
        <is>
          <t>No</t>
        </is>
      </c>
      <c r="AE378" s="29" t="inlineStr">
        <is>
          <t>Tenancy @ will completed. Lease renewal terms agreed for 10 years.</t>
        </is>
      </c>
      <c r="AH378" s="312" t="n"/>
      <c r="AJ378" t="inlineStr">
        <is>
          <t>Let</t>
        </is>
      </c>
    </row>
    <row r="379">
      <c r="A379" t="inlineStr">
        <is>
          <t>Mappin House, 156-162 Oxford Street</t>
        </is>
      </c>
      <c r="B379" s="838" t="n"/>
      <c r="C379" s="839" t="inlineStr">
        <is>
          <t>JM</t>
        </is>
      </c>
      <c r="D379" s="839" t="inlineStr">
        <is>
          <t>MEL</t>
        </is>
      </c>
      <c r="E379" s="838" t="n">
        <v>100680</v>
      </c>
      <c r="F379" s="840" t="inlineStr">
        <is>
          <t>Mappin House, 156-162 Oxford Street</t>
        </is>
      </c>
      <c r="G379" s="840" t="inlineStr">
        <is>
          <t>Mezzanine</t>
        </is>
      </c>
      <c r="H379" s="841" t="inlineStr">
        <is>
          <t>Office</t>
        </is>
      </c>
      <c r="I379" s="848" t="n">
        <v>7519</v>
      </c>
      <c r="J379" s="848">
        <f>I379</f>
        <v/>
      </c>
      <c r="K379" s="848" t="n">
        <v>7500</v>
      </c>
      <c r="L379" s="840" t="inlineStr">
        <is>
          <t>Perry Ellis Europe Ltd.</t>
        </is>
      </c>
      <c r="M379" s="843" t="n">
        <v>45231</v>
      </c>
      <c r="N379" s="844" t="n">
        <v>45961</v>
      </c>
      <c r="R379" s="842" t="n">
        <v>450600</v>
      </c>
      <c r="S379" s="842">
        <f>R379</f>
        <v/>
      </c>
      <c r="T379" s="861" t="n"/>
      <c r="U379" s="842" t="n">
        <v>489500</v>
      </c>
      <c r="V379" s="842">
        <f>U379</f>
        <v/>
      </c>
      <c r="W379" s="842" t="n">
        <v>469900</v>
      </c>
      <c r="X379" s="842">
        <f>W379</f>
        <v/>
      </c>
      <c r="Y379" s="845">
        <f>W379/I379</f>
        <v/>
      </c>
      <c r="Z379" s="846">
        <f>SUM(W379-U379)/U379</f>
        <v/>
      </c>
      <c r="AA379" s="842" t="inlineStr">
        <is>
          <t>D</t>
        </is>
      </c>
      <c r="AB379" s="590" t="n"/>
      <c r="AC379" s="854" t="n"/>
      <c r="AD379" s="841" t="inlineStr">
        <is>
          <t>No</t>
        </is>
      </c>
      <c r="AE379" s="840" t="n"/>
      <c r="AF379" s="849" t="n"/>
      <c r="AG379" s="840" t="n"/>
      <c r="AH379" s="312" t="n"/>
      <c r="AI379" s="840" t="n"/>
      <c r="AJ379" t="inlineStr">
        <is>
          <t>Let</t>
        </is>
      </c>
    </row>
    <row r="380">
      <c r="A380" t="inlineStr">
        <is>
          <t>Mappin House, 156-162 Oxford Street</t>
        </is>
      </c>
      <c r="B380" s="838" t="n"/>
      <c r="C380" s="839" t="inlineStr">
        <is>
          <t>JM</t>
        </is>
      </c>
      <c r="D380" s="839" t="inlineStr">
        <is>
          <t>MEL</t>
        </is>
      </c>
      <c r="E380" s="838" t="n">
        <v>100680</v>
      </c>
      <c r="F380" s="840" t="inlineStr">
        <is>
          <t>Mappin House, 156-162 Oxford Street</t>
        </is>
      </c>
      <c r="G380" s="840" t="inlineStr">
        <is>
          <t>First Floor</t>
        </is>
      </c>
      <c r="H380" s="841" t="inlineStr">
        <is>
          <t>Office</t>
        </is>
      </c>
      <c r="I380" s="848" t="n">
        <v>6890</v>
      </c>
      <c r="J380" s="848">
        <f>I380</f>
        <v/>
      </c>
      <c r="K380" s="848" t="n">
        <v>7000</v>
      </c>
      <c r="L380" s="840" t="inlineStr">
        <is>
          <t>London Mappin House Centre Ltd.</t>
        </is>
      </c>
      <c r="M380" s="843" t="n">
        <v>45672</v>
      </c>
      <c r="N380" s="844" t="n">
        <v>46766</v>
      </c>
      <c r="Q380" s="844" t="n">
        <v>46218</v>
      </c>
      <c r="R380" s="842" t="n">
        <v>241776</v>
      </c>
      <c r="S380" s="842">
        <f>R380</f>
        <v/>
      </c>
      <c r="T380" s="852" t="n"/>
      <c r="U380" s="842" t="n">
        <v>438000</v>
      </c>
      <c r="V380" s="842">
        <f>U380</f>
        <v/>
      </c>
      <c r="W380" s="842" t="n">
        <v>430600</v>
      </c>
      <c r="X380" s="842">
        <f>W380</f>
        <v/>
      </c>
      <c r="Y380" s="845">
        <f>W380/I380</f>
        <v/>
      </c>
      <c r="Z380" s="846">
        <f>SUM(W380-U380)/U380</f>
        <v/>
      </c>
      <c r="AA380" s="842" t="inlineStr">
        <is>
          <t>B</t>
        </is>
      </c>
      <c r="AB380" s="590" t="n"/>
      <c r="AC380" s="854" t="n"/>
      <c r="AD380" s="841" t="inlineStr">
        <is>
          <t>No</t>
        </is>
      </c>
      <c r="AE380" s="840" t="inlineStr">
        <is>
          <t xml:space="preserve">Guaranteed base rent of £241,776 plus revenue top up. Revenue top-up rent of £55,860 paid for 1Apr24 - 31Mar25. Rolling mutual break option after 18 months. </t>
        </is>
      </c>
      <c r="AH380" s="312" t="n"/>
      <c r="AJ380" t="inlineStr">
        <is>
          <t>Let</t>
        </is>
      </c>
    </row>
    <row r="381">
      <c r="A381" t="inlineStr">
        <is>
          <t>Mappin House, 156-162 Oxford Street</t>
        </is>
      </c>
      <c r="B381" s="838" t="n"/>
      <c r="C381" s="839" t="inlineStr">
        <is>
          <t>JM</t>
        </is>
      </c>
      <c r="D381" s="839" t="inlineStr">
        <is>
          <t>MEL</t>
        </is>
      </c>
      <c r="E381" s="838" t="n">
        <v>100680</v>
      </c>
      <c r="F381" s="840" t="inlineStr">
        <is>
          <t>Mappin House, 156-162 Oxford Street</t>
        </is>
      </c>
      <c r="G381" s="840" t="inlineStr">
        <is>
          <t>Second Floor</t>
        </is>
      </c>
      <c r="H381" s="841" t="inlineStr">
        <is>
          <t>Office</t>
        </is>
      </c>
      <c r="I381" s="848" t="n">
        <v>6973</v>
      </c>
      <c r="J381" s="848">
        <f>I381</f>
        <v/>
      </c>
      <c r="K381" s="848" t="n">
        <v>7000</v>
      </c>
      <c r="L381" s="840" t="inlineStr">
        <is>
          <t>London Mappin House Centre Ltd.</t>
        </is>
      </c>
      <c r="M381" s="843" t="n">
        <v>45672</v>
      </c>
      <c r="N381" s="844" t="n">
        <v>46766</v>
      </c>
      <c r="Q381" s="844" t="n">
        <v>46218</v>
      </c>
      <c r="R381" s="842" t="n">
        <v>242259</v>
      </c>
      <c r="S381" s="842">
        <f>R381</f>
        <v/>
      </c>
      <c r="T381" s="852" t="n"/>
      <c r="U381" s="842" t="n">
        <v>438900</v>
      </c>
      <c r="V381" s="842">
        <f>U381</f>
        <v/>
      </c>
      <c r="W381" s="842" t="n">
        <v>435800</v>
      </c>
      <c r="X381" s="842">
        <f>W381</f>
        <v/>
      </c>
      <c r="Y381" s="845">
        <f>W381/I381</f>
        <v/>
      </c>
      <c r="Z381" s="846">
        <f>SUM(W381-U381)/U381</f>
        <v/>
      </c>
      <c r="AA381" s="842" t="inlineStr">
        <is>
          <t>B</t>
        </is>
      </c>
      <c r="AB381" s="590" t="n"/>
      <c r="AC381" s="854" t="n"/>
      <c r="AD381" s="841" t="inlineStr">
        <is>
          <t>No</t>
        </is>
      </c>
      <c r="AE381" s="840" t="inlineStr">
        <is>
          <t xml:space="preserve">Guaranteed base rent of £242,259 plus revenue top up. Revenue top-up rent of £55,974 paid for 1Apr24 - 31Mar25. Rolling mutual break option after 18 months. </t>
        </is>
      </c>
      <c r="AH381" s="312" t="n"/>
      <c r="AJ381" t="inlineStr">
        <is>
          <t>Let</t>
        </is>
      </c>
    </row>
    <row r="382">
      <c r="A382" t="inlineStr">
        <is>
          <t>Mappin House, 156-162 Oxford Street</t>
        </is>
      </c>
      <c r="B382" s="838" t="n"/>
      <c r="C382" s="839" t="inlineStr">
        <is>
          <t>JM</t>
        </is>
      </c>
      <c r="D382" s="839" t="inlineStr">
        <is>
          <t>MEL</t>
        </is>
      </c>
      <c r="E382" s="838" t="n">
        <v>100680</v>
      </c>
      <c r="F382" s="840" t="inlineStr">
        <is>
          <t>Mappin House, 156-162 Oxford Street</t>
        </is>
      </c>
      <c r="G382" s="840" t="inlineStr">
        <is>
          <t>Third Floor</t>
        </is>
      </c>
      <c r="H382" s="841" t="inlineStr">
        <is>
          <t>Office</t>
        </is>
      </c>
      <c r="I382" s="848" t="n">
        <v>6999</v>
      </c>
      <c r="J382" s="848">
        <f>I382</f>
        <v/>
      </c>
      <c r="K382" s="848" t="n">
        <v>7000</v>
      </c>
      <c r="L382" s="840" t="inlineStr">
        <is>
          <t>Vacant</t>
        </is>
      </c>
      <c r="O382" s="844" t="n">
        <v>45673</v>
      </c>
      <c r="R382" s="842" t="n">
        <v>0</v>
      </c>
      <c r="S382" s="842">
        <f>R382</f>
        <v/>
      </c>
      <c r="T382" s="852" t="n"/>
      <c r="U382" s="842" t="n">
        <v>448100</v>
      </c>
      <c r="V382" s="842">
        <f>U382</f>
        <v/>
      </c>
      <c r="W382" s="842" t="n">
        <v>437400</v>
      </c>
      <c r="X382" s="842">
        <f>W382</f>
        <v/>
      </c>
      <c r="Y382" s="845">
        <f>W382/I382</f>
        <v/>
      </c>
      <c r="Z382" s="846">
        <f>SUM(W382-U382)/U382</f>
        <v/>
      </c>
      <c r="AA382" s="842" t="inlineStr">
        <is>
          <t>D</t>
        </is>
      </c>
      <c r="AB382" s="590" t="n"/>
      <c r="AC382" s="854" t="n"/>
      <c r="AD382" s="841" t="inlineStr">
        <is>
          <t>No</t>
        </is>
      </c>
      <c r="AE382" s="840" t="inlineStr">
        <is>
          <t>LEM marketing</t>
        </is>
      </c>
      <c r="AG382" s="840" t="n">
        <v>2</v>
      </c>
      <c r="AH382" s="312" t="n">
        <v>9</v>
      </c>
      <c r="AI382" s="840" t="inlineStr">
        <is>
          <t>LEM</t>
        </is>
      </c>
      <c r="AJ382" t="inlineStr">
        <is>
          <t>Void</t>
        </is>
      </c>
    </row>
    <row r="383">
      <c r="A383" t="inlineStr">
        <is>
          <t>Mappin House, 156-162 Oxford Street</t>
        </is>
      </c>
      <c r="B383" s="838" t="n"/>
      <c r="C383" s="839" t="inlineStr">
        <is>
          <t>JM</t>
        </is>
      </c>
      <c r="D383" s="839" t="inlineStr">
        <is>
          <t>MEL</t>
        </is>
      </c>
      <c r="E383" s="838" t="n">
        <v>100680</v>
      </c>
      <c r="F383" s="840" t="inlineStr">
        <is>
          <t>Mappin House, 156-162 Oxford Street</t>
        </is>
      </c>
      <c r="G383" s="840" t="inlineStr">
        <is>
          <t>Fourth Floor</t>
        </is>
      </c>
      <c r="H383" s="841" t="inlineStr">
        <is>
          <t>Office</t>
        </is>
      </c>
      <c r="I383" s="848" t="n">
        <v>7007</v>
      </c>
      <c r="J383" s="848">
        <f>I383</f>
        <v/>
      </c>
      <c r="K383" s="848" t="n">
        <v>7000</v>
      </c>
      <c r="L383" s="840" t="inlineStr">
        <is>
          <t>London Mappin House Centre Ltd.</t>
        </is>
      </c>
      <c r="M383" s="843" t="n">
        <v>45672</v>
      </c>
      <c r="N383" s="844" t="n">
        <v>46766</v>
      </c>
      <c r="Q383" s="844" t="n">
        <v>46218</v>
      </c>
      <c r="R383" s="842" t="n">
        <v>252885</v>
      </c>
      <c r="S383" s="842">
        <f>R383</f>
        <v/>
      </c>
      <c r="T383" s="852" t="n"/>
      <c r="U383" s="842" t="n">
        <v>458100</v>
      </c>
      <c r="V383" s="842">
        <f>U383</f>
        <v/>
      </c>
      <c r="W383" s="842" t="n">
        <v>437900</v>
      </c>
      <c r="X383" s="842">
        <f>W383</f>
        <v/>
      </c>
      <c r="Y383" s="845">
        <f>W383/I383</f>
        <v/>
      </c>
      <c r="Z383" s="846">
        <f>SUM(W383-U383)/U383</f>
        <v/>
      </c>
      <c r="AA383" s="842" t="inlineStr">
        <is>
          <t>B</t>
        </is>
      </c>
      <c r="AB383" s="590" t="n"/>
      <c r="AC383" s="854" t="n"/>
      <c r="AD383" s="841" t="inlineStr">
        <is>
          <t>No</t>
        </is>
      </c>
      <c r="AE383" s="840" t="inlineStr">
        <is>
          <t xml:space="preserve">Guaranteed base rent of £252,885 plus revenue top up. Revenue top-up rent of £58,429 paid for 1Apr24 - 31Mar25. Rolling mutual break option after 18 months. </t>
        </is>
      </c>
      <c r="AH383" s="312" t="n"/>
      <c r="AJ383" t="inlineStr">
        <is>
          <t>Let</t>
        </is>
      </c>
    </row>
    <row r="384">
      <c r="A384" t="inlineStr">
        <is>
          <t>Mappin House, 156-162 Oxford Street</t>
        </is>
      </c>
      <c r="B384" s="838" t="n"/>
      <c r="C384" s="839" t="inlineStr">
        <is>
          <t>JM</t>
        </is>
      </c>
      <c r="D384" s="839" t="inlineStr">
        <is>
          <t>MEL</t>
        </is>
      </c>
      <c r="E384" s="838" t="n">
        <v>100680</v>
      </c>
      <c r="F384" s="840" t="inlineStr">
        <is>
          <t>Mappin House, 156-162 Oxford Street</t>
        </is>
      </c>
      <c r="G384" s="840" t="inlineStr">
        <is>
          <t>Fifth Floor</t>
        </is>
      </c>
      <c r="H384" s="841" t="inlineStr">
        <is>
          <t>Office</t>
        </is>
      </c>
      <c r="I384" s="848" t="n">
        <v>6662</v>
      </c>
      <c r="J384" s="848">
        <f>I384</f>
        <v/>
      </c>
      <c r="K384" s="848" t="n">
        <v>6500</v>
      </c>
      <c r="L384" s="840" t="inlineStr">
        <is>
          <t>London Mappin House Centre Ltd.</t>
        </is>
      </c>
      <c r="M384" s="843" t="n">
        <v>45672</v>
      </c>
      <c r="N384" s="844" t="n">
        <v>46766</v>
      </c>
      <c r="Q384" s="844" t="n">
        <v>46218</v>
      </c>
      <c r="R384" s="842" t="n">
        <v>252394</v>
      </c>
      <c r="S384" s="842">
        <f>R384</f>
        <v/>
      </c>
      <c r="T384" s="852" t="n"/>
      <c r="U384" s="842" t="n">
        <v>434600</v>
      </c>
      <c r="V384" s="842">
        <f>U384</f>
        <v/>
      </c>
      <c r="W384" s="842" t="n">
        <v>416400</v>
      </c>
      <c r="X384" s="842">
        <f>W384</f>
        <v/>
      </c>
      <c r="Y384" s="845">
        <f>W384/I384</f>
        <v/>
      </c>
      <c r="Z384" s="846">
        <f>SUM(W384-U384)/U384</f>
        <v/>
      </c>
      <c r="AA384" s="842" t="inlineStr">
        <is>
          <t>B</t>
        </is>
      </c>
      <c r="AB384" s="590" t="n"/>
      <c r="AC384" s="854" t="n"/>
      <c r="AD384" s="841" t="inlineStr">
        <is>
          <t>No</t>
        </is>
      </c>
      <c r="AE384" s="840" t="inlineStr">
        <is>
          <t xml:space="preserve">Guaranteed base rent of £252,393 plus revenue top up. Revenue top-up rent of £58,316 paid for 1Apr24 - 31Mar25. Rolling mutual break option after 18 months. </t>
        </is>
      </c>
      <c r="AH384" s="312" t="n"/>
      <c r="AJ384" t="inlineStr">
        <is>
          <t>Let</t>
        </is>
      </c>
    </row>
    <row r="385">
      <c r="A385" t="inlineStr">
        <is>
          <t>53 Wells Street</t>
        </is>
      </c>
      <c r="B385" s="838" t="n"/>
      <c r="C385" s="839" t="inlineStr">
        <is>
          <t>CM</t>
        </is>
      </c>
      <c r="D385" s="839" t="inlineStr">
        <is>
          <t>MEL</t>
        </is>
      </c>
      <c r="E385" s="838" t="n">
        <v>550030</v>
      </c>
      <c r="F385" s="840" t="inlineStr">
        <is>
          <t>53 Wells Street</t>
        </is>
      </c>
      <c r="G385" s="840" t="inlineStr">
        <is>
          <t>Lower Ground Floor</t>
        </is>
      </c>
      <c r="H385" s="841" t="inlineStr">
        <is>
          <t>Office</t>
        </is>
      </c>
      <c r="I385" s="848" t="n">
        <v>825</v>
      </c>
      <c r="J385" s="842">
        <f>I385</f>
        <v/>
      </c>
      <c r="K385" s="842" t="n">
        <v>1000</v>
      </c>
      <c r="L385" s="840" t="inlineStr">
        <is>
          <t>Vacant</t>
        </is>
      </c>
      <c r="O385" s="844" t="n">
        <v>44709</v>
      </c>
      <c r="R385" s="842" t="n">
        <v>0</v>
      </c>
      <c r="S385" s="842">
        <f>R385</f>
        <v/>
      </c>
      <c r="U385" s="842" t="n">
        <v>27200</v>
      </c>
      <c r="V385" s="842">
        <f>U385</f>
        <v/>
      </c>
      <c r="W385" s="842" t="n">
        <v>33000</v>
      </c>
      <c r="X385" s="842">
        <f>W385</f>
        <v/>
      </c>
      <c r="Y385" s="845">
        <f>W385/I385</f>
        <v/>
      </c>
      <c r="Z385" s="846">
        <f>SUM(W385-U385)/U385</f>
        <v/>
      </c>
      <c r="AA385" s="842" t="inlineStr">
        <is>
          <t>B</t>
        </is>
      </c>
      <c r="AB385" s="590" t="n"/>
      <c r="AC385" s="854" t="n"/>
      <c r="AD385" s="841" t="inlineStr">
        <is>
          <t>No</t>
        </is>
      </c>
      <c r="AE385" s="840" t="inlineStr">
        <is>
          <t xml:space="preserve">LEM Marketing. </t>
        </is>
      </c>
      <c r="AG385" s="840" t="n">
        <v>1</v>
      </c>
      <c r="AH385" s="312" t="n">
        <v>2</v>
      </c>
      <c r="AJ385" t="inlineStr">
        <is>
          <t>Void</t>
        </is>
      </c>
    </row>
    <row r="386">
      <c r="A386" t="inlineStr">
        <is>
          <t>53 Wells Street</t>
        </is>
      </c>
      <c r="B386" s="838" t="n"/>
      <c r="C386" s="839" t="inlineStr">
        <is>
          <t>CM</t>
        </is>
      </c>
      <c r="D386" s="839" t="inlineStr">
        <is>
          <t>MEL</t>
        </is>
      </c>
      <c r="E386" s="838" t="n">
        <v>550030</v>
      </c>
      <c r="F386" s="840" t="inlineStr">
        <is>
          <t>53 Wells Street</t>
        </is>
      </c>
      <c r="G386" s="840" t="inlineStr">
        <is>
          <t>Flat 1. Ground Floor</t>
        </is>
      </c>
      <c r="H386" s="841" t="inlineStr">
        <is>
          <t>One Bed Flat</t>
        </is>
      </c>
      <c r="I386" s="848" t="n">
        <v>0</v>
      </c>
      <c r="J386" s="842">
        <f>I386</f>
        <v/>
      </c>
      <c r="K386" s="842" t="n"/>
      <c r="L386" s="840" t="inlineStr">
        <is>
          <t>Edward Davenport</t>
        </is>
      </c>
      <c r="M386" s="843" t="n">
        <v>30310</v>
      </c>
      <c r="N386" s="862" t="n">
        <v>66469</v>
      </c>
      <c r="O386" s="862" t="n"/>
      <c r="P386" s="844" t="n">
        <v>54417</v>
      </c>
      <c r="R386" s="842" t="n">
        <v>150</v>
      </c>
      <c r="S386" s="842">
        <f>R386</f>
        <v/>
      </c>
      <c r="U386" s="842" t="n">
        <v>150</v>
      </c>
      <c r="V386" s="842">
        <f>U386</f>
        <v/>
      </c>
      <c r="W386" s="842" t="n">
        <v>150</v>
      </c>
      <c r="X386" s="842">
        <f>W386</f>
        <v/>
      </c>
      <c r="Y386" s="845" t="n"/>
      <c r="Z386" s="846" t="n"/>
      <c r="AA386" s="842" t="n"/>
      <c r="AB386" s="590" t="n"/>
      <c r="AC386" s="854" t="n"/>
      <c r="AD386" s="841" t="n"/>
      <c r="AE386" s="29" t="inlineStr">
        <is>
          <t>Rent and Service charge stop placed on unit</t>
        </is>
      </c>
      <c r="AH386" s="312" t="n"/>
      <c r="AJ386" t="inlineStr">
        <is>
          <t>Let</t>
        </is>
      </c>
    </row>
    <row r="387">
      <c r="A387" t="inlineStr">
        <is>
          <t>53 Wells Street</t>
        </is>
      </c>
      <c r="B387" s="838" t="n"/>
      <c r="C387" s="839" t="inlineStr">
        <is>
          <t>CM</t>
        </is>
      </c>
      <c r="D387" s="839" t="inlineStr">
        <is>
          <t>MEL</t>
        </is>
      </c>
      <c r="E387" s="838" t="n">
        <v>550030</v>
      </c>
      <c r="F387" s="840" t="inlineStr">
        <is>
          <t>53 Wells Street</t>
        </is>
      </c>
      <c r="G387" s="840" t="inlineStr">
        <is>
          <t>Flat 2. First Floor</t>
        </is>
      </c>
      <c r="H387" s="841" t="inlineStr">
        <is>
          <t>One Bed Flat</t>
        </is>
      </c>
      <c r="I387" s="848" t="n">
        <v>0</v>
      </c>
      <c r="J387" s="842">
        <f>I387</f>
        <v/>
      </c>
      <c r="K387" s="842" t="n"/>
      <c r="L387" s="840" t="inlineStr">
        <is>
          <t>V. Chamoun</t>
        </is>
      </c>
      <c r="M387" s="843" t="n">
        <v>30310</v>
      </c>
      <c r="N387" s="862" t="n">
        <v>66469</v>
      </c>
      <c r="O387" s="862" t="n"/>
      <c r="P387" s="844" t="n">
        <v>54417</v>
      </c>
      <c r="R387" s="842" t="n">
        <v>150</v>
      </c>
      <c r="S387" s="842">
        <f>R387</f>
        <v/>
      </c>
      <c r="U387" s="842" t="n">
        <v>150</v>
      </c>
      <c r="V387" s="842">
        <f>U387</f>
        <v/>
      </c>
      <c r="W387" s="842" t="n">
        <v>150</v>
      </c>
      <c r="X387" s="842">
        <f>W387</f>
        <v/>
      </c>
      <c r="Y387" s="845" t="n"/>
      <c r="Z387" s="846" t="n"/>
      <c r="AA387" s="842" t="n"/>
      <c r="AB387" s="590" t="n"/>
      <c r="AC387" s="854" t="n"/>
      <c r="AD387" s="841" t="n"/>
      <c r="AE387" s="29" t="inlineStr">
        <is>
          <t>Rent and Service charge stop placed on unit</t>
        </is>
      </c>
      <c r="AH387" s="312" t="n"/>
      <c r="AJ387" t="inlineStr">
        <is>
          <t>Let</t>
        </is>
      </c>
    </row>
    <row r="388">
      <c r="A388" t="inlineStr">
        <is>
          <t>53 Wells Street</t>
        </is>
      </c>
      <c r="B388" s="838" t="n"/>
      <c r="C388" s="839" t="inlineStr">
        <is>
          <t>CM</t>
        </is>
      </c>
      <c r="D388" s="839" t="inlineStr">
        <is>
          <t>MEL</t>
        </is>
      </c>
      <c r="E388" s="838" t="n">
        <v>550030</v>
      </c>
      <c r="F388" s="840" t="inlineStr">
        <is>
          <t>53 Wells Street</t>
        </is>
      </c>
      <c r="G388" s="840" t="inlineStr">
        <is>
          <t>Flat 3. Second Floor</t>
        </is>
      </c>
      <c r="H388" s="841" t="inlineStr">
        <is>
          <t>One Bed Flat</t>
        </is>
      </c>
      <c r="I388" s="848" t="n">
        <v>0</v>
      </c>
      <c r="J388" s="842">
        <f>I388</f>
        <v/>
      </c>
      <c r="K388" s="842" t="n"/>
      <c r="L388" s="840" t="inlineStr">
        <is>
          <t>C &amp; Y Hopper</t>
        </is>
      </c>
      <c r="M388" s="843" t="n">
        <v>30310</v>
      </c>
      <c r="N388" s="862" t="n">
        <v>99340</v>
      </c>
      <c r="O388" s="862" t="n"/>
      <c r="R388" s="842" t="n">
        <v>0</v>
      </c>
      <c r="S388" s="842">
        <f>R388</f>
        <v/>
      </c>
      <c r="U388" s="842" t="n">
        <v>150</v>
      </c>
      <c r="V388" s="842">
        <f>U388</f>
        <v/>
      </c>
      <c r="W388" s="842" t="n">
        <v>150</v>
      </c>
      <c r="X388" s="842">
        <f>W388</f>
        <v/>
      </c>
      <c r="Y388" s="845" t="n"/>
      <c r="Z388" s="846" t="n"/>
      <c r="AA388" s="842" t="n"/>
      <c r="AB388" s="590" t="n"/>
      <c r="AC388" s="854" t="n"/>
      <c r="AD388" s="841" t="n"/>
      <c r="AE388" s="840" t="inlineStr">
        <is>
          <t>Peppercorn.</t>
        </is>
      </c>
      <c r="AH388" s="312" t="n"/>
      <c r="AJ388" t="inlineStr">
        <is>
          <t>Let</t>
        </is>
      </c>
    </row>
    <row r="389">
      <c r="A389" t="inlineStr">
        <is>
          <t>53 Wells Street</t>
        </is>
      </c>
      <c r="B389" s="838" t="n"/>
      <c r="C389" s="839" t="inlineStr">
        <is>
          <t>CM</t>
        </is>
      </c>
      <c r="D389" s="839" t="inlineStr">
        <is>
          <t>MEL</t>
        </is>
      </c>
      <c r="E389" s="838" t="n">
        <v>550030</v>
      </c>
      <c r="F389" s="840" t="inlineStr">
        <is>
          <t>53 Wells Street</t>
        </is>
      </c>
      <c r="G389" s="840" t="inlineStr">
        <is>
          <t>Flat 4. Third Floor</t>
        </is>
      </c>
      <c r="H389" s="841" t="inlineStr">
        <is>
          <t>One Bed Flat</t>
        </is>
      </c>
      <c r="I389" s="848" t="n">
        <v>0</v>
      </c>
      <c r="J389" s="842">
        <f>I389</f>
        <v/>
      </c>
      <c r="K389" s="842" t="n"/>
      <c r="L389" s="840" t="inlineStr">
        <is>
          <t>Lion Brand Limited</t>
        </is>
      </c>
      <c r="M389" s="843" t="n">
        <v>30310</v>
      </c>
      <c r="N389" s="862" t="n">
        <v>66469</v>
      </c>
      <c r="O389" s="862" t="n"/>
      <c r="P389" s="844" t="n">
        <v>54417</v>
      </c>
      <c r="R389" s="842" t="n">
        <v>0</v>
      </c>
      <c r="S389" s="842">
        <f>R389</f>
        <v/>
      </c>
      <c r="U389" s="842" t="n">
        <v>150</v>
      </c>
      <c r="V389" s="842">
        <f>U389</f>
        <v/>
      </c>
      <c r="W389" s="842" t="n">
        <v>150</v>
      </c>
      <c r="X389" s="842">
        <f>W389</f>
        <v/>
      </c>
      <c r="Y389" s="845" t="n"/>
      <c r="Z389" s="846" t="n"/>
      <c r="AA389" s="842" t="n"/>
      <c r="AB389" s="590" t="n"/>
      <c r="AC389" s="854" t="n"/>
      <c r="AD389" s="841" t="n"/>
      <c r="AE389" s="840" t="inlineStr">
        <is>
          <t>Peppercorn.</t>
        </is>
      </c>
      <c r="AH389" s="312" t="n"/>
      <c r="AJ389" t="inlineStr">
        <is>
          <t>Let</t>
        </is>
      </c>
    </row>
    <row r="390">
      <c r="A390" t="inlineStr">
        <is>
          <t>68 Wells Street</t>
        </is>
      </c>
      <c r="B390" s="838" t="n"/>
      <c r="C390" s="839" t="inlineStr">
        <is>
          <t>CM</t>
        </is>
      </c>
      <c r="D390" s="839" t="inlineStr">
        <is>
          <t>MEL</t>
        </is>
      </c>
      <c r="E390" s="838" t="n">
        <v>550760</v>
      </c>
      <c r="F390" s="840" t="inlineStr">
        <is>
          <t>68 Wells Street</t>
        </is>
      </c>
      <c r="G390" s="840" t="inlineStr">
        <is>
          <t>Whole Building</t>
        </is>
      </c>
      <c r="H390" s="841" t="inlineStr">
        <is>
          <t>Showroom &amp; Office</t>
        </is>
      </c>
      <c r="I390" s="18" t="n">
        <v>2085</v>
      </c>
      <c r="J390" s="842">
        <f>I390</f>
        <v/>
      </c>
      <c r="K390" s="842" t="n">
        <v>2000</v>
      </c>
      <c r="L390" s="840" t="inlineStr">
        <is>
          <t>Voltage TV Productions Ltd</t>
        </is>
      </c>
      <c r="M390" s="843" t="n">
        <v>45741</v>
      </c>
      <c r="N390" s="844" t="n">
        <v>46836</v>
      </c>
      <c r="Q390" s="844" t="n">
        <v>46289</v>
      </c>
      <c r="R390" s="591" t="n">
        <v>90000</v>
      </c>
      <c r="S390" s="842">
        <f>R390</f>
        <v/>
      </c>
      <c r="T390" s="591">
        <f>S390</f>
        <v/>
      </c>
      <c r="U390" s="591" t="n">
        <v>80000</v>
      </c>
      <c r="V390" s="842">
        <f>U390</f>
        <v/>
      </c>
      <c r="W390" s="591" t="n">
        <v>79600</v>
      </c>
      <c r="X390" s="842">
        <f>W390</f>
        <v/>
      </c>
      <c r="Y390" s="845">
        <f>W390/I390</f>
        <v/>
      </c>
      <c r="Z390" s="846">
        <f>SUM(W390-U390)/U390</f>
        <v/>
      </c>
      <c r="AA390" s="842" t="inlineStr">
        <is>
          <t>D</t>
        </is>
      </c>
      <c r="AB390" s="590" t="n"/>
      <c r="AC390" s="591" t="n">
        <v>1200000</v>
      </c>
      <c r="AD390" s="841" t="inlineStr">
        <is>
          <t>No</t>
        </is>
      </c>
      <c r="AE390" s="840" t="inlineStr">
        <is>
          <t>Rent increasing to £100,000 wef 25/03/26. Tenant break on 6 months notice.</t>
        </is>
      </c>
      <c r="AH390" s="312" t="n"/>
      <c r="AJ390" t="inlineStr">
        <is>
          <t>Let</t>
        </is>
      </c>
    </row>
    <row r="391">
      <c r="A391" t="inlineStr">
        <is>
          <t>33 Eastcastle Street</t>
        </is>
      </c>
      <c r="C391" s="839" t="inlineStr">
        <is>
          <t>CD</t>
        </is>
      </c>
      <c r="D391" s="839" t="inlineStr">
        <is>
          <t>OPG</t>
        </is>
      </c>
      <c r="E391" s="179" t="n">
        <v>800200</v>
      </c>
      <c r="F391" s="179" t="inlineStr">
        <is>
          <t>33 Eastcastle Street</t>
        </is>
      </c>
      <c r="G391" s="179" t="inlineStr">
        <is>
          <t>Whole Building</t>
        </is>
      </c>
      <c r="H391" s="180" t="inlineStr">
        <is>
          <t>Retail &amp; Office</t>
        </is>
      </c>
      <c r="I391" s="660" t="n">
        <v>3122</v>
      </c>
      <c r="J391" s="661">
        <f>I391</f>
        <v/>
      </c>
      <c r="K391" s="661" t="n">
        <v>3000</v>
      </c>
      <c r="L391" s="179" t="inlineStr">
        <is>
          <t>Leon Restaurants Ltd</t>
        </is>
      </c>
      <c r="M391" s="662" t="n">
        <v>42580</v>
      </c>
      <c r="N391" s="662" t="n">
        <v>46231</v>
      </c>
      <c r="O391" s="662" t="n"/>
      <c r="P391" s="662" t="n">
        <v>44406</v>
      </c>
      <c r="Q391" s="662" t="n"/>
      <c r="R391" s="660" t="n">
        <v>170000</v>
      </c>
      <c r="S391" s="660">
        <f>R391</f>
        <v/>
      </c>
      <c r="T391" s="842" t="n"/>
      <c r="U391" s="660" t="n">
        <v>124100</v>
      </c>
      <c r="V391" s="661">
        <f>U391</f>
        <v/>
      </c>
      <c r="W391" s="660" t="n">
        <v>124100</v>
      </c>
      <c r="X391" s="661">
        <f>W391</f>
        <v/>
      </c>
      <c r="Y391" s="845">
        <f>W391/I391</f>
        <v/>
      </c>
      <c r="Z391" s="846">
        <f>SUM(W391-U391)/U391</f>
        <v/>
      </c>
      <c r="AA391" s="661" t="inlineStr">
        <is>
          <t>E</t>
        </is>
      </c>
      <c r="AB391" s="180" t="n"/>
      <c r="AC391" s="660" t="n">
        <v>1325000</v>
      </c>
      <c r="AD391" s="661" t="inlineStr">
        <is>
          <t>No</t>
        </is>
      </c>
      <c r="AE391" s="179" t="n"/>
      <c r="AF391" s="665" t="n"/>
      <c r="AG391" s="179" t="n"/>
      <c r="AH391" s="323" t="n"/>
      <c r="AI391" s="179" t="n"/>
      <c r="AJ391" t="inlineStr">
        <is>
          <t>Let</t>
        </is>
      </c>
    </row>
    <row r="392">
      <c r="A392" t="inlineStr">
        <is>
          <t>Julco House, 26-28 Great Portland Street</t>
        </is>
      </c>
      <c r="C392" s="839" t="inlineStr">
        <is>
          <t>CD</t>
        </is>
      </c>
      <c r="D392" s="839" t="inlineStr">
        <is>
          <t>OPG</t>
        </is>
      </c>
      <c r="E392" s="179" t="n">
        <v>800100</v>
      </c>
      <c r="F392" s="179" t="inlineStr">
        <is>
          <t>Julco House, 26-28 Great Portland Street</t>
        </is>
      </c>
      <c r="G392" s="179" t="inlineStr">
        <is>
          <t>Ground Floor &amp; Basement</t>
        </is>
      </c>
      <c r="H392" s="180" t="inlineStr">
        <is>
          <t>Restaurant</t>
        </is>
      </c>
      <c r="I392" s="661" t="n">
        <v>4332</v>
      </c>
      <c r="J392" s="661">
        <f>I392</f>
        <v/>
      </c>
      <c r="K392" s="661" t="n">
        <v>4250</v>
      </c>
      <c r="L392" s="121" t="inlineStr">
        <is>
          <t>Oaxaca Ltd.</t>
        </is>
      </c>
      <c r="M392" s="662" t="n">
        <v>41789</v>
      </c>
      <c r="N392" s="662" t="n">
        <v>47267</v>
      </c>
      <c r="O392" s="662" t="n"/>
      <c r="P392" s="667" t="n">
        <v>45442</v>
      </c>
      <c r="Q392" s="662" t="n"/>
      <c r="R392" s="661" t="n">
        <v>255000</v>
      </c>
      <c r="S392" s="661">
        <f>R392</f>
        <v/>
      </c>
      <c r="T392" s="842" t="n"/>
      <c r="U392" s="661" t="n">
        <v>290500</v>
      </c>
      <c r="V392" s="661">
        <f>U392</f>
        <v/>
      </c>
      <c r="W392" s="661" t="n">
        <v>290500</v>
      </c>
      <c r="X392" s="661">
        <f>W392</f>
        <v/>
      </c>
      <c r="Y392" s="845">
        <f>W392/I392</f>
        <v/>
      </c>
      <c r="Z392" s="846">
        <f>SUM(W392-U392)/U392</f>
        <v/>
      </c>
      <c r="AA392" s="661" t="inlineStr">
        <is>
          <t>B</t>
        </is>
      </c>
      <c r="AB392" s="187" t="inlineStr">
        <is>
          <t>*</t>
        </is>
      </c>
      <c r="AC392" s="187" t="n"/>
      <c r="AD392" s="661" t="inlineStr">
        <is>
          <t>No</t>
        </is>
      </c>
      <c r="AE392" s="179" t="inlineStr">
        <is>
          <t>Rent £255,000 pa with a top-up of 11% turnover up to a maximum of £300,000 pa.</t>
        </is>
      </c>
      <c r="AF392" s="665" t="n"/>
      <c r="AG392" s="179" t="n"/>
      <c r="AH392" s="323" t="n"/>
      <c r="AI392" s="179" t="n"/>
      <c r="AJ392" t="inlineStr">
        <is>
          <t>Let</t>
        </is>
      </c>
    </row>
    <row r="393">
      <c r="A393" t="inlineStr">
        <is>
          <t>Julco House, 26-28 Great Portland Street</t>
        </is>
      </c>
      <c r="C393" s="839" t="inlineStr">
        <is>
          <t>CD</t>
        </is>
      </c>
      <c r="D393" s="839" t="inlineStr">
        <is>
          <t>OPG</t>
        </is>
      </c>
      <c r="E393" s="179" t="n">
        <v>800100</v>
      </c>
      <c r="F393" s="179" t="inlineStr">
        <is>
          <t>Julco House, 26-28 Great Portland Street</t>
        </is>
      </c>
      <c r="G393" s="179" t="inlineStr">
        <is>
          <t>First Floor</t>
        </is>
      </c>
      <c r="H393" s="180" t="inlineStr">
        <is>
          <t>Offices</t>
        </is>
      </c>
      <c r="I393" s="661" t="n">
        <v>1818</v>
      </c>
      <c r="J393" s="661">
        <f>I393</f>
        <v/>
      </c>
      <c r="K393" s="661" t="n">
        <v>2000</v>
      </c>
      <c r="L393" s="121" t="inlineStr">
        <is>
          <t>Collins Benson Goldhill LLP</t>
        </is>
      </c>
      <c r="M393" s="662" t="n">
        <v>44280</v>
      </c>
      <c r="N393" s="662" t="n">
        <v>46105</v>
      </c>
      <c r="O393" s="662" t="n"/>
      <c r="P393" s="662" t="n"/>
      <c r="Q393" s="662" t="n"/>
      <c r="R393" s="661" t="n">
        <v>83000</v>
      </c>
      <c r="S393" s="661">
        <f>R393</f>
        <v/>
      </c>
      <c r="T393" s="842" t="n"/>
      <c r="U393" s="661" t="n">
        <v>111800</v>
      </c>
      <c r="V393" s="661">
        <f>U393</f>
        <v/>
      </c>
      <c r="W393" s="661" t="n">
        <v>118200</v>
      </c>
      <c r="X393" s="661">
        <f>W393</f>
        <v/>
      </c>
      <c r="Y393" s="845">
        <f>W393/I393</f>
        <v/>
      </c>
      <c r="Z393" s="846">
        <f>SUM(W393-U393)/U393</f>
        <v/>
      </c>
      <c r="AA393" s="661" t="inlineStr">
        <is>
          <t>D</t>
        </is>
      </c>
      <c r="AB393" s="187" t="n"/>
      <c r="AC393" s="187" t="n"/>
      <c r="AD393" s="661" t="inlineStr">
        <is>
          <t>Yes</t>
        </is>
      </c>
      <c r="AE393" s="179" t="n"/>
      <c r="AF393" s="665" t="n"/>
      <c r="AG393" s="179" t="n"/>
      <c r="AH393" s="323" t="n"/>
      <c r="AI393" s="179" t="n"/>
      <c r="AJ393" t="inlineStr">
        <is>
          <t>Let</t>
        </is>
      </c>
    </row>
    <row r="394">
      <c r="A394" t="inlineStr">
        <is>
          <t>Julco House, 26-28 Great Portland Street</t>
        </is>
      </c>
      <c r="C394" s="839" t="inlineStr">
        <is>
          <t>CD</t>
        </is>
      </c>
      <c r="D394" s="839" t="inlineStr">
        <is>
          <t>OPG</t>
        </is>
      </c>
      <c r="E394" s="179" t="n">
        <v>800100</v>
      </c>
      <c r="F394" s="179" t="inlineStr">
        <is>
          <t>Julco House, 26-28 Great Portland Street</t>
        </is>
      </c>
      <c r="G394" s="179" t="inlineStr">
        <is>
          <t>Second Floor</t>
        </is>
      </c>
      <c r="H394" s="180" t="inlineStr">
        <is>
          <t>Offices</t>
        </is>
      </c>
      <c r="I394" s="661" t="n">
        <v>1829</v>
      </c>
      <c r="J394" s="661">
        <f>I394</f>
        <v/>
      </c>
      <c r="K394" s="661" t="n">
        <v>2000</v>
      </c>
      <c r="L394" s="121" t="inlineStr">
        <is>
          <t>Oakvale Capital LLP</t>
        </is>
      </c>
      <c r="M394" s="662" t="n">
        <v>45715</v>
      </c>
      <c r="N394" s="662" t="n">
        <v>47540</v>
      </c>
      <c r="O394" s="662" t="n"/>
      <c r="P394" s="662" t="n"/>
      <c r="Q394" s="662" t="n">
        <v>46809</v>
      </c>
      <c r="R394" s="661" t="n">
        <v>120700</v>
      </c>
      <c r="S394" s="661">
        <f>R394</f>
        <v/>
      </c>
      <c r="T394" s="842" t="n"/>
      <c r="U394" s="661" t="n">
        <v>112500</v>
      </c>
      <c r="V394" s="661">
        <f>U394</f>
        <v/>
      </c>
      <c r="W394" s="661" t="n">
        <v>118900</v>
      </c>
      <c r="X394" s="661">
        <f>W394</f>
        <v/>
      </c>
      <c r="Y394" s="845">
        <f>W394/I394</f>
        <v/>
      </c>
      <c r="Z394" s="846">
        <f>SUM(W394-U394)/U394</f>
        <v/>
      </c>
      <c r="AA394" s="661" t="inlineStr">
        <is>
          <t>D</t>
        </is>
      </c>
      <c r="AB394" s="187" t="n"/>
      <c r="AC394" s="187" t="n"/>
      <c r="AD394" s="661" t="inlineStr">
        <is>
          <t>No</t>
        </is>
      </c>
      <c r="AE394" s="179" t="inlineStr">
        <is>
          <t>Tenant break on 6 months notice. 2 months rent free if not exercised.</t>
        </is>
      </c>
      <c r="AF394" s="665" t="n"/>
      <c r="AG394" s="179" t="n"/>
      <c r="AH394" s="323" t="n"/>
      <c r="AI394" s="179" t="n"/>
      <c r="AJ394" t="inlineStr">
        <is>
          <t>Let</t>
        </is>
      </c>
    </row>
    <row r="395">
      <c r="A395" t="inlineStr">
        <is>
          <t>Julco House, 26-28 Great Portland Street</t>
        </is>
      </c>
      <c r="C395" s="839" t="inlineStr">
        <is>
          <t>CD</t>
        </is>
      </c>
      <c r="D395" s="839" t="inlineStr">
        <is>
          <t>OPG</t>
        </is>
      </c>
      <c r="E395" s="179" t="n">
        <v>800100</v>
      </c>
      <c r="F395" s="179" t="inlineStr">
        <is>
          <t>Julco House, 26-28 Great Portland Street</t>
        </is>
      </c>
      <c r="G395" s="179" t="inlineStr">
        <is>
          <t>Third Floor</t>
        </is>
      </c>
      <c r="H395" s="180" t="inlineStr">
        <is>
          <t>Offices</t>
        </is>
      </c>
      <c r="I395" s="661" t="n">
        <v>1837</v>
      </c>
      <c r="J395" s="661">
        <f>I395</f>
        <v/>
      </c>
      <c r="K395" s="661" t="n">
        <v>2000</v>
      </c>
      <c r="L395" s="121" t="inlineStr">
        <is>
          <t>Hague Securities Limited</t>
        </is>
      </c>
      <c r="M395" s="662" t="n">
        <v>44900</v>
      </c>
      <c r="N395" s="662" t="n">
        <v>46725</v>
      </c>
      <c r="O395" s="662" t="n"/>
      <c r="P395" s="662" t="n"/>
      <c r="Q395" s="662" t="n">
        <v>45995</v>
      </c>
      <c r="R395" s="661" t="n">
        <v>115731</v>
      </c>
      <c r="S395" s="661">
        <f>R395</f>
        <v/>
      </c>
      <c r="T395" s="842" t="n"/>
      <c r="U395" s="661" t="n">
        <v>116600</v>
      </c>
      <c r="V395" s="661">
        <f>U395</f>
        <v/>
      </c>
      <c r="W395" s="661" t="n">
        <v>123100</v>
      </c>
      <c r="X395" s="661">
        <f>W395</f>
        <v/>
      </c>
      <c r="Y395" s="845">
        <f>W395/I395</f>
        <v/>
      </c>
      <c r="Z395" s="846">
        <f>SUM(W395-U395)/U395</f>
        <v/>
      </c>
      <c r="AA395" s="661" t="inlineStr">
        <is>
          <t>C</t>
        </is>
      </c>
      <c r="AB395" s="187" t="n"/>
      <c r="AC395" s="187" t="n"/>
      <c r="AD395" s="661" t="inlineStr">
        <is>
          <t>No</t>
        </is>
      </c>
      <c r="AE395" s="179" t="inlineStr">
        <is>
          <t>Tenant break on 6 months notice. 4 months rent free from 05/12/25 if break not exercised.</t>
        </is>
      </c>
      <c r="AF395" s="665" t="n"/>
      <c r="AG395" s="179" t="n"/>
      <c r="AH395" s="323" t="n"/>
      <c r="AI395" s="179" t="n"/>
      <c r="AJ395" t="inlineStr">
        <is>
          <t>Let</t>
        </is>
      </c>
    </row>
    <row r="396">
      <c r="A396" t="inlineStr">
        <is>
          <t>Julco House, 26-28 Great Portland Street</t>
        </is>
      </c>
      <c r="C396" s="839" t="inlineStr">
        <is>
          <t>CD</t>
        </is>
      </c>
      <c r="D396" s="839" t="inlineStr">
        <is>
          <t>OPG</t>
        </is>
      </c>
      <c r="E396" s="179" t="n">
        <v>800100</v>
      </c>
      <c r="F396" s="179" t="inlineStr">
        <is>
          <t>Julco House, 26-28 Great Portland Street</t>
        </is>
      </c>
      <c r="G396" s="179" t="inlineStr">
        <is>
          <t>Fourth Floor</t>
        </is>
      </c>
      <c r="H396" s="180" t="inlineStr">
        <is>
          <t>Offices</t>
        </is>
      </c>
      <c r="I396" s="661" t="n">
        <v>1815</v>
      </c>
      <c r="J396" s="661">
        <f>I396</f>
        <v/>
      </c>
      <c r="K396" s="661" t="n">
        <v>2000</v>
      </c>
      <c r="L396" s="121" t="inlineStr">
        <is>
          <t>Zephyrus Partners Ltd.</t>
        </is>
      </c>
      <c r="M396" s="662" t="n">
        <v>44627</v>
      </c>
      <c r="N396" s="662" t="n">
        <v>46452</v>
      </c>
      <c r="O396" s="662" t="n"/>
      <c r="P396" s="662" t="n"/>
      <c r="Q396" s="662" t="n"/>
      <c r="R396" s="661" t="n">
        <v>149742</v>
      </c>
      <c r="S396" s="661">
        <f>R396</f>
        <v/>
      </c>
      <c r="T396" s="842" t="n"/>
      <c r="U396" s="661" t="n">
        <v>115300</v>
      </c>
      <c r="V396" s="661">
        <f>U396</f>
        <v/>
      </c>
      <c r="W396" s="661" t="n">
        <v>121600</v>
      </c>
      <c r="X396" s="661">
        <f>W396</f>
        <v/>
      </c>
      <c r="Y396" s="845">
        <f>W396/I396</f>
        <v/>
      </c>
      <c r="Z396" s="846">
        <f>SUM(W396-U396)/U396</f>
        <v/>
      </c>
      <c r="AA396" s="661" t="inlineStr">
        <is>
          <t>C</t>
        </is>
      </c>
      <c r="AB396" s="187" t="n"/>
      <c r="AC396" s="187" t="n"/>
      <c r="AD396" s="661" t="inlineStr">
        <is>
          <t>No</t>
        </is>
      </c>
      <c r="AE396" s="179" t="inlineStr">
        <is>
          <t xml:space="preserve">Rent rising to £151,143 wef 07/03/26. </t>
        </is>
      </c>
      <c r="AF396" s="665" t="n"/>
      <c r="AG396" s="179" t="n"/>
      <c r="AH396" s="323" t="n"/>
      <c r="AI396" s="179" t="n"/>
      <c r="AJ396" t="inlineStr">
        <is>
          <t>Let</t>
        </is>
      </c>
    </row>
    <row r="397">
      <c r="A397" t="inlineStr">
        <is>
          <t>Julco House, 26-28 Great Portland Street</t>
        </is>
      </c>
      <c r="C397" s="839" t="inlineStr">
        <is>
          <t>CD</t>
        </is>
      </c>
      <c r="D397" s="839" t="inlineStr">
        <is>
          <t>OPG</t>
        </is>
      </c>
      <c r="E397" s="179" t="n">
        <v>800100</v>
      </c>
      <c r="F397" s="179" t="inlineStr">
        <is>
          <t>Julco House, 26-28 Great Portland Street</t>
        </is>
      </c>
      <c r="G397" s="179" t="inlineStr">
        <is>
          <t>Fifth Floor</t>
        </is>
      </c>
      <c r="H397" s="180" t="inlineStr">
        <is>
          <t>Offices</t>
        </is>
      </c>
      <c r="I397" s="661" t="n">
        <v>1815</v>
      </c>
      <c r="J397" s="661">
        <f>I397</f>
        <v/>
      </c>
      <c r="K397" s="661" t="n">
        <v>2000</v>
      </c>
      <c r="L397" s="121" t="inlineStr">
        <is>
          <t>Global Future Partnership LLP</t>
        </is>
      </c>
      <c r="M397" s="662" t="n">
        <v>45408</v>
      </c>
      <c r="N397" s="662" t="n">
        <v>47233</v>
      </c>
      <c r="O397" s="662" t="n"/>
      <c r="P397" s="662" t="n"/>
      <c r="Q397" s="662" t="n"/>
      <c r="R397" s="661" t="n">
        <v>122513</v>
      </c>
      <c r="S397" s="661">
        <f>R397</f>
        <v/>
      </c>
      <c r="T397" s="842" t="n"/>
      <c r="U397" s="661" t="n">
        <v>115300</v>
      </c>
      <c r="V397" s="661">
        <f>U397</f>
        <v/>
      </c>
      <c r="W397" s="661" t="n">
        <v>121600</v>
      </c>
      <c r="X397" s="661">
        <f>W397</f>
        <v/>
      </c>
      <c r="Y397" s="845">
        <f>W397/I397</f>
        <v/>
      </c>
      <c r="Z397" s="846">
        <f>SUM(W397-U397)/U397</f>
        <v/>
      </c>
      <c r="AA397" s="661" t="inlineStr">
        <is>
          <t>D</t>
        </is>
      </c>
      <c r="AB397" s="187" t="n"/>
      <c r="AC397" s="661" t="n"/>
      <c r="AD397" s="661" t="inlineStr">
        <is>
          <t>No</t>
        </is>
      </c>
      <c r="AE397" s="179" t="n"/>
      <c r="AF397" s="665" t="n"/>
      <c r="AG397" s="179" t="n"/>
      <c r="AH397" s="323" t="n"/>
      <c r="AI397" s="179" t="n"/>
      <c r="AJ397" t="inlineStr">
        <is>
          <t>Let</t>
        </is>
      </c>
    </row>
    <row r="398">
      <c r="A398" t="inlineStr">
        <is>
          <t>Julco House, 26-28 Great Portland Street</t>
        </is>
      </c>
      <c r="C398" s="839" t="inlineStr">
        <is>
          <t>CD</t>
        </is>
      </c>
      <c r="D398" s="839" t="inlineStr">
        <is>
          <t>OPG</t>
        </is>
      </c>
      <c r="E398" s="179" t="n">
        <v>800100</v>
      </c>
      <c r="F398" s="179" t="inlineStr">
        <is>
          <t>Julco House, 26-28 Great Portland Street</t>
        </is>
      </c>
      <c r="G398" s="179" t="inlineStr">
        <is>
          <t>Sixth Floor</t>
        </is>
      </c>
      <c r="H398" s="180" t="inlineStr">
        <is>
          <t>Offices</t>
        </is>
      </c>
      <c r="I398" s="661" t="n">
        <v>790</v>
      </c>
      <c r="J398" s="661">
        <f>I398</f>
        <v/>
      </c>
      <c r="K398" s="661" t="n">
        <v>750</v>
      </c>
      <c r="L398" s="121" t="inlineStr">
        <is>
          <t>Heywood &amp; Partners Surveyors Ltd</t>
        </is>
      </c>
      <c r="M398" s="662" t="n">
        <v>44442</v>
      </c>
      <c r="N398" s="662" t="n">
        <v>46267</v>
      </c>
      <c r="O398" s="662" t="n"/>
      <c r="P398" s="662" t="n"/>
      <c r="Q398" s="662" t="n"/>
      <c r="R398" s="661" t="n">
        <v>41080</v>
      </c>
      <c r="S398" s="661">
        <f>R398</f>
        <v/>
      </c>
      <c r="T398" s="842" t="n"/>
      <c r="U398" s="661" t="n">
        <v>46200</v>
      </c>
      <c r="V398" s="661">
        <f>U398</f>
        <v/>
      </c>
      <c r="W398" s="661" t="n">
        <v>48600</v>
      </c>
      <c r="X398" s="661">
        <f>W398</f>
        <v/>
      </c>
      <c r="Y398" s="845">
        <f>W398/I398</f>
        <v/>
      </c>
      <c r="Z398" s="846">
        <f>SUM(W398-U398)/U398</f>
        <v/>
      </c>
      <c r="AA398" s="661" t="inlineStr">
        <is>
          <t>E</t>
        </is>
      </c>
      <c r="AB398" s="187" t="n"/>
      <c r="AC398" s="187" t="n"/>
      <c r="AD398" s="661" t="inlineStr">
        <is>
          <t>No</t>
        </is>
      </c>
      <c r="AE398" s="179" t="n"/>
      <c r="AF398" s="665" t="n"/>
      <c r="AG398" s="179" t="n"/>
      <c r="AH398" s="323" t="n"/>
      <c r="AI398" s="179" t="n"/>
      <c r="AJ398" t="inlineStr">
        <is>
          <t>Let</t>
        </is>
      </c>
    </row>
    <row r="399">
      <c r="A399" t="inlineStr">
        <is>
          <t>Julco House, 26-28 Great Portland Street</t>
        </is>
      </c>
      <c r="C399" s="839" t="inlineStr">
        <is>
          <t>CD</t>
        </is>
      </c>
      <c r="D399" s="839" t="inlineStr">
        <is>
          <t>OPG</t>
        </is>
      </c>
      <c r="E399" s="179" t="n">
        <v>800100</v>
      </c>
      <c r="F399" s="179" t="inlineStr">
        <is>
          <t>Julco House, 26-28 Great Portland Street</t>
        </is>
      </c>
      <c r="G399" s="179" t="inlineStr">
        <is>
          <t>Basement Vaults</t>
        </is>
      </c>
      <c r="H399" s="188" t="inlineStr">
        <is>
          <t>Electricity Sub-Station</t>
        </is>
      </c>
      <c r="I399" s="661" t="n">
        <v>0</v>
      </c>
      <c r="J399" s="661">
        <f>I399</f>
        <v/>
      </c>
      <c r="K399" s="661" t="n"/>
      <c r="L399" s="121" t="inlineStr">
        <is>
          <t>London Power Networks Plc</t>
        </is>
      </c>
      <c r="M399" s="662" t="n">
        <v>42552</v>
      </c>
      <c r="N399" s="662" t="n">
        <v>47267</v>
      </c>
      <c r="O399" s="662" t="n"/>
      <c r="P399" s="662" t="n">
        <v>46204</v>
      </c>
      <c r="Q399" s="662" t="n"/>
      <c r="R399" s="661" t="n">
        <v>1160</v>
      </c>
      <c r="S399" s="661">
        <f>R399</f>
        <v/>
      </c>
      <c r="T399" s="842" t="n"/>
      <c r="U399" s="661" t="n">
        <v>1160</v>
      </c>
      <c r="V399" s="661">
        <f>U399</f>
        <v/>
      </c>
      <c r="W399" s="661" t="n">
        <v>1160</v>
      </c>
      <c r="X399" s="661">
        <f>W399</f>
        <v/>
      </c>
      <c r="Y399" s="845" t="n"/>
      <c r="Z399" s="846" t="n"/>
      <c r="AA399" s="661" t="n"/>
      <c r="AB399" s="187" t="n"/>
      <c r="AC399" s="187" t="n"/>
      <c r="AD399" s="661" t="inlineStr">
        <is>
          <t>Yes</t>
        </is>
      </c>
      <c r="AE399" s="179" t="inlineStr">
        <is>
          <t>Rent review to RPI.</t>
        </is>
      </c>
      <c r="AF399" s="665" t="n"/>
      <c r="AG399" s="179" t="n"/>
      <c r="AH399" s="323" t="n"/>
      <c r="AI399" s="179" t="n"/>
      <c r="AJ399" t="inlineStr">
        <is>
          <t>Let</t>
        </is>
      </c>
    </row>
    <row r="400">
      <c r="A400" t="inlineStr">
        <is>
          <t>5 Margaret Street</t>
        </is>
      </c>
      <c r="C400" s="839" t="inlineStr">
        <is>
          <t>CD</t>
        </is>
      </c>
      <c r="D400" s="839" t="inlineStr">
        <is>
          <t>OPG</t>
        </is>
      </c>
      <c r="E400" s="179" t="n">
        <v>800400</v>
      </c>
      <c r="F400" s="179" t="inlineStr">
        <is>
          <t>5 Margaret Street</t>
        </is>
      </c>
      <c r="G400" s="179" t="inlineStr">
        <is>
          <t>Whole Building</t>
        </is>
      </c>
      <c r="H400" s="180" t="inlineStr">
        <is>
          <t>Retail &amp; Office</t>
        </is>
      </c>
      <c r="I400" s="660" t="n">
        <v>2598</v>
      </c>
      <c r="J400" s="661">
        <f>I400</f>
        <v/>
      </c>
      <c r="K400" s="661" t="n">
        <v>2500</v>
      </c>
      <c r="L400" s="121" t="inlineStr">
        <is>
          <t>Workpad Fitzrovia Ltd</t>
        </is>
      </c>
      <c r="M400" s="662" t="n">
        <v>43070</v>
      </c>
      <c r="N400" s="662" t="n">
        <v>46721</v>
      </c>
      <c r="O400" s="662" t="n"/>
      <c r="P400" s="662" t="n">
        <v>44896</v>
      </c>
      <c r="Q400" s="662" t="n"/>
      <c r="R400" s="660" t="n">
        <v>155000</v>
      </c>
      <c r="S400" s="660">
        <f>R400</f>
        <v/>
      </c>
      <c r="T400" s="842" t="n"/>
      <c r="U400" s="660" t="n">
        <v>118500</v>
      </c>
      <c r="V400" s="661">
        <f>U400</f>
        <v/>
      </c>
      <c r="W400" s="660" t="n">
        <v>121500</v>
      </c>
      <c r="X400" s="661">
        <f>W400</f>
        <v/>
      </c>
      <c r="Y400" s="845">
        <f>W400/I400</f>
        <v/>
      </c>
      <c r="Z400" s="846">
        <f>SUM(W400-U400)/U400</f>
        <v/>
      </c>
      <c r="AA400" s="661" t="inlineStr">
        <is>
          <t>A</t>
        </is>
      </c>
      <c r="AB400" s="190" t="n"/>
      <c r="AC400" s="660" t="n">
        <v>2200000</v>
      </c>
      <c r="AD400" s="661" t="inlineStr">
        <is>
          <t>No</t>
        </is>
      </c>
      <c r="AE400" s="840" t="n"/>
      <c r="AF400" s="849" t="n"/>
      <c r="AG400" s="29" t="n"/>
      <c r="AH400" s="313" t="n"/>
      <c r="AI400" s="29" t="n"/>
      <c r="AJ400" t="inlineStr">
        <is>
          <t>Let</t>
        </is>
      </c>
    </row>
    <row r="401">
      <c r="A401" t="inlineStr">
        <is>
          <t>60/62 Margaret Street</t>
        </is>
      </c>
      <c r="C401" s="839" t="inlineStr">
        <is>
          <t>CM</t>
        </is>
      </c>
      <c r="D401" s="839" t="inlineStr">
        <is>
          <t>OPG</t>
        </is>
      </c>
      <c r="E401" s="179" t="n">
        <v>800300</v>
      </c>
      <c r="F401" s="179" t="inlineStr">
        <is>
          <t>60/62 Margaret Street</t>
        </is>
      </c>
      <c r="G401" s="179" t="inlineStr">
        <is>
          <t>Whole Building</t>
        </is>
      </c>
      <c r="H401" s="237" t="inlineStr">
        <is>
          <t>Offices</t>
        </is>
      </c>
      <c r="I401" s="660" t="n">
        <v>19812</v>
      </c>
      <c r="J401" s="679">
        <f>I401</f>
        <v/>
      </c>
      <c r="K401" s="679" t="n">
        <v>20000</v>
      </c>
      <c r="L401" s="121" t="inlineStr">
        <is>
          <t>Creo London Limited.</t>
        </is>
      </c>
      <c r="M401" s="662" t="n">
        <v>44986</v>
      </c>
      <c r="N401" s="662" t="n">
        <v>50464</v>
      </c>
      <c r="O401" s="662" t="n"/>
      <c r="P401" s="662" t="n">
        <v>46813</v>
      </c>
      <c r="Q401" s="662" t="n"/>
      <c r="R401" s="660" t="n">
        <v>729167</v>
      </c>
      <c r="S401" s="661">
        <f>R401</f>
        <v/>
      </c>
      <c r="U401" s="660" t="n">
        <v>1250000</v>
      </c>
      <c r="V401" s="661">
        <f>U401</f>
        <v/>
      </c>
      <c r="W401" s="660" t="n">
        <v>1250000</v>
      </c>
      <c r="X401" s="661">
        <f>W401</f>
        <v/>
      </c>
      <c r="Y401" s="845">
        <f>W401/I401</f>
        <v/>
      </c>
      <c r="Z401" s="846">
        <f>SUM(W401-U401)/U401</f>
        <v/>
      </c>
      <c r="AA401" s="661" t="inlineStr">
        <is>
          <t>B</t>
        </is>
      </c>
      <c r="AB401" s="193" t="n"/>
      <c r="AC401" s="660" t="n">
        <v>22175000</v>
      </c>
      <c r="AD401" s="661" t="inlineStr">
        <is>
          <t>No</t>
        </is>
      </c>
      <c r="AE401" s="179" t="inlineStr">
        <is>
          <t xml:space="preserve">Rent rising to £1,250,000 wef 01/03/26. </t>
        </is>
      </c>
      <c r="AF401" s="665" t="n"/>
      <c r="AG401" s="179" t="n"/>
      <c r="AH401" s="323" t="n"/>
      <c r="AI401" s="179" t="n"/>
      <c r="AJ401" t="inlineStr">
        <is>
          <t>Let</t>
        </is>
      </c>
    </row>
    <row r="402">
      <c r="A402" t="inlineStr">
        <is>
          <t>85 Mortimer Street</t>
        </is>
      </c>
      <c r="C402" s="839" t="inlineStr">
        <is>
          <t>WS</t>
        </is>
      </c>
      <c r="D402" s="839" t="inlineStr">
        <is>
          <t>OPG</t>
        </is>
      </c>
      <c r="E402" s="179" t="n">
        <v>800500</v>
      </c>
      <c r="F402" s="179" t="inlineStr">
        <is>
          <t>85 Mortimer Street</t>
        </is>
      </c>
      <c r="G402" s="179" t="inlineStr">
        <is>
          <t>Basement &amp; Ground</t>
        </is>
      </c>
      <c r="H402" s="180" t="inlineStr">
        <is>
          <t>Showroom</t>
        </is>
      </c>
      <c r="I402" s="661" t="n">
        <v>1582</v>
      </c>
      <c r="J402" s="679">
        <f>I402</f>
        <v/>
      </c>
      <c r="K402" s="679" t="n">
        <v>1500</v>
      </c>
      <c r="L402" s="121" t="inlineStr">
        <is>
          <t>The Feel Good Group Ltd.</t>
        </is>
      </c>
      <c r="M402" s="662" t="n">
        <v>43514</v>
      </c>
      <c r="N402" s="662" t="n">
        <v>46982</v>
      </c>
      <c r="O402" s="662" t="n"/>
      <c r="P402" s="662" t="n">
        <v>45340</v>
      </c>
      <c r="Q402" s="662" t="n"/>
      <c r="R402" s="661" t="n">
        <v>70000</v>
      </c>
      <c r="S402" s="661">
        <f>R402</f>
        <v/>
      </c>
      <c r="T402" s="842" t="n"/>
      <c r="U402" s="661" t="n">
        <v>63300</v>
      </c>
      <c r="V402" s="661">
        <f>U402</f>
        <v/>
      </c>
      <c r="W402" s="661" t="n">
        <v>63300</v>
      </c>
      <c r="X402" s="661">
        <f>W402</f>
        <v/>
      </c>
      <c r="Y402" s="845">
        <f>W402/I402</f>
        <v/>
      </c>
      <c r="Z402" s="846">
        <f>SUM(W402-U402)/U402</f>
        <v/>
      </c>
      <c r="AA402" s="661" t="inlineStr">
        <is>
          <t>C</t>
        </is>
      </c>
      <c r="AB402" s="193" t="n"/>
      <c r="AC402" s="660" t="n"/>
      <c r="AD402" s="661" t="inlineStr">
        <is>
          <t>No</t>
        </is>
      </c>
      <c r="AE402" s="179" t="n"/>
      <c r="AF402" s="665" t="n"/>
      <c r="AG402" s="179" t="n"/>
      <c r="AH402" s="323" t="n"/>
      <c r="AI402" s="179" t="n"/>
      <c r="AJ402" t="inlineStr">
        <is>
          <t>Let</t>
        </is>
      </c>
    </row>
    <row r="403">
      <c r="A403" t="inlineStr">
        <is>
          <t>85 Mortimer Street</t>
        </is>
      </c>
      <c r="C403" s="839" t="inlineStr">
        <is>
          <t>WS</t>
        </is>
      </c>
      <c r="D403" s="839" t="inlineStr">
        <is>
          <t>OPG</t>
        </is>
      </c>
      <c r="E403" s="179" t="n">
        <v>800500</v>
      </c>
      <c r="F403" s="179" t="inlineStr">
        <is>
          <t>85 Mortimer Street</t>
        </is>
      </c>
      <c r="G403" s="179" t="inlineStr">
        <is>
          <t>First to Third Floors</t>
        </is>
      </c>
      <c r="H403" s="180" t="inlineStr">
        <is>
          <t>Offices</t>
        </is>
      </c>
      <c r="I403" s="661" t="n">
        <v>1248</v>
      </c>
      <c r="J403" s="679">
        <f>I403</f>
        <v/>
      </c>
      <c r="K403" s="679" t="n">
        <v>1250</v>
      </c>
      <c r="L403" s="121" t="inlineStr">
        <is>
          <t>Vacant</t>
        </is>
      </c>
      <c r="M403" s="662" t="n"/>
      <c r="N403" s="662" t="n"/>
      <c r="O403" s="662" t="n">
        <v>44550</v>
      </c>
      <c r="P403" s="662" t="n"/>
      <c r="Q403" s="662" t="n"/>
      <c r="R403" s="661" t="n">
        <v>0</v>
      </c>
      <c r="S403" s="661">
        <f>R403</f>
        <v/>
      </c>
      <c r="T403" s="842" t="n"/>
      <c r="U403" s="661" t="n">
        <v>66800</v>
      </c>
      <c r="V403" s="661">
        <f>U403</f>
        <v/>
      </c>
      <c r="W403" s="661" t="n">
        <v>66800</v>
      </c>
      <c r="X403" s="661">
        <f>W403</f>
        <v/>
      </c>
      <c r="Y403" s="845">
        <f>W403/I403</f>
        <v/>
      </c>
      <c r="Z403" s="846">
        <f>SUM(W403-U403)/U403</f>
        <v/>
      </c>
      <c r="AA403" s="661" t="inlineStr">
        <is>
          <t>B</t>
        </is>
      </c>
      <c r="AB403" s="193" t="n"/>
      <c r="AC403" s="660" t="n"/>
      <c r="AD403" s="661" t="inlineStr">
        <is>
          <t>No</t>
        </is>
      </c>
      <c r="AE403" s="179" t="inlineStr">
        <is>
          <t>To be refurbished.</t>
        </is>
      </c>
      <c r="AF403" s="665" t="n">
        <v>58</v>
      </c>
      <c r="AG403" s="179" t="n">
        <v>2</v>
      </c>
      <c r="AH403" s="323" t="n">
        <v>5</v>
      </c>
      <c r="AI403" s="179" t="n"/>
      <c r="AJ403" t="inlineStr">
        <is>
          <t>Void</t>
        </is>
      </c>
    </row>
    <row r="404">
      <c r="A404" t="inlineStr">
        <is>
          <t>Welbeck House, 66/67 Wells Street</t>
        </is>
      </c>
      <c r="C404" s="839" t="inlineStr">
        <is>
          <t>WS</t>
        </is>
      </c>
      <c r="D404" s="839" t="inlineStr">
        <is>
          <t>OPG</t>
        </is>
      </c>
      <c r="E404" s="179" t="n">
        <v>800600</v>
      </c>
      <c r="F404" s="179" t="inlineStr">
        <is>
          <t>Welbeck House, 66/67 Wells Street</t>
        </is>
      </c>
      <c r="G404" s="179" t="inlineStr">
        <is>
          <t>Basement (67)</t>
        </is>
      </c>
      <c r="H404" s="188" t="inlineStr">
        <is>
          <t>Electricity / Substation</t>
        </is>
      </c>
      <c r="I404" s="661" t="n">
        <v>0</v>
      </c>
      <c r="J404" s="679">
        <f>I404</f>
        <v/>
      </c>
      <c r="K404" s="679" t="n"/>
      <c r="L404" s="121" t="inlineStr">
        <is>
          <t>London Power Networks Plc</t>
        </is>
      </c>
      <c r="M404" s="662" t="n">
        <v>18170</v>
      </c>
      <c r="N404" s="662" t="n">
        <v>54329</v>
      </c>
      <c r="O404" s="662" t="n"/>
      <c r="P404" s="662" t="n"/>
      <c r="Q404" s="662" t="n"/>
      <c r="R404" s="661" t="n">
        <v>0</v>
      </c>
      <c r="S404" s="661">
        <f>R404</f>
        <v/>
      </c>
      <c r="T404" s="842" t="n"/>
      <c r="U404" s="661" t="n">
        <v>0</v>
      </c>
      <c r="V404" s="661">
        <f>U404</f>
        <v/>
      </c>
      <c r="W404" s="661" t="n">
        <v>0</v>
      </c>
      <c r="X404" s="661">
        <f>W404</f>
        <v/>
      </c>
      <c r="Y404" s="845" t="n"/>
      <c r="Z404" s="846" t="n"/>
      <c r="AA404" s="661" t="n"/>
      <c r="AB404" s="193" t="n"/>
      <c r="AC404" s="660" t="n"/>
      <c r="AD404" s="661" t="inlineStr">
        <is>
          <t>Yes</t>
        </is>
      </c>
      <c r="AE404" s="179" t="inlineStr">
        <is>
          <t>Rent 5p paid annually on 25th March</t>
        </is>
      </c>
      <c r="AF404" s="665" t="n"/>
      <c r="AG404" s="179" t="n"/>
      <c r="AH404" s="323" t="n"/>
      <c r="AI404" s="179" t="n"/>
      <c r="AJ404" t="inlineStr">
        <is>
          <t>Let</t>
        </is>
      </c>
    </row>
    <row r="405">
      <c r="A405" t="inlineStr">
        <is>
          <t>Welbeck House, 66/67 Wells Street</t>
        </is>
      </c>
      <c r="C405" s="839" t="inlineStr">
        <is>
          <t>WS</t>
        </is>
      </c>
      <c r="D405" s="839" t="inlineStr">
        <is>
          <t>OPG</t>
        </is>
      </c>
      <c r="E405" s="179" t="n">
        <v>800600</v>
      </c>
      <c r="F405" s="179" t="inlineStr">
        <is>
          <t>Welbeck House, 66/67 Wells Street</t>
        </is>
      </c>
      <c r="G405" s="179" t="inlineStr">
        <is>
          <t>Basement &amp; Ground (67), Rear (66/67) &amp; 1st Floor (R) 66.</t>
        </is>
      </c>
      <c r="H405" s="180" t="inlineStr">
        <is>
          <t>Retail / Offices</t>
        </is>
      </c>
      <c r="I405" s="661" t="n">
        <v>3356</v>
      </c>
      <c r="J405" s="679">
        <f>I405</f>
        <v/>
      </c>
      <c r="K405" s="679" t="n">
        <v>3500</v>
      </c>
      <c r="L405" s="121" t="inlineStr">
        <is>
          <t>Vacant</t>
        </is>
      </c>
      <c r="M405" s="662" t="n"/>
      <c r="N405" s="662" t="n"/>
      <c r="O405" s="662" t="n">
        <v>45457</v>
      </c>
      <c r="P405" s="662" t="n"/>
      <c r="Q405" s="662" t="n"/>
      <c r="R405" s="661" t="n">
        <v>0</v>
      </c>
      <c r="S405" s="661">
        <f>R405</f>
        <v/>
      </c>
      <c r="T405" s="842" t="n"/>
      <c r="U405" s="661" t="n">
        <v>174600</v>
      </c>
      <c r="V405" s="661">
        <f>U405</f>
        <v/>
      </c>
      <c r="W405" s="661" t="n">
        <v>174600</v>
      </c>
      <c r="X405" s="661">
        <f>W405</f>
        <v/>
      </c>
      <c r="Y405" s="845">
        <f>W405/I405</f>
        <v/>
      </c>
      <c r="Z405" s="846">
        <f>SUM(W405-U405)/U405</f>
        <v/>
      </c>
      <c r="AA405" s="661" t="inlineStr">
        <is>
          <t>B</t>
        </is>
      </c>
      <c r="AB405" s="193" t="n"/>
      <c r="AC405" s="660" t="n"/>
      <c r="AD405" s="661" t="inlineStr">
        <is>
          <t>No</t>
        </is>
      </c>
      <c r="AE405" s="179" t="inlineStr">
        <is>
          <t>To be refurbished.</t>
        </is>
      </c>
      <c r="AF405" s="665" t="n">
        <v>45</v>
      </c>
      <c r="AG405" s="179" t="n">
        <v>3</v>
      </c>
      <c r="AH405" s="323" t="n">
        <v>10</v>
      </c>
      <c r="AI405" s="179" t="inlineStr">
        <is>
          <t>LEM</t>
        </is>
      </c>
      <c r="AJ405" t="inlineStr">
        <is>
          <t>Void</t>
        </is>
      </c>
    </row>
    <row r="406">
      <c r="A406" t="inlineStr">
        <is>
          <t>Welbeck House, 66/67 Wells Street</t>
        </is>
      </c>
      <c r="C406" s="839" t="inlineStr">
        <is>
          <t>WS</t>
        </is>
      </c>
      <c r="D406" s="839" t="inlineStr">
        <is>
          <t>OPG</t>
        </is>
      </c>
      <c r="E406" s="179" t="n">
        <v>800600</v>
      </c>
      <c r="F406" s="179" t="inlineStr">
        <is>
          <t>Welbeck House, 66/67 Wells Street</t>
        </is>
      </c>
      <c r="G406" s="179" t="inlineStr">
        <is>
          <t>Basement &amp; Ground (66)</t>
        </is>
      </c>
      <c r="H406" s="180" t="inlineStr">
        <is>
          <t>Shop</t>
        </is>
      </c>
      <c r="I406" s="661" t="n">
        <v>1157</v>
      </c>
      <c r="J406" s="679">
        <f>I406</f>
        <v/>
      </c>
      <c r="K406" s="679" t="n">
        <v>1000</v>
      </c>
      <c r="L406" s="121" t="inlineStr">
        <is>
          <t>Noble Furs (Regent Street) Ltd</t>
        </is>
      </c>
      <c r="M406" s="662" t="n">
        <v>45230</v>
      </c>
      <c r="N406" s="662" t="n">
        <v>46325</v>
      </c>
      <c r="O406" s="662" t="n"/>
      <c r="P406" s="662" t="n"/>
      <c r="Q406" s="662" t="n"/>
      <c r="R406" s="661" t="n">
        <v>46000</v>
      </c>
      <c r="S406" s="661">
        <f>R406</f>
        <v/>
      </c>
      <c r="T406" s="842" t="n"/>
      <c r="U406" s="661" t="n">
        <v>52800</v>
      </c>
      <c r="V406" s="661">
        <f>U406</f>
        <v/>
      </c>
      <c r="W406" s="661" t="n">
        <v>52800</v>
      </c>
      <c r="X406" s="661">
        <f>W406</f>
        <v/>
      </c>
      <c r="Y406" s="845">
        <f>W406/I406</f>
        <v/>
      </c>
      <c r="Z406" s="846">
        <f>SUM(W406-U406)/U406</f>
        <v/>
      </c>
      <c r="AA406" s="661" t="inlineStr">
        <is>
          <t>D</t>
        </is>
      </c>
      <c r="AB406" s="193" t="n"/>
      <c r="AC406" s="660" t="n"/>
      <c r="AD406" s="661" t="inlineStr">
        <is>
          <t>No</t>
        </is>
      </c>
      <c r="AE406" s="179" t="inlineStr">
        <is>
          <t xml:space="preserve">Further 2 months rent free @ 31/10/25. Rent rises to £50,600 @ 31/12/25. Mutual break on 3 months notice. </t>
        </is>
      </c>
      <c r="AF406" s="665" t="n"/>
      <c r="AG406" s="179" t="n"/>
      <c r="AH406" s="323" t="n"/>
      <c r="AI406" s="179" t="n"/>
      <c r="AJ406" t="inlineStr">
        <is>
          <t>Let</t>
        </is>
      </c>
    </row>
    <row r="407">
      <c r="A407" t="inlineStr">
        <is>
          <t>Welbeck House, 66/67 Wells Street</t>
        </is>
      </c>
      <c r="C407" s="839" t="inlineStr">
        <is>
          <t>WS</t>
        </is>
      </c>
      <c r="D407" s="839" t="inlineStr">
        <is>
          <t>OPG</t>
        </is>
      </c>
      <c r="E407" s="179" t="n">
        <v>800600</v>
      </c>
      <c r="F407" s="179" t="inlineStr">
        <is>
          <t>Welbeck House, 66/67 Wells Street</t>
        </is>
      </c>
      <c r="G407" s="179" t="inlineStr">
        <is>
          <t>First Floor (Front)</t>
        </is>
      </c>
      <c r="H407" s="180" t="inlineStr">
        <is>
          <t>Offices</t>
        </is>
      </c>
      <c r="I407" s="661" t="n">
        <v>1015</v>
      </c>
      <c r="J407" s="679">
        <f>I407</f>
        <v/>
      </c>
      <c r="K407" s="679" t="n">
        <v>1000</v>
      </c>
      <c r="L407" s="121" t="inlineStr">
        <is>
          <t>Vacant</t>
        </is>
      </c>
      <c r="M407" s="662" t="n"/>
      <c r="N407" s="662" t="n"/>
      <c r="O407" s="662" t="n">
        <v>43840</v>
      </c>
      <c r="P407" s="662" t="n"/>
      <c r="Q407" s="662" t="n"/>
      <c r="R407" s="661" t="n">
        <v>0</v>
      </c>
      <c r="S407" s="661">
        <f>R407</f>
        <v/>
      </c>
      <c r="T407" s="842" t="n"/>
      <c r="U407" s="661" t="n">
        <v>53300</v>
      </c>
      <c r="V407" s="661">
        <f>U407</f>
        <v/>
      </c>
      <c r="W407" s="661" t="n">
        <v>53300</v>
      </c>
      <c r="X407" s="661">
        <f>W407</f>
        <v/>
      </c>
      <c r="Y407" s="845">
        <f>W407/I407</f>
        <v/>
      </c>
      <c r="Z407" s="846">
        <f>SUM(W407-U407)/U407</f>
        <v/>
      </c>
      <c r="AA407" s="661" t="inlineStr">
        <is>
          <t>D</t>
        </is>
      </c>
      <c r="AB407" s="193" t="n"/>
      <c r="AC407" s="660" t="n"/>
      <c r="AD407" s="661" t="inlineStr">
        <is>
          <t>No</t>
        </is>
      </c>
      <c r="AE407" s="840" t="inlineStr">
        <is>
          <t>Mothballed.</t>
        </is>
      </c>
      <c r="AF407" s="849" t="n"/>
      <c r="AG407" s="29" t="n"/>
      <c r="AH407" s="313" t="n"/>
      <c r="AI407" s="29" t="n"/>
      <c r="AJ407" t="inlineStr">
        <is>
          <t>Void</t>
        </is>
      </c>
    </row>
    <row r="408">
      <c r="A408" t="inlineStr">
        <is>
          <t>Welbeck House, 66/67 Wells Street</t>
        </is>
      </c>
      <c r="C408" s="839" t="inlineStr">
        <is>
          <t>WS</t>
        </is>
      </c>
      <c r="D408" s="839" t="inlineStr">
        <is>
          <t>OPG</t>
        </is>
      </c>
      <c r="E408" s="179" t="n">
        <v>800600</v>
      </c>
      <c r="F408" s="179" t="inlineStr">
        <is>
          <t>Welbeck House, 66/67 Wells Street</t>
        </is>
      </c>
      <c r="G408" s="179" t="inlineStr">
        <is>
          <t>First Floor (Rear)</t>
        </is>
      </c>
      <c r="H408" s="180" t="inlineStr">
        <is>
          <t>Offices</t>
        </is>
      </c>
      <c r="I408" s="661" t="n">
        <v>250</v>
      </c>
      <c r="J408" s="679">
        <f>I408</f>
        <v/>
      </c>
      <c r="K408" s="679" t="n">
        <v>250</v>
      </c>
      <c r="L408" s="121" t="inlineStr">
        <is>
          <t>Vacant</t>
        </is>
      </c>
      <c r="M408" s="662" t="n"/>
      <c r="N408" s="662" t="n"/>
      <c r="O408" s="662" t="n">
        <v>45682</v>
      </c>
      <c r="P408" s="662" t="n"/>
      <c r="Q408" s="662" t="n"/>
      <c r="R408" s="661" t="n">
        <v>0</v>
      </c>
      <c r="S408" s="661">
        <f>R408</f>
        <v/>
      </c>
      <c r="T408" s="842" t="n"/>
      <c r="U408" s="661" t="n">
        <v>14500</v>
      </c>
      <c r="V408" s="661">
        <f>U408</f>
        <v/>
      </c>
      <c r="W408" s="661" t="n">
        <v>14500</v>
      </c>
      <c r="X408" s="661">
        <f>W408</f>
        <v/>
      </c>
      <c r="Y408" s="845">
        <f>W408/I408</f>
        <v/>
      </c>
      <c r="Z408" s="846">
        <f>SUM(W408-U408)/U408</f>
        <v/>
      </c>
      <c r="AA408" s="661" t="inlineStr">
        <is>
          <t>D</t>
        </is>
      </c>
      <c r="AB408" s="193" t="n"/>
      <c r="AC408" s="660" t="n"/>
      <c r="AD408" s="661" t="inlineStr">
        <is>
          <t>No</t>
        </is>
      </c>
      <c r="AE408" s="179" t="inlineStr">
        <is>
          <t>LEM marketing.</t>
        </is>
      </c>
      <c r="AF408" s="665" t="n"/>
      <c r="AG408" s="179" t="n"/>
      <c r="AH408" s="323" t="n">
        <v>1</v>
      </c>
      <c r="AI408" s="179" t="n"/>
      <c r="AJ408" t="inlineStr">
        <is>
          <t>Void</t>
        </is>
      </c>
    </row>
    <row r="409">
      <c r="A409" t="inlineStr">
        <is>
          <t>Welbeck House, 66/67 Wells Street</t>
        </is>
      </c>
      <c r="C409" s="839" t="inlineStr">
        <is>
          <t>WS</t>
        </is>
      </c>
      <c r="D409" s="839" t="inlineStr">
        <is>
          <t>OPG</t>
        </is>
      </c>
      <c r="E409" s="179" t="n">
        <v>800600</v>
      </c>
      <c r="F409" s="179" t="inlineStr">
        <is>
          <t>Welbeck House, 66/67 Wells Street</t>
        </is>
      </c>
      <c r="G409" s="179" t="inlineStr">
        <is>
          <t>Second Floor (Front)</t>
        </is>
      </c>
      <c r="H409" s="180" t="inlineStr">
        <is>
          <t>Offices</t>
        </is>
      </c>
      <c r="I409" s="661" t="n">
        <v>1026</v>
      </c>
      <c r="J409" s="679">
        <f>I409</f>
        <v/>
      </c>
      <c r="K409" s="679" t="n">
        <v>1000</v>
      </c>
      <c r="L409" s="121" t="inlineStr">
        <is>
          <t>Vacant</t>
        </is>
      </c>
      <c r="M409" s="662" t="n"/>
      <c r="N409" s="662" t="n"/>
      <c r="O409" s="662" t="n">
        <v>44500</v>
      </c>
      <c r="P409" s="662" t="n"/>
      <c r="Q409" s="662" t="n"/>
      <c r="R409" s="661" t="n">
        <v>0</v>
      </c>
      <c r="S409" s="661">
        <f>R409</f>
        <v/>
      </c>
      <c r="T409" s="842" t="n"/>
      <c r="U409" s="661" t="n">
        <v>53900</v>
      </c>
      <c r="V409" s="661">
        <f>U409</f>
        <v/>
      </c>
      <c r="W409" s="661" t="n">
        <v>53900</v>
      </c>
      <c r="X409" s="661">
        <f>W409</f>
        <v/>
      </c>
      <c r="Y409" s="845">
        <f>W409/I409</f>
        <v/>
      </c>
      <c r="Z409" s="846">
        <f>SUM(W409-U409)/U409</f>
        <v/>
      </c>
      <c r="AA409" s="661" t="inlineStr">
        <is>
          <t>C</t>
        </is>
      </c>
      <c r="AB409" s="193" t="n"/>
      <c r="AC409" s="660" t="n"/>
      <c r="AD409" s="661" t="inlineStr">
        <is>
          <t>No</t>
        </is>
      </c>
      <c r="AE409" s="840" t="inlineStr">
        <is>
          <t>Mothballed.</t>
        </is>
      </c>
      <c r="AF409" s="849" t="n"/>
      <c r="AG409" s="29" t="n"/>
      <c r="AH409" s="313" t="n"/>
      <c r="AI409" s="29" t="n"/>
      <c r="AJ409" t="inlineStr">
        <is>
          <t>Void</t>
        </is>
      </c>
    </row>
    <row r="410">
      <c r="A410" t="inlineStr">
        <is>
          <t>Welbeck House, 66/67 Wells Street</t>
        </is>
      </c>
      <c r="C410" s="839" t="inlineStr">
        <is>
          <t>WS</t>
        </is>
      </c>
      <c r="D410" s="839" t="inlineStr">
        <is>
          <t>OPG</t>
        </is>
      </c>
      <c r="E410" s="179" t="n">
        <v>800600</v>
      </c>
      <c r="F410" s="179" t="inlineStr">
        <is>
          <t>Welbeck House, 66/67 Wells Street</t>
        </is>
      </c>
      <c r="G410" s="179" t="inlineStr">
        <is>
          <t>Second Floor (Rear)</t>
        </is>
      </c>
      <c r="H410" s="180" t="inlineStr">
        <is>
          <t>Offices</t>
        </is>
      </c>
      <c r="I410" s="661" t="n">
        <v>242</v>
      </c>
      <c r="J410" s="679">
        <f>I410</f>
        <v/>
      </c>
      <c r="K410" s="679" t="n">
        <v>250</v>
      </c>
      <c r="L410" s="121" t="inlineStr">
        <is>
          <t>Vacant</t>
        </is>
      </c>
      <c r="M410" s="662" t="n"/>
      <c r="N410" s="662" t="n"/>
      <c r="O410" s="662" t="n">
        <v>44135</v>
      </c>
      <c r="P410" s="662" t="n"/>
      <c r="Q410" s="662" t="n"/>
      <c r="R410" s="661" t="n">
        <v>0</v>
      </c>
      <c r="S410" s="661">
        <f>R410</f>
        <v/>
      </c>
      <c r="T410" s="842" t="n"/>
      <c r="U410" s="661" t="n">
        <v>14000</v>
      </c>
      <c r="V410" s="661">
        <f>U410</f>
        <v/>
      </c>
      <c r="W410" s="661" t="n">
        <v>14000</v>
      </c>
      <c r="X410" s="661">
        <f>W410</f>
        <v/>
      </c>
      <c r="Y410" s="845">
        <f>W410/I410</f>
        <v/>
      </c>
      <c r="Z410" s="846">
        <f>SUM(W410-U410)/U410</f>
        <v/>
      </c>
      <c r="AA410" s="661" t="inlineStr">
        <is>
          <t>E</t>
        </is>
      </c>
      <c r="AB410" s="193" t="n"/>
      <c r="AC410" s="660" t="n"/>
      <c r="AD410" s="661" t="inlineStr">
        <is>
          <t>No</t>
        </is>
      </c>
      <c r="AE410" s="840" t="inlineStr">
        <is>
          <t>Mothballed.</t>
        </is>
      </c>
      <c r="AF410" s="849" t="n"/>
      <c r="AG410" s="29" t="n"/>
      <c r="AH410" s="313" t="n"/>
      <c r="AI410" s="29" t="n"/>
      <c r="AJ410" t="inlineStr">
        <is>
          <t>Void</t>
        </is>
      </c>
    </row>
    <row r="411">
      <c r="A411" t="inlineStr">
        <is>
          <t>Welbeck House, 66/67 Wells Street</t>
        </is>
      </c>
      <c r="C411" s="839" t="inlineStr">
        <is>
          <t>WS</t>
        </is>
      </c>
      <c r="D411" s="839" t="inlineStr">
        <is>
          <t>OPG</t>
        </is>
      </c>
      <c r="E411" s="179" t="n">
        <v>800600</v>
      </c>
      <c r="F411" s="179" t="inlineStr">
        <is>
          <t>Welbeck House, 66/67 Wells Street</t>
        </is>
      </c>
      <c r="G411" s="179" t="inlineStr">
        <is>
          <t>Third Floor</t>
        </is>
      </c>
      <c r="H411" s="180" t="inlineStr">
        <is>
          <t>Offices</t>
        </is>
      </c>
      <c r="I411" s="661" t="n">
        <v>1028</v>
      </c>
      <c r="J411" s="679">
        <f>I411</f>
        <v/>
      </c>
      <c r="K411" s="679" t="n">
        <v>1000</v>
      </c>
      <c r="L411" s="121" t="inlineStr">
        <is>
          <t>Investments Services UK Ltd</t>
        </is>
      </c>
      <c r="M411" s="662" t="n">
        <v>44135</v>
      </c>
      <c r="N411" s="662" t="n">
        <v>45960</v>
      </c>
      <c r="O411" s="662" t="n"/>
      <c r="P411" s="662" t="n"/>
      <c r="Q411" s="662" t="n"/>
      <c r="R411" s="661" t="n">
        <v>52572</v>
      </c>
      <c r="S411" s="661">
        <f>R411</f>
        <v/>
      </c>
      <c r="T411" s="842" t="n"/>
      <c r="U411" s="661" t="n">
        <v>51400</v>
      </c>
      <c r="V411" s="661">
        <f>U411</f>
        <v/>
      </c>
      <c r="W411" s="661" t="n">
        <v>51400</v>
      </c>
      <c r="X411" s="661">
        <f>W411</f>
        <v/>
      </c>
      <c r="Y411" s="845">
        <f>W411/I411</f>
        <v/>
      </c>
      <c r="Z411" s="846">
        <f>SUM(W411-U411)/U411</f>
        <v/>
      </c>
      <c r="AA411" s="661" t="inlineStr">
        <is>
          <t>D</t>
        </is>
      </c>
      <c r="AB411" s="193" t="n"/>
      <c r="AC411" s="660" t="n"/>
      <c r="AD411" s="661" t="inlineStr">
        <is>
          <t>No</t>
        </is>
      </c>
      <c r="AE411" s="840" t="inlineStr">
        <is>
          <t>Mothballed.</t>
        </is>
      </c>
      <c r="AF411" s="849" t="n"/>
      <c r="AG411" s="29" t="n"/>
      <c r="AH411" s="313" t="n"/>
      <c r="AI411" s="29" t="n"/>
      <c r="AJ411" t="inlineStr">
        <is>
          <t>Let</t>
        </is>
      </c>
    </row>
    <row r="412">
      <c r="A412" t="inlineStr">
        <is>
          <t>Welbeck House, 66/67 Wells Street</t>
        </is>
      </c>
      <c r="C412" s="839" t="inlineStr">
        <is>
          <t>WS</t>
        </is>
      </c>
      <c r="D412" s="839" t="inlineStr">
        <is>
          <t>OPG</t>
        </is>
      </c>
      <c r="E412" s="179" t="n">
        <v>800600</v>
      </c>
      <c r="F412" s="179" t="inlineStr">
        <is>
          <t>Welbeck House, 66/67 Wells Street</t>
        </is>
      </c>
      <c r="G412" s="179" t="inlineStr">
        <is>
          <t>Fourth Floor</t>
        </is>
      </c>
      <c r="H412" s="180" t="inlineStr">
        <is>
          <t>Offices</t>
        </is>
      </c>
      <c r="I412" s="661" t="n">
        <v>834</v>
      </c>
      <c r="J412" s="679">
        <f>I412</f>
        <v/>
      </c>
      <c r="K412" s="679" t="n">
        <v>1000</v>
      </c>
      <c r="L412" s="121" t="inlineStr">
        <is>
          <t>Vacant</t>
        </is>
      </c>
      <c r="M412" s="662" t="n"/>
      <c r="N412" s="662" t="n"/>
      <c r="O412" s="662" t="n">
        <v>43840</v>
      </c>
      <c r="P412" s="662" t="n"/>
      <c r="Q412" s="662" t="n"/>
      <c r="R412" s="661" t="n">
        <v>0</v>
      </c>
      <c r="S412" s="661">
        <f>R412</f>
        <v/>
      </c>
      <c r="T412" s="842" t="n"/>
      <c r="U412" s="661" t="n">
        <v>43800</v>
      </c>
      <c r="V412" s="661">
        <f>U412</f>
        <v/>
      </c>
      <c r="W412" s="661" t="n">
        <v>43800</v>
      </c>
      <c r="X412" s="661">
        <f>W412</f>
        <v/>
      </c>
      <c r="Y412" s="845">
        <f>W412/I412</f>
        <v/>
      </c>
      <c r="Z412" s="846">
        <f>SUM(W412-U412)/U412</f>
        <v/>
      </c>
      <c r="AA412" s="661" t="inlineStr">
        <is>
          <t>D</t>
        </is>
      </c>
      <c r="AB412" s="193" t="n"/>
      <c r="AC412" s="660" t="n"/>
      <c r="AD412" s="661" t="inlineStr">
        <is>
          <t>No</t>
        </is>
      </c>
      <c r="AE412" s="840" t="inlineStr">
        <is>
          <t>Mothballed.</t>
        </is>
      </c>
      <c r="AF412" s="849" t="n"/>
      <c r="AG412" s="29" t="n"/>
      <c r="AH412" s="313" t="n"/>
      <c r="AI412" s="29" t="n"/>
      <c r="AJ412" t="inlineStr">
        <is>
          <t>Void</t>
        </is>
      </c>
    </row>
    <row r="413">
      <c r="A413" t="inlineStr">
        <is>
          <t>32-36 Great Portland Street</t>
        </is>
      </c>
      <c r="C413" s="839" t="inlineStr">
        <is>
          <t>CD</t>
        </is>
      </c>
      <c r="D413" s="839" t="inlineStr">
        <is>
          <t>PEL</t>
        </is>
      </c>
      <c r="E413" s="179" t="n">
        <v>111010</v>
      </c>
      <c r="F413" s="179" t="inlineStr">
        <is>
          <t>32-36 Great Portland Street</t>
        </is>
      </c>
      <c r="G413" s="179" t="inlineStr">
        <is>
          <t>Ground Floor &amp; Basement</t>
        </is>
      </c>
      <c r="H413" s="188" t="inlineStr">
        <is>
          <t>Retail / Showroom</t>
        </is>
      </c>
      <c r="I413" s="661" t="n">
        <v>4289</v>
      </c>
      <c r="J413" s="661">
        <f>I413</f>
        <v/>
      </c>
      <c r="K413" s="661" t="n">
        <v>4250</v>
      </c>
      <c r="L413" s="121" t="inlineStr">
        <is>
          <t>Prenuvo Ltd</t>
        </is>
      </c>
      <c r="M413" s="662" t="n">
        <v>45510</v>
      </c>
      <c r="N413" s="662" t="n">
        <v>50987</v>
      </c>
      <c r="O413" s="662" t="n"/>
      <c r="P413" s="662" t="n">
        <v>47336</v>
      </c>
      <c r="Q413" s="662" t="n">
        <v>49162</v>
      </c>
      <c r="R413" s="661" t="n">
        <v>110000</v>
      </c>
      <c r="S413" s="661">
        <f>R413</f>
        <v/>
      </c>
      <c r="T413" s="842" t="n"/>
      <c r="U413" s="661" t="n">
        <v>220100</v>
      </c>
      <c r="V413" s="661">
        <f>U413</f>
        <v/>
      </c>
      <c r="W413" s="661" t="n">
        <v>220100</v>
      </c>
      <c r="X413" s="661">
        <f>W413</f>
        <v/>
      </c>
      <c r="Y413" s="845">
        <f>W413/I413</f>
        <v/>
      </c>
      <c r="Z413" s="846">
        <f>SUM(W413-U413)/U413</f>
        <v/>
      </c>
      <c r="AA413" s="661" t="inlineStr">
        <is>
          <t>C</t>
        </is>
      </c>
      <c r="AB413" s="187" t="inlineStr">
        <is>
          <t>*</t>
        </is>
      </c>
      <c r="AC413" s="187" t="n"/>
      <c r="AD413" s="661" t="inlineStr">
        <is>
          <t>No</t>
        </is>
      </c>
      <c r="AE413" s="179" t="inlineStr">
        <is>
          <t>Rent increasing to £220,000 wef 18/01/26. Tenant break on 6 months notice.</t>
        </is>
      </c>
      <c r="AF413" s="665" t="n"/>
      <c r="AG413" s="236" t="n"/>
      <c r="AH413" s="327" t="n"/>
      <c r="AI413" s="332" t="n"/>
      <c r="AJ413" t="inlineStr">
        <is>
          <t>Let</t>
        </is>
      </c>
    </row>
    <row r="414">
      <c r="A414" t="inlineStr">
        <is>
          <t>32-36 Great Portland Street</t>
        </is>
      </c>
      <c r="C414" s="839" t="inlineStr">
        <is>
          <t>CD</t>
        </is>
      </c>
      <c r="D414" s="839" t="inlineStr">
        <is>
          <t>PEL</t>
        </is>
      </c>
      <c r="E414" s="179" t="n">
        <v>111010</v>
      </c>
      <c r="F414" s="179" t="inlineStr">
        <is>
          <t>32-36 Great Portland Street</t>
        </is>
      </c>
      <c r="G414" s="179" t="inlineStr">
        <is>
          <t>First Floor</t>
        </is>
      </c>
      <c r="H414" s="180" t="inlineStr">
        <is>
          <t>Offices</t>
        </is>
      </c>
      <c r="I414" s="661" t="n">
        <v>2279</v>
      </c>
      <c r="J414" s="661">
        <f>I414</f>
        <v/>
      </c>
      <c r="K414" s="661" t="n">
        <v>2250</v>
      </c>
      <c r="L414" s="121" t="inlineStr">
        <is>
          <t>Vacant</t>
        </is>
      </c>
      <c r="M414" s="662" t="n"/>
      <c r="N414" s="662" t="n"/>
      <c r="O414" s="662" t="n">
        <v>44577</v>
      </c>
      <c r="P414" s="662" t="n"/>
      <c r="Q414" s="662" t="n"/>
      <c r="R414" s="661" t="n">
        <v>0</v>
      </c>
      <c r="S414" s="661">
        <f>R414</f>
        <v/>
      </c>
      <c r="T414" s="842" t="n"/>
      <c r="U414" s="661" t="n">
        <v>150000</v>
      </c>
      <c r="V414" s="661">
        <f>U414</f>
        <v/>
      </c>
      <c r="W414" s="661" t="n">
        <v>167500</v>
      </c>
      <c r="X414" s="661">
        <f>W414</f>
        <v/>
      </c>
      <c r="Y414" s="845">
        <f>W414/I414</f>
        <v/>
      </c>
      <c r="Z414" s="846">
        <f>SUM(W414-U414)/U414</f>
        <v/>
      </c>
      <c r="AA414" s="661" t="inlineStr">
        <is>
          <t>C</t>
        </is>
      </c>
      <c r="AB414" s="187" t="inlineStr">
        <is>
          <t>*</t>
        </is>
      </c>
      <c r="AC414" s="187" t="n"/>
      <c r="AD414" s="661" t="inlineStr">
        <is>
          <t>No</t>
        </is>
      </c>
      <c r="AE414" s="179" t="inlineStr">
        <is>
          <t>To be refurbished.</t>
        </is>
      </c>
      <c r="AF414" s="665" t="n">
        <v>75</v>
      </c>
      <c r="AG414" s="179" t="n">
        <v>1</v>
      </c>
      <c r="AH414" s="323" t="n">
        <v>2</v>
      </c>
      <c r="AI414" s="161" t="inlineStr">
        <is>
          <t>LEM</t>
        </is>
      </c>
      <c r="AJ414" t="inlineStr">
        <is>
          <t>Void</t>
        </is>
      </c>
    </row>
    <row r="415">
      <c r="A415" t="inlineStr">
        <is>
          <t>32-36 Great Portland Street</t>
        </is>
      </c>
      <c r="C415" s="839" t="inlineStr">
        <is>
          <t>CD</t>
        </is>
      </c>
      <c r="D415" s="839" t="inlineStr">
        <is>
          <t>PEL</t>
        </is>
      </c>
      <c r="E415" s="179" t="n">
        <v>111010</v>
      </c>
      <c r="F415" s="179" t="inlineStr">
        <is>
          <t>32-36 Great Portland Street</t>
        </is>
      </c>
      <c r="G415" s="179" t="inlineStr">
        <is>
          <t>Second Floor</t>
        </is>
      </c>
      <c r="H415" s="180" t="inlineStr">
        <is>
          <t>Offices</t>
        </is>
      </c>
      <c r="I415" s="661" t="n">
        <v>1640</v>
      </c>
      <c r="J415" s="661">
        <f>I415</f>
        <v/>
      </c>
      <c r="K415" s="661" t="n">
        <v>1500</v>
      </c>
      <c r="L415" s="121" t="inlineStr">
        <is>
          <t>AdMaxim Limited</t>
        </is>
      </c>
      <c r="M415" s="662" t="n">
        <v>44710</v>
      </c>
      <c r="N415" s="662" t="n">
        <v>45805</v>
      </c>
      <c r="O415" s="662" t="n"/>
      <c r="P415" s="662" t="n"/>
      <c r="Q415" s="662" t="n"/>
      <c r="R415" s="661" t="n">
        <v>101000</v>
      </c>
      <c r="S415" s="661">
        <f>R415</f>
        <v/>
      </c>
      <c r="T415" s="842" t="n"/>
      <c r="U415" s="661" t="n">
        <v>104100</v>
      </c>
      <c r="V415" s="661">
        <f>U415</f>
        <v/>
      </c>
      <c r="W415" s="661" t="n">
        <v>114800</v>
      </c>
      <c r="X415" s="661">
        <f>W415</f>
        <v/>
      </c>
      <c r="Y415" s="845">
        <f>W415/I415</f>
        <v/>
      </c>
      <c r="Z415" s="846">
        <f>SUM(W415-U415)/U415</f>
        <v/>
      </c>
      <c r="AA415" s="661" t="inlineStr">
        <is>
          <t>C</t>
        </is>
      </c>
      <c r="AB415" s="187" t="inlineStr">
        <is>
          <t>*</t>
        </is>
      </c>
      <c r="AC415" s="187" t="n"/>
      <c r="AD415" s="661" t="inlineStr">
        <is>
          <t>No</t>
        </is>
      </c>
      <c r="AE415" s="391" t="inlineStr">
        <is>
          <t>Lease renewal completion imminent.</t>
        </is>
      </c>
      <c r="AG415" s="179" t="n"/>
      <c r="AH415" s="323" t="n"/>
      <c r="AI415" s="161" t="n"/>
      <c r="AJ415" t="inlineStr">
        <is>
          <t>Let</t>
        </is>
      </c>
    </row>
    <row r="416">
      <c r="A416" t="inlineStr">
        <is>
          <t>32-36 Great Portland Street</t>
        </is>
      </c>
      <c r="C416" s="839" t="inlineStr">
        <is>
          <t>CD</t>
        </is>
      </c>
      <c r="D416" s="839" t="inlineStr">
        <is>
          <t>PEL</t>
        </is>
      </c>
      <c r="E416" s="179" t="n">
        <v>111010</v>
      </c>
      <c r="F416" s="179" t="inlineStr">
        <is>
          <t>32-36 Great Portland Street</t>
        </is>
      </c>
      <c r="G416" s="179" t="inlineStr">
        <is>
          <t>Third Floor</t>
        </is>
      </c>
      <c r="H416" s="180" t="inlineStr">
        <is>
          <t>Offices</t>
        </is>
      </c>
      <c r="I416" s="661" t="n">
        <v>1641</v>
      </c>
      <c r="J416" s="661">
        <f>I416</f>
        <v/>
      </c>
      <c r="K416" s="661" t="n">
        <v>1500</v>
      </c>
      <c r="L416" s="121" t="inlineStr">
        <is>
          <t>Vacant</t>
        </is>
      </c>
      <c r="M416" s="662" t="n"/>
      <c r="N416" s="662" t="n"/>
      <c r="O416" s="662" t="n">
        <v>44603</v>
      </c>
      <c r="P416" s="662" t="n"/>
      <c r="Q416" s="662" t="n"/>
      <c r="R416" s="661" t="n">
        <v>0</v>
      </c>
      <c r="S416" s="661">
        <f>R416</f>
        <v/>
      </c>
      <c r="T416" s="842" t="n"/>
      <c r="U416" s="661" t="n">
        <v>120000</v>
      </c>
      <c r="V416" s="661">
        <f>U416</f>
        <v/>
      </c>
      <c r="W416" s="661" t="n">
        <v>114900</v>
      </c>
      <c r="X416" s="661">
        <f>W416</f>
        <v/>
      </c>
      <c r="Y416" s="845">
        <f>W416/I416</f>
        <v/>
      </c>
      <c r="Z416" s="846">
        <f>SUM(W416-U416)/U416</f>
        <v/>
      </c>
      <c r="AA416" s="661" t="inlineStr">
        <is>
          <t>C</t>
        </is>
      </c>
      <c r="AB416" s="187" t="inlineStr">
        <is>
          <t>*</t>
        </is>
      </c>
      <c r="AC416" s="187" t="n"/>
      <c r="AD416" s="661" t="inlineStr">
        <is>
          <t>No</t>
        </is>
      </c>
      <c r="AE416" s="179" t="inlineStr">
        <is>
          <t>To be refurbished.</t>
        </is>
      </c>
      <c r="AF416" s="665" t="n">
        <v>75</v>
      </c>
      <c r="AG416" s="179" t="n">
        <v>1</v>
      </c>
      <c r="AH416" s="323" t="n">
        <v>1</v>
      </c>
      <c r="AI416" s="161" t="inlineStr">
        <is>
          <t>LEM</t>
        </is>
      </c>
      <c r="AJ416" t="inlineStr">
        <is>
          <t>Void</t>
        </is>
      </c>
    </row>
    <row r="417">
      <c r="A417" t="inlineStr">
        <is>
          <t>32-36 Great Portland Street</t>
        </is>
      </c>
      <c r="C417" s="839" t="inlineStr">
        <is>
          <t>CD</t>
        </is>
      </c>
      <c r="D417" s="839" t="inlineStr">
        <is>
          <t>PEL</t>
        </is>
      </c>
      <c r="E417" s="179" t="n">
        <v>111010</v>
      </c>
      <c r="F417" s="179" t="inlineStr">
        <is>
          <t>32-36 Great Portland Street</t>
        </is>
      </c>
      <c r="G417" s="179" t="inlineStr">
        <is>
          <t xml:space="preserve">Fourth Floor </t>
        </is>
      </c>
      <c r="H417" s="180" t="inlineStr">
        <is>
          <t>Offices</t>
        </is>
      </c>
      <c r="I417" s="661" t="n">
        <v>1636</v>
      </c>
      <c r="J417" s="661">
        <f>I417</f>
        <v/>
      </c>
      <c r="K417" s="661" t="n">
        <v>1500</v>
      </c>
      <c r="L417" s="121" t="inlineStr">
        <is>
          <t>Vacant</t>
        </is>
      </c>
      <c r="M417" s="662" t="n"/>
      <c r="N417" s="662" t="n"/>
      <c r="O417" s="662" t="n">
        <v>45579</v>
      </c>
      <c r="P417" s="662" t="n"/>
      <c r="Q417" s="662" t="n"/>
      <c r="R417" s="661" t="n">
        <v>0</v>
      </c>
      <c r="S417" s="661">
        <f>R417</f>
        <v/>
      </c>
      <c r="T417" s="842" t="n"/>
      <c r="U417" s="661" t="n">
        <v>103900</v>
      </c>
      <c r="V417" s="661">
        <f>U417</f>
        <v/>
      </c>
      <c r="W417" s="661" t="n">
        <v>118600</v>
      </c>
      <c r="X417" s="661">
        <f>W417</f>
        <v/>
      </c>
      <c r="Y417" s="845">
        <f>W417/I417</f>
        <v/>
      </c>
      <c r="Z417" s="846">
        <f>SUM(W417-U417)/U417</f>
        <v/>
      </c>
      <c r="AA417" s="661" t="inlineStr">
        <is>
          <t>B</t>
        </is>
      </c>
      <c r="AB417" s="187" t="inlineStr">
        <is>
          <t>*</t>
        </is>
      </c>
      <c r="AC417" s="187" t="n"/>
      <c r="AD417" s="661" t="inlineStr">
        <is>
          <t>No</t>
        </is>
      </c>
      <c r="AE417" s="179" t="inlineStr">
        <is>
          <t>To be refurbished.</t>
        </is>
      </c>
      <c r="AF417" s="665" t="n">
        <v>75</v>
      </c>
      <c r="AG417" s="179" t="n">
        <v>1</v>
      </c>
      <c r="AH417" s="323" t="n">
        <v>1</v>
      </c>
      <c r="AI417" s="161" t="inlineStr">
        <is>
          <t>LEM / LDG</t>
        </is>
      </c>
      <c r="AJ417" t="inlineStr">
        <is>
          <t>Void</t>
        </is>
      </c>
    </row>
    <row r="418">
      <c r="A418" t="inlineStr">
        <is>
          <t>32-36 Great Portland Street</t>
        </is>
      </c>
      <c r="C418" s="839" t="inlineStr">
        <is>
          <t>CD</t>
        </is>
      </c>
      <c r="D418" s="839" t="inlineStr">
        <is>
          <t>PEL</t>
        </is>
      </c>
      <c r="E418" s="179" t="n">
        <v>111010</v>
      </c>
      <c r="F418" s="179" t="inlineStr">
        <is>
          <t>32-36 Great Portland Street</t>
        </is>
      </c>
      <c r="G418" s="179" t="inlineStr">
        <is>
          <t>Fifth Floor</t>
        </is>
      </c>
      <c r="H418" s="180" t="inlineStr">
        <is>
          <t>Offices</t>
        </is>
      </c>
      <c r="I418" s="661" t="n">
        <v>1536</v>
      </c>
      <c r="J418" s="661">
        <f>I418</f>
        <v/>
      </c>
      <c r="K418" s="661" t="n">
        <v>1500</v>
      </c>
      <c r="L418" s="121" t="inlineStr">
        <is>
          <t>Mackintosh Limited</t>
        </is>
      </c>
      <c r="M418" s="662" t="n">
        <v>45464</v>
      </c>
      <c r="N418" s="662" t="n">
        <v>49115</v>
      </c>
      <c r="O418" s="662" t="n"/>
      <c r="P418" s="662" t="n">
        <v>47290</v>
      </c>
      <c r="Q418" s="662" t="n">
        <v>47289</v>
      </c>
      <c r="R418" s="661" t="n">
        <v>52745</v>
      </c>
      <c r="S418" s="661">
        <f>R418</f>
        <v/>
      </c>
      <c r="T418" s="842" t="n"/>
      <c r="U418" s="661" t="n">
        <v>97500</v>
      </c>
      <c r="V418" s="661">
        <f>U418</f>
        <v/>
      </c>
      <c r="W418" s="661" t="n">
        <v>105200</v>
      </c>
      <c r="X418" s="661">
        <f>W418</f>
        <v/>
      </c>
      <c r="Y418" s="845">
        <f>W418/I418</f>
        <v/>
      </c>
      <c r="Z418" s="846">
        <f>SUM(W418-U418)/U418</f>
        <v/>
      </c>
      <c r="AA418" s="661" t="inlineStr">
        <is>
          <t>C</t>
        </is>
      </c>
      <c r="AB418" s="187" t="inlineStr">
        <is>
          <t>*</t>
        </is>
      </c>
      <c r="AC418" s="187" t="n"/>
      <c r="AD418" s="661" t="inlineStr">
        <is>
          <t>No</t>
        </is>
      </c>
      <c r="AE418" s="179" t="inlineStr">
        <is>
          <t>Rent increasing to £105,490 @ 21/10/26. Tenant break on 6 months notice.</t>
        </is>
      </c>
      <c r="AF418" s="665" t="n"/>
      <c r="AG418" s="179" t="n"/>
      <c r="AH418" s="323" t="n"/>
      <c r="AI418" s="161" t="n"/>
      <c r="AJ418" t="inlineStr">
        <is>
          <t>Let</t>
        </is>
      </c>
    </row>
    <row r="419">
      <c r="A419" t="inlineStr">
        <is>
          <t>184-190 Oxford Street &amp; 28/30 Market Place</t>
        </is>
      </c>
      <c r="C419" s="839" t="inlineStr">
        <is>
          <t>CD</t>
        </is>
      </c>
      <c r="D419" s="863" t="inlineStr">
        <is>
          <t>OOS</t>
        </is>
      </c>
      <c r="E419" s="179" t="n">
        <v>888010</v>
      </c>
      <c r="F419" s="179" t="inlineStr">
        <is>
          <t>184-190 Oxford Street &amp; 28/30 Market Place</t>
        </is>
      </c>
      <c r="G419" s="179" t="inlineStr">
        <is>
          <t>184-188 Oxford Street (B, G &amp; 1st)</t>
        </is>
      </c>
      <c r="H419" s="180" t="inlineStr">
        <is>
          <t>Retail</t>
        </is>
      </c>
      <c r="I419" s="661" t="n">
        <v>5662</v>
      </c>
      <c r="J419" s="661">
        <f>I419</f>
        <v/>
      </c>
      <c r="K419" s="661" t="n">
        <v>5500</v>
      </c>
      <c r="L419" s="121" t="inlineStr">
        <is>
          <t>Airwair International Ltd</t>
        </is>
      </c>
      <c r="M419" s="662" t="n">
        <v>45192</v>
      </c>
      <c r="N419" s="662" t="n">
        <v>48844</v>
      </c>
      <c r="O419" s="662" t="n"/>
      <c r="P419" s="662" t="n">
        <v>47019</v>
      </c>
      <c r="Q419" s="662" t="n">
        <v>47018</v>
      </c>
      <c r="R419" s="661" t="n">
        <v>325000</v>
      </c>
      <c r="S419" s="661">
        <f>R419</f>
        <v/>
      </c>
      <c r="T419" s="661" t="n"/>
      <c r="U419" s="661" t="n">
        <v>650000</v>
      </c>
      <c r="V419" s="661">
        <f>U419</f>
        <v/>
      </c>
      <c r="W419" s="661" t="n">
        <v>758000</v>
      </c>
      <c r="X419" s="661">
        <f>W419</f>
        <v/>
      </c>
      <c r="Y419" s="845">
        <f>W419/I419</f>
        <v/>
      </c>
      <c r="Z419" s="846">
        <f>SUM(W419-U419)/U419</f>
        <v/>
      </c>
      <c r="AA419" s="661" t="inlineStr">
        <is>
          <t>C</t>
        </is>
      </c>
      <c r="AB419" s="187" t="n"/>
      <c r="AC419" s="187" t="n"/>
      <c r="AD419" s="847" t="inlineStr">
        <is>
          <t>No</t>
        </is>
      </c>
      <c r="AE419" s="179" t="inlineStr">
        <is>
          <t>Rent rising to £650,000 wef 23/12/25. In addition, turnover rent payable if 10% turnover exceeds £650,000.</t>
        </is>
      </c>
      <c r="AF419" s="665" t="n"/>
      <c r="AG419" s="179" t="n"/>
      <c r="AH419" s="323" t="n"/>
      <c r="AI419" s="161" t="n"/>
      <c r="AJ419" t="inlineStr">
        <is>
          <t>Let</t>
        </is>
      </c>
    </row>
    <row r="420">
      <c r="A420" t="inlineStr">
        <is>
          <t>184-190 Oxford Street &amp; 28/30 Market Place</t>
        </is>
      </c>
      <c r="C420" s="839" t="inlineStr">
        <is>
          <t>CD</t>
        </is>
      </c>
      <c r="D420" s="863" t="inlineStr">
        <is>
          <t>OOS</t>
        </is>
      </c>
      <c r="E420" s="179" t="n">
        <v>888010</v>
      </c>
      <c r="F420" s="179" t="inlineStr">
        <is>
          <t>184-190 Oxford Street &amp; 28/30 Market Place</t>
        </is>
      </c>
      <c r="G420" s="121" t="inlineStr">
        <is>
          <t>190 Oxford Street (B &amp; G)</t>
        </is>
      </c>
      <c r="H420" s="180" t="inlineStr">
        <is>
          <t>Retail</t>
        </is>
      </c>
      <c r="I420" s="661" t="n">
        <v>5350</v>
      </c>
      <c r="J420" s="661">
        <f>I420</f>
        <v/>
      </c>
      <c r="K420" s="661" t="n">
        <v>5500</v>
      </c>
      <c r="L420" s="121" t="inlineStr">
        <is>
          <t>Office Holdings Ltd</t>
        </is>
      </c>
      <c r="M420" s="662" t="n">
        <v>40651</v>
      </c>
      <c r="N420" s="662" t="n">
        <v>46129</v>
      </c>
      <c r="O420" s="662" t="n"/>
      <c r="P420" s="662" t="n">
        <v>44304</v>
      </c>
      <c r="Q420" s="662" t="n"/>
      <c r="R420" s="661" t="n">
        <v>730000</v>
      </c>
      <c r="S420" s="661">
        <f>R420</f>
        <v/>
      </c>
      <c r="T420" s="661" t="n"/>
      <c r="U420" s="661" t="n">
        <v>400000</v>
      </c>
      <c r="V420" s="661">
        <f>U420</f>
        <v/>
      </c>
      <c r="W420" s="661" t="n">
        <v>450000</v>
      </c>
      <c r="X420" s="661">
        <f>W420</f>
        <v/>
      </c>
      <c r="Y420" s="845">
        <f>W420/I420</f>
        <v/>
      </c>
      <c r="Z420" s="846">
        <f>SUM(W420-U420)/U420</f>
        <v/>
      </c>
      <c r="AA420" s="661" t="inlineStr">
        <is>
          <t>C</t>
        </is>
      </c>
      <c r="AB420" s="187" t="n"/>
      <c r="AC420" s="187" t="n"/>
      <c r="AD420" s="847" t="inlineStr">
        <is>
          <t>Yes</t>
        </is>
      </c>
      <c r="AE420" s="179" t="n"/>
      <c r="AF420" s="665" t="n"/>
      <c r="AG420" s="179" t="n"/>
      <c r="AH420" s="323" t="n"/>
      <c r="AI420" s="161" t="n"/>
      <c r="AJ420" t="inlineStr">
        <is>
          <t>Let</t>
        </is>
      </c>
    </row>
    <row r="421">
      <c r="A421" t="inlineStr">
        <is>
          <t>184-190 Oxford Street &amp; 28/30 Market Place</t>
        </is>
      </c>
      <c r="C421" s="839" t="inlineStr">
        <is>
          <t>CD</t>
        </is>
      </c>
      <c r="D421" s="863" t="inlineStr">
        <is>
          <t>OOS</t>
        </is>
      </c>
      <c r="E421" s="179" t="n">
        <v>888010</v>
      </c>
      <c r="F421" s="179" t="inlineStr">
        <is>
          <t>184-190 Oxford Street &amp; 28/30 Market Place</t>
        </is>
      </c>
      <c r="G421" s="179" t="inlineStr">
        <is>
          <t>1st Floor, 28 Market Place</t>
        </is>
      </c>
      <c r="H421" s="180" t="inlineStr">
        <is>
          <t>Retail</t>
        </is>
      </c>
      <c r="I421" s="661" t="n">
        <v>2044</v>
      </c>
      <c r="J421" s="661">
        <f>I421</f>
        <v/>
      </c>
      <c r="K421" s="661" t="n">
        <v>2000</v>
      </c>
      <c r="L421" s="121" t="inlineStr">
        <is>
          <t>EP Commodities Ltd</t>
        </is>
      </c>
      <c r="M421" s="662" t="n">
        <v>42650</v>
      </c>
      <c r="N421" s="662" t="n">
        <v>46301</v>
      </c>
      <c r="O421" s="662" t="n"/>
      <c r="P421" s="662" t="n">
        <v>45885</v>
      </c>
      <c r="Q421" s="662" t="n"/>
      <c r="R421" s="661" t="n">
        <v>115701</v>
      </c>
      <c r="S421" s="661">
        <f>R421</f>
        <v/>
      </c>
      <c r="T421" s="661" t="n"/>
      <c r="U421" s="661" t="n">
        <v>110000</v>
      </c>
      <c r="V421" s="661">
        <f>U421</f>
        <v/>
      </c>
      <c r="W421" s="661" t="n">
        <v>112000</v>
      </c>
      <c r="X421" s="661">
        <f>W421</f>
        <v/>
      </c>
      <c r="Y421" s="845">
        <f>W421/I421</f>
        <v/>
      </c>
      <c r="Z421" s="846">
        <f>SUM(W421-U421)/U421</f>
        <v/>
      </c>
      <c r="AA421" s="661" t="inlineStr">
        <is>
          <t>B</t>
        </is>
      </c>
      <c r="AB421" s="187" t="n"/>
      <c r="AC421" s="187" t="n"/>
      <c r="AD421" s="847" t="inlineStr">
        <is>
          <t>No</t>
        </is>
      </c>
      <c r="AE421" s="179" t="inlineStr">
        <is>
          <t xml:space="preserve">Annual RPI rent increase (min 1%, max 4%). </t>
        </is>
      </c>
      <c r="AF421" s="665" t="n"/>
      <c r="AG421" s="179" t="n"/>
      <c r="AH421" s="323" t="n"/>
      <c r="AI421" s="161" t="n"/>
      <c r="AJ421" t="inlineStr">
        <is>
          <t>Let</t>
        </is>
      </c>
    </row>
    <row r="422">
      <c r="A422" t="inlineStr">
        <is>
          <t>184-190 Oxford Street &amp; 28/30 Market Place</t>
        </is>
      </c>
      <c r="C422" s="839" t="inlineStr">
        <is>
          <t>CD</t>
        </is>
      </c>
      <c r="D422" s="863" t="inlineStr">
        <is>
          <t>OOS</t>
        </is>
      </c>
      <c r="E422" s="179" t="n">
        <v>888010</v>
      </c>
      <c r="F422" s="179" t="inlineStr">
        <is>
          <t>184-190 Oxford Street &amp; 28/30 Market Place</t>
        </is>
      </c>
      <c r="G422" s="179" t="inlineStr">
        <is>
          <t>2nd Floor, 30 Market Place</t>
        </is>
      </c>
      <c r="H422" s="180" t="inlineStr">
        <is>
          <t>Office</t>
        </is>
      </c>
      <c r="I422" s="661" t="n">
        <v>4463</v>
      </c>
      <c r="J422" s="661">
        <f>I422</f>
        <v/>
      </c>
      <c r="K422" s="661" t="n">
        <v>4500</v>
      </c>
      <c r="L422" s="121" t="inlineStr">
        <is>
          <t>Joint London Ltd</t>
        </is>
      </c>
      <c r="M422" s="662" t="n">
        <v>42286</v>
      </c>
      <c r="N422" s="662" t="n">
        <v>45938</v>
      </c>
      <c r="O422" s="662" t="n"/>
      <c r="P422" s="662" t="n">
        <v>44113</v>
      </c>
      <c r="Q422" s="662" t="n"/>
      <c r="R422" s="661" t="n">
        <v>367290</v>
      </c>
      <c r="S422" s="661">
        <f>R422</f>
        <v/>
      </c>
      <c r="T422" s="661" t="n"/>
      <c r="U422" s="661" t="n">
        <v>345000</v>
      </c>
      <c r="V422" s="661">
        <f>U422</f>
        <v/>
      </c>
      <c r="W422" s="661" t="n">
        <v>368000</v>
      </c>
      <c r="X422" s="661">
        <f>W422</f>
        <v/>
      </c>
      <c r="Y422" s="845">
        <f>W422/I422</f>
        <v/>
      </c>
      <c r="Z422" s="846">
        <f>SUM(W422-U422)/U422</f>
        <v/>
      </c>
      <c r="AA422" s="661" t="inlineStr">
        <is>
          <t>B</t>
        </is>
      </c>
      <c r="AB422" s="187" t="n"/>
      <c r="AC422" s="187" t="n"/>
      <c r="AD422" s="847" t="inlineStr">
        <is>
          <t>No</t>
        </is>
      </c>
      <c r="AE422" s="179" t="n"/>
      <c r="AF422" s="665" t="n"/>
      <c r="AG422" s="179" t="n"/>
      <c r="AH422" s="323" t="n"/>
      <c r="AI422" s="161" t="n"/>
      <c r="AJ422" t="inlineStr">
        <is>
          <t>Let</t>
        </is>
      </c>
    </row>
    <row r="423">
      <c r="A423" t="inlineStr">
        <is>
          <t>184-190 Oxford Street &amp; 28/30 Market Place</t>
        </is>
      </c>
      <c r="C423" s="839" t="inlineStr">
        <is>
          <t>CD</t>
        </is>
      </c>
      <c r="D423" s="863" t="inlineStr">
        <is>
          <t>OOS</t>
        </is>
      </c>
      <c r="E423" s="179" t="n">
        <v>888010</v>
      </c>
      <c r="F423" s="179" t="inlineStr">
        <is>
          <t>184-190 Oxford Street &amp; 28/30 Market Place</t>
        </is>
      </c>
      <c r="G423" s="179" t="inlineStr">
        <is>
          <t>3rd Floor, 30 Market Place</t>
        </is>
      </c>
      <c r="H423" s="180" t="inlineStr">
        <is>
          <t>Office</t>
        </is>
      </c>
      <c r="I423" s="661" t="n">
        <v>4462</v>
      </c>
      <c r="J423" s="661">
        <f>I423</f>
        <v/>
      </c>
      <c r="K423" s="661" t="n">
        <v>4500</v>
      </c>
      <c r="L423" s="121" t="inlineStr">
        <is>
          <t>Vacant</t>
        </is>
      </c>
      <c r="M423" s="662" t="n"/>
      <c r="N423" s="662" t="n"/>
      <c r="O423" s="662" t="n">
        <v>45490</v>
      </c>
      <c r="P423" s="662" t="n"/>
      <c r="Q423" s="662" t="n"/>
      <c r="R423" s="661" t="n">
        <v>0</v>
      </c>
      <c r="S423" s="661">
        <f>R423</f>
        <v/>
      </c>
      <c r="T423" s="661" t="n"/>
      <c r="U423" s="661" t="n">
        <v>357800</v>
      </c>
      <c r="V423" s="661">
        <f>U423</f>
        <v/>
      </c>
      <c r="W423" s="661" t="n">
        <v>379000</v>
      </c>
      <c r="X423" s="661">
        <f>W423</f>
        <v/>
      </c>
      <c r="Y423" s="845">
        <f>W423/I423</f>
        <v/>
      </c>
      <c r="Z423" s="846">
        <f>SUM(W423-U423)/U423</f>
        <v/>
      </c>
      <c r="AA423" s="661" t="inlineStr">
        <is>
          <t>A</t>
        </is>
      </c>
      <c r="AB423" s="187" t="n"/>
      <c r="AC423" s="187" t="n"/>
      <c r="AD423" s="187" t="n"/>
      <c r="AE423" s="840" t="inlineStr">
        <is>
          <t>LEM marketing.</t>
        </is>
      </c>
      <c r="AF423" s="864" t="n">
        <v>85</v>
      </c>
      <c r="AG423" s="865" t="n">
        <v>2</v>
      </c>
      <c r="AH423" s="330" t="n">
        <v>7</v>
      </c>
      <c r="AI423" s="333" t="inlineStr">
        <is>
          <t>LEM / EC&amp;P</t>
        </is>
      </c>
      <c r="AJ423" t="inlineStr">
        <is>
          <t>Void</t>
        </is>
      </c>
    </row>
    <row r="424">
      <c r="A424" t="inlineStr">
        <is>
          <t>184-190 Oxford Street &amp; 28/30 Market Place</t>
        </is>
      </c>
      <c r="C424" s="839" t="inlineStr">
        <is>
          <t>CD</t>
        </is>
      </c>
      <c r="D424" s="863" t="inlineStr">
        <is>
          <t>OOS</t>
        </is>
      </c>
      <c r="E424" s="179" t="n">
        <v>888010</v>
      </c>
      <c r="F424" s="179" t="inlineStr">
        <is>
          <t>184-190 Oxford Street &amp; 28/30 Market Place</t>
        </is>
      </c>
      <c r="G424" s="179" t="inlineStr">
        <is>
          <t>4th Floor, 30 Market Place</t>
        </is>
      </c>
      <c r="H424" s="180" t="inlineStr">
        <is>
          <t>Office</t>
        </is>
      </c>
      <c r="I424" s="661" t="n">
        <v>4250</v>
      </c>
      <c r="J424" s="661">
        <f>I424</f>
        <v/>
      </c>
      <c r="K424" s="661" t="n">
        <v>4500</v>
      </c>
      <c r="L424" s="121" t="inlineStr">
        <is>
          <t>Ascot Lloyd Ltd</t>
        </is>
      </c>
      <c r="M424" s="662" t="n">
        <v>45786</v>
      </c>
      <c r="N424" s="662" t="n">
        <v>49437</v>
      </c>
      <c r="O424" s="662" t="n"/>
      <c r="P424" s="662" t="n">
        <v>47612</v>
      </c>
      <c r="Q424" s="662" t="n">
        <v>11086</v>
      </c>
      <c r="R424" s="661" t="n">
        <v>0</v>
      </c>
      <c r="S424" s="661">
        <f>R424</f>
        <v/>
      </c>
      <c r="T424" s="661" t="n"/>
      <c r="U424" s="661" t="n">
        <v>358600</v>
      </c>
      <c r="V424" s="661">
        <f>U424</f>
        <v/>
      </c>
      <c r="W424" s="661" t="n">
        <v>361000</v>
      </c>
      <c r="X424" s="661">
        <f>W424</f>
        <v/>
      </c>
      <c r="Y424" s="845">
        <f>W424/I424</f>
        <v/>
      </c>
      <c r="Z424" s="846">
        <f>SUM(W424-U424)/U424</f>
        <v/>
      </c>
      <c r="AA424" s="661" t="inlineStr">
        <is>
          <t>A</t>
        </is>
      </c>
      <c r="AB424" s="187" t="n"/>
      <c r="AC424" s="187" t="n"/>
      <c r="AD424" s="187" t="n"/>
      <c r="AE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F424" s="665" t="n">
        <v>85</v>
      </c>
      <c r="AG424" s="331" t="n">
        <v>1</v>
      </c>
      <c r="AH424" s="330" t="n">
        <v>5</v>
      </c>
      <c r="AI424" s="333" t="inlineStr">
        <is>
          <t>LEM / EC&amp;P</t>
        </is>
      </c>
      <c r="AJ424" t="inlineStr">
        <is>
          <t>Let</t>
        </is>
      </c>
    </row>
    <row r="425">
      <c r="A425" t="inlineStr">
        <is>
          <t>184-190 Oxford Street &amp; 28/30 Market Place</t>
        </is>
      </c>
      <c r="C425" s="839" t="inlineStr">
        <is>
          <t>CD</t>
        </is>
      </c>
      <c r="D425" s="863" t="inlineStr">
        <is>
          <t>OOS</t>
        </is>
      </c>
      <c r="E425" s="179" t="n">
        <v>888010</v>
      </c>
      <c r="F425" s="179" t="inlineStr">
        <is>
          <t>184-190 Oxford Street &amp; 28/30 Market Place</t>
        </is>
      </c>
      <c r="G425" s="179" t="inlineStr">
        <is>
          <t>5th Floor, 30 Market Place</t>
        </is>
      </c>
      <c r="H425" s="180" t="inlineStr">
        <is>
          <t>Office</t>
        </is>
      </c>
      <c r="I425" s="661" t="n">
        <v>3999</v>
      </c>
      <c r="J425" s="661">
        <f>I425</f>
        <v/>
      </c>
      <c r="K425" s="661" t="n">
        <v>4000</v>
      </c>
      <c r="L425" s="121" t="inlineStr">
        <is>
          <t>Nchain Ltd</t>
        </is>
      </c>
      <c r="M425" s="662" t="n">
        <v>44183</v>
      </c>
      <c r="N425" s="667" t="n">
        <v>46373</v>
      </c>
      <c r="O425" s="662" t="n"/>
      <c r="P425" s="662" t="n"/>
      <c r="Q425" s="662" t="n"/>
      <c r="R425" s="661" t="n">
        <v>348163</v>
      </c>
      <c r="S425" s="661">
        <f>R425</f>
        <v/>
      </c>
      <c r="T425" s="661" t="n"/>
      <c r="U425" s="661" t="n">
        <v>352000</v>
      </c>
      <c r="V425" s="661">
        <f>U425</f>
        <v/>
      </c>
      <c r="W425" s="661" t="n">
        <v>350000</v>
      </c>
      <c r="X425" s="661">
        <f>W425</f>
        <v/>
      </c>
      <c r="Y425" s="845">
        <f>W425/I425</f>
        <v/>
      </c>
      <c r="Z425" s="846">
        <f>SUM(W425-U425)/U425</f>
        <v/>
      </c>
      <c r="AA425" s="661" t="inlineStr">
        <is>
          <t>B</t>
        </is>
      </c>
      <c r="AB425" s="187" t="n"/>
      <c r="AC425" s="187" t="n"/>
      <c r="AD425" s="847" t="inlineStr">
        <is>
          <t>No</t>
        </is>
      </c>
      <c r="AE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5" s="665" t="n"/>
      <c r="AG425" s="179" t="n"/>
      <c r="AH425" s="323" t="n"/>
      <c r="AI425" s="161" t="n"/>
      <c r="AJ425" t="inlineStr">
        <is>
          <t>Let</t>
        </is>
      </c>
    </row>
    <row r="426">
      <c r="A426" t="inlineStr">
        <is>
          <t>184-190 Oxford Street &amp; 28/30 Market Place</t>
        </is>
      </c>
      <c r="C426" s="839" t="inlineStr">
        <is>
          <t>CD</t>
        </is>
      </c>
      <c r="D426" s="863" t="inlineStr">
        <is>
          <t>OOS</t>
        </is>
      </c>
      <c r="E426" s="179" t="n">
        <v>888010</v>
      </c>
      <c r="F426" s="179" t="inlineStr">
        <is>
          <t>184-190 Oxford Street &amp; 28/30 Market Place</t>
        </is>
      </c>
      <c r="G426" s="179" t="inlineStr">
        <is>
          <t>6th Floor, 30 Market Place</t>
        </is>
      </c>
      <c r="H426" s="180" t="inlineStr">
        <is>
          <t>Office</t>
        </is>
      </c>
      <c r="I426" s="661" t="n">
        <v>3145</v>
      </c>
      <c r="J426" s="661">
        <f>I426</f>
        <v/>
      </c>
      <c r="K426" s="661" t="n">
        <v>3000</v>
      </c>
      <c r="L426" s="121" t="inlineStr">
        <is>
          <t>Nchain Ltd</t>
        </is>
      </c>
      <c r="M426" s="662" t="n">
        <v>44217</v>
      </c>
      <c r="N426" s="667" t="n">
        <v>46373</v>
      </c>
      <c r="O426" s="662" t="n"/>
      <c r="P426" s="662" t="n"/>
      <c r="Q426" s="662" t="n"/>
      <c r="R426" s="661" t="n">
        <v>281873</v>
      </c>
      <c r="S426" s="661">
        <f>R426</f>
        <v/>
      </c>
      <c r="T426" s="661" t="n"/>
      <c r="U426" s="661" t="n">
        <v>284800</v>
      </c>
      <c r="V426" s="661">
        <f>U426</f>
        <v/>
      </c>
      <c r="W426" s="661" t="n">
        <v>283000</v>
      </c>
      <c r="X426" s="661">
        <f>W426</f>
        <v/>
      </c>
      <c r="Y426" s="845">
        <f>W426/I426</f>
        <v/>
      </c>
      <c r="Z426" s="846">
        <f>SUM(W426-U426)/U426</f>
        <v/>
      </c>
      <c r="AA426" s="661" t="inlineStr">
        <is>
          <t>B</t>
        </is>
      </c>
      <c r="AB426" s="187" t="n"/>
      <c r="AC426" s="187" t="n"/>
      <c r="AD426" s="847" t="inlineStr">
        <is>
          <t>No</t>
        </is>
      </c>
      <c r="AE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F426" s="665" t="n"/>
      <c r="AG426" s="179" t="n"/>
      <c r="AH426" s="323" t="n"/>
      <c r="AI426" s="179" t="n"/>
      <c r="AJ426" t="inlineStr">
        <is>
          <t>Let</t>
        </is>
      </c>
    </row>
    <row r="427">
      <c r="A427" t="inlineStr">
        <is>
          <t>184-190 Oxford Street &amp; 28/30 Market Place</t>
        </is>
      </c>
      <c r="C427" s="839" t="inlineStr">
        <is>
          <t>CD</t>
        </is>
      </c>
      <c r="D427" s="863" t="inlineStr">
        <is>
          <t>OOS</t>
        </is>
      </c>
      <c r="E427" s="179" t="n">
        <v>888010</v>
      </c>
      <c r="F427" s="179" t="inlineStr">
        <is>
          <t>184-190 Oxford Street &amp; 28/30 Market Place</t>
        </is>
      </c>
      <c r="G427" s="179" t="inlineStr">
        <is>
          <t>Part Basement</t>
        </is>
      </c>
      <c r="H427" s="180" t="inlineStr">
        <is>
          <t>Sub-Station</t>
        </is>
      </c>
      <c r="I427" s="661" t="n">
        <v>0</v>
      </c>
      <c r="J427" s="661">
        <f>I427</f>
        <v/>
      </c>
      <c r="K427" s="661" t="n"/>
      <c r="L427" s="121" t="inlineStr">
        <is>
          <t>EDF</t>
        </is>
      </c>
      <c r="M427" s="220" t="n">
        <v>20814</v>
      </c>
      <c r="N427" s="220" t="n">
        <v>39073</v>
      </c>
      <c r="O427" s="220" t="n"/>
      <c r="P427" s="662" t="n"/>
      <c r="Q427" s="662" t="n"/>
      <c r="R427" s="661" t="n">
        <v>0</v>
      </c>
      <c r="S427" s="661">
        <f>R427</f>
        <v/>
      </c>
      <c r="T427" s="661" t="n"/>
      <c r="U427" s="661" t="n">
        <v>0</v>
      </c>
      <c r="V427" s="661">
        <f>U427</f>
        <v/>
      </c>
      <c r="W427" s="661" t="n">
        <v>0</v>
      </c>
      <c r="X427" s="661">
        <f>W427</f>
        <v/>
      </c>
      <c r="Y427" s="845" t="n"/>
      <c r="Z427" s="846" t="n"/>
      <c r="AA427" s="661" t="n"/>
      <c r="AB427" s="187" t="n"/>
      <c r="AC427" s="187" t="n"/>
      <c r="AD427" s="847" t="inlineStr">
        <is>
          <t>Yes</t>
        </is>
      </c>
      <c r="AE427" s="179" t="inlineStr">
        <is>
          <t>New lease in negotiation. £1k max from date of purchase.</t>
        </is>
      </c>
      <c r="AF427" s="665" t="n"/>
      <c r="AG427" s="179" t="n"/>
      <c r="AH427" s="323" t="n"/>
      <c r="AI427" s="179" t="n"/>
      <c r="AJ427" t="inlineStr">
        <is>
          <t>Let</t>
        </is>
      </c>
    </row>
  </sheetData>
  <autoFilter ref="A1:AJ427"/>
  <dataValidations count="1">
    <dataValidation sqref="AJ2:AJ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8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7" customWidth="1" min="4" max="4"/>
    <col width="30" customWidth="1" min="5" max="5"/>
    <col width="30" customWidth="1" min="6" max="6"/>
    <col width="30" customWidth="1" min="7" max="7"/>
    <col width="10" customWidth="1" min="8" max="8"/>
    <col width="7" customWidth="1" min="9" max="9"/>
    <col width="19" customWidth="1" min="10" max="10"/>
    <col width="30" customWidth="1" min="11" max="11"/>
    <col width="23" customWidth="1" min="12" max="12"/>
    <col width="21" customWidth="1" min="13" max="13"/>
    <col width="21" customWidth="1" min="14" max="14"/>
    <col width="21" customWidth="1" min="15" max="15"/>
    <col width="21" customWidth="1" min="16" max="16"/>
    <col width="13" customWidth="1" min="17" max="17"/>
    <col width="9" customWidth="1" min="18" max="18"/>
    <col width="9" customWidth="1" min="19" max="19"/>
    <col width="14" customWidth="1" min="20" max="20"/>
    <col width="9" customWidth="1" min="21" max="21"/>
    <col width="14" customWidth="1" min="22" max="22"/>
    <col width="9" customWidth="1" min="23" max="23"/>
    <col width="18" customWidth="1" min="24" max="24"/>
    <col width="22" customWidth="1" min="25" max="25"/>
    <col width="5" customWidth="1" min="26" max="26"/>
    <col width="3" customWidth="1" min="27" max="27"/>
    <col width="20" customWidth="1" min="28" max="28"/>
    <col width="20" customWidth="1" min="29" max="29"/>
    <col width="30" customWidth="1" min="30" max="30"/>
    <col width="29" customWidth="1" min="31" max="31"/>
    <col width="18" customWidth="1" min="32" max="32"/>
    <col width="16" customWidth="1" min="33" max="33"/>
    <col width="17" customWidth="1" min="34" max="34"/>
    <col width="8" customWidth="1" min="35" max="35"/>
  </cols>
  <sheetData>
    <row r="1">
      <c r="A1" s="866" t="inlineStr">
        <is>
          <t>Legacy View - Traditional Building Structure</t>
        </is>
      </c>
    </row>
    <row r="2">
      <c r="A2" t="inlineStr">
        <is>
          <t>(Auto-updates from Units sheet - matches original Bank Schedule format)</t>
        </is>
      </c>
    </row>
    <row r="3"/>
    <row r="4">
      <c r="A4" s="867" t="inlineStr">
        <is>
          <t>Building/Unit</t>
        </is>
      </c>
      <c r="B4" s="867" t="inlineStr">
        <is>
          <t>Surveyor</t>
        </is>
      </c>
      <c r="C4" s="867" t="inlineStr">
        <is>
          <t>Client</t>
        </is>
      </c>
      <c r="D4" s="867" t="inlineStr">
        <is>
          <t>Property Number</t>
        </is>
      </c>
      <c r="E4" s="867" t="inlineStr">
        <is>
          <t>Property</t>
        </is>
      </c>
      <c r="F4" s="867" t="inlineStr">
        <is>
          <t>Unit Demise</t>
        </is>
      </c>
      <c r="G4" s="867" t="inlineStr">
        <is>
          <t>Unit Type</t>
        </is>
      </c>
      <c r="H4" s="867" t="inlineStr">
        <is>
          <t>Net Area</t>
        </is>
      </c>
      <c r="I4" s="867" t="inlineStr">
        <is>
          <t>.</t>
        </is>
      </c>
      <c r="J4" s="867" t="inlineStr">
        <is>
          <t>Agency Area group</t>
        </is>
      </c>
      <c r="K4" s="867" t="inlineStr">
        <is>
          <t>Tenant Name</t>
        </is>
      </c>
      <c r="L4" s="867" t="inlineStr">
        <is>
          <t>Start            Date</t>
        </is>
      </c>
      <c r="M4" s="867" t="inlineStr">
        <is>
          <t>Expiry   Date</t>
        </is>
      </c>
      <c r="N4" s="867" t="inlineStr">
        <is>
          <t>Vacant Since?</t>
        </is>
      </c>
      <c r="O4" s="867" t="inlineStr">
        <is>
          <t>RRs</t>
        </is>
      </c>
      <c r="P4" s="867" t="inlineStr">
        <is>
          <t>Break Date</t>
        </is>
      </c>
      <c r="Q4" s="867" t="inlineStr">
        <is>
          <t>Rent PA (£)</t>
        </is>
      </c>
      <c r="R4" s="867" t="inlineStr">
        <is>
          <t>check 1</t>
        </is>
      </c>
      <c r="S4" s="867" t="inlineStr">
        <is>
          <t>check 2</t>
        </is>
      </c>
      <c r="T4" s="867" t="inlineStr">
        <is>
          <t>2023 ERV (£)</t>
        </is>
      </c>
      <c r="U4" s="867" t="inlineStr">
        <is>
          <t>check 3</t>
        </is>
      </c>
      <c r="V4" s="867" t="inlineStr">
        <is>
          <t>2024 ERV (£)</t>
        </is>
      </c>
      <c r="W4" s="867" t="inlineStr">
        <is>
          <t>check 4</t>
        </is>
      </c>
      <c r="X4" s="867" t="inlineStr">
        <is>
          <t>ERV 2024 £.Sq.ft</t>
        </is>
      </c>
      <c r="Y4" s="867" t="inlineStr">
        <is>
          <t>ERV Variation</t>
        </is>
      </c>
      <c r="Z4" s="867" t="inlineStr">
        <is>
          <t>EPC</t>
        </is>
      </c>
      <c r="AA4" s="867" t="inlineStr">
        <is>
          <t>*</t>
        </is>
      </c>
      <c r="AB4" s="867" t="inlineStr">
        <is>
          <t>2024 Cap Valn. (£)</t>
        </is>
      </c>
      <c r="AC4" s="867" t="inlineStr">
        <is>
          <t>1954 Act Protected</t>
        </is>
      </c>
      <c r="AD4" s="867" t="inlineStr">
        <is>
          <t>Remarks</t>
        </is>
      </c>
      <c r="AE4" s="867" t="inlineStr">
        <is>
          <t>Agency Quoting Rent £.sq.ft</t>
        </is>
      </c>
      <c r="AF4" s="867" t="inlineStr">
        <is>
          <t>Monthly Viewings</t>
        </is>
      </c>
      <c r="AG4" s="867" t="inlineStr">
        <is>
          <t>Total Viewings</t>
        </is>
      </c>
      <c r="AH4" s="867" t="inlineStr">
        <is>
          <t>Marketing Agent</t>
        </is>
      </c>
      <c r="AI4" t="inlineStr">
        <is>
          <t>Status</t>
        </is>
      </c>
    </row>
    <row r="5">
      <c r="A5" s="868" t="inlineStr">
        <is>
          <t>5-6 Bywell Place</t>
        </is>
      </c>
    </row>
    <row r="6">
      <c r="A6" t="inlineStr">
        <is>
          <t xml:space="preserve">  Office</t>
        </is>
      </c>
      <c r="B6" t="inlineStr">
        <is>
          <t>JM</t>
        </is>
      </c>
      <c r="C6" t="inlineStr">
        <is>
          <t>MEL</t>
        </is>
      </c>
      <c r="D6" t="n">
        <v>550020</v>
      </c>
      <c r="E6" t="inlineStr">
        <is>
          <t>5-6 Bywell Place</t>
        </is>
      </c>
      <c r="F6" t="inlineStr">
        <is>
          <t>Whole Building</t>
        </is>
      </c>
      <c r="G6" t="inlineStr">
        <is>
          <t>Office</t>
        </is>
      </c>
      <c r="H6" t="n">
        <v>2011</v>
      </c>
      <c r="I6">
        <f>I2</f>
        <v/>
      </c>
      <c r="J6" t="n">
        <v>2000</v>
      </c>
      <c r="K6" t="inlineStr">
        <is>
          <t>111 Skin Limited</t>
        </is>
      </c>
      <c r="L6" s="869" t="n">
        <v>45365</v>
      </c>
      <c r="M6" s="869" t="n">
        <v>47190</v>
      </c>
      <c r="P6" s="869" t="n">
        <v>46459</v>
      </c>
      <c r="Q6" t="n">
        <v>115500</v>
      </c>
      <c r="R6">
        <f>R2</f>
        <v/>
      </c>
      <c r="S6">
        <f>S2</f>
        <v/>
      </c>
      <c r="T6" t="n">
        <v>100600</v>
      </c>
      <c r="U6">
        <f>U2</f>
        <v/>
      </c>
      <c r="V6" t="n">
        <v>115000</v>
      </c>
      <c r="W6">
        <f>W2</f>
        <v/>
      </c>
      <c r="X6">
        <f>W2/I2</f>
        <v/>
      </c>
      <c r="Y6">
        <f>SUM(W2-U2)/U2</f>
        <v/>
      </c>
      <c r="Z6" t="inlineStr">
        <is>
          <t>C</t>
        </is>
      </c>
      <c r="AB6" t="n">
        <v>1825000</v>
      </c>
      <c r="AC6" t="inlineStr">
        <is>
          <t>No</t>
        </is>
      </c>
      <c r="AD6" t="inlineStr">
        <is>
          <t>Tenant break on 6 months notice. Break penalty of £28,875 if exercised.</t>
        </is>
      </c>
      <c r="AI6" t="inlineStr">
        <is>
          <t>Let</t>
        </is>
      </c>
    </row>
    <row r="7"/>
    <row r="8">
      <c r="A8" s="868" t="inlineStr">
        <is>
          <t>22 and 23-25 Eastcastle Street</t>
        </is>
      </c>
    </row>
    <row r="9">
      <c r="A9" t="inlineStr">
        <is>
          <t xml:space="preserve">  Retail</t>
        </is>
      </c>
      <c r="B9" t="inlineStr">
        <is>
          <t>SH</t>
        </is>
      </c>
      <c r="C9" t="inlineStr">
        <is>
          <t>MEL</t>
        </is>
      </c>
      <c r="D9" t="n">
        <v>550910</v>
      </c>
      <c r="E9" t="inlineStr">
        <is>
          <t>22 and 23-25 Eastcastle Street</t>
        </is>
      </c>
      <c r="F9" t="inlineStr">
        <is>
          <t>Lower Ground &amp; Ground (22)</t>
        </is>
      </c>
      <c r="G9" t="inlineStr">
        <is>
          <t>Retail</t>
        </is>
      </c>
      <c r="H9" t="n">
        <v>2333</v>
      </c>
      <c r="I9">
        <f>I3</f>
        <v/>
      </c>
      <c r="J9" t="n">
        <v>2000</v>
      </c>
      <c r="K9" t="inlineStr">
        <is>
          <t>Top Bridal Ltd</t>
        </is>
      </c>
      <c r="L9" s="869" t="n">
        <v>45736</v>
      </c>
      <c r="M9" s="869" t="n">
        <v>47561</v>
      </c>
      <c r="P9" s="869" t="n">
        <v>46831</v>
      </c>
      <c r="Q9" t="n">
        <v>128000</v>
      </c>
      <c r="R9">
        <f>R3</f>
        <v/>
      </c>
      <c r="T9" t="n">
        <v>110000</v>
      </c>
      <c r="U9">
        <f>U3</f>
        <v/>
      </c>
      <c r="V9" t="n">
        <v>108100</v>
      </c>
      <c r="W9">
        <f>W3</f>
        <v/>
      </c>
      <c r="X9">
        <f>W3/I3</f>
        <v/>
      </c>
      <c r="Y9">
        <f>SUM(W3-U3)/U3</f>
        <v/>
      </c>
      <c r="Z9" t="inlineStr">
        <is>
          <t>C</t>
        </is>
      </c>
      <c r="AC9" t="inlineStr">
        <is>
          <t>No</t>
        </is>
      </c>
      <c r="AD9" t="inlineStr">
        <is>
          <t>Stepped rent increasing to £130,000 wef 20/03/27. Tenant break on 6 months notice.</t>
        </is>
      </c>
      <c r="AF9" t="n">
        <v>1</v>
      </c>
      <c r="AG9" t="n">
        <v>3</v>
      </c>
      <c r="AI9" t="inlineStr">
        <is>
          <t>Let</t>
        </is>
      </c>
    </row>
    <row r="10">
      <c r="A10" t="inlineStr">
        <is>
          <t xml:space="preserve">  Gallery</t>
        </is>
      </c>
      <c r="B10" t="inlineStr">
        <is>
          <t>SH</t>
        </is>
      </c>
      <c r="C10" t="inlineStr">
        <is>
          <t>MEL</t>
        </is>
      </c>
      <c r="D10" t="n">
        <v>550910</v>
      </c>
      <c r="E10" t="inlineStr">
        <is>
          <t>22 and 23-25 Eastcastle Street</t>
        </is>
      </c>
      <c r="F10" t="inlineStr">
        <is>
          <t>Lower Ground &amp; Ground (23-25)</t>
        </is>
      </c>
      <c r="G10" t="inlineStr">
        <is>
          <t>Gallery</t>
        </is>
      </c>
      <c r="H10" t="n">
        <v>6092</v>
      </c>
      <c r="I10">
        <f>I4</f>
        <v/>
      </c>
      <c r="J10" t="n">
        <v>6000</v>
      </c>
      <c r="K10" t="inlineStr">
        <is>
          <t>Sisters Grimm Ltd</t>
        </is>
      </c>
      <c r="L10" s="869" t="n">
        <v>45712</v>
      </c>
      <c r="M10" s="869" t="n">
        <v>47537</v>
      </c>
      <c r="P10" s="869" t="n">
        <v>46806</v>
      </c>
      <c r="Q10" t="n">
        <v>325000</v>
      </c>
      <c r="R10">
        <f>R4</f>
        <v/>
      </c>
      <c r="T10" t="n">
        <v>225000</v>
      </c>
      <c r="U10">
        <f>U4</f>
        <v/>
      </c>
      <c r="V10" t="n">
        <v>226100</v>
      </c>
      <c r="W10">
        <f>W4</f>
        <v/>
      </c>
      <c r="X10">
        <f>W4/I4</f>
        <v/>
      </c>
      <c r="Y10">
        <f>SUM(W4-U4)/U4</f>
        <v/>
      </c>
      <c r="Z10" t="inlineStr">
        <is>
          <t>B</t>
        </is>
      </c>
      <c r="AC10" t="inlineStr">
        <is>
          <t>No</t>
        </is>
      </c>
      <c r="AD10" t="inlineStr">
        <is>
          <t>Tenant break on 6 months notice. 1 month rent free from 24/02/28 if break not excerised.</t>
        </is>
      </c>
      <c r="AG10" t="n">
        <v>3</v>
      </c>
      <c r="AH10" t="inlineStr">
        <is>
          <t>LEM</t>
        </is>
      </c>
      <c r="AI10" t="inlineStr">
        <is>
          <t>Let</t>
        </is>
      </c>
    </row>
    <row r="11">
      <c r="A11" t="inlineStr">
        <is>
          <t xml:space="preserve">  Office</t>
        </is>
      </c>
      <c r="B11" t="inlineStr">
        <is>
          <t>SH</t>
        </is>
      </c>
      <c r="C11" t="inlineStr">
        <is>
          <t>MEL</t>
        </is>
      </c>
      <c r="D11" t="n">
        <v>550910</v>
      </c>
      <c r="E11" t="inlineStr">
        <is>
          <t>22 and 23-25 Eastcastle Street</t>
        </is>
      </c>
      <c r="F11" t="inlineStr">
        <is>
          <t>First Floor (22)</t>
        </is>
      </c>
      <c r="G11" t="inlineStr">
        <is>
          <t>Office</t>
        </is>
      </c>
      <c r="H11" t="n">
        <v>1063</v>
      </c>
      <c r="I11">
        <f>I5</f>
        <v/>
      </c>
      <c r="J11" t="n">
        <v>1000</v>
      </c>
      <c r="K11" t="inlineStr">
        <is>
          <t>Peter Alexander UK Ltd</t>
        </is>
      </c>
      <c r="L11" s="869" t="n">
        <v>45551</v>
      </c>
      <c r="M11" s="869" t="n">
        <v>47376</v>
      </c>
      <c r="P11" s="869" t="n">
        <v>46645</v>
      </c>
      <c r="Q11" t="n">
        <v>61425</v>
      </c>
      <c r="R11">
        <f>R5</f>
        <v/>
      </c>
      <c r="T11" t="n">
        <v>55700</v>
      </c>
      <c r="U11">
        <f>U5</f>
        <v/>
      </c>
      <c r="V11" t="n">
        <v>61100</v>
      </c>
      <c r="W11">
        <f>W5</f>
        <v/>
      </c>
      <c r="X11">
        <f>W5/I5</f>
        <v/>
      </c>
      <c r="Y11">
        <f>SUM(W5-U5)/U5</f>
        <v/>
      </c>
      <c r="Z11" t="inlineStr">
        <is>
          <t>D</t>
        </is>
      </c>
      <c r="AC11" t="inlineStr">
        <is>
          <t>No</t>
        </is>
      </c>
      <c r="AD11" t="inlineStr">
        <is>
          <t>Tenant break on 3 months notice. Additional 3 months rent free if not exercised.</t>
        </is>
      </c>
      <c r="AH11" t="inlineStr">
        <is>
          <t>LEM</t>
        </is>
      </c>
      <c r="AI11" t="inlineStr">
        <is>
          <t>Let</t>
        </is>
      </c>
    </row>
    <row r="12">
      <c r="A12" t="inlineStr">
        <is>
          <t xml:space="preserve">  Office</t>
        </is>
      </c>
      <c r="B12" t="inlineStr">
        <is>
          <t>SH</t>
        </is>
      </c>
      <c r="C12" t="inlineStr">
        <is>
          <t>MEL</t>
        </is>
      </c>
      <c r="D12" t="n">
        <v>550910</v>
      </c>
      <c r="E12" t="inlineStr">
        <is>
          <t>22 and 23-25 Eastcastle Street</t>
        </is>
      </c>
      <c r="F12" t="inlineStr">
        <is>
          <t>First Floor (23-25)</t>
        </is>
      </c>
      <c r="G12" t="inlineStr">
        <is>
          <t>Office</t>
        </is>
      </c>
      <c r="H12" t="n">
        <v>2220</v>
      </c>
      <c r="I12">
        <f>I6</f>
        <v/>
      </c>
      <c r="J12" t="n">
        <v>2000</v>
      </c>
      <c r="K12" t="inlineStr">
        <is>
          <t>Cord Technologies Ltd</t>
        </is>
      </c>
      <c r="L12" s="869" t="n">
        <v>45086</v>
      </c>
      <c r="M12" s="869" t="n">
        <v>46181</v>
      </c>
      <c r="Q12" t="n">
        <v>131400</v>
      </c>
      <c r="R12">
        <f>R6</f>
        <v/>
      </c>
      <c r="T12" t="n">
        <v>131100</v>
      </c>
      <c r="U12">
        <f>U6</f>
        <v/>
      </c>
      <c r="V12" t="n">
        <v>133200</v>
      </c>
      <c r="W12">
        <f>W6</f>
        <v/>
      </c>
      <c r="X12">
        <f>W6/I6</f>
        <v/>
      </c>
      <c r="Y12">
        <f>SUM(W6-U6)/U6</f>
        <v/>
      </c>
      <c r="Z12" t="inlineStr">
        <is>
          <t>D</t>
        </is>
      </c>
      <c r="AC12" t="inlineStr">
        <is>
          <t>No</t>
        </is>
      </c>
      <c r="AD12" t="inlineStr">
        <is>
          <t>Tenant break passed.</t>
        </is>
      </c>
      <c r="AI12" t="inlineStr">
        <is>
          <t>Let</t>
        </is>
      </c>
    </row>
    <row r="13">
      <c r="A13" t="inlineStr">
        <is>
          <t xml:space="preserve">  Office</t>
        </is>
      </c>
      <c r="B13" t="inlineStr">
        <is>
          <t>SH</t>
        </is>
      </c>
      <c r="C13" t="inlineStr">
        <is>
          <t>MEL</t>
        </is>
      </c>
      <c r="D13" t="n">
        <v>550910</v>
      </c>
      <c r="E13" t="inlineStr">
        <is>
          <t>22 and 23-25 Eastcastle Street</t>
        </is>
      </c>
      <c r="F13" t="inlineStr">
        <is>
          <t>Second Floor (22)</t>
        </is>
      </c>
      <c r="G13" t="inlineStr">
        <is>
          <t>Office</t>
        </is>
      </c>
      <c r="H13" t="n">
        <v>1124</v>
      </c>
      <c r="I13">
        <f>I7</f>
        <v/>
      </c>
      <c r="J13" t="n">
        <v>1000</v>
      </c>
      <c r="K13" t="inlineStr">
        <is>
          <t>Cord Technologies Ltd</t>
        </is>
      </c>
      <c r="L13" s="869" t="n">
        <v>45614</v>
      </c>
      <c r="M13" s="869" t="n">
        <v>46181</v>
      </c>
      <c r="Q13" t="n">
        <v>71875</v>
      </c>
      <c r="R13">
        <f>R7</f>
        <v/>
      </c>
      <c r="T13" t="n">
        <v>60400</v>
      </c>
      <c r="U13">
        <f>U7</f>
        <v/>
      </c>
      <c r="V13" t="n">
        <v>61800</v>
      </c>
      <c r="W13">
        <f>W7</f>
        <v/>
      </c>
      <c r="X13">
        <f>W7/I7</f>
        <v/>
      </c>
      <c r="Y13">
        <f>SUM(W7-U7)/U7</f>
        <v/>
      </c>
      <c r="Z13" t="inlineStr">
        <is>
          <t>B</t>
        </is>
      </c>
      <c r="AC13" t="inlineStr">
        <is>
          <t>No</t>
        </is>
      </c>
      <c r="AD13" t="inlineStr">
        <is>
          <t>Tenant break passed.</t>
        </is>
      </c>
      <c r="AI13" t="inlineStr">
        <is>
          <t>Let</t>
        </is>
      </c>
    </row>
    <row r="14">
      <c r="A14" t="inlineStr">
        <is>
          <t xml:space="preserve">  Office</t>
        </is>
      </c>
      <c r="B14" t="inlineStr">
        <is>
          <t>SH</t>
        </is>
      </c>
      <c r="C14" t="inlineStr">
        <is>
          <t>MEL</t>
        </is>
      </c>
      <c r="D14" t="n">
        <v>550910</v>
      </c>
      <c r="E14" t="inlineStr">
        <is>
          <t>22 and 23-25 Eastcastle Street</t>
        </is>
      </c>
      <c r="F14" t="inlineStr">
        <is>
          <t>Second Floor (23-25)</t>
        </is>
      </c>
      <c r="G14" t="inlineStr">
        <is>
          <t>Office</t>
        </is>
      </c>
      <c r="H14" t="n">
        <v>2238</v>
      </c>
      <c r="I14">
        <f>I8</f>
        <v/>
      </c>
      <c r="J14" t="n">
        <v>2000</v>
      </c>
      <c r="K14" t="inlineStr">
        <is>
          <t>Vacant</t>
        </is>
      </c>
      <c r="N14" s="869" t="n">
        <v>45636</v>
      </c>
      <c r="Q14" t="n">
        <v>0</v>
      </c>
      <c r="R14">
        <f>R8</f>
        <v/>
      </c>
      <c r="T14" t="n">
        <v>134300</v>
      </c>
      <c r="U14">
        <f>U8</f>
        <v/>
      </c>
      <c r="V14" t="n">
        <v>134300</v>
      </c>
      <c r="W14">
        <f>W8</f>
        <v/>
      </c>
      <c r="X14">
        <f>W8/I8</f>
        <v/>
      </c>
      <c r="Y14">
        <f>SUM(W8-U8)/U8</f>
        <v/>
      </c>
      <c r="Z14" t="inlineStr">
        <is>
          <t>D</t>
        </is>
      </c>
      <c r="AC14" t="inlineStr">
        <is>
          <t>No</t>
        </is>
      </c>
      <c r="AD14" t="inlineStr">
        <is>
          <t>LEM marketing.</t>
        </is>
      </c>
      <c r="AF14" t="n">
        <v>2</v>
      </c>
      <c r="AG14" t="n">
        <v>2</v>
      </c>
      <c r="AI14" t="inlineStr">
        <is>
          <t>Void</t>
        </is>
      </c>
    </row>
    <row r="15">
      <c r="A15" t="inlineStr">
        <is>
          <t xml:space="preserve">  Office</t>
        </is>
      </c>
      <c r="B15" t="inlineStr">
        <is>
          <t>SH</t>
        </is>
      </c>
      <c r="C15" t="inlineStr">
        <is>
          <t>MEL</t>
        </is>
      </c>
      <c r="D15" t="n">
        <v>550910</v>
      </c>
      <c r="E15" t="inlineStr">
        <is>
          <t>22 and 23-25 Eastcastle Street</t>
        </is>
      </c>
      <c r="F15" t="inlineStr">
        <is>
          <t>Third Floor (22)</t>
        </is>
      </c>
      <c r="G15" t="inlineStr">
        <is>
          <t>Office</t>
        </is>
      </c>
      <c r="H15" t="n">
        <v>400</v>
      </c>
      <c r="I15">
        <f>I9</f>
        <v/>
      </c>
      <c r="J15" t="n">
        <v>500</v>
      </c>
      <c r="K15" t="inlineStr">
        <is>
          <t>Vacant</t>
        </is>
      </c>
      <c r="N15" s="869" t="n">
        <v>45771</v>
      </c>
      <c r="Q15" t="n">
        <v>0</v>
      </c>
      <c r="R15">
        <f>R9</f>
        <v/>
      </c>
      <c r="T15" t="n">
        <v>20600</v>
      </c>
      <c r="U15">
        <f>U9</f>
        <v/>
      </c>
      <c r="V15" t="n">
        <v>23000</v>
      </c>
      <c r="W15">
        <f>W9</f>
        <v/>
      </c>
      <c r="X15">
        <f>W9/I9</f>
        <v/>
      </c>
      <c r="Y15">
        <f>SUM(W9-U9)/U9</f>
        <v/>
      </c>
      <c r="Z15" t="inlineStr">
        <is>
          <t>D</t>
        </is>
      </c>
      <c r="AC15" t="inlineStr">
        <is>
          <t>No</t>
        </is>
      </c>
      <c r="AD15" t="inlineStr">
        <is>
          <t>LEM marketing.</t>
        </is>
      </c>
      <c r="AF15" t="n">
        <v>1</v>
      </c>
      <c r="AG15" t="n">
        <v>1</v>
      </c>
      <c r="AI15" t="inlineStr">
        <is>
          <t>Void</t>
        </is>
      </c>
    </row>
    <row r="16">
      <c r="A16" t="inlineStr">
        <is>
          <t xml:space="preserve">  Office</t>
        </is>
      </c>
      <c r="B16" t="inlineStr">
        <is>
          <t>SH</t>
        </is>
      </c>
      <c r="C16" t="inlineStr">
        <is>
          <t>MEL</t>
        </is>
      </c>
      <c r="D16" t="n">
        <v>550910</v>
      </c>
      <c r="E16" t="inlineStr">
        <is>
          <t>22 and 23-25 Eastcastle Street</t>
        </is>
      </c>
      <c r="F16" t="inlineStr">
        <is>
          <t>Third Floor (23-25)</t>
        </is>
      </c>
      <c r="G16" t="inlineStr">
        <is>
          <t>Office</t>
        </is>
      </c>
      <c r="H16" t="n">
        <v>1938</v>
      </c>
      <c r="I16">
        <f>I10</f>
        <v/>
      </c>
      <c r="J16" t="n">
        <v>2000</v>
      </c>
      <c r="K16" t="inlineStr">
        <is>
          <t>Vacant</t>
        </is>
      </c>
      <c r="N16" s="869" t="n">
        <v>45217</v>
      </c>
      <c r="Q16" t="n">
        <v>0</v>
      </c>
      <c r="R16">
        <f>R10</f>
        <v/>
      </c>
      <c r="T16" t="n">
        <v>109000</v>
      </c>
      <c r="U16">
        <f>U10</f>
        <v/>
      </c>
      <c r="V16" t="n">
        <v>111400</v>
      </c>
      <c r="W16">
        <f>W10</f>
        <v/>
      </c>
      <c r="X16">
        <f>W10/I10</f>
        <v/>
      </c>
      <c r="Y16">
        <f>SUM(W10-U10)/U10</f>
        <v/>
      </c>
      <c r="Z16" t="inlineStr">
        <is>
          <t>D</t>
        </is>
      </c>
      <c r="AC16" t="inlineStr">
        <is>
          <t>No</t>
        </is>
      </c>
      <c r="AD16" t="inlineStr">
        <is>
          <t>LEM marketing.</t>
        </is>
      </c>
      <c r="AE16" t="n">
        <v>65</v>
      </c>
      <c r="AF16" t="n">
        <v>2</v>
      </c>
      <c r="AG16" t="n">
        <v>4</v>
      </c>
      <c r="AI16" t="inlineStr">
        <is>
          <t>Void</t>
        </is>
      </c>
    </row>
    <row r="17">
      <c r="A17" t="inlineStr">
        <is>
          <t xml:space="preserve">  Office</t>
        </is>
      </c>
      <c r="B17" t="inlineStr">
        <is>
          <t>SH</t>
        </is>
      </c>
      <c r="C17" t="inlineStr">
        <is>
          <t>MEL</t>
        </is>
      </c>
      <c r="D17" t="n">
        <v>550910</v>
      </c>
      <c r="E17" t="inlineStr">
        <is>
          <t>22 and 23-25 Eastcastle Street</t>
        </is>
      </c>
      <c r="F17" t="inlineStr">
        <is>
          <t>Fourth Floor (22)</t>
        </is>
      </c>
      <c r="G17" t="inlineStr">
        <is>
          <t>Office</t>
        </is>
      </c>
      <c r="H17" t="n">
        <v>419</v>
      </c>
      <c r="I17">
        <f>I11</f>
        <v/>
      </c>
      <c r="J17" t="n">
        <v>500</v>
      </c>
      <c r="K17" t="inlineStr">
        <is>
          <t>Element Pictures UK Ltd.</t>
        </is>
      </c>
      <c r="L17" s="869" t="n">
        <v>44539</v>
      </c>
      <c r="M17" s="869" t="n">
        <v>46364</v>
      </c>
      <c r="Q17" t="n">
        <v>23940</v>
      </c>
      <c r="R17">
        <f>R11</f>
        <v/>
      </c>
      <c r="T17" t="n">
        <v>21000</v>
      </c>
      <c r="U17">
        <f>U11</f>
        <v/>
      </c>
      <c r="V17" t="n">
        <v>24100</v>
      </c>
      <c r="W17">
        <f>W11</f>
        <v/>
      </c>
      <c r="X17">
        <f>W11/I11</f>
        <v/>
      </c>
      <c r="Y17">
        <f>SUM(W11-U11)/U11</f>
        <v/>
      </c>
      <c r="Z17" t="inlineStr">
        <is>
          <t>D</t>
        </is>
      </c>
      <c r="AC17" t="inlineStr">
        <is>
          <t>No</t>
        </is>
      </c>
      <c r="AF17" t="n">
        <v>1</v>
      </c>
      <c r="AG17" t="n">
        <v>1</v>
      </c>
      <c r="AI17" t="inlineStr">
        <is>
          <t>Let</t>
        </is>
      </c>
    </row>
    <row r="18">
      <c r="A18" t="inlineStr">
        <is>
          <t xml:space="preserve">  Office</t>
        </is>
      </c>
      <c r="B18" t="inlineStr">
        <is>
          <t>SH</t>
        </is>
      </c>
      <c r="C18" t="inlineStr">
        <is>
          <t>MEL</t>
        </is>
      </c>
      <c r="D18" t="n">
        <v>550910</v>
      </c>
      <c r="E18" t="inlineStr">
        <is>
          <t>22 and 23-25 Eastcastle Street</t>
        </is>
      </c>
      <c r="F18" t="inlineStr">
        <is>
          <t>Fourth Floor (23-25)</t>
        </is>
      </c>
      <c r="G18" t="inlineStr">
        <is>
          <t>Office</t>
        </is>
      </c>
      <c r="H18" t="n">
        <v>972</v>
      </c>
      <c r="I18">
        <f>I12</f>
        <v/>
      </c>
      <c r="J18" t="n">
        <v>1000</v>
      </c>
      <c r="K18" t="inlineStr">
        <is>
          <t>Encore Search (Newburgh Street) Ltd.</t>
        </is>
      </c>
      <c r="L18" s="869" t="n">
        <v>45100</v>
      </c>
      <c r="M18" s="869" t="n">
        <v>46926</v>
      </c>
      <c r="P18" s="869" t="n">
        <v>46195</v>
      </c>
      <c r="Q18" t="n">
        <v>58560</v>
      </c>
      <c r="R18">
        <f>R12</f>
        <v/>
      </c>
      <c r="T18" t="n">
        <v>49400</v>
      </c>
      <c r="U18">
        <f>U12</f>
        <v/>
      </c>
      <c r="V18" t="n">
        <v>58300</v>
      </c>
      <c r="W18">
        <f>W12</f>
        <v/>
      </c>
      <c r="X18">
        <f>W12/I12</f>
        <v/>
      </c>
      <c r="Y18">
        <f>SUM(W12-U12)/U12</f>
        <v/>
      </c>
      <c r="Z18" t="inlineStr">
        <is>
          <t>D</t>
        </is>
      </c>
      <c r="AC18" t="inlineStr">
        <is>
          <t>No</t>
        </is>
      </c>
      <c r="AD18" t="inlineStr">
        <is>
          <t>Tenant break on 6 months notice. 3 months rent free if not exercised.</t>
        </is>
      </c>
      <c r="AI18" t="inlineStr">
        <is>
          <t>Let</t>
        </is>
      </c>
    </row>
    <row r="19">
      <c r="A19" t="inlineStr">
        <is>
          <t xml:space="preserve">  Office</t>
        </is>
      </c>
      <c r="B19" t="inlineStr">
        <is>
          <t>SH</t>
        </is>
      </c>
      <c r="C19" t="inlineStr">
        <is>
          <t>MEL</t>
        </is>
      </c>
      <c r="D19" t="n">
        <v>550910</v>
      </c>
      <c r="E19" t="inlineStr">
        <is>
          <t>22 and 23-25 Eastcastle Street</t>
        </is>
      </c>
      <c r="F19" t="inlineStr">
        <is>
          <t>Fifth Floor (23-25)</t>
        </is>
      </c>
      <c r="G19" t="inlineStr">
        <is>
          <t>Office</t>
        </is>
      </c>
      <c r="H19" t="n">
        <v>977</v>
      </c>
      <c r="I19">
        <f>I13</f>
        <v/>
      </c>
      <c r="J19" t="n">
        <v>1000</v>
      </c>
      <c r="K19" t="inlineStr">
        <is>
          <t>Element Pictures UK Ltd.</t>
        </is>
      </c>
      <c r="L19" s="869" t="n">
        <v>45476</v>
      </c>
      <c r="M19" s="869" t="n">
        <v>47301</v>
      </c>
      <c r="P19" s="869" t="n">
        <v>46364</v>
      </c>
      <c r="Q19" t="n">
        <v>58496</v>
      </c>
      <c r="R19">
        <f>R13</f>
        <v/>
      </c>
      <c r="T19" t="n">
        <v>47400</v>
      </c>
      <c r="U19">
        <f>U13</f>
        <v/>
      </c>
      <c r="V19" t="n">
        <v>58600</v>
      </c>
      <c r="W19">
        <f>W13</f>
        <v/>
      </c>
      <c r="X19">
        <f>W13/I13</f>
        <v/>
      </c>
      <c r="Y19">
        <f>SUM(W13-U13)/U13</f>
        <v/>
      </c>
      <c r="Z19" t="inlineStr">
        <is>
          <t>B</t>
        </is>
      </c>
      <c r="AC19" t="inlineStr">
        <is>
          <t>No</t>
        </is>
      </c>
      <c r="AD19" t="inlineStr">
        <is>
          <t>Tenant break on 6 months notice.</t>
        </is>
      </c>
      <c r="AI19" t="inlineStr">
        <is>
          <t>Let</t>
        </is>
      </c>
    </row>
    <row r="20">
      <c r="A20" t="inlineStr">
        <is>
          <t xml:space="preserve">  Office</t>
        </is>
      </c>
      <c r="B20" t="inlineStr">
        <is>
          <t>SH</t>
        </is>
      </c>
      <c r="C20" t="inlineStr">
        <is>
          <t>MEL</t>
        </is>
      </c>
      <c r="D20" t="n">
        <v>550910</v>
      </c>
      <c r="E20" t="inlineStr">
        <is>
          <t>22 and 23-25 Eastcastle Street</t>
        </is>
      </c>
      <c r="F20" t="inlineStr">
        <is>
          <t>Sixth Floor (23-25)</t>
        </is>
      </c>
      <c r="G20" t="inlineStr">
        <is>
          <t>Office</t>
        </is>
      </c>
      <c r="H20" t="n">
        <v>744</v>
      </c>
      <c r="I20">
        <f>I14</f>
        <v/>
      </c>
      <c r="J20" t="n">
        <v>750</v>
      </c>
      <c r="K20" t="inlineStr">
        <is>
          <t>Vacant</t>
        </is>
      </c>
      <c r="N20" s="869" t="n">
        <v>45182</v>
      </c>
      <c r="Q20" t="n">
        <v>0</v>
      </c>
      <c r="R20">
        <f>R14</f>
        <v/>
      </c>
      <c r="T20" t="n">
        <v>34400</v>
      </c>
      <c r="U20">
        <f>U14</f>
        <v/>
      </c>
      <c r="V20" t="n">
        <v>47000</v>
      </c>
      <c r="W20">
        <f>W14</f>
        <v/>
      </c>
      <c r="X20">
        <f>W14/I14</f>
        <v/>
      </c>
      <c r="Y20">
        <f>SUM(W14-U14)/U14</f>
        <v/>
      </c>
      <c r="Z20" t="inlineStr">
        <is>
          <t>D</t>
        </is>
      </c>
      <c r="AC20" t="inlineStr">
        <is>
          <t>No</t>
        </is>
      </c>
      <c r="AD20" t="inlineStr">
        <is>
          <t>LEM marketing.</t>
        </is>
      </c>
      <c r="AE20" t="n">
        <v>63.5</v>
      </c>
      <c r="AF20" t="n">
        <v>2</v>
      </c>
      <c r="AG20" t="n">
        <v>4</v>
      </c>
      <c r="AH20" t="inlineStr">
        <is>
          <t>LEM</t>
        </is>
      </c>
      <c r="AI20" t="inlineStr">
        <is>
          <t>Void</t>
        </is>
      </c>
    </row>
    <row r="21">
      <c r="A21" t="inlineStr">
        <is>
          <t xml:space="preserve">  Parking</t>
        </is>
      </c>
      <c r="B21" t="inlineStr">
        <is>
          <t>SH</t>
        </is>
      </c>
      <c r="C21" t="inlineStr">
        <is>
          <t>MEL</t>
        </is>
      </c>
      <c r="D21" t="n">
        <v>550910</v>
      </c>
      <c r="E21" t="inlineStr">
        <is>
          <t>22 and 23-25 Eastcastle Street</t>
        </is>
      </c>
      <c r="F21" t="inlineStr">
        <is>
          <t>Garage</t>
        </is>
      </c>
      <c r="G21" t="inlineStr">
        <is>
          <t>Parking</t>
        </is>
      </c>
      <c r="H21" t="n">
        <v>185</v>
      </c>
      <c r="I21">
        <f>I15</f>
        <v/>
      </c>
      <c r="J21" t="n">
        <v>200</v>
      </c>
      <c r="K21" t="inlineStr">
        <is>
          <t>Vacant / Landlord</t>
        </is>
      </c>
      <c r="N21" t="inlineStr">
        <is>
          <t>N/A</t>
        </is>
      </c>
      <c r="Q21" t="n">
        <v>0</v>
      </c>
      <c r="R21">
        <f>R15</f>
        <v/>
      </c>
      <c r="T21" t="n">
        <v>3000</v>
      </c>
      <c r="U21">
        <f>U15</f>
        <v/>
      </c>
      <c r="V21" t="n">
        <v>4500</v>
      </c>
      <c r="W21">
        <f>W15</f>
        <v/>
      </c>
      <c r="X21">
        <f>W15/I15</f>
        <v/>
      </c>
      <c r="Y21">
        <f>SUM(W15-U15)/U15</f>
        <v/>
      </c>
      <c r="AC21" t="inlineStr">
        <is>
          <t>No</t>
        </is>
      </c>
      <c r="AI21" t="inlineStr">
        <is>
          <t>Void</t>
        </is>
      </c>
    </row>
    <row r="22"/>
    <row r="23">
      <c r="A23" s="868" t="inlineStr">
        <is>
          <t>26 Eastcastle Street</t>
        </is>
      </c>
    </row>
    <row r="24">
      <c r="A24" t="inlineStr">
        <is>
          <t xml:space="preserve">  Showroom/ Offices</t>
        </is>
      </c>
      <c r="B24" t="inlineStr">
        <is>
          <t>SH</t>
        </is>
      </c>
      <c r="C24" t="inlineStr">
        <is>
          <t>MEL</t>
        </is>
      </c>
      <c r="D24" t="n">
        <v>550920</v>
      </c>
      <c r="E24" t="inlineStr">
        <is>
          <t>26 Eastcastle Street</t>
        </is>
      </c>
      <c r="F24" t="inlineStr">
        <is>
          <t>Lower Ground &amp; Ground</t>
        </is>
      </c>
      <c r="G24" t="inlineStr">
        <is>
          <t>Showroom/ Offices</t>
        </is>
      </c>
      <c r="H24" t="n">
        <v>2940</v>
      </c>
      <c r="I24">
        <f>I16</f>
        <v/>
      </c>
      <c r="J24" t="n">
        <v>3000</v>
      </c>
      <c r="K24" t="inlineStr">
        <is>
          <t>Hela Brands Ltd</t>
        </is>
      </c>
      <c r="L24" s="869" t="n">
        <v>45649</v>
      </c>
      <c r="M24" s="869" t="n">
        <v>46743</v>
      </c>
      <c r="P24" s="869" t="n">
        <v>46013</v>
      </c>
      <c r="Q24" t="n">
        <v>132000</v>
      </c>
      <c r="R24">
        <f>R16</f>
        <v/>
      </c>
      <c r="T24" t="n">
        <v>114600</v>
      </c>
      <c r="U24">
        <f>U16</f>
        <v/>
      </c>
      <c r="V24" t="n">
        <v>124500</v>
      </c>
      <c r="W24">
        <f>W16</f>
        <v/>
      </c>
      <c r="X24">
        <f>W16/I16</f>
        <v/>
      </c>
      <c r="Y24">
        <f>SUM(W16-U16)/U16</f>
        <v/>
      </c>
      <c r="Z24" t="inlineStr">
        <is>
          <t>C</t>
        </is>
      </c>
      <c r="AC24" t="inlineStr">
        <is>
          <t>No</t>
        </is>
      </c>
      <c r="AD24" t="inlineStr">
        <is>
          <t>Tenant rolling break from 22/12/25 on 4 months notice.</t>
        </is>
      </c>
      <c r="AI24" t="inlineStr">
        <is>
          <t>Let</t>
        </is>
      </c>
    </row>
    <row r="25">
      <c r="A25" t="inlineStr">
        <is>
          <t xml:space="preserve">  Offices</t>
        </is>
      </c>
      <c r="B25" t="inlineStr">
        <is>
          <t>SH</t>
        </is>
      </c>
      <c r="C25" t="inlineStr">
        <is>
          <t>MEL</t>
        </is>
      </c>
      <c r="D25" t="n">
        <v>550920</v>
      </c>
      <c r="E25" t="inlineStr">
        <is>
          <t>26 Eastcastle Street</t>
        </is>
      </c>
      <c r="F25" t="inlineStr">
        <is>
          <t>First Floor</t>
        </is>
      </c>
      <c r="G25" t="inlineStr">
        <is>
          <t>Offices</t>
        </is>
      </c>
      <c r="H25" t="n">
        <v>1398</v>
      </c>
      <c r="I25">
        <f>I17</f>
        <v/>
      </c>
      <c r="J25" t="n">
        <v>1000</v>
      </c>
      <c r="K25" t="inlineStr">
        <is>
          <t>Alternative Real Estate Advisors Ltd</t>
        </is>
      </c>
      <c r="L25" s="869" t="n">
        <v>45470</v>
      </c>
      <c r="M25" s="869" t="n">
        <v>47295</v>
      </c>
      <c r="P25" s="869" t="n">
        <v>46564</v>
      </c>
      <c r="Q25" t="n">
        <v>89833</v>
      </c>
      <c r="R25">
        <f>R17</f>
        <v/>
      </c>
      <c r="T25" t="n">
        <v>76900</v>
      </c>
      <c r="U25">
        <f>U17</f>
        <v/>
      </c>
      <c r="V25" t="n">
        <v>97900</v>
      </c>
      <c r="W25">
        <f>W17</f>
        <v/>
      </c>
      <c r="X25">
        <f>W17/I17</f>
        <v/>
      </c>
      <c r="Y25">
        <f>SUM(W17-U17)/U17</f>
        <v/>
      </c>
      <c r="Z25" t="inlineStr">
        <is>
          <t>D</t>
        </is>
      </c>
      <c r="AC25" t="inlineStr">
        <is>
          <t>No</t>
        </is>
      </c>
      <c r="AD25" t="inlineStr">
        <is>
          <t>Rent increases to £98,000 wef 27/06/27. Tenant break on 6 months notice.</t>
        </is>
      </c>
      <c r="AI25" t="inlineStr">
        <is>
          <t>Let</t>
        </is>
      </c>
    </row>
    <row r="26">
      <c r="A26" t="inlineStr">
        <is>
          <t xml:space="preserve">  Offices</t>
        </is>
      </c>
      <c r="B26" t="inlineStr">
        <is>
          <t>SH</t>
        </is>
      </c>
      <c r="C26" t="inlineStr">
        <is>
          <t>MEL</t>
        </is>
      </c>
      <c r="D26" t="n">
        <v>550920</v>
      </c>
      <c r="E26" t="inlineStr">
        <is>
          <t>26 Eastcastle Street</t>
        </is>
      </c>
      <c r="F26" t="inlineStr">
        <is>
          <t>Second Floor</t>
        </is>
      </c>
      <c r="G26" t="inlineStr">
        <is>
          <t>Offices</t>
        </is>
      </c>
      <c r="H26" t="n">
        <v>1110</v>
      </c>
      <c r="I26">
        <f>I18</f>
        <v/>
      </c>
      <c r="J26" t="n">
        <v>1000</v>
      </c>
      <c r="K26" t="inlineStr">
        <is>
          <t>Vacant</t>
        </is>
      </c>
      <c r="N26" s="869" t="n">
        <v>43273</v>
      </c>
      <c r="Q26" t="n">
        <v>0</v>
      </c>
      <c r="R26">
        <f>R18</f>
        <v/>
      </c>
      <c r="T26" t="n">
        <v>61100</v>
      </c>
      <c r="U26">
        <f>U18</f>
        <v/>
      </c>
      <c r="V26" t="n">
        <v>69400</v>
      </c>
      <c r="W26">
        <f>W18</f>
        <v/>
      </c>
      <c r="X26">
        <f>W18/I18</f>
        <v/>
      </c>
      <c r="Y26">
        <f>SUM(W18-U18)/U18</f>
        <v/>
      </c>
      <c r="Z26" t="inlineStr">
        <is>
          <t>C</t>
        </is>
      </c>
      <c r="AC26" t="inlineStr">
        <is>
          <t>No</t>
        </is>
      </c>
      <c r="AD26" t="inlineStr">
        <is>
          <t>LEM marketing.</t>
        </is>
      </c>
      <c r="AE26" t="n">
        <v>63.5</v>
      </c>
      <c r="AG26" t="n">
        <v>1</v>
      </c>
      <c r="AI26" t="inlineStr">
        <is>
          <t>Void</t>
        </is>
      </c>
    </row>
    <row r="27">
      <c r="A27" t="inlineStr">
        <is>
          <t xml:space="preserve">  Offices</t>
        </is>
      </c>
      <c r="B27" t="inlineStr">
        <is>
          <t>SH</t>
        </is>
      </c>
      <c r="C27" t="inlineStr">
        <is>
          <t>MEL</t>
        </is>
      </c>
      <c r="D27" t="n">
        <v>550920</v>
      </c>
      <c r="E27" t="inlineStr">
        <is>
          <t>26 Eastcastle Street</t>
        </is>
      </c>
      <c r="F27" t="inlineStr">
        <is>
          <t>Third Floor</t>
        </is>
      </c>
      <c r="G27" t="inlineStr">
        <is>
          <t>Offices</t>
        </is>
      </c>
      <c r="H27" t="n">
        <v>481</v>
      </c>
      <c r="I27">
        <f>I19</f>
        <v/>
      </c>
      <c r="J27" t="n">
        <v>500</v>
      </c>
      <c r="K27" t="inlineStr">
        <is>
          <t>Mr. A. Park</t>
        </is>
      </c>
      <c r="L27" s="869" t="n">
        <v>45541</v>
      </c>
      <c r="M27" s="869" t="n">
        <v>47366</v>
      </c>
      <c r="P27" s="869" t="n">
        <v>46635</v>
      </c>
      <c r="Q27" t="n">
        <v>26000</v>
      </c>
      <c r="R27">
        <f>R19</f>
        <v/>
      </c>
      <c r="T27" t="n">
        <v>25300</v>
      </c>
      <c r="U27">
        <f>U19</f>
        <v/>
      </c>
      <c r="V27" t="n">
        <v>25300</v>
      </c>
      <c r="W27">
        <f>W19</f>
        <v/>
      </c>
      <c r="X27">
        <f>W19/I19</f>
        <v/>
      </c>
      <c r="Y27">
        <f>SUM(W19-U19)/U19</f>
        <v/>
      </c>
      <c r="Z27" t="inlineStr">
        <is>
          <t>D</t>
        </is>
      </c>
      <c r="AC27" t="inlineStr">
        <is>
          <t>No</t>
        </is>
      </c>
      <c r="AD27" t="inlineStr">
        <is>
          <t>Tenant break on 6 months notice.</t>
        </is>
      </c>
      <c r="AI27" t="inlineStr">
        <is>
          <t>Let</t>
        </is>
      </c>
    </row>
    <row r="28"/>
    <row r="29">
      <c r="A29" s="868" t="inlineStr">
        <is>
          <t>27 - 28 Eastcastle Street</t>
        </is>
      </c>
    </row>
    <row r="30">
      <c r="A30" t="inlineStr">
        <is>
          <t xml:space="preserve">  Showroom / Offices</t>
        </is>
      </c>
      <c r="B30" t="inlineStr">
        <is>
          <t>SH</t>
        </is>
      </c>
      <c r="C30" t="inlineStr">
        <is>
          <t>MEL</t>
        </is>
      </c>
      <c r="D30" t="n">
        <v>550930</v>
      </c>
      <c r="E30" t="inlineStr">
        <is>
          <t>27 - 28 Eastcastle Street</t>
        </is>
      </c>
      <c r="F30" t="inlineStr">
        <is>
          <t>Lower Ground &amp; Ground</t>
        </is>
      </c>
      <c r="G30" t="inlineStr">
        <is>
          <t>Showroom / Offices</t>
        </is>
      </c>
      <c r="H30" t="n">
        <v>3668</v>
      </c>
      <c r="I30">
        <f>I20</f>
        <v/>
      </c>
      <c r="J30" t="n">
        <v>3500</v>
      </c>
      <c r="K30" t="inlineStr">
        <is>
          <t>The London Hair Clinic Ltd</t>
        </is>
      </c>
      <c r="L30" s="869" t="n">
        <v>44757</v>
      </c>
      <c r="M30" s="869" t="n">
        <v>48409</v>
      </c>
      <c r="O30" s="869" t="n">
        <v>46583</v>
      </c>
      <c r="Q30" t="n">
        <v>170000</v>
      </c>
      <c r="R30">
        <f>R20</f>
        <v/>
      </c>
      <c r="T30" t="n">
        <v>170000</v>
      </c>
      <c r="U30">
        <f>U20</f>
        <v/>
      </c>
      <c r="V30" t="n">
        <v>170000</v>
      </c>
      <c r="W30">
        <f>W20</f>
        <v/>
      </c>
      <c r="X30">
        <f>W20/I20</f>
        <v/>
      </c>
      <c r="Y30">
        <f>SUM(W20-U20)/U20</f>
        <v/>
      </c>
      <c r="Z30" t="inlineStr">
        <is>
          <t>B</t>
        </is>
      </c>
      <c r="AC30" t="inlineStr">
        <is>
          <t>No</t>
        </is>
      </c>
      <c r="AI30" t="inlineStr">
        <is>
          <t>Let</t>
        </is>
      </c>
    </row>
    <row r="31">
      <c r="A31" t="inlineStr">
        <is>
          <t xml:space="preserve">  Offices</t>
        </is>
      </c>
      <c r="B31" t="inlineStr">
        <is>
          <t>SH</t>
        </is>
      </c>
      <c r="C31" t="inlineStr">
        <is>
          <t>MEL</t>
        </is>
      </c>
      <c r="D31" t="n">
        <v>550930</v>
      </c>
      <c r="E31" t="inlineStr">
        <is>
          <t>27 - 28 Eastcastle Street</t>
        </is>
      </c>
      <c r="F31" t="inlineStr">
        <is>
          <t>First Floor</t>
        </is>
      </c>
      <c r="G31" t="inlineStr">
        <is>
          <t>Offices</t>
        </is>
      </c>
      <c r="H31" t="n">
        <v>1418</v>
      </c>
      <c r="I31">
        <f>I21</f>
        <v/>
      </c>
      <c r="J31" t="n">
        <v>1500</v>
      </c>
      <c r="K31" t="inlineStr">
        <is>
          <t>Feldberg Capital UK Limited</t>
        </is>
      </c>
      <c r="L31" s="869" t="n">
        <v>45231</v>
      </c>
      <c r="M31" s="869" t="n">
        <v>46326</v>
      </c>
      <c r="Q31" t="n">
        <v>174500</v>
      </c>
      <c r="R31">
        <f>R21</f>
        <v/>
      </c>
      <c r="T31" t="n">
        <v>78000</v>
      </c>
      <c r="U31">
        <f>U21</f>
        <v/>
      </c>
      <c r="V31" t="n">
        <v>99300</v>
      </c>
      <c r="W31">
        <f>W21</f>
        <v/>
      </c>
      <c r="X31">
        <f>W21/I21</f>
        <v/>
      </c>
      <c r="Y31">
        <f>SUM(W21-U21)/U21</f>
        <v/>
      </c>
      <c r="Z31" t="inlineStr">
        <is>
          <t>B</t>
        </is>
      </c>
      <c r="AC31" t="inlineStr">
        <is>
          <t>No</t>
        </is>
      </c>
      <c r="AD31" t="inlineStr">
        <is>
          <t>All inclusive including rates and furniture.</t>
        </is>
      </c>
      <c r="AI31" t="inlineStr">
        <is>
          <t>Let</t>
        </is>
      </c>
    </row>
    <row r="32">
      <c r="A32" t="inlineStr">
        <is>
          <t xml:space="preserve">  Offices</t>
        </is>
      </c>
      <c r="B32" t="inlineStr">
        <is>
          <t>SH</t>
        </is>
      </c>
      <c r="C32" t="inlineStr">
        <is>
          <t>MEL</t>
        </is>
      </c>
      <c r="D32" t="n">
        <v>550930</v>
      </c>
      <c r="E32" t="inlineStr">
        <is>
          <t>27 - 28 Eastcastle Street</t>
        </is>
      </c>
      <c r="F32" t="inlineStr">
        <is>
          <t>Second Floor</t>
        </is>
      </c>
      <c r="G32" t="inlineStr">
        <is>
          <t>Offices</t>
        </is>
      </c>
      <c r="H32" t="n">
        <v>716</v>
      </c>
      <c r="I32">
        <f>I22</f>
        <v/>
      </c>
      <c r="J32" t="n">
        <v>750</v>
      </c>
      <c r="K32" t="inlineStr">
        <is>
          <t>MSP Secretaries Ltd.</t>
        </is>
      </c>
      <c r="L32" s="869" t="n">
        <v>44384</v>
      </c>
      <c r="M32" s="869" t="n">
        <v>46209</v>
      </c>
      <c r="Q32" t="n">
        <v>41000</v>
      </c>
      <c r="R32">
        <f>R22</f>
        <v/>
      </c>
      <c r="T32" t="n">
        <v>39400</v>
      </c>
      <c r="U32">
        <f>U22</f>
        <v/>
      </c>
      <c r="V32" t="n">
        <v>41200</v>
      </c>
      <c r="W32">
        <f>W22</f>
        <v/>
      </c>
      <c r="X32">
        <f>W22/I22</f>
        <v/>
      </c>
      <c r="Y32">
        <f>SUM(W22-U22)/U22</f>
        <v/>
      </c>
      <c r="Z32" t="inlineStr">
        <is>
          <t>B</t>
        </is>
      </c>
      <c r="AC32" t="inlineStr">
        <is>
          <t>No</t>
        </is>
      </c>
      <c r="AI32" t="inlineStr">
        <is>
          <t>Let</t>
        </is>
      </c>
    </row>
    <row r="33">
      <c r="A33" t="inlineStr">
        <is>
          <t xml:space="preserve">  Offices</t>
        </is>
      </c>
      <c r="B33" t="inlineStr">
        <is>
          <t>SH</t>
        </is>
      </c>
      <c r="C33" t="inlineStr">
        <is>
          <t>MEL</t>
        </is>
      </c>
      <c r="D33" t="n">
        <v>550930</v>
      </c>
      <c r="E33" t="inlineStr">
        <is>
          <t>27 - 28 Eastcastle Street</t>
        </is>
      </c>
      <c r="F33" t="inlineStr">
        <is>
          <t>Third Floor</t>
        </is>
      </c>
      <c r="G33" t="inlineStr">
        <is>
          <t>Offices</t>
        </is>
      </c>
      <c r="H33" t="n">
        <v>665</v>
      </c>
      <c r="I33">
        <f>I23</f>
        <v/>
      </c>
      <c r="J33" t="n">
        <v>750</v>
      </c>
      <c r="K33" t="inlineStr">
        <is>
          <t>Principle Estate Management LLP</t>
        </is>
      </c>
      <c r="L33" s="869" t="n">
        <v>45617</v>
      </c>
      <c r="M33" s="869" t="n">
        <v>47442</v>
      </c>
      <c r="P33" s="869" t="n">
        <v>46527</v>
      </c>
      <c r="Q33" t="n">
        <v>41875</v>
      </c>
      <c r="R33">
        <f>R23</f>
        <v/>
      </c>
      <c r="T33" t="n">
        <v>36600</v>
      </c>
      <c r="U33">
        <f>U23</f>
        <v/>
      </c>
      <c r="V33" t="n">
        <v>38200</v>
      </c>
      <c r="W33">
        <f>W23</f>
        <v/>
      </c>
      <c r="X33">
        <f>W23/I23</f>
        <v/>
      </c>
      <c r="Y33">
        <f>SUM(W23-U23)/U23</f>
        <v/>
      </c>
      <c r="Z33" t="inlineStr">
        <is>
          <t>B</t>
        </is>
      </c>
      <c r="AC33" t="inlineStr">
        <is>
          <t>No</t>
        </is>
      </c>
      <c r="AD33" t="inlineStr">
        <is>
          <t>Tenant break on 6 months notice. 2 months rent free if break not exercised.</t>
        </is>
      </c>
      <c r="AI33" t="inlineStr">
        <is>
          <t>Let</t>
        </is>
      </c>
    </row>
    <row r="34"/>
    <row r="35">
      <c r="A35" s="868" t="inlineStr">
        <is>
          <t>10 Great Castle Street</t>
        </is>
      </c>
    </row>
    <row r="36">
      <c r="A36" t="inlineStr">
        <is>
          <t xml:space="preserve">  Office</t>
        </is>
      </c>
      <c r="B36" t="inlineStr">
        <is>
          <t>WS</t>
        </is>
      </c>
      <c r="C36" t="inlineStr">
        <is>
          <t>MEL</t>
        </is>
      </c>
      <c r="D36" t="n">
        <v>550560</v>
      </c>
      <c r="E36" t="inlineStr">
        <is>
          <t>10 Great Castle Street</t>
        </is>
      </c>
      <c r="F36" t="inlineStr">
        <is>
          <t>Basmt. Ground  - 1 to 4 Floors</t>
        </is>
      </c>
      <c r="G36" t="inlineStr">
        <is>
          <t>Office</t>
        </is>
      </c>
      <c r="H36" t="n">
        <v>12578</v>
      </c>
      <c r="I36">
        <f>I24</f>
        <v/>
      </c>
      <c r="J36" t="n">
        <v>12500</v>
      </c>
      <c r="K36" t="inlineStr">
        <is>
          <t>Guaranty Trust Bank (UK) Ltd</t>
        </is>
      </c>
      <c r="L36" s="869" t="n">
        <v>44771</v>
      </c>
      <c r="M36" s="869" t="n">
        <v>50249</v>
      </c>
      <c r="O36" s="869" t="n">
        <v>46597</v>
      </c>
      <c r="P36" s="869" t="n">
        <v>48423</v>
      </c>
      <c r="Q36" t="n">
        <v>633334</v>
      </c>
      <c r="R36">
        <f>R24</f>
        <v/>
      </c>
      <c r="S36">
        <f>S24</f>
        <v/>
      </c>
      <c r="T36" t="n">
        <v>950000</v>
      </c>
      <c r="U36">
        <f>U24</f>
        <v/>
      </c>
      <c r="V36" t="n">
        <v>950000</v>
      </c>
      <c r="W36">
        <f>W24</f>
        <v/>
      </c>
      <c r="X36">
        <f>W24/I24</f>
        <v/>
      </c>
      <c r="Y36">
        <f>SUM(W24-U24)/U24</f>
        <v/>
      </c>
      <c r="Z36" t="inlineStr">
        <is>
          <t>C</t>
        </is>
      </c>
      <c r="AB36" t="n">
        <v>17050000</v>
      </c>
      <c r="AC36" t="inlineStr">
        <is>
          <t>No</t>
        </is>
      </c>
      <c r="AD36" t="inlineStr">
        <is>
          <t xml:space="preserve">Fixed increase to £950,000 wef 29/07/26. 5 yearly rent reviews. Tenant break on 9 months notice. Rent reduces by 20% for 12 months if break not activated. </t>
        </is>
      </c>
      <c r="AI36" t="inlineStr">
        <is>
          <t>Let</t>
        </is>
      </c>
    </row>
    <row r="37"/>
    <row r="38">
      <c r="A38" s="868" t="inlineStr">
        <is>
          <t>Windsor House, 40-41 Great Castle Street</t>
        </is>
      </c>
    </row>
    <row r="39">
      <c r="A39" t="inlineStr">
        <is>
          <t xml:space="preserve">  Retail/Café</t>
        </is>
      </c>
      <c r="B39" t="inlineStr">
        <is>
          <t>SH</t>
        </is>
      </c>
      <c r="C39" t="inlineStr">
        <is>
          <t>MEL</t>
        </is>
      </c>
      <c r="D39" t="n">
        <v>550070</v>
      </c>
      <c r="E39" t="inlineStr">
        <is>
          <t>Windsor House, 40-41 Great Castle Street</t>
        </is>
      </c>
      <c r="F39" t="inlineStr">
        <is>
          <t>Basement &amp; Ground Floor</t>
        </is>
      </c>
      <c r="G39" t="inlineStr">
        <is>
          <t>Retail/Café</t>
        </is>
      </c>
      <c r="H39" t="n">
        <v>2235</v>
      </c>
      <c r="I39">
        <f>I25</f>
        <v/>
      </c>
      <c r="J39" t="n">
        <v>2000</v>
      </c>
      <c r="K39" t="inlineStr">
        <is>
          <t>Vacant</t>
        </is>
      </c>
      <c r="N39" s="869" t="n">
        <v>45754</v>
      </c>
      <c r="Q39" t="n">
        <v>0</v>
      </c>
      <c r="R39">
        <f>R25</f>
        <v/>
      </c>
      <c r="T39" t="n">
        <v>143000</v>
      </c>
      <c r="U39">
        <f>U25</f>
        <v/>
      </c>
      <c r="V39" t="n">
        <v>145000</v>
      </c>
      <c r="W39">
        <f>W25</f>
        <v/>
      </c>
      <c r="X39">
        <f>W25/I25</f>
        <v/>
      </c>
      <c r="Y39">
        <f>SUM(W25-U25)/U25</f>
        <v/>
      </c>
      <c r="Z39" t="inlineStr">
        <is>
          <t>D</t>
        </is>
      </c>
      <c r="AC39" t="inlineStr">
        <is>
          <t>No</t>
        </is>
      </c>
      <c r="AD39" t="inlineStr">
        <is>
          <t>LEM Marketing.</t>
        </is>
      </c>
      <c r="AF39" t="n">
        <v>15</v>
      </c>
      <c r="AG39" t="n">
        <v>15</v>
      </c>
      <c r="AI39" t="inlineStr">
        <is>
          <t>Void</t>
        </is>
      </c>
    </row>
    <row r="40">
      <c r="A40" t="inlineStr">
        <is>
          <t xml:space="preserve">  Office</t>
        </is>
      </c>
      <c r="B40" t="inlineStr">
        <is>
          <t>SH</t>
        </is>
      </c>
      <c r="C40" t="inlineStr">
        <is>
          <t>MEL</t>
        </is>
      </c>
      <c r="D40" t="n">
        <v>550070</v>
      </c>
      <c r="E40" t="inlineStr">
        <is>
          <t>Windsor House, 40-41 Great Castle Street</t>
        </is>
      </c>
      <c r="F40" t="inlineStr">
        <is>
          <t>First Floor</t>
        </is>
      </c>
      <c r="G40" t="inlineStr">
        <is>
          <t>Office</t>
        </is>
      </c>
      <c r="H40" t="n">
        <v>694</v>
      </c>
      <c r="I40">
        <f>I26</f>
        <v/>
      </c>
      <c r="J40" t="n">
        <v>750</v>
      </c>
      <c r="K40" t="inlineStr">
        <is>
          <t>JRDL UK Ltd.</t>
        </is>
      </c>
      <c r="L40" s="869" t="n">
        <v>44904</v>
      </c>
      <c r="M40" s="869" t="n">
        <v>45999</v>
      </c>
      <c r="Q40" t="n">
        <v>42000</v>
      </c>
      <c r="R40">
        <f>R26</f>
        <v/>
      </c>
      <c r="T40" t="n">
        <v>42000</v>
      </c>
      <c r="U40">
        <f>U26</f>
        <v/>
      </c>
      <c r="V40" t="n">
        <v>42000</v>
      </c>
      <c r="W40">
        <f>W26</f>
        <v/>
      </c>
      <c r="X40">
        <f>W26/I26</f>
        <v/>
      </c>
      <c r="Y40">
        <f>SUM(W26-U26)/U26</f>
        <v/>
      </c>
      <c r="Z40" t="inlineStr">
        <is>
          <t>D</t>
        </is>
      </c>
      <c r="AC40" t="inlineStr">
        <is>
          <t>No</t>
        </is>
      </c>
      <c r="AI40" t="inlineStr">
        <is>
          <t>Let</t>
        </is>
      </c>
    </row>
    <row r="41">
      <c r="A41" t="inlineStr">
        <is>
          <t xml:space="preserve">  Office</t>
        </is>
      </c>
      <c r="B41" t="inlineStr">
        <is>
          <t>SH</t>
        </is>
      </c>
      <c r="C41" t="inlineStr">
        <is>
          <t>MEL</t>
        </is>
      </c>
      <c r="D41" t="n">
        <v>550070</v>
      </c>
      <c r="E41" t="inlineStr">
        <is>
          <t>Windsor House, 40-41 Great Castle Street</t>
        </is>
      </c>
      <c r="F41" t="inlineStr">
        <is>
          <t>Second Floor</t>
        </is>
      </c>
      <c r="G41" t="inlineStr">
        <is>
          <t>Office</t>
        </is>
      </c>
      <c r="H41" t="n">
        <v>690</v>
      </c>
      <c r="I41">
        <f>I27</f>
        <v/>
      </c>
      <c r="J41" t="n">
        <v>750</v>
      </c>
      <c r="K41" t="inlineStr">
        <is>
          <t>Jamieson Stone Services Ltd.</t>
        </is>
      </c>
      <c r="L41" s="869" t="n">
        <v>45412</v>
      </c>
      <c r="M41" s="869" t="n">
        <v>47237</v>
      </c>
      <c r="P41" s="869" t="n">
        <v>46326</v>
      </c>
      <c r="Q41" t="n">
        <v>40020</v>
      </c>
      <c r="R41">
        <f>R27</f>
        <v/>
      </c>
      <c r="T41" t="n">
        <v>39700</v>
      </c>
      <c r="U41">
        <f>U27</f>
        <v/>
      </c>
      <c r="V41" t="n">
        <v>40000</v>
      </c>
      <c r="W41">
        <f>W27</f>
        <v/>
      </c>
      <c r="X41">
        <f>W27/I27</f>
        <v/>
      </c>
      <c r="Y41">
        <f>SUM(W27-U27)/U27</f>
        <v/>
      </c>
      <c r="Z41" t="inlineStr">
        <is>
          <t>D</t>
        </is>
      </c>
      <c r="AC41" t="inlineStr">
        <is>
          <t>No</t>
        </is>
      </c>
      <c r="AD41" t="inlineStr">
        <is>
          <t>Tenant break on 6 months notice.</t>
        </is>
      </c>
      <c r="AI41" t="inlineStr">
        <is>
          <t>Let</t>
        </is>
      </c>
    </row>
    <row r="42">
      <c r="A42" t="inlineStr">
        <is>
          <t xml:space="preserve">  Office</t>
        </is>
      </c>
      <c r="B42" t="inlineStr">
        <is>
          <t>SH</t>
        </is>
      </c>
      <c r="C42" t="inlineStr">
        <is>
          <t>MEL</t>
        </is>
      </c>
      <c r="D42" t="n">
        <v>550070</v>
      </c>
      <c r="E42" t="inlineStr">
        <is>
          <t>Windsor House, 40-41 Great Castle Street</t>
        </is>
      </c>
      <c r="F42" t="inlineStr">
        <is>
          <t>Third Floor</t>
        </is>
      </c>
      <c r="G42" t="inlineStr">
        <is>
          <t>Office</t>
        </is>
      </c>
      <c r="H42" t="n">
        <v>620</v>
      </c>
      <c r="I42">
        <f>I28</f>
        <v/>
      </c>
      <c r="J42" t="n">
        <v>750</v>
      </c>
      <c r="K42" t="inlineStr">
        <is>
          <t>Arav Fashion UK Ltd.</t>
        </is>
      </c>
      <c r="L42" s="869" t="n">
        <v>44816</v>
      </c>
      <c r="M42" s="869" t="n">
        <v>45911</v>
      </c>
      <c r="Q42" t="n">
        <v>33480</v>
      </c>
      <c r="R42">
        <f>R28</f>
        <v/>
      </c>
      <c r="T42" t="n">
        <v>34100</v>
      </c>
      <c r="U42">
        <f>U28</f>
        <v/>
      </c>
      <c r="V42" t="n">
        <v>36000</v>
      </c>
      <c r="W42">
        <f>W28</f>
        <v/>
      </c>
      <c r="X42">
        <f>W28/I28</f>
        <v/>
      </c>
      <c r="Y42">
        <f>SUM(W28-U28)/U28</f>
        <v/>
      </c>
      <c r="Z42" t="inlineStr">
        <is>
          <t>D</t>
        </is>
      </c>
      <c r="AC42" t="inlineStr">
        <is>
          <t>No</t>
        </is>
      </c>
      <c r="AI42" t="inlineStr">
        <is>
          <t>Let</t>
        </is>
      </c>
    </row>
    <row r="43">
      <c r="A43" t="inlineStr">
        <is>
          <t xml:space="preserve">  Office</t>
        </is>
      </c>
      <c r="B43" t="inlineStr">
        <is>
          <t>SH</t>
        </is>
      </c>
      <c r="C43" t="inlineStr">
        <is>
          <t>MEL</t>
        </is>
      </c>
      <c r="D43" t="n">
        <v>550070</v>
      </c>
      <c r="E43" t="inlineStr">
        <is>
          <t>Windsor House, 40-41 Great Castle Street</t>
        </is>
      </c>
      <c r="F43" t="inlineStr">
        <is>
          <t>Fourth Floor</t>
        </is>
      </c>
      <c r="G43" t="inlineStr">
        <is>
          <t>Office</t>
        </is>
      </c>
      <c r="H43" t="n">
        <v>400</v>
      </c>
      <c r="I43">
        <f>I29</f>
        <v/>
      </c>
      <c r="J43" t="n">
        <v>500</v>
      </c>
      <c r="K43" t="inlineStr">
        <is>
          <t>Vacant</t>
        </is>
      </c>
      <c r="N43" s="869" t="n">
        <v>44168</v>
      </c>
      <c r="Q43" t="n">
        <v>0</v>
      </c>
      <c r="R43">
        <f>R29</f>
        <v/>
      </c>
      <c r="T43" t="n">
        <v>21600</v>
      </c>
      <c r="U43">
        <f>U29</f>
        <v/>
      </c>
      <c r="V43" t="n">
        <v>22000</v>
      </c>
      <c r="W43">
        <f>W29</f>
        <v/>
      </c>
      <c r="X43">
        <f>W29/I29</f>
        <v/>
      </c>
      <c r="Y43">
        <f>SUM(W29-U29)/U29</f>
        <v/>
      </c>
      <c r="Z43" t="inlineStr">
        <is>
          <t>D</t>
        </is>
      </c>
      <c r="AC43" t="inlineStr">
        <is>
          <t>No</t>
        </is>
      </c>
      <c r="AD43" t="inlineStr">
        <is>
          <t>To be refurbished.</t>
        </is>
      </c>
      <c r="AI43" t="inlineStr">
        <is>
          <t>Void</t>
        </is>
      </c>
    </row>
    <row r="44">
      <c r="A44" t="inlineStr">
        <is>
          <t xml:space="preserve">  Air Con Units</t>
        </is>
      </c>
      <c r="B44" t="inlineStr">
        <is>
          <t>SH</t>
        </is>
      </c>
      <c r="C44" t="inlineStr">
        <is>
          <t>MEL</t>
        </is>
      </c>
      <c r="D44" t="n">
        <v>550070</v>
      </c>
      <c r="E44" t="inlineStr">
        <is>
          <t>Windsor House, 40-41 Great Castle Street</t>
        </is>
      </c>
      <c r="F44" t="inlineStr">
        <is>
          <t>Roof</t>
        </is>
      </c>
      <c r="G44" t="inlineStr">
        <is>
          <t>Air Con Units</t>
        </is>
      </c>
      <c r="H44" t="n">
        <v>0</v>
      </c>
      <c r="I44">
        <f>I30</f>
        <v/>
      </c>
      <c r="K44" t="inlineStr">
        <is>
          <t>Vacant / Landlord</t>
        </is>
      </c>
      <c r="N44" t="inlineStr">
        <is>
          <t>N/A</t>
        </is>
      </c>
      <c r="Q44" t="n">
        <v>0</v>
      </c>
      <c r="R44">
        <f>R30</f>
        <v/>
      </c>
      <c r="T44" t="n">
        <v>0</v>
      </c>
      <c r="U44">
        <f>U30</f>
        <v/>
      </c>
      <c r="V44" t="n">
        <v>0</v>
      </c>
      <c r="W44">
        <f>W30</f>
        <v/>
      </c>
      <c r="AC44" t="inlineStr">
        <is>
          <t>No</t>
        </is>
      </c>
      <c r="AI44" t="inlineStr">
        <is>
          <t>Void</t>
        </is>
      </c>
    </row>
    <row r="45"/>
    <row r="46">
      <c r="A46" s="868" t="inlineStr">
        <is>
          <t>Portland House, 4 Great Portland Street</t>
        </is>
      </c>
    </row>
    <row r="47">
      <c r="A47" t="inlineStr">
        <is>
          <t xml:space="preserve">  Restaurant/Bar</t>
        </is>
      </c>
      <c r="B47" t="inlineStr">
        <is>
          <t>SH</t>
        </is>
      </c>
      <c r="C47" t="inlineStr">
        <is>
          <t>MEL</t>
        </is>
      </c>
      <c r="D47" t="n">
        <v>550470</v>
      </c>
      <c r="E47" t="inlineStr">
        <is>
          <t>Portland House, 4 Great Portland Street</t>
        </is>
      </c>
      <c r="F47" t="inlineStr">
        <is>
          <t>Basement (West)</t>
        </is>
      </c>
      <c r="G47" t="inlineStr">
        <is>
          <t>Restaurant/Bar</t>
        </is>
      </c>
      <c r="H47" t="n">
        <v>2945</v>
      </c>
      <c r="I47">
        <f>I31</f>
        <v/>
      </c>
      <c r="J47" t="n">
        <v>3000</v>
      </c>
      <c r="K47" t="inlineStr">
        <is>
          <t>The London Cocktail Club Ltd</t>
        </is>
      </c>
      <c r="L47" s="869" t="n">
        <v>41457</v>
      </c>
      <c r="M47" s="869" t="n">
        <v>46935</v>
      </c>
      <c r="Q47" t="n">
        <v>147500</v>
      </c>
      <c r="R47">
        <f>R31</f>
        <v/>
      </c>
      <c r="T47" t="n">
        <v>147500</v>
      </c>
      <c r="U47">
        <f>U31</f>
        <v/>
      </c>
      <c r="V47" t="n">
        <v>147500</v>
      </c>
      <c r="W47">
        <f>W31</f>
        <v/>
      </c>
      <c r="X47">
        <f>W31/I31</f>
        <v/>
      </c>
      <c r="Y47">
        <f>SUM(W31-U31)/U31</f>
        <v/>
      </c>
      <c r="Z47" t="inlineStr">
        <is>
          <t>E</t>
        </is>
      </c>
      <c r="AC47" t="inlineStr">
        <is>
          <t>No</t>
        </is>
      </c>
      <c r="AD47" t="inlineStr">
        <is>
          <t>5 year reversionary lease completed from 02/07/28 with day one rent review. Rent review to be documented at passing rent.</t>
        </is>
      </c>
      <c r="AI47" t="inlineStr">
        <is>
          <t>Let</t>
        </is>
      </c>
    </row>
    <row r="48">
      <c r="A48" t="inlineStr">
        <is>
          <t xml:space="preserve">  Retail/Cafe</t>
        </is>
      </c>
      <c r="B48" t="inlineStr">
        <is>
          <t>SH</t>
        </is>
      </c>
      <c r="C48" t="inlineStr">
        <is>
          <t>MEL</t>
        </is>
      </c>
      <c r="D48" t="n">
        <v>550470</v>
      </c>
      <c r="E48" t="inlineStr">
        <is>
          <t>Portland House, 4 Great Portland Street</t>
        </is>
      </c>
      <c r="F48" t="inlineStr">
        <is>
          <t>Ground Floor</t>
        </is>
      </c>
      <c r="G48" t="inlineStr">
        <is>
          <t>Retail/Cafe</t>
        </is>
      </c>
      <c r="H48" t="n">
        <v>2103</v>
      </c>
      <c r="I48">
        <f>I32</f>
        <v/>
      </c>
      <c r="J48" t="n">
        <v>2000</v>
      </c>
      <c r="K48" t="inlineStr">
        <is>
          <t>Costa Ltd</t>
        </is>
      </c>
      <c r="L48" s="869" t="n">
        <v>45669</v>
      </c>
      <c r="M48" s="869" t="n">
        <v>51146</v>
      </c>
      <c r="O48" s="869" t="n">
        <v>47495</v>
      </c>
      <c r="P48" s="869" t="n">
        <v>49320</v>
      </c>
      <c r="Q48" t="n">
        <v>220000</v>
      </c>
      <c r="R48">
        <f>R32</f>
        <v/>
      </c>
      <c r="T48" t="n">
        <v>176200</v>
      </c>
      <c r="U48">
        <f>U32</f>
        <v/>
      </c>
      <c r="V48" t="n">
        <v>220000</v>
      </c>
      <c r="W48">
        <f>W32</f>
        <v/>
      </c>
      <c r="X48">
        <f>W32/I32</f>
        <v/>
      </c>
      <c r="Y48">
        <f>SUM(W32-U32)/U32</f>
        <v/>
      </c>
      <c r="Z48" t="inlineStr">
        <is>
          <t>B</t>
        </is>
      </c>
      <c r="AC48" t="inlineStr">
        <is>
          <t>No</t>
        </is>
      </c>
      <c r="AD48" t="inlineStr">
        <is>
          <t>Mutual break on 6 months notice.</t>
        </is>
      </c>
      <c r="AI48" t="inlineStr">
        <is>
          <t>Let</t>
        </is>
      </c>
    </row>
    <row r="49">
      <c r="A49" t="inlineStr">
        <is>
          <t xml:space="preserve">  Restaurant</t>
        </is>
      </c>
      <c r="B49" t="inlineStr">
        <is>
          <t>SH</t>
        </is>
      </c>
      <c r="C49" t="inlineStr">
        <is>
          <t>MEL</t>
        </is>
      </c>
      <c r="D49" t="n">
        <v>550470</v>
      </c>
      <c r="E49" t="inlineStr">
        <is>
          <t>Portland House, 4 Great Portland Street</t>
        </is>
      </c>
      <c r="F49" t="inlineStr">
        <is>
          <t>Ground Floor &amp; Basement (East) &amp; Basement Vaults</t>
        </is>
      </c>
      <c r="G49" t="inlineStr">
        <is>
          <t>Restaurant</t>
        </is>
      </c>
      <c r="H49" t="n">
        <v>5667</v>
      </c>
      <c r="I49">
        <f>I33</f>
        <v/>
      </c>
      <c r="J49" t="n">
        <v>5500</v>
      </c>
      <c r="K49" t="inlineStr">
        <is>
          <t>Futuremaxx Ltd</t>
        </is>
      </c>
      <c r="L49" s="869" t="n">
        <v>45567</v>
      </c>
      <c r="M49" s="869" t="n">
        <v>51044</v>
      </c>
      <c r="O49" s="869" t="n">
        <v>47393</v>
      </c>
      <c r="Q49" t="n">
        <v>150000</v>
      </c>
      <c r="R49">
        <f>R33</f>
        <v/>
      </c>
      <c r="T49" t="n">
        <v>255000</v>
      </c>
      <c r="U49">
        <f>U33</f>
        <v/>
      </c>
      <c r="V49" t="n">
        <v>300000</v>
      </c>
      <c r="W49">
        <f>W33</f>
        <v/>
      </c>
      <c r="X49">
        <f>W33/I33</f>
        <v/>
      </c>
      <c r="Y49">
        <f>SUM(W33-U33)/U33</f>
        <v/>
      </c>
      <c r="Z49" t="inlineStr">
        <is>
          <t>B</t>
        </is>
      </c>
      <c r="AC49" t="inlineStr">
        <is>
          <t>No</t>
        </is>
      </c>
      <c r="AD49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I49" t="inlineStr">
        <is>
          <t>Let</t>
        </is>
      </c>
    </row>
    <row r="50">
      <c r="A50" t="inlineStr">
        <is>
          <t xml:space="preserve">  Office</t>
        </is>
      </c>
      <c r="B50" t="inlineStr">
        <is>
          <t>SH</t>
        </is>
      </c>
      <c r="C50" t="inlineStr">
        <is>
          <t>MEL</t>
        </is>
      </c>
      <c r="D50" t="n">
        <v>550470</v>
      </c>
      <c r="E50" t="inlineStr">
        <is>
          <t>Portland House, 4 Great Portland Street</t>
        </is>
      </c>
      <c r="F50" t="inlineStr">
        <is>
          <t>First Floor (West)</t>
        </is>
      </c>
      <c r="G50" t="inlineStr">
        <is>
          <t>Office</t>
        </is>
      </c>
      <c r="H50" t="n">
        <v>1784</v>
      </c>
      <c r="I50">
        <f>I34</f>
        <v/>
      </c>
      <c r="J50" t="n">
        <v>1750</v>
      </c>
      <c r="K50" t="inlineStr">
        <is>
          <t>Time &amp; Tide Holdings (UK) Ltd</t>
        </is>
      </c>
      <c r="L50" s="869" t="n">
        <v>45457</v>
      </c>
      <c r="M50" s="869" t="n">
        <v>47282</v>
      </c>
      <c r="Q50" t="n">
        <v>60700</v>
      </c>
      <c r="R50">
        <f>R34</f>
        <v/>
      </c>
      <c r="T50" t="n">
        <v>99700</v>
      </c>
      <c r="U50">
        <f>U34</f>
        <v/>
      </c>
      <c r="V50" t="n">
        <v>120400</v>
      </c>
      <c r="W50">
        <f>W34</f>
        <v/>
      </c>
      <c r="X50">
        <f>W34/I34</f>
        <v/>
      </c>
      <c r="Y50">
        <f>SUM(W34-U34)/U34</f>
        <v/>
      </c>
      <c r="Z50" t="inlineStr">
        <is>
          <t>B</t>
        </is>
      </c>
      <c r="AC50" t="inlineStr">
        <is>
          <t>No</t>
        </is>
      </c>
      <c r="AD50" t="inlineStr">
        <is>
          <t>Rent increases to £121,400 wef 14/08/25</t>
        </is>
      </c>
      <c r="AI50" t="inlineStr">
        <is>
          <t>Let</t>
        </is>
      </c>
    </row>
    <row r="51">
      <c r="A51" t="inlineStr">
        <is>
          <t xml:space="preserve">  Office</t>
        </is>
      </c>
      <c r="B51" t="inlineStr">
        <is>
          <t>SH</t>
        </is>
      </c>
      <c r="C51" t="inlineStr">
        <is>
          <t>MEL</t>
        </is>
      </c>
      <c r="D51" t="n">
        <v>550470</v>
      </c>
      <c r="E51" t="inlineStr">
        <is>
          <t>Portland House, 4 Great Portland Street</t>
        </is>
      </c>
      <c r="F51" t="inlineStr">
        <is>
          <t>First Floor (East)</t>
        </is>
      </c>
      <c r="G51" t="inlineStr">
        <is>
          <t>Office</t>
        </is>
      </c>
      <c r="H51" t="n">
        <v>2075</v>
      </c>
      <c r="I51">
        <f>I35</f>
        <v/>
      </c>
      <c r="J51" t="n">
        <v>2000</v>
      </c>
      <c r="K51" t="inlineStr">
        <is>
          <t>L52 Communications Ltd</t>
        </is>
      </c>
      <c r="L51" s="869" t="n">
        <v>45384</v>
      </c>
      <c r="M51" s="869" t="n">
        <v>47209</v>
      </c>
      <c r="P51" s="869" t="n">
        <v>46478</v>
      </c>
      <c r="Q51" t="n">
        <v>133280</v>
      </c>
      <c r="R51">
        <f>R35</f>
        <v/>
      </c>
      <c r="T51" t="n">
        <v>114700</v>
      </c>
      <c r="U51">
        <f>U35</f>
        <v/>
      </c>
      <c r="V51" t="n">
        <v>140100</v>
      </c>
      <c r="W51">
        <f>W35</f>
        <v/>
      </c>
      <c r="X51">
        <f>W35/I35</f>
        <v/>
      </c>
      <c r="Y51">
        <f>SUM(W35-U35)/U35</f>
        <v/>
      </c>
      <c r="Z51" t="inlineStr">
        <is>
          <t>B</t>
        </is>
      </c>
      <c r="AC51" t="inlineStr">
        <is>
          <t>No</t>
        </is>
      </c>
      <c r="AD51" t="inlineStr">
        <is>
          <t>Tenant break on 6 months notice. 1 month rent free from 02/04/27 if not exercised.</t>
        </is>
      </c>
      <c r="AI51" t="inlineStr">
        <is>
          <t>Let</t>
        </is>
      </c>
    </row>
    <row r="52">
      <c r="A52" t="inlineStr">
        <is>
          <t xml:space="preserve">  Office</t>
        </is>
      </c>
      <c r="B52" t="inlineStr">
        <is>
          <t>SH</t>
        </is>
      </c>
      <c r="C52" t="inlineStr">
        <is>
          <t>MEL</t>
        </is>
      </c>
      <c r="D52" t="n">
        <v>550470</v>
      </c>
      <c r="E52" t="inlineStr">
        <is>
          <t>Portland House, 4 Great Portland Street</t>
        </is>
      </c>
      <c r="F52" t="inlineStr">
        <is>
          <t>Second Floor (East)</t>
        </is>
      </c>
      <c r="G52" t="inlineStr">
        <is>
          <t>Office</t>
        </is>
      </c>
      <c r="H52" t="n">
        <v>2063</v>
      </c>
      <c r="I52">
        <f>I36</f>
        <v/>
      </c>
      <c r="J52" t="n">
        <v>2000</v>
      </c>
      <c r="K52" t="inlineStr">
        <is>
          <t>Tekcor4 Limited</t>
        </is>
      </c>
      <c r="L52" s="869" t="n">
        <v>45516</v>
      </c>
      <c r="M52" s="869" t="n">
        <v>47341</v>
      </c>
      <c r="P52" s="869" t="n">
        <v>46610</v>
      </c>
      <c r="Q52" t="n">
        <v>146450</v>
      </c>
      <c r="R52">
        <f>R36</f>
        <v/>
      </c>
      <c r="T52" t="n">
        <v>120700</v>
      </c>
      <c r="U52">
        <f>U36</f>
        <v/>
      </c>
      <c r="V52" t="n">
        <v>139260</v>
      </c>
      <c r="W52">
        <f>W36</f>
        <v/>
      </c>
      <c r="X52">
        <f>W36/I36</f>
        <v/>
      </c>
      <c r="Y52">
        <f>SUM(W36-U36)/U36</f>
        <v/>
      </c>
      <c r="Z52" t="inlineStr">
        <is>
          <t>B</t>
        </is>
      </c>
      <c r="AC52" t="inlineStr">
        <is>
          <t>No</t>
        </is>
      </c>
      <c r="AD52" t="inlineStr">
        <is>
          <t>Tenant break on 6 months notice.</t>
        </is>
      </c>
      <c r="AI52" t="inlineStr">
        <is>
          <t>Let</t>
        </is>
      </c>
    </row>
    <row r="53">
      <c r="A53" t="inlineStr">
        <is>
          <t xml:space="preserve">  Office</t>
        </is>
      </c>
      <c r="B53" t="inlineStr">
        <is>
          <t>SH</t>
        </is>
      </c>
      <c r="C53" t="inlineStr">
        <is>
          <t>MEL</t>
        </is>
      </c>
      <c r="D53" t="n">
        <v>550470</v>
      </c>
      <c r="E53" t="inlineStr">
        <is>
          <t>Portland House, 4 Great Portland Street</t>
        </is>
      </c>
      <c r="F53" t="inlineStr">
        <is>
          <t>Second Floor (West)</t>
        </is>
      </c>
      <c r="G53" t="inlineStr">
        <is>
          <t>Office</t>
        </is>
      </c>
      <c r="H53" t="n">
        <v>1796</v>
      </c>
      <c r="I53">
        <f>I37</f>
        <v/>
      </c>
      <c r="J53" t="n">
        <v>1750</v>
      </c>
      <c r="K53" t="inlineStr">
        <is>
          <t>Vacant</t>
        </is>
      </c>
      <c r="N53" s="869" t="n">
        <v>45051</v>
      </c>
      <c r="Q53" t="n">
        <v>0</v>
      </c>
      <c r="R53">
        <f>R37</f>
        <v/>
      </c>
      <c r="T53" t="n">
        <v>87300</v>
      </c>
      <c r="U53">
        <f>U37</f>
        <v/>
      </c>
      <c r="V53" t="n">
        <v>121240</v>
      </c>
      <c r="W53">
        <f>W37</f>
        <v/>
      </c>
      <c r="X53">
        <f>W37/I37</f>
        <v/>
      </c>
      <c r="Y53">
        <f>SUM(W37-U37)/U37</f>
        <v/>
      </c>
      <c r="Z53" t="inlineStr">
        <is>
          <t>B</t>
        </is>
      </c>
      <c r="AC53" t="inlineStr">
        <is>
          <t>No</t>
        </is>
      </c>
      <c r="AD53" t="inlineStr">
        <is>
          <t>LEM marketing.</t>
        </is>
      </c>
      <c r="AE53" t="n">
        <v>72.5</v>
      </c>
      <c r="AF53" t="n">
        <v>3</v>
      </c>
      <c r="AG53" t="n">
        <v>13</v>
      </c>
      <c r="AH53" t="inlineStr">
        <is>
          <t>LEM/LDG</t>
        </is>
      </c>
      <c r="AI53" t="inlineStr">
        <is>
          <t>Void</t>
        </is>
      </c>
    </row>
    <row r="54">
      <c r="A54" t="inlineStr">
        <is>
          <t xml:space="preserve">  Office</t>
        </is>
      </c>
      <c r="B54" t="inlineStr">
        <is>
          <t>SH</t>
        </is>
      </c>
      <c r="C54" t="inlineStr">
        <is>
          <t>MEL</t>
        </is>
      </c>
      <c r="D54" t="n">
        <v>550470</v>
      </c>
      <c r="E54" t="inlineStr">
        <is>
          <t>Portland House, 4 Great Portland Street</t>
        </is>
      </c>
      <c r="F54" t="inlineStr">
        <is>
          <t>Third Floor (West)</t>
        </is>
      </c>
      <c r="G54" t="inlineStr">
        <is>
          <t>Office</t>
        </is>
      </c>
      <c r="H54" t="n">
        <v>1691</v>
      </c>
      <c r="I54">
        <f>I38</f>
        <v/>
      </c>
      <c r="J54" t="n">
        <v>1500</v>
      </c>
      <c r="K54" t="inlineStr">
        <is>
          <t>J&amp;M Davidson Limited.</t>
        </is>
      </c>
      <c r="L54" s="869" t="n">
        <v>44795</v>
      </c>
      <c r="M54" s="869" t="n">
        <v>46620</v>
      </c>
      <c r="P54" s="869" t="n">
        <v>45890</v>
      </c>
      <c r="Q54" t="n">
        <v>102705</v>
      </c>
      <c r="R54">
        <f>R38</f>
        <v/>
      </c>
      <c r="T54" t="n">
        <v>102705</v>
      </c>
      <c r="U54">
        <f>U38</f>
        <v/>
      </c>
      <c r="V54" t="n">
        <v>114100</v>
      </c>
      <c r="W54">
        <f>W38</f>
        <v/>
      </c>
      <c r="X54">
        <f>W38/I38</f>
        <v/>
      </c>
      <c r="Y54">
        <f>SUM(W38-U38)/U38</f>
        <v/>
      </c>
      <c r="Z54" t="inlineStr">
        <is>
          <t>B</t>
        </is>
      </c>
      <c r="AC54" t="inlineStr">
        <is>
          <t>No</t>
        </is>
      </c>
      <c r="AD54" t="inlineStr">
        <is>
          <t>Tenant break on 6 months notice.</t>
        </is>
      </c>
      <c r="AI54" t="inlineStr">
        <is>
          <t>Let</t>
        </is>
      </c>
    </row>
    <row r="55">
      <c r="A55" t="inlineStr">
        <is>
          <t xml:space="preserve">  Office</t>
        </is>
      </c>
      <c r="B55" t="inlineStr">
        <is>
          <t>SH</t>
        </is>
      </c>
      <c r="C55" t="inlineStr">
        <is>
          <t>MEL</t>
        </is>
      </c>
      <c r="D55" t="n">
        <v>550470</v>
      </c>
      <c r="E55" t="inlineStr">
        <is>
          <t>Portland House, 4 Great Portland Street</t>
        </is>
      </c>
      <c r="F55" t="inlineStr">
        <is>
          <t xml:space="preserve">Third Floor (East) </t>
        </is>
      </c>
      <c r="G55" t="inlineStr">
        <is>
          <t>Office</t>
        </is>
      </c>
      <c r="H55" t="n">
        <v>2055</v>
      </c>
      <c r="I55">
        <f>I39</f>
        <v/>
      </c>
      <c r="J55" t="n">
        <v>2000</v>
      </c>
      <c r="K55" t="inlineStr">
        <is>
          <t>Media Campaign Limited</t>
        </is>
      </c>
      <c r="L55" s="869" t="n">
        <v>45488</v>
      </c>
      <c r="M55" s="869" t="n">
        <v>47313</v>
      </c>
      <c r="P55" s="869" t="n">
        <v>46582</v>
      </c>
      <c r="Q55" t="n">
        <v>181050</v>
      </c>
      <c r="R55">
        <f>R39</f>
        <v/>
      </c>
      <c r="T55" t="n">
        <v>125050</v>
      </c>
      <c r="U55">
        <f>U39</f>
        <v/>
      </c>
      <c r="V55" t="n">
        <v>138700</v>
      </c>
      <c r="W55">
        <f>W39</f>
        <v/>
      </c>
      <c r="X55">
        <f>W39/I39</f>
        <v/>
      </c>
      <c r="Y55">
        <f>SUM(W39-U39)/U39</f>
        <v/>
      </c>
      <c r="Z55" t="inlineStr">
        <is>
          <t>B</t>
        </is>
      </c>
      <c r="AC55" t="inlineStr">
        <is>
          <t>No</t>
        </is>
      </c>
      <c r="AD55" t="inlineStr">
        <is>
          <t>Tenant break on 6 months notice. 2 months rent free @ 15/07/27 if not exercised.</t>
        </is>
      </c>
      <c r="AI55" t="inlineStr">
        <is>
          <t>Let</t>
        </is>
      </c>
    </row>
    <row r="56">
      <c r="A56" t="inlineStr">
        <is>
          <t xml:space="preserve">  Office</t>
        </is>
      </c>
      <c r="B56" t="inlineStr">
        <is>
          <t>SH</t>
        </is>
      </c>
      <c r="C56" t="inlineStr">
        <is>
          <t>MEL</t>
        </is>
      </c>
      <c r="D56" t="n">
        <v>550470</v>
      </c>
      <c r="E56" t="inlineStr">
        <is>
          <t>Portland House, 4 Great Portland Street</t>
        </is>
      </c>
      <c r="F56" t="inlineStr">
        <is>
          <t>Fourth Floor (West)</t>
        </is>
      </c>
      <c r="G56" t="inlineStr">
        <is>
          <t>Office</t>
        </is>
      </c>
      <c r="H56" t="n">
        <v>1548</v>
      </c>
      <c r="I56">
        <f>I40</f>
        <v/>
      </c>
      <c r="J56" t="n">
        <v>1500</v>
      </c>
      <c r="K56" t="inlineStr">
        <is>
          <t>Racoon Media Services Limited</t>
        </is>
      </c>
      <c r="L56" s="869" t="n">
        <v>45609</v>
      </c>
      <c r="M56" s="869" t="n">
        <v>47434</v>
      </c>
      <c r="P56" s="869" t="n">
        <v>46703</v>
      </c>
      <c r="Q56" t="n">
        <v>90090</v>
      </c>
      <c r="R56">
        <f>R40</f>
        <v/>
      </c>
      <c r="T56" t="n">
        <v>90100</v>
      </c>
      <c r="U56">
        <f>U40</f>
        <v/>
      </c>
      <c r="V56" t="n">
        <v>104500</v>
      </c>
      <c r="W56">
        <f>W40</f>
        <v/>
      </c>
      <c r="X56">
        <f>W40/I40</f>
        <v/>
      </c>
      <c r="Y56">
        <f>SUM(W40-U40)/U40</f>
        <v/>
      </c>
      <c r="Z56" t="inlineStr">
        <is>
          <t>B</t>
        </is>
      </c>
      <c r="AC56" t="inlineStr">
        <is>
          <t>No</t>
        </is>
      </c>
      <c r="AD56" t="inlineStr">
        <is>
          <t>Tenant break on 6 months notice. Rent PA corrected.</t>
        </is>
      </c>
      <c r="AI56" t="inlineStr">
        <is>
          <t>Let</t>
        </is>
      </c>
    </row>
    <row r="57">
      <c r="A57" t="inlineStr">
        <is>
          <t xml:space="preserve">  Office</t>
        </is>
      </c>
      <c r="B57" t="inlineStr">
        <is>
          <t>SH</t>
        </is>
      </c>
      <c r="C57" t="inlineStr">
        <is>
          <t>MEL</t>
        </is>
      </c>
      <c r="D57" t="n">
        <v>550470</v>
      </c>
      <c r="E57" t="inlineStr">
        <is>
          <t>Portland House, 4 Great Portland Street</t>
        </is>
      </c>
      <c r="F57" t="inlineStr">
        <is>
          <t>Fourth Floor (East)</t>
        </is>
      </c>
      <c r="G57" t="inlineStr">
        <is>
          <t>Office</t>
        </is>
      </c>
      <c r="H57" t="n">
        <v>1957</v>
      </c>
      <c r="I57">
        <f>I41</f>
        <v/>
      </c>
      <c r="J57" t="n">
        <v>2000</v>
      </c>
      <c r="K57" t="inlineStr">
        <is>
          <t>Racoon Media Services Limited</t>
        </is>
      </c>
      <c r="L57" s="869" t="n">
        <v>45609</v>
      </c>
      <c r="M57" s="869" t="n">
        <v>47434</v>
      </c>
      <c r="P57" s="869" t="n">
        <v>46703</v>
      </c>
      <c r="Q57" t="n">
        <v>114253</v>
      </c>
      <c r="R57">
        <f>R41</f>
        <v/>
      </c>
      <c r="T57" t="n">
        <v>115800</v>
      </c>
      <c r="U57">
        <f>U41</f>
        <v/>
      </c>
      <c r="V57" t="n">
        <v>132100</v>
      </c>
      <c r="W57">
        <f>W41</f>
        <v/>
      </c>
      <c r="X57">
        <f>W41/I41</f>
        <v/>
      </c>
      <c r="Y57">
        <f>SUM(W41-U41)/U41</f>
        <v/>
      </c>
      <c r="Z57" t="inlineStr">
        <is>
          <t>B</t>
        </is>
      </c>
      <c r="AC57" t="inlineStr">
        <is>
          <t>No</t>
        </is>
      </c>
      <c r="AD57" t="inlineStr">
        <is>
          <t>Tenant break on 6 months notice.</t>
        </is>
      </c>
      <c r="AI57" t="inlineStr">
        <is>
          <t>Let</t>
        </is>
      </c>
    </row>
    <row r="58">
      <c r="A58" t="inlineStr">
        <is>
          <t xml:space="preserve">  Office</t>
        </is>
      </c>
      <c r="B58" t="inlineStr">
        <is>
          <t>SH</t>
        </is>
      </c>
      <c r="C58" t="inlineStr">
        <is>
          <t>MEL</t>
        </is>
      </c>
      <c r="D58" t="n">
        <v>550470</v>
      </c>
      <c r="E58" t="inlineStr">
        <is>
          <t>Portland House, 4 Great Portland Street</t>
        </is>
      </c>
      <c r="F58" t="inlineStr">
        <is>
          <t>Fifth Floor (East)</t>
        </is>
      </c>
      <c r="G58" t="inlineStr">
        <is>
          <t>Office</t>
        </is>
      </c>
      <c r="H58" t="n">
        <v>1845</v>
      </c>
      <c r="I58">
        <f>I42</f>
        <v/>
      </c>
      <c r="J58" t="n">
        <v>2000</v>
      </c>
      <c r="K58" t="inlineStr">
        <is>
          <t>Greek National Tourism Organisation.</t>
        </is>
      </c>
      <c r="L58" s="869" t="n">
        <v>45256</v>
      </c>
      <c r="M58" s="869" t="n">
        <v>47082</v>
      </c>
      <c r="P58" s="869" t="n">
        <v>46351</v>
      </c>
      <c r="Q58" t="n">
        <v>115500</v>
      </c>
      <c r="R58">
        <f>R42</f>
        <v/>
      </c>
      <c r="T58" t="n">
        <v>107400</v>
      </c>
      <c r="U58">
        <f>U42</f>
        <v/>
      </c>
      <c r="V58" t="n">
        <v>124500</v>
      </c>
      <c r="W58">
        <f>W42</f>
        <v/>
      </c>
      <c r="X58">
        <f>W42/I42</f>
        <v/>
      </c>
      <c r="Y58">
        <f>SUM(W42-U42)/U42</f>
        <v/>
      </c>
      <c r="Z58" t="inlineStr">
        <is>
          <t>B</t>
        </is>
      </c>
      <c r="AC58" t="inlineStr">
        <is>
          <t>No</t>
        </is>
      </c>
      <c r="AD58" t="inlineStr">
        <is>
          <t>Tenant break on 6 months notice.</t>
        </is>
      </c>
      <c r="AI58" t="inlineStr">
        <is>
          <t>Let</t>
        </is>
      </c>
    </row>
    <row r="59">
      <c r="A59" t="inlineStr">
        <is>
          <t xml:space="preserve">  Office</t>
        </is>
      </c>
      <c r="B59" t="inlineStr">
        <is>
          <t>SH</t>
        </is>
      </c>
      <c r="C59" t="inlineStr">
        <is>
          <t>MEL</t>
        </is>
      </c>
      <c r="D59" t="n">
        <v>550470</v>
      </c>
      <c r="E59" t="inlineStr">
        <is>
          <t>Portland House, 4 Great Portland Street</t>
        </is>
      </c>
      <c r="F59" t="inlineStr">
        <is>
          <t>Fifth Floor (West)</t>
        </is>
      </c>
      <c r="G59" t="inlineStr">
        <is>
          <t>Office</t>
        </is>
      </c>
      <c r="H59" t="n">
        <v>1528</v>
      </c>
      <c r="I59">
        <f>I43</f>
        <v/>
      </c>
      <c r="J59" t="n">
        <v>1500</v>
      </c>
      <c r="K59" t="inlineStr">
        <is>
          <t>Rios Designs Ltd</t>
        </is>
      </c>
      <c r="L59" s="869" t="n">
        <v>45622</v>
      </c>
      <c r="M59" s="869" t="n">
        <v>47447</v>
      </c>
      <c r="P59" s="869" t="n">
        <v>46716</v>
      </c>
      <c r="Q59" t="n">
        <v>54340</v>
      </c>
      <c r="R59">
        <f>R43</f>
        <v/>
      </c>
      <c r="T59" t="n">
        <v>76600</v>
      </c>
      <c r="U59">
        <f>U43</f>
        <v/>
      </c>
      <c r="V59" t="n">
        <v>103100</v>
      </c>
      <c r="W59">
        <f>W43</f>
        <v/>
      </c>
      <c r="X59">
        <f>W43/I43</f>
        <v/>
      </c>
      <c r="Y59">
        <f>SUM(W43-U43)/U43</f>
        <v/>
      </c>
      <c r="Z59" t="inlineStr">
        <is>
          <t>B</t>
        </is>
      </c>
      <c r="AC59" t="inlineStr">
        <is>
          <t>No</t>
        </is>
      </c>
      <c r="AD59" t="inlineStr">
        <is>
          <t>Rent increases to £108,680 wef 26/11/25. Tenant break on 6 months notice.</t>
        </is>
      </c>
      <c r="AG59" t="n">
        <v>2</v>
      </c>
      <c r="AH59" t="inlineStr">
        <is>
          <t>LEM/LDG</t>
        </is>
      </c>
      <c r="AI59" t="inlineStr">
        <is>
          <t>Let</t>
        </is>
      </c>
    </row>
    <row r="60">
      <c r="A60" t="inlineStr">
        <is>
          <t xml:space="preserve">  Office</t>
        </is>
      </c>
      <c r="B60" t="inlineStr">
        <is>
          <t>SH</t>
        </is>
      </c>
      <c r="C60" t="inlineStr">
        <is>
          <t>MEL</t>
        </is>
      </c>
      <c r="D60" t="n">
        <v>550470</v>
      </c>
      <c r="E60" t="inlineStr">
        <is>
          <t>Portland House, 4 Great Portland Street</t>
        </is>
      </c>
      <c r="F60" t="inlineStr">
        <is>
          <t>Sixth Floor (West)</t>
        </is>
      </c>
      <c r="G60" t="inlineStr">
        <is>
          <t>Office</t>
        </is>
      </c>
      <c r="H60" t="n">
        <v>1253</v>
      </c>
      <c r="I60">
        <f>I44</f>
        <v/>
      </c>
      <c r="J60" t="n">
        <v>1250</v>
      </c>
      <c r="K60" t="inlineStr">
        <is>
          <t>Directors Cut Films West Limited</t>
        </is>
      </c>
      <c r="L60" s="869" t="n">
        <v>45617</v>
      </c>
      <c r="M60" s="869" t="n">
        <v>47442</v>
      </c>
      <c r="Q60" t="n">
        <v>66700</v>
      </c>
      <c r="R60">
        <f>R44</f>
        <v/>
      </c>
      <c r="T60" t="n">
        <v>66700</v>
      </c>
      <c r="U60">
        <f>U44</f>
        <v/>
      </c>
      <c r="V60" t="n">
        <v>78300</v>
      </c>
      <c r="W60">
        <f>W44</f>
        <v/>
      </c>
      <c r="X60">
        <f>W44/I44</f>
        <v/>
      </c>
      <c r="Y60">
        <f>SUM(W44-U44)/U44</f>
        <v/>
      </c>
      <c r="Z60" t="inlineStr">
        <is>
          <t>D</t>
        </is>
      </c>
      <c r="AC60" t="inlineStr">
        <is>
          <t>No</t>
        </is>
      </c>
      <c r="AI60" t="inlineStr">
        <is>
          <t>Let</t>
        </is>
      </c>
    </row>
    <row r="61">
      <c r="A61" t="inlineStr">
        <is>
          <t xml:space="preserve">  Office</t>
        </is>
      </c>
      <c r="B61" t="inlineStr">
        <is>
          <t>SH</t>
        </is>
      </c>
      <c r="C61" t="inlineStr">
        <is>
          <t>MEL</t>
        </is>
      </c>
      <c r="D61" t="n">
        <v>550470</v>
      </c>
      <c r="E61" t="inlineStr">
        <is>
          <t>Portland House, 4 Great Portland Street</t>
        </is>
      </c>
      <c r="F61" t="inlineStr">
        <is>
          <t>Sixth Floor (East)</t>
        </is>
      </c>
      <c r="G61" t="inlineStr">
        <is>
          <t>Office</t>
        </is>
      </c>
      <c r="H61" t="n">
        <v>859</v>
      </c>
      <c r="I61">
        <f>I45</f>
        <v/>
      </c>
      <c r="J61" t="n">
        <v>1000</v>
      </c>
      <c r="K61" t="inlineStr">
        <is>
          <t>Vacant</t>
        </is>
      </c>
      <c r="N61" s="869" t="n">
        <v>44609</v>
      </c>
      <c r="Q61" t="n">
        <v>0</v>
      </c>
      <c r="R61">
        <f>R45</f>
        <v/>
      </c>
      <c r="T61" t="n">
        <v>65750</v>
      </c>
      <c r="U61">
        <f>U45</f>
        <v/>
      </c>
      <c r="V61" t="n">
        <v>53700</v>
      </c>
      <c r="W61">
        <f>W45</f>
        <v/>
      </c>
      <c r="X61">
        <f>W45/I45</f>
        <v/>
      </c>
      <c r="Y61">
        <f>SUM(W45-U45)/U45</f>
        <v/>
      </c>
      <c r="Z61" t="inlineStr">
        <is>
          <t>D</t>
        </is>
      </c>
      <c r="AC61" t="inlineStr">
        <is>
          <t>No</t>
        </is>
      </c>
      <c r="AD61" t="inlineStr">
        <is>
          <t>LEM marketing.</t>
        </is>
      </c>
      <c r="AE61" t="n">
        <v>63</v>
      </c>
      <c r="AG61" t="n">
        <v>2</v>
      </c>
      <c r="AI61" t="inlineStr">
        <is>
          <t>Void</t>
        </is>
      </c>
    </row>
    <row r="62">
      <c r="A62" t="inlineStr">
        <is>
          <t xml:space="preserve">  Storage</t>
        </is>
      </c>
      <c r="B62" t="inlineStr">
        <is>
          <t>SH</t>
        </is>
      </c>
      <c r="C62" t="inlineStr">
        <is>
          <t>MEL</t>
        </is>
      </c>
      <c r="D62" t="n">
        <v>550470</v>
      </c>
      <c r="E62" t="inlineStr">
        <is>
          <t>Portland House, 4 Great Portland Street</t>
        </is>
      </c>
      <c r="F62" t="inlineStr">
        <is>
          <t>Cupboards 2nd, 4th, 5th &amp; 6th Floors</t>
        </is>
      </c>
      <c r="G62" t="inlineStr">
        <is>
          <t>Storage</t>
        </is>
      </c>
      <c r="H62" t="n">
        <v>0</v>
      </c>
      <c r="I62">
        <f>I46</f>
        <v/>
      </c>
      <c r="K62" t="inlineStr">
        <is>
          <t>Vacant / Landlord</t>
        </is>
      </c>
      <c r="N62" t="inlineStr">
        <is>
          <t>N/A</t>
        </is>
      </c>
      <c r="Q62" t="n">
        <v>0</v>
      </c>
      <c r="R62">
        <f>R46</f>
        <v/>
      </c>
      <c r="T62" t="n">
        <v>1460</v>
      </c>
      <c r="U62">
        <f>U46</f>
        <v/>
      </c>
      <c r="V62" t="n">
        <v>0</v>
      </c>
      <c r="W62">
        <f>W46</f>
        <v/>
      </c>
      <c r="AD62" t="inlineStr">
        <is>
          <t>To be converted into extra toilet facilities.</t>
        </is>
      </c>
      <c r="AI62" t="inlineStr">
        <is>
          <t>Void</t>
        </is>
      </c>
    </row>
    <row r="63">
      <c r="A63" t="inlineStr">
        <is>
          <t xml:space="preserve">  Sub-Station</t>
        </is>
      </c>
      <c r="B63" t="inlineStr">
        <is>
          <t>SH</t>
        </is>
      </c>
      <c r="C63" t="inlineStr">
        <is>
          <t>MEL</t>
        </is>
      </c>
      <c r="D63" t="n">
        <v>550470</v>
      </c>
      <c r="E63" t="inlineStr">
        <is>
          <t>Portland House, 4 Great Portland Street</t>
        </is>
      </c>
      <c r="F63" t="inlineStr">
        <is>
          <t>Transformer Chamber</t>
        </is>
      </c>
      <c r="G63" t="inlineStr">
        <is>
          <t>Sub-Station</t>
        </is>
      </c>
      <c r="H63" t="n">
        <v>0</v>
      </c>
      <c r="I63">
        <f>I47</f>
        <v/>
      </c>
      <c r="K63" t="inlineStr">
        <is>
          <t>London Power Networks Plc</t>
        </is>
      </c>
      <c r="L63" s="869" t="n">
        <v>35240</v>
      </c>
      <c r="M63" s="869" t="n">
        <v>68735</v>
      </c>
      <c r="Q63" t="n">
        <v>0</v>
      </c>
      <c r="R63">
        <f>R47</f>
        <v/>
      </c>
      <c r="T63" t="n">
        <v>0</v>
      </c>
      <c r="U63">
        <f>U47</f>
        <v/>
      </c>
      <c r="V63" t="n">
        <v>0</v>
      </c>
      <c r="W63">
        <f>W47</f>
        <v/>
      </c>
      <c r="AC63" t="inlineStr">
        <is>
          <t>Yes</t>
        </is>
      </c>
      <c r="AD63" t="inlineStr">
        <is>
          <t>Rolling redevelopment break on 6 months notice.</t>
        </is>
      </c>
      <c r="AI63" t="inlineStr">
        <is>
          <t>Let</t>
        </is>
      </c>
    </row>
    <row r="64"/>
    <row r="65">
      <c r="A65" s="868" t="inlineStr">
        <is>
          <t>6-10a Great Portland Street</t>
        </is>
      </c>
    </row>
    <row r="66">
      <c r="A66" t="inlineStr">
        <is>
          <t xml:space="preserve">  Retail</t>
        </is>
      </c>
      <c r="B66" t="inlineStr">
        <is>
          <t>SH</t>
        </is>
      </c>
      <c r="C66" t="inlineStr">
        <is>
          <t>MEL</t>
        </is>
      </c>
      <c r="D66" t="n">
        <v>550480</v>
      </c>
      <c r="E66" t="inlineStr">
        <is>
          <t>6-10a Great Portland Street</t>
        </is>
      </c>
      <c r="F66" t="inlineStr">
        <is>
          <t>Basement &amp; Ground</t>
        </is>
      </c>
      <c r="G66" t="inlineStr">
        <is>
          <t>Retail</t>
        </is>
      </c>
      <c r="H66" t="n">
        <v>4958</v>
      </c>
      <c r="I66">
        <f>I48</f>
        <v/>
      </c>
      <c r="J66" t="n">
        <v>5000</v>
      </c>
      <c r="K66" t="inlineStr">
        <is>
          <t>PrettyLittleThing.com</t>
        </is>
      </c>
      <c r="L66" s="869" t="n">
        <v>45699</v>
      </c>
      <c r="M66" s="869" t="n">
        <v>47524</v>
      </c>
      <c r="P66" s="869" t="n">
        <v>46793</v>
      </c>
      <c r="Q66" t="n">
        <v>187500</v>
      </c>
      <c r="R66">
        <f>R48</f>
        <v/>
      </c>
      <c r="T66" t="n">
        <v>337100</v>
      </c>
      <c r="U66">
        <f>U48</f>
        <v/>
      </c>
      <c r="V66" t="n">
        <v>380000</v>
      </c>
      <c r="W66">
        <f>W48</f>
        <v/>
      </c>
      <c r="X66">
        <f>W48/I48</f>
        <v/>
      </c>
      <c r="Y66">
        <f>SUM(W48-U48)/U48</f>
        <v/>
      </c>
      <c r="Z66" t="inlineStr">
        <is>
          <t>B</t>
        </is>
      </c>
      <c r="AC66" t="inlineStr">
        <is>
          <t>No</t>
        </is>
      </c>
      <c r="AD66" t="inlineStr">
        <is>
          <t>Rent increasing to £375,000 wef 11/09/25. Tenant break on 6 months notice. 3 months rent free if not exercised.</t>
        </is>
      </c>
      <c r="AE66" t="n">
        <v>68</v>
      </c>
      <c r="AF66" t="n">
        <v>1</v>
      </c>
      <c r="AG66" t="n">
        <v>13</v>
      </c>
      <c r="AH66" t="inlineStr">
        <is>
          <t>LEM / Colliers</t>
        </is>
      </c>
      <c r="AI66" t="inlineStr">
        <is>
          <t>Let</t>
        </is>
      </c>
    </row>
    <row r="67">
      <c r="A67" t="inlineStr">
        <is>
          <t xml:space="preserve">  Office</t>
        </is>
      </c>
      <c r="B67" t="inlineStr">
        <is>
          <t>SH</t>
        </is>
      </c>
      <c r="C67" t="inlineStr">
        <is>
          <t>MEL</t>
        </is>
      </c>
      <c r="D67" t="n">
        <v>550480</v>
      </c>
      <c r="E67" t="inlineStr">
        <is>
          <t>6-10a Great Portland Street</t>
        </is>
      </c>
      <c r="F67" t="inlineStr">
        <is>
          <t>First  Floor</t>
        </is>
      </c>
      <c r="G67" t="inlineStr">
        <is>
          <t>Office</t>
        </is>
      </c>
      <c r="H67" t="n">
        <v>1862</v>
      </c>
      <c r="I67">
        <f>I49</f>
        <v/>
      </c>
      <c r="J67" t="n">
        <v>2000</v>
      </c>
      <c r="K67" t="inlineStr">
        <is>
          <t>The Yuki Clinic Ltd.</t>
        </is>
      </c>
      <c r="L67" s="869" t="n">
        <v>44452</v>
      </c>
      <c r="M67" s="869" t="n">
        <v>46277</v>
      </c>
      <c r="Q67" t="n">
        <v>108170</v>
      </c>
      <c r="R67">
        <f>R49</f>
        <v/>
      </c>
      <c r="T67" t="n">
        <v>107200</v>
      </c>
      <c r="U67">
        <f>U49</f>
        <v/>
      </c>
      <c r="V67" t="n">
        <v>114500</v>
      </c>
      <c r="W67">
        <f>W49</f>
        <v/>
      </c>
      <c r="X67">
        <f>W49/I49</f>
        <v/>
      </c>
      <c r="Y67">
        <f>SUM(W49-U49)/U49</f>
        <v/>
      </c>
      <c r="Z67" t="inlineStr">
        <is>
          <t>D</t>
        </is>
      </c>
      <c r="AC67" t="inlineStr">
        <is>
          <t>No</t>
        </is>
      </c>
      <c r="AI67" t="inlineStr">
        <is>
          <t>Let</t>
        </is>
      </c>
    </row>
    <row r="68">
      <c r="A68" t="inlineStr">
        <is>
          <t xml:space="preserve">  Office</t>
        </is>
      </c>
      <c r="B68" t="inlineStr">
        <is>
          <t>SH</t>
        </is>
      </c>
      <c r="C68" t="inlineStr">
        <is>
          <t>MEL</t>
        </is>
      </c>
      <c r="D68" t="n">
        <v>550480</v>
      </c>
      <c r="E68" t="inlineStr">
        <is>
          <t>6-10a Great Portland Street</t>
        </is>
      </c>
      <c r="F68" t="inlineStr">
        <is>
          <t>Second Floor</t>
        </is>
      </c>
      <c r="G68" t="inlineStr">
        <is>
          <t>Office</t>
        </is>
      </c>
      <c r="H68" t="n">
        <v>1818</v>
      </c>
      <c r="I68">
        <f>I50</f>
        <v/>
      </c>
      <c r="J68" t="n">
        <v>2000</v>
      </c>
      <c r="K68" t="inlineStr">
        <is>
          <t>Vacant</t>
        </is>
      </c>
      <c r="N68" s="869" t="n">
        <v>45609</v>
      </c>
      <c r="Q68" t="n">
        <v>0</v>
      </c>
      <c r="R68">
        <f>R50</f>
        <v/>
      </c>
      <c r="T68" t="n">
        <v>105500</v>
      </c>
      <c r="U68">
        <f>U50</f>
        <v/>
      </c>
      <c r="V68" t="n">
        <v>109100</v>
      </c>
      <c r="W68">
        <f>W50</f>
        <v/>
      </c>
      <c r="X68">
        <f>W50/I50</f>
        <v/>
      </c>
      <c r="Y68">
        <f>SUM(W50-U50)/U50</f>
        <v/>
      </c>
      <c r="Z68" t="inlineStr">
        <is>
          <t>E</t>
        </is>
      </c>
      <c r="AC68" t="inlineStr">
        <is>
          <t>No</t>
        </is>
      </c>
      <c r="AD68" t="inlineStr">
        <is>
          <t>LEM marketing.</t>
        </is>
      </c>
      <c r="AE68" t="n">
        <v>65</v>
      </c>
      <c r="AF68" t="n">
        <v>4</v>
      </c>
      <c r="AG68" t="n">
        <v>6</v>
      </c>
      <c r="AI68" t="inlineStr">
        <is>
          <t>Void</t>
        </is>
      </c>
    </row>
    <row r="69">
      <c r="A69" t="inlineStr">
        <is>
          <t xml:space="preserve">  Office</t>
        </is>
      </c>
      <c r="B69" t="inlineStr">
        <is>
          <t>SH</t>
        </is>
      </c>
      <c r="C69" t="inlineStr">
        <is>
          <t>MEL</t>
        </is>
      </c>
      <c r="D69" t="n">
        <v>550480</v>
      </c>
      <c r="E69" t="inlineStr">
        <is>
          <t>6-10a Great Portland Street</t>
        </is>
      </c>
      <c r="F69" t="inlineStr">
        <is>
          <t>Third Floor</t>
        </is>
      </c>
      <c r="G69" t="inlineStr">
        <is>
          <t>Office</t>
        </is>
      </c>
      <c r="H69" t="n">
        <v>1808</v>
      </c>
      <c r="I69">
        <f>I51</f>
        <v/>
      </c>
      <c r="J69" t="n">
        <v>2000</v>
      </c>
      <c r="K69" t="inlineStr">
        <is>
          <t>Vacant</t>
        </is>
      </c>
      <c r="N69" s="869" t="n">
        <v>45609</v>
      </c>
      <c r="Q69" t="n">
        <v>0</v>
      </c>
      <c r="R69">
        <f>R51</f>
        <v/>
      </c>
      <c r="T69" t="n">
        <v>108800</v>
      </c>
      <c r="U69">
        <f>U51</f>
        <v/>
      </c>
      <c r="V69" t="n">
        <v>108500</v>
      </c>
      <c r="W69">
        <f>W51</f>
        <v/>
      </c>
      <c r="X69">
        <f>W51/I51</f>
        <v/>
      </c>
      <c r="Y69">
        <f>SUM(W51-U51)/U51</f>
        <v/>
      </c>
      <c r="Z69" t="inlineStr">
        <is>
          <t>E</t>
        </is>
      </c>
      <c r="AC69" t="inlineStr">
        <is>
          <t>No</t>
        </is>
      </c>
      <c r="AD69" t="inlineStr">
        <is>
          <t>LEM marketing.</t>
        </is>
      </c>
      <c r="AE69" t="n">
        <v>65</v>
      </c>
      <c r="AF69" t="n">
        <v>4</v>
      </c>
      <c r="AG69" t="n">
        <v>6</v>
      </c>
      <c r="AI69" t="inlineStr">
        <is>
          <t>Void</t>
        </is>
      </c>
    </row>
    <row r="70">
      <c r="A70" t="inlineStr">
        <is>
          <t xml:space="preserve">  Office</t>
        </is>
      </c>
      <c r="B70" t="inlineStr">
        <is>
          <t>SH</t>
        </is>
      </c>
      <c r="C70" t="inlineStr">
        <is>
          <t>MEL</t>
        </is>
      </c>
      <c r="D70" t="n">
        <v>550480</v>
      </c>
      <c r="E70" t="inlineStr">
        <is>
          <t>6-10a Great Portland Street</t>
        </is>
      </c>
      <c r="F70" t="inlineStr">
        <is>
          <t>Fourth Floor</t>
        </is>
      </c>
      <c r="G70" t="inlineStr">
        <is>
          <t>Office</t>
        </is>
      </c>
      <c r="H70" t="n">
        <v>1672</v>
      </c>
      <c r="I70">
        <f>I52</f>
        <v/>
      </c>
      <c r="J70" t="n">
        <v>1500</v>
      </c>
      <c r="K70" t="inlineStr">
        <is>
          <t>Vacant</t>
        </is>
      </c>
      <c r="N70" s="869" t="n">
        <v>45457</v>
      </c>
      <c r="Q70" t="n">
        <v>0</v>
      </c>
      <c r="R70">
        <f>R52</f>
        <v/>
      </c>
      <c r="T70" t="n">
        <v>94400</v>
      </c>
      <c r="U70">
        <f>U52</f>
        <v/>
      </c>
      <c r="V70" t="n">
        <v>97800</v>
      </c>
      <c r="W70">
        <f>W52</f>
        <v/>
      </c>
      <c r="X70">
        <f>W52/I52</f>
        <v/>
      </c>
      <c r="Y70">
        <f>SUM(W52-U52)/U52</f>
        <v/>
      </c>
      <c r="Z70" t="inlineStr">
        <is>
          <t>B</t>
        </is>
      </c>
      <c r="AC70" t="inlineStr">
        <is>
          <t>No</t>
        </is>
      </c>
      <c r="AD70" t="inlineStr">
        <is>
          <t>To be refurbished.</t>
        </is>
      </c>
      <c r="AE70" t="n">
        <v>65</v>
      </c>
      <c r="AF70" t="n">
        <v>1</v>
      </c>
      <c r="AG70" t="n">
        <v>2</v>
      </c>
      <c r="AH70" t="inlineStr">
        <is>
          <t>LEM</t>
        </is>
      </c>
      <c r="AI70" t="inlineStr">
        <is>
          <t>Void</t>
        </is>
      </c>
    </row>
    <row r="71">
      <c r="A71" t="inlineStr">
        <is>
          <t xml:space="preserve">  Office</t>
        </is>
      </c>
      <c r="B71" t="inlineStr">
        <is>
          <t>SH</t>
        </is>
      </c>
      <c r="C71" t="inlineStr">
        <is>
          <t>MEL</t>
        </is>
      </c>
      <c r="D71" t="n">
        <v>550480</v>
      </c>
      <c r="E71" t="inlineStr">
        <is>
          <t>6-10a Great Portland Street</t>
        </is>
      </c>
      <c r="F71" t="inlineStr">
        <is>
          <t>Fifth Floor</t>
        </is>
      </c>
      <c r="G71" t="inlineStr">
        <is>
          <t>Office</t>
        </is>
      </c>
      <c r="H71" t="n">
        <v>995</v>
      </c>
      <c r="I71">
        <f>I53</f>
        <v/>
      </c>
      <c r="J71" t="n">
        <v>1000</v>
      </c>
      <c r="K71" t="inlineStr">
        <is>
          <t>Racoon Media Services Limited</t>
        </is>
      </c>
      <c r="L71" s="869" t="n">
        <v>45609</v>
      </c>
      <c r="M71" s="869" t="n">
        <v>47434</v>
      </c>
      <c r="P71" s="869" t="n">
        <v>46703</v>
      </c>
      <c r="Q71" t="n">
        <v>61928</v>
      </c>
      <c r="R71">
        <f>R53</f>
        <v/>
      </c>
      <c r="T71" t="n">
        <v>61200</v>
      </c>
      <c r="U71">
        <f>U53</f>
        <v/>
      </c>
      <c r="V71" t="n">
        <v>57200</v>
      </c>
      <c r="W71">
        <f>W53</f>
        <v/>
      </c>
      <c r="X71">
        <f>W53/I53</f>
        <v/>
      </c>
      <c r="Y71">
        <f>SUM(W53-U53)/U53</f>
        <v/>
      </c>
      <c r="Z71" t="inlineStr">
        <is>
          <t>E</t>
        </is>
      </c>
      <c r="AC71" t="inlineStr">
        <is>
          <t>No</t>
        </is>
      </c>
      <c r="AD71" t="inlineStr">
        <is>
          <t>Tenant break on 6 months notice.</t>
        </is>
      </c>
      <c r="AI71" t="inlineStr">
        <is>
          <t>Let</t>
        </is>
      </c>
    </row>
    <row r="72">
      <c r="A72" t="inlineStr">
        <is>
          <t xml:space="preserve">  Sub-Station</t>
        </is>
      </c>
      <c r="B72" t="inlineStr">
        <is>
          <t>SH</t>
        </is>
      </c>
      <c r="C72" t="inlineStr">
        <is>
          <t>MEL</t>
        </is>
      </c>
      <c r="D72" t="n">
        <v>550480</v>
      </c>
      <c r="E72" t="inlineStr">
        <is>
          <t>6-10a Great Portland Street</t>
        </is>
      </c>
      <c r="F72" t="inlineStr">
        <is>
          <t>Basement</t>
        </is>
      </c>
      <c r="G72" t="inlineStr">
        <is>
          <t>Sub-Station</t>
        </is>
      </c>
      <c r="H72" t="n">
        <v>0</v>
      </c>
      <c r="I72">
        <f>I54</f>
        <v/>
      </c>
      <c r="K72" t="inlineStr">
        <is>
          <t>London Power Networks Plc</t>
        </is>
      </c>
      <c r="L72" s="869" t="n">
        <v>39295</v>
      </c>
      <c r="M72" s="869" t="n">
        <v>46599</v>
      </c>
      <c r="O72" s="869" t="n">
        <v>45870</v>
      </c>
      <c r="Q72" t="n">
        <v>903</v>
      </c>
      <c r="R72">
        <f>R54</f>
        <v/>
      </c>
      <c r="T72" t="n">
        <v>625</v>
      </c>
      <c r="U72">
        <f>U54</f>
        <v/>
      </c>
      <c r="V72" t="n">
        <v>625</v>
      </c>
      <c r="W72">
        <f>W54</f>
        <v/>
      </c>
      <c r="AC72" t="inlineStr">
        <is>
          <t>No</t>
        </is>
      </c>
      <c r="AD72" t="inlineStr">
        <is>
          <t>Landlords redevelopment break on 6 months notice. Rent review is RPI indexation (every 2 years. Rent review completed. Backdated rent increased £737 wef 01/08/21 &amp; £903 wef 01/08/23.</t>
        </is>
      </c>
      <c r="AI72" t="inlineStr">
        <is>
          <t>Let</t>
        </is>
      </c>
    </row>
    <row r="73"/>
    <row r="74">
      <c r="A74" s="868" t="inlineStr">
        <is>
          <t>15-17 Great Portland Street &amp; 6-7 Great Castle Street</t>
        </is>
      </c>
    </row>
    <row r="75">
      <c r="A75" t="inlineStr">
        <is>
          <t xml:space="preserve">  Office/Bank</t>
        </is>
      </c>
      <c r="B75" t="inlineStr">
        <is>
          <t>SH</t>
        </is>
      </c>
      <c r="C75" t="inlineStr">
        <is>
          <t>MEL</t>
        </is>
      </c>
      <c r="D75" t="n">
        <v>550530</v>
      </c>
      <c r="E75" t="inlineStr">
        <is>
          <t>15-17 Great Portland Street &amp; 6-7 Great Castle Street</t>
        </is>
      </c>
      <c r="F75" t="inlineStr">
        <is>
          <t>Whole Building</t>
        </is>
      </c>
      <c r="G75" t="inlineStr">
        <is>
          <t>Office/Bank</t>
        </is>
      </c>
      <c r="H75" t="n">
        <v>9884</v>
      </c>
      <c r="I75">
        <f>I55</f>
        <v/>
      </c>
      <c r="J75" t="n">
        <v>10000</v>
      </c>
      <c r="K75" t="inlineStr">
        <is>
          <t>Barclays Bank UK Plc</t>
        </is>
      </c>
      <c r="L75" s="869" t="n">
        <v>44856</v>
      </c>
      <c r="M75" s="869" t="n">
        <v>47411</v>
      </c>
      <c r="O75" s="869" t="n">
        <v>46682</v>
      </c>
      <c r="Q75" t="n">
        <v>580000</v>
      </c>
      <c r="R75">
        <f>R55</f>
        <v/>
      </c>
      <c r="S75">
        <f>S55</f>
        <v/>
      </c>
      <c r="T75" t="n">
        <v>580000</v>
      </c>
      <c r="U75">
        <f>U55</f>
        <v/>
      </c>
      <c r="V75" t="n">
        <v>607100</v>
      </c>
      <c r="W75">
        <f>W55</f>
        <v/>
      </c>
      <c r="X75">
        <f>W55/I55</f>
        <v/>
      </c>
      <c r="Y75">
        <f>SUM(W55-U55)/U55</f>
        <v/>
      </c>
      <c r="Z75" t="inlineStr">
        <is>
          <t>B</t>
        </is>
      </c>
      <c r="AB75" t="n">
        <v>10650000</v>
      </c>
      <c r="AC75" t="inlineStr">
        <is>
          <t>Yes</t>
        </is>
      </c>
      <c r="AI75" t="inlineStr">
        <is>
          <t>Let</t>
        </is>
      </c>
    </row>
    <row r="76"/>
    <row r="77">
      <c r="A77" s="868" t="inlineStr">
        <is>
          <t>19-21 Great Portland Street</t>
        </is>
      </c>
    </row>
    <row r="78">
      <c r="A78" t="inlineStr">
        <is>
          <t xml:space="preserve">  Restaurant </t>
        </is>
      </c>
      <c r="B78" t="inlineStr">
        <is>
          <t>CD</t>
        </is>
      </c>
      <c r="C78" t="inlineStr">
        <is>
          <t>MEL</t>
        </is>
      </c>
      <c r="D78" t="n">
        <v>550410</v>
      </c>
      <c r="E78" t="inlineStr">
        <is>
          <t>19-21 Great Portland Street .</t>
        </is>
      </c>
      <c r="F78" t="inlineStr">
        <is>
          <t>Basement, Ground &amp; First Floors</t>
        </is>
      </c>
      <c r="G78" t="inlineStr">
        <is>
          <t xml:space="preserve">Restaurant </t>
        </is>
      </c>
      <c r="H78" t="n">
        <v>11225</v>
      </c>
      <c r="I78">
        <f>I56</f>
        <v/>
      </c>
      <c r="J78" t="n">
        <v>10000</v>
      </c>
      <c r="K78" t="inlineStr">
        <is>
          <t>UK VAP GPS</t>
        </is>
      </c>
      <c r="L78" s="869" t="n">
        <v>44729</v>
      </c>
      <c r="M78" s="869" t="n">
        <v>50207</v>
      </c>
      <c r="O78" s="869" t="n">
        <v>46555</v>
      </c>
      <c r="P78" s="869" t="n">
        <v>48381</v>
      </c>
      <c r="Q78" t="n">
        <v>625000</v>
      </c>
      <c r="R78">
        <f>R56</f>
        <v/>
      </c>
      <c r="T78" t="n">
        <v>750000</v>
      </c>
      <c r="U78">
        <f>U56</f>
        <v/>
      </c>
      <c r="V78" t="n">
        <v>650000</v>
      </c>
      <c r="W78">
        <f>W56</f>
        <v/>
      </c>
      <c r="X78">
        <f>W56/I56</f>
        <v/>
      </c>
      <c r="Y78">
        <f>SUM(W56-U56)/U56</f>
        <v/>
      </c>
      <c r="Z78" t="inlineStr">
        <is>
          <t>B</t>
        </is>
      </c>
      <c r="AC78" t="inlineStr">
        <is>
          <t>No</t>
        </is>
      </c>
      <c r="AD78" t="inlineStr">
        <is>
          <t>Rent increasing to £650,000 wef 25/03/26. Mutual break @ 16/06/32 on 6 months notice.</t>
        </is>
      </c>
      <c r="AI78" t="inlineStr">
        <is>
          <t>Let</t>
        </is>
      </c>
    </row>
    <row r="79">
      <c r="A79" t="inlineStr">
        <is>
          <t xml:space="preserve">  Offices</t>
        </is>
      </c>
      <c r="B79" t="inlineStr">
        <is>
          <t>CD</t>
        </is>
      </c>
      <c r="C79" t="inlineStr">
        <is>
          <t>MEL</t>
        </is>
      </c>
      <c r="D79" t="n">
        <v>550410</v>
      </c>
      <c r="E79" t="inlineStr">
        <is>
          <t>19-21 Great Portland Street .</t>
        </is>
      </c>
      <c r="F79" t="inlineStr">
        <is>
          <t>Second Floor.</t>
        </is>
      </c>
      <c r="G79" t="inlineStr">
        <is>
          <t>Offices</t>
        </is>
      </c>
      <c r="H79" t="n">
        <v>2847</v>
      </c>
      <c r="I79">
        <f>I57</f>
        <v/>
      </c>
      <c r="J79" t="n">
        <v>3000</v>
      </c>
      <c r="K79" t="inlineStr">
        <is>
          <t>Vacant</t>
        </is>
      </c>
      <c r="N79" s="869" t="n">
        <v>45219</v>
      </c>
      <c r="Q79" t="n">
        <v>0</v>
      </c>
      <c r="R79">
        <f>R57</f>
        <v/>
      </c>
      <c r="T79" t="n">
        <v>170000</v>
      </c>
      <c r="U79">
        <f>U57</f>
        <v/>
      </c>
      <c r="V79" t="n">
        <v>185100</v>
      </c>
      <c r="W79">
        <f>W57</f>
        <v/>
      </c>
      <c r="X79">
        <f>W57/I57</f>
        <v/>
      </c>
      <c r="Y79">
        <f>SUM(W57-U57)/U57</f>
        <v/>
      </c>
      <c r="Z79" t="inlineStr">
        <is>
          <t>B</t>
        </is>
      </c>
      <c r="AC79" t="inlineStr">
        <is>
          <t>No</t>
        </is>
      </c>
      <c r="AD79" t="inlineStr">
        <is>
          <t>LEM marketing.</t>
        </is>
      </c>
      <c r="AE79" t="n">
        <v>70</v>
      </c>
      <c r="AF79" t="n">
        <v>6</v>
      </c>
      <c r="AG79" t="n">
        <v>20</v>
      </c>
      <c r="AH79" t="inlineStr">
        <is>
          <t>LEM / Savills</t>
        </is>
      </c>
      <c r="AI79" t="inlineStr">
        <is>
          <t>Void</t>
        </is>
      </c>
    </row>
    <row r="80">
      <c r="A80" t="inlineStr">
        <is>
          <t xml:space="preserve">  Offices</t>
        </is>
      </c>
      <c r="B80" t="inlineStr">
        <is>
          <t>CD</t>
        </is>
      </c>
      <c r="C80" t="inlineStr">
        <is>
          <t>MEL</t>
        </is>
      </c>
      <c r="D80" t="n">
        <v>550410</v>
      </c>
      <c r="E80" t="inlineStr">
        <is>
          <t>19-21 Great Portland Street .</t>
        </is>
      </c>
      <c r="F80" t="inlineStr">
        <is>
          <t>Third Floor</t>
        </is>
      </c>
      <c r="G80" t="inlineStr">
        <is>
          <t>Offices</t>
        </is>
      </c>
      <c r="H80" t="n">
        <v>2651</v>
      </c>
      <c r="I80">
        <f>I58</f>
        <v/>
      </c>
      <c r="J80" t="n">
        <v>2500</v>
      </c>
      <c r="K80" t="inlineStr">
        <is>
          <t>Vacant</t>
        </is>
      </c>
      <c r="N80" s="869" t="n">
        <v>44124</v>
      </c>
      <c r="Q80" t="n">
        <v>0</v>
      </c>
      <c r="R80">
        <f>R58</f>
        <v/>
      </c>
      <c r="T80" t="n">
        <v>172000</v>
      </c>
      <c r="U80">
        <f>U58</f>
        <v/>
      </c>
      <c r="V80" t="n">
        <v>181600</v>
      </c>
      <c r="W80">
        <f>W58</f>
        <v/>
      </c>
      <c r="X80">
        <f>W58/I58</f>
        <v/>
      </c>
      <c r="Y80">
        <f>SUM(W58-U58)/U58</f>
        <v/>
      </c>
      <c r="Z80" t="inlineStr">
        <is>
          <t>B</t>
        </is>
      </c>
      <c r="AC80" t="inlineStr">
        <is>
          <t>No</t>
        </is>
      </c>
      <c r="AD80" t="inlineStr">
        <is>
          <t>LEM marketing.</t>
        </is>
      </c>
      <c r="AE80" t="n">
        <v>72.5</v>
      </c>
      <c r="AF80" t="n">
        <v>6</v>
      </c>
      <c r="AG80" t="n">
        <v>20</v>
      </c>
      <c r="AH80" t="inlineStr">
        <is>
          <t>LEM / Savills</t>
        </is>
      </c>
      <c r="AI80" t="inlineStr">
        <is>
          <t>Void</t>
        </is>
      </c>
    </row>
    <row r="81">
      <c r="A81" t="inlineStr">
        <is>
          <t xml:space="preserve">  Offices</t>
        </is>
      </c>
      <c r="B81" t="inlineStr">
        <is>
          <t>CD</t>
        </is>
      </c>
      <c r="C81" t="inlineStr">
        <is>
          <t>MEL</t>
        </is>
      </c>
      <c r="D81" t="n">
        <v>550410</v>
      </c>
      <c r="E81" t="inlineStr">
        <is>
          <t>19-21 Great Portland Street .</t>
        </is>
      </c>
      <c r="F81" t="inlineStr">
        <is>
          <t>Fourth Floor</t>
        </is>
      </c>
      <c r="G81" t="inlineStr">
        <is>
          <t>Offices</t>
        </is>
      </c>
      <c r="H81" t="n">
        <v>1197</v>
      </c>
      <c r="I81">
        <f>I59</f>
        <v/>
      </c>
      <c r="J81" t="n">
        <v>1000</v>
      </c>
      <c r="K81" t="inlineStr">
        <is>
          <t>Factory Studios Limited.</t>
        </is>
      </c>
      <c r="L81" s="869" t="n">
        <v>44362</v>
      </c>
      <c r="M81" s="869" t="n">
        <v>48013</v>
      </c>
      <c r="O81" s="869" t="n">
        <v>46197</v>
      </c>
      <c r="P81" s="869" t="n">
        <v>46197</v>
      </c>
      <c r="Q81" t="n">
        <v>80000</v>
      </c>
      <c r="R81">
        <f>R59</f>
        <v/>
      </c>
      <c r="T81" t="n">
        <v>80000</v>
      </c>
      <c r="U81">
        <f>U59</f>
        <v/>
      </c>
      <c r="V81" t="n">
        <v>80800</v>
      </c>
      <c r="W81">
        <f>W59</f>
        <v/>
      </c>
      <c r="X81">
        <f>W59/I59</f>
        <v/>
      </c>
      <c r="Y81">
        <f>SUM(W59-U59)/U59</f>
        <v/>
      </c>
      <c r="Z81" t="inlineStr">
        <is>
          <t>B</t>
        </is>
      </c>
      <c r="AC81" t="inlineStr">
        <is>
          <t>No</t>
        </is>
      </c>
      <c r="AD81" t="inlineStr">
        <is>
          <t>Tenant break subject to 6 months notice.</t>
        </is>
      </c>
      <c r="AI81" t="inlineStr">
        <is>
          <t>Let</t>
        </is>
      </c>
    </row>
    <row r="82"/>
    <row r="83">
      <c r="A83" s="868" t="inlineStr">
        <is>
          <t>20 Great Portland Street</t>
        </is>
      </c>
    </row>
    <row r="84">
      <c r="A84" t="inlineStr">
        <is>
          <t xml:space="preserve">  Studio</t>
        </is>
      </c>
      <c r="B84" t="inlineStr">
        <is>
          <t>WS</t>
        </is>
      </c>
      <c r="C84" t="inlineStr">
        <is>
          <t>MEL</t>
        </is>
      </c>
      <c r="D84" t="n">
        <v>550795</v>
      </c>
      <c r="E84" t="inlineStr">
        <is>
          <t>20 Great Portland Street</t>
        </is>
      </c>
      <c r="F84" t="inlineStr">
        <is>
          <t>Basement</t>
        </is>
      </c>
      <c r="G84" t="inlineStr">
        <is>
          <t>Studio</t>
        </is>
      </c>
      <c r="H84" t="n">
        <v>1330</v>
      </c>
      <c r="I84">
        <f>I60</f>
        <v/>
      </c>
      <c r="K84" t="inlineStr">
        <is>
          <t>Vacant / Landlord</t>
        </is>
      </c>
      <c r="N84" s="869" t="n">
        <v>43670</v>
      </c>
      <c r="Q84" t="n">
        <v>0</v>
      </c>
      <c r="R84">
        <f>R60</f>
        <v/>
      </c>
      <c r="T84" t="n">
        <v>25000</v>
      </c>
      <c r="U84">
        <f>U60</f>
        <v/>
      </c>
      <c r="V84" t="n">
        <v>25000</v>
      </c>
      <c r="W84">
        <f>W60</f>
        <v/>
      </c>
      <c r="X84">
        <f>W60/I60</f>
        <v/>
      </c>
      <c r="Y84">
        <f>SUM(W60-U60)/U60</f>
        <v/>
      </c>
      <c r="Z84" t="inlineStr">
        <is>
          <t>D</t>
        </is>
      </c>
      <c r="AC84" t="inlineStr">
        <is>
          <t>No</t>
        </is>
      </c>
      <c r="AI84" t="inlineStr">
        <is>
          <t>Void</t>
        </is>
      </c>
    </row>
    <row r="85">
      <c r="A85" t="inlineStr">
        <is>
          <t xml:space="preserve">  Retail</t>
        </is>
      </c>
      <c r="B85" t="inlineStr">
        <is>
          <t>WS</t>
        </is>
      </c>
      <c r="C85" t="inlineStr">
        <is>
          <t>MEL</t>
        </is>
      </c>
      <c r="D85" t="n">
        <v>550795</v>
      </c>
      <c r="E85" t="inlineStr">
        <is>
          <t>20 Great Portland Street</t>
        </is>
      </c>
      <c r="F85" t="inlineStr">
        <is>
          <t>Ground Floor Rear</t>
        </is>
      </c>
      <c r="G85" t="inlineStr">
        <is>
          <t>Retail</t>
        </is>
      </c>
      <c r="H85" t="n">
        <v>260</v>
      </c>
      <c r="I85">
        <f>I61</f>
        <v/>
      </c>
      <c r="J85" t="n">
        <v>250</v>
      </c>
      <c r="K85" t="inlineStr">
        <is>
          <t>Express Alteration and Tailoring Ltd</t>
        </is>
      </c>
      <c r="L85" s="869" t="n">
        <v>45645</v>
      </c>
      <c r="M85" s="869" t="n">
        <v>46739</v>
      </c>
      <c r="Q85" t="n">
        <v>18000</v>
      </c>
      <c r="R85">
        <f>R61</f>
        <v/>
      </c>
      <c r="T85" t="n">
        <v>11700</v>
      </c>
      <c r="U85">
        <f>U61</f>
        <v/>
      </c>
      <c r="V85" t="n">
        <v>11700</v>
      </c>
      <c r="W85">
        <f>W61</f>
        <v/>
      </c>
      <c r="X85">
        <f>W61/I61</f>
        <v/>
      </c>
      <c r="Y85">
        <f>SUM(W61-U61)/U61</f>
        <v/>
      </c>
      <c r="Z85" t="inlineStr">
        <is>
          <t>C</t>
        </is>
      </c>
      <c r="AC85" t="inlineStr">
        <is>
          <t>No</t>
        </is>
      </c>
      <c r="AG85" t="n">
        <v>1</v>
      </c>
      <c r="AH85" t="inlineStr">
        <is>
          <t>LEM / RIB</t>
        </is>
      </c>
      <c r="AI85" t="inlineStr">
        <is>
          <t>Let</t>
        </is>
      </c>
    </row>
    <row r="86">
      <c r="A86" t="inlineStr">
        <is>
          <t xml:space="preserve">  Retail</t>
        </is>
      </c>
      <c r="B86" t="inlineStr">
        <is>
          <t>WS</t>
        </is>
      </c>
      <c r="C86" t="inlineStr">
        <is>
          <t>MEL</t>
        </is>
      </c>
      <c r="D86" t="n">
        <v>550795</v>
      </c>
      <c r="E86" t="inlineStr">
        <is>
          <t>20 Great Portland Street</t>
        </is>
      </c>
      <c r="F86" t="inlineStr">
        <is>
          <t xml:space="preserve">Ground Floor Front </t>
        </is>
      </c>
      <c r="G86" t="inlineStr">
        <is>
          <t>Retail</t>
        </is>
      </c>
      <c r="H86" t="n">
        <v>652</v>
      </c>
      <c r="I86">
        <f>I62</f>
        <v/>
      </c>
      <c r="J86" t="n">
        <v>750</v>
      </c>
      <c r="K86" t="inlineStr">
        <is>
          <t>Explore Global Limited</t>
        </is>
      </c>
      <c r="L86" s="869" t="n">
        <v>44851</v>
      </c>
      <c r="M86" s="869" t="n">
        <v>48503</v>
      </c>
      <c r="O86" s="869" t="n">
        <v>46677</v>
      </c>
      <c r="Q86" t="n">
        <v>55000</v>
      </c>
      <c r="R86">
        <f>R62</f>
        <v/>
      </c>
      <c r="T86" t="n">
        <v>55000</v>
      </c>
      <c r="U86">
        <f>U62</f>
        <v/>
      </c>
      <c r="V86" t="n">
        <v>55000</v>
      </c>
      <c r="W86">
        <f>W62</f>
        <v/>
      </c>
      <c r="X86">
        <f>W62/I62</f>
        <v/>
      </c>
      <c r="Y86">
        <f>SUM(W62-U62)/U62</f>
        <v/>
      </c>
      <c r="Z86" t="inlineStr">
        <is>
          <t>D</t>
        </is>
      </c>
      <c r="AC86" t="inlineStr">
        <is>
          <t>No</t>
        </is>
      </c>
      <c r="AI86" t="inlineStr">
        <is>
          <t>Let</t>
        </is>
      </c>
    </row>
    <row r="87">
      <c r="A87" t="inlineStr">
        <is>
          <t xml:space="preserve">  Offices</t>
        </is>
      </c>
      <c r="B87" t="inlineStr">
        <is>
          <t>WS</t>
        </is>
      </c>
      <c r="C87" t="inlineStr">
        <is>
          <t>MEL</t>
        </is>
      </c>
      <c r="D87" t="n">
        <v>550795</v>
      </c>
      <c r="E87" t="inlineStr">
        <is>
          <t>20 Great Portland Street</t>
        </is>
      </c>
      <c r="F87" t="inlineStr">
        <is>
          <t>First Floor Front</t>
        </is>
      </c>
      <c r="G87" t="inlineStr">
        <is>
          <t>Offices</t>
        </is>
      </c>
      <c r="H87" t="n">
        <v>558</v>
      </c>
      <c r="I87">
        <f>I63</f>
        <v/>
      </c>
      <c r="J87" t="n">
        <v>500</v>
      </c>
      <c r="K87" t="inlineStr">
        <is>
          <t>Des Baines Ltd</t>
        </is>
      </c>
      <c r="L87" s="869" t="n">
        <v>45114</v>
      </c>
      <c r="M87" s="869" t="n">
        <v>46940</v>
      </c>
      <c r="P87" s="869" t="n">
        <v>46209</v>
      </c>
      <c r="Q87" t="n">
        <v>32400</v>
      </c>
      <c r="R87">
        <f>R63</f>
        <v/>
      </c>
      <c r="T87" t="n">
        <v>29300</v>
      </c>
      <c r="U87">
        <f>U63</f>
        <v/>
      </c>
      <c r="V87" t="n">
        <v>29300</v>
      </c>
      <c r="W87">
        <f>W63</f>
        <v/>
      </c>
      <c r="X87">
        <f>W63/I63</f>
        <v/>
      </c>
      <c r="Y87">
        <f>SUM(W63-U63)/U63</f>
        <v/>
      </c>
      <c r="Z87" t="inlineStr">
        <is>
          <t>C</t>
        </is>
      </c>
      <c r="AC87" t="inlineStr">
        <is>
          <t>No</t>
        </is>
      </c>
      <c r="AD87" t="inlineStr">
        <is>
          <t>Tenant break on 6 months notice.</t>
        </is>
      </c>
      <c r="AI87" t="inlineStr">
        <is>
          <t>Let</t>
        </is>
      </c>
    </row>
    <row r="88">
      <c r="A88" t="inlineStr">
        <is>
          <t xml:space="preserve">  Offices</t>
        </is>
      </c>
      <c r="B88" t="inlineStr">
        <is>
          <t>WS</t>
        </is>
      </c>
      <c r="C88" t="inlineStr">
        <is>
          <t>MEL</t>
        </is>
      </c>
      <c r="D88" t="n">
        <v>550795</v>
      </c>
      <c r="E88" t="inlineStr">
        <is>
          <t>20 Great Portland Street</t>
        </is>
      </c>
      <c r="F88" t="inlineStr">
        <is>
          <t>First Floor Rear</t>
        </is>
      </c>
      <c r="G88" t="inlineStr">
        <is>
          <t>Offices</t>
        </is>
      </c>
      <c r="H88" t="n">
        <v>310</v>
      </c>
      <c r="I88">
        <f>I64</f>
        <v/>
      </c>
      <c r="J88" t="n">
        <v>250</v>
      </c>
      <c r="K88" t="inlineStr">
        <is>
          <t>Face2Face Counselling Services Ltd</t>
        </is>
      </c>
      <c r="L88" s="869" t="n">
        <v>44043</v>
      </c>
      <c r="M88" s="869" t="n">
        <v>45868</v>
      </c>
      <c r="Q88" t="n">
        <v>15500</v>
      </c>
      <c r="R88">
        <f>R64</f>
        <v/>
      </c>
      <c r="T88" t="n">
        <v>15500</v>
      </c>
      <c r="U88">
        <f>U64</f>
        <v/>
      </c>
      <c r="V88" t="n">
        <v>15500</v>
      </c>
      <c r="W88">
        <f>W64</f>
        <v/>
      </c>
      <c r="X88">
        <f>W64/I64</f>
        <v/>
      </c>
      <c r="Y88">
        <f>SUM(W64-U64)/U64</f>
        <v/>
      </c>
      <c r="Z88" t="inlineStr">
        <is>
          <t>C</t>
        </is>
      </c>
      <c r="AC88" t="inlineStr">
        <is>
          <t>No</t>
        </is>
      </c>
      <c r="AD88" t="inlineStr">
        <is>
          <t>Tenant break on 6 months notice. 5yr reversionary lease completed. Tenant change of name to One Therapy Ltd on new lease.</t>
        </is>
      </c>
      <c r="AI88" t="inlineStr">
        <is>
          <t>Let</t>
        </is>
      </c>
    </row>
    <row r="89">
      <c r="A89" t="inlineStr">
        <is>
          <t xml:space="preserve">  Offices</t>
        </is>
      </c>
      <c r="B89" t="inlineStr">
        <is>
          <t>WS</t>
        </is>
      </c>
      <c r="C89" t="inlineStr">
        <is>
          <t>MEL</t>
        </is>
      </c>
      <c r="D89" t="n">
        <v>550795</v>
      </c>
      <c r="E89" t="inlineStr">
        <is>
          <t>20 Great Portland Street</t>
        </is>
      </c>
      <c r="F89" t="inlineStr">
        <is>
          <t>Second Floor Front</t>
        </is>
      </c>
      <c r="G89" t="inlineStr">
        <is>
          <t>Offices</t>
        </is>
      </c>
      <c r="H89" t="n">
        <v>455</v>
      </c>
      <c r="I89">
        <f>I65</f>
        <v/>
      </c>
      <c r="J89" t="n">
        <v>500</v>
      </c>
      <c r="K89" t="inlineStr">
        <is>
          <t>The Campbell Napier Practice Ltd</t>
        </is>
      </c>
      <c r="L89" s="869" t="n">
        <v>44505</v>
      </c>
      <c r="M89" s="869" t="n">
        <v>45965</v>
      </c>
      <c r="Q89" t="n">
        <v>22800</v>
      </c>
      <c r="R89">
        <f>R65</f>
        <v/>
      </c>
      <c r="T89" t="n">
        <v>22800</v>
      </c>
      <c r="U89">
        <f>U65</f>
        <v/>
      </c>
      <c r="V89" t="n">
        <v>22800</v>
      </c>
      <c r="W89">
        <f>W65</f>
        <v/>
      </c>
      <c r="X89">
        <f>W65/I65</f>
        <v/>
      </c>
      <c r="Y89">
        <f>SUM(W65-U65)/U65</f>
        <v/>
      </c>
      <c r="Z89" t="inlineStr">
        <is>
          <t>E</t>
        </is>
      </c>
      <c r="AC89" t="inlineStr">
        <is>
          <t>No</t>
        </is>
      </c>
      <c r="AD89" t="inlineStr">
        <is>
          <t>Reversionary lease completed. Lease expiring 29/09/26 @ same rent.</t>
        </is>
      </c>
      <c r="AI89" t="inlineStr">
        <is>
          <t>Let</t>
        </is>
      </c>
    </row>
    <row r="90">
      <c r="A90" t="inlineStr">
        <is>
          <t xml:space="preserve">  Offices</t>
        </is>
      </c>
      <c r="B90" t="inlineStr">
        <is>
          <t>WS</t>
        </is>
      </c>
      <c r="C90" t="inlineStr">
        <is>
          <t>MEL</t>
        </is>
      </c>
      <c r="D90" t="n">
        <v>550795</v>
      </c>
      <c r="E90" t="inlineStr">
        <is>
          <t>20 Great Portland Street</t>
        </is>
      </c>
      <c r="F90" t="inlineStr">
        <is>
          <t>Second Floor Rear</t>
        </is>
      </c>
      <c r="G90" t="inlineStr">
        <is>
          <t>Offices</t>
        </is>
      </c>
      <c r="H90" t="n">
        <v>310</v>
      </c>
      <c r="I90">
        <f>I66</f>
        <v/>
      </c>
      <c r="J90" t="n">
        <v>250</v>
      </c>
      <c r="K90" t="inlineStr">
        <is>
          <t>PsychotherapyUK Training Ltd.</t>
        </is>
      </c>
      <c r="L90" s="869" t="n">
        <v>44032</v>
      </c>
      <c r="M90" s="869" t="n">
        <v>45857</v>
      </c>
      <c r="Q90" t="n">
        <v>15500</v>
      </c>
      <c r="R90">
        <f>R66</f>
        <v/>
      </c>
      <c r="T90" t="n">
        <v>15500</v>
      </c>
      <c r="U90">
        <f>U66</f>
        <v/>
      </c>
      <c r="V90" t="n">
        <v>15500</v>
      </c>
      <c r="W90">
        <f>W66</f>
        <v/>
      </c>
      <c r="X90">
        <f>W66/I66</f>
        <v/>
      </c>
      <c r="Y90">
        <f>SUM(W66-U66)/U66</f>
        <v/>
      </c>
      <c r="Z90" t="inlineStr">
        <is>
          <t>E</t>
        </is>
      </c>
      <c r="AC90" t="inlineStr">
        <is>
          <t>No</t>
        </is>
      </c>
      <c r="AD90" t="inlineStr">
        <is>
          <t xml:space="preserve">Tenant break on 6 months notice. 5yr reversionary lease completed. </t>
        </is>
      </c>
      <c r="AI90" t="inlineStr">
        <is>
          <t>Let</t>
        </is>
      </c>
    </row>
    <row r="91">
      <c r="A91" t="inlineStr">
        <is>
          <t xml:space="preserve">  Offices</t>
        </is>
      </c>
      <c r="B91" t="inlineStr">
        <is>
          <t>WS</t>
        </is>
      </c>
      <c r="C91" t="inlineStr">
        <is>
          <t>MEL</t>
        </is>
      </c>
      <c r="D91" t="n">
        <v>550795</v>
      </c>
      <c r="E91" t="inlineStr">
        <is>
          <t>20 Great Portland Street</t>
        </is>
      </c>
      <c r="F91" t="inlineStr">
        <is>
          <t>Third Floor Front</t>
        </is>
      </c>
      <c r="G91" t="inlineStr">
        <is>
          <t>Offices</t>
        </is>
      </c>
      <c r="H91" t="n">
        <v>450</v>
      </c>
      <c r="I91">
        <f>I67</f>
        <v/>
      </c>
      <c r="J91" t="n">
        <v>500</v>
      </c>
      <c r="K91" t="inlineStr">
        <is>
          <t>The Campbell Napier Practice Ltd</t>
        </is>
      </c>
      <c r="L91" s="869" t="n">
        <v>45199</v>
      </c>
      <c r="M91" s="869" t="n">
        <v>47025</v>
      </c>
      <c r="P91" s="869" t="n">
        <v>46294</v>
      </c>
      <c r="Q91" t="n">
        <v>24750</v>
      </c>
      <c r="R91">
        <f>R67</f>
        <v/>
      </c>
      <c r="T91" t="n">
        <v>22838</v>
      </c>
      <c r="U91">
        <f>U67</f>
        <v/>
      </c>
      <c r="V91" t="n">
        <v>22500</v>
      </c>
      <c r="W91">
        <f>W67</f>
        <v/>
      </c>
      <c r="X91">
        <f>W67/I67</f>
        <v/>
      </c>
      <c r="Y91">
        <f>SUM(W67-U67)/U67</f>
        <v/>
      </c>
      <c r="Z91" t="inlineStr">
        <is>
          <t>E</t>
        </is>
      </c>
      <c r="AC91" t="inlineStr">
        <is>
          <t>No</t>
        </is>
      </c>
      <c r="AD91" t="inlineStr">
        <is>
          <t>Rent rises to £26,325 wef 29/09/26. Tenant break on 6 months notice.</t>
        </is>
      </c>
      <c r="AI91" t="inlineStr">
        <is>
          <t>Let</t>
        </is>
      </c>
    </row>
    <row r="92">
      <c r="A92" t="inlineStr">
        <is>
          <t xml:space="preserve">  Offices</t>
        </is>
      </c>
      <c r="B92" t="inlineStr">
        <is>
          <t>WS</t>
        </is>
      </c>
      <c r="C92" t="inlineStr">
        <is>
          <t>MEL</t>
        </is>
      </c>
      <c r="D92" t="n">
        <v>550795</v>
      </c>
      <c r="E92" t="inlineStr">
        <is>
          <t>20 Great Portland Street</t>
        </is>
      </c>
      <c r="F92" t="inlineStr">
        <is>
          <t>Third Floor Rear</t>
        </is>
      </c>
      <c r="G92" t="inlineStr">
        <is>
          <t>Offices</t>
        </is>
      </c>
      <c r="H92" t="n">
        <v>215</v>
      </c>
      <c r="I92">
        <f>I68</f>
        <v/>
      </c>
      <c r="J92" t="n">
        <v>250</v>
      </c>
      <c r="K92" t="inlineStr">
        <is>
          <t>One Therapy Ltd.</t>
        </is>
      </c>
      <c r="L92" s="869" t="n">
        <v>44043</v>
      </c>
      <c r="M92" s="869" t="n">
        <v>45868</v>
      </c>
      <c r="Q92" t="n">
        <v>11502</v>
      </c>
      <c r="R92">
        <f>R68</f>
        <v/>
      </c>
      <c r="T92" t="n">
        <v>10200</v>
      </c>
      <c r="U92">
        <f>U68</f>
        <v/>
      </c>
      <c r="V92" t="n">
        <v>10200</v>
      </c>
      <c r="W92">
        <f>W68</f>
        <v/>
      </c>
      <c r="X92">
        <f>W68/I68</f>
        <v/>
      </c>
      <c r="Y92">
        <f>SUM(W68-U68)/U68</f>
        <v/>
      </c>
      <c r="Z92" t="inlineStr">
        <is>
          <t>E</t>
        </is>
      </c>
      <c r="AC92" t="inlineStr">
        <is>
          <t>No</t>
        </is>
      </c>
      <c r="AD92" t="inlineStr">
        <is>
          <t>Tenant break on 6 months notice. 5yr reversionary lease completed.</t>
        </is>
      </c>
      <c r="AI92" t="inlineStr">
        <is>
          <t>Let</t>
        </is>
      </c>
    </row>
    <row r="93">
      <c r="A93" t="inlineStr">
        <is>
          <t xml:space="preserve">  Offices</t>
        </is>
      </c>
      <c r="B93" t="inlineStr">
        <is>
          <t>WS</t>
        </is>
      </c>
      <c r="C93" t="inlineStr">
        <is>
          <t>MEL</t>
        </is>
      </c>
      <c r="D93" t="n">
        <v>550795</v>
      </c>
      <c r="E93" t="inlineStr">
        <is>
          <t>20 Great Portland Street</t>
        </is>
      </c>
      <c r="F93" t="inlineStr">
        <is>
          <t>Fourth Floor</t>
        </is>
      </c>
      <c r="G93" t="inlineStr">
        <is>
          <t>Offices</t>
        </is>
      </c>
      <c r="H93" t="n">
        <v>410</v>
      </c>
      <c r="I93">
        <f>I69</f>
        <v/>
      </c>
      <c r="J93" t="n">
        <v>500</v>
      </c>
      <c r="K93" t="inlineStr">
        <is>
          <t>The Campbell Napier Practice Ltd</t>
        </is>
      </c>
      <c r="L93" s="869" t="n">
        <v>45199</v>
      </c>
      <c r="M93" s="869" t="n">
        <v>47025</v>
      </c>
      <c r="P93" s="869" t="n">
        <v>46294</v>
      </c>
      <c r="Q93" t="n">
        <v>22550</v>
      </c>
      <c r="R93">
        <f>R69</f>
        <v/>
      </c>
      <c r="T93" t="n">
        <v>21100</v>
      </c>
      <c r="U93">
        <f>U69</f>
        <v/>
      </c>
      <c r="V93" t="n">
        <v>21100</v>
      </c>
      <c r="W93">
        <f>W69</f>
        <v/>
      </c>
      <c r="X93">
        <f>W69/I69</f>
        <v/>
      </c>
      <c r="Y93">
        <f>SUM(W69-U69)/U69</f>
        <v/>
      </c>
      <c r="Z93" t="inlineStr">
        <is>
          <t>D</t>
        </is>
      </c>
      <c r="AC93" t="inlineStr">
        <is>
          <t>No</t>
        </is>
      </c>
      <c r="AD93" t="inlineStr">
        <is>
          <t>Rent rises to £23,985 wef 29/09/26. Tenant break on 6 months notice.</t>
        </is>
      </c>
      <c r="AI93" t="inlineStr">
        <is>
          <t>Let</t>
        </is>
      </c>
    </row>
    <row r="94"/>
    <row r="95">
      <c r="A95" s="868" t="inlineStr">
        <is>
          <t>Highlight House, 22-24 Great Portland Street</t>
        </is>
      </c>
    </row>
    <row r="96">
      <c r="A96" t="inlineStr">
        <is>
          <t xml:space="preserve">  Restaurant</t>
        </is>
      </c>
      <c r="B96" t="inlineStr">
        <is>
          <t>WS</t>
        </is>
      </c>
      <c r="C96" t="inlineStr">
        <is>
          <t>MEL</t>
        </is>
      </c>
      <c r="D96" t="n">
        <v>550080</v>
      </c>
      <c r="E96" t="inlineStr">
        <is>
          <t>Highlight House, 22-24 Great Portland Street</t>
        </is>
      </c>
      <c r="F96" t="inlineStr">
        <is>
          <t>Basement &amp; Ground Floor</t>
        </is>
      </c>
      <c r="G96" t="inlineStr">
        <is>
          <t>Restaurant</t>
        </is>
      </c>
      <c r="H96" t="n">
        <v>3626</v>
      </c>
      <c r="I96">
        <f>I70</f>
        <v/>
      </c>
      <c r="J96" t="n">
        <v>3500</v>
      </c>
      <c r="K96" t="inlineStr">
        <is>
          <t>Mamaye UK Limited.</t>
        </is>
      </c>
      <c r="L96" s="869" t="n">
        <v>44635</v>
      </c>
      <c r="M96" s="869" t="n">
        <v>48287</v>
      </c>
      <c r="O96" s="869" t="n">
        <v>46461</v>
      </c>
      <c r="P96" s="869" t="n">
        <v>46460</v>
      </c>
      <c r="Q96" t="n">
        <v>220000</v>
      </c>
      <c r="R96">
        <f>R70</f>
        <v/>
      </c>
      <c r="T96" t="n">
        <v>210000</v>
      </c>
      <c r="U96">
        <f>U70</f>
        <v/>
      </c>
      <c r="V96" t="n">
        <v>227900</v>
      </c>
      <c r="W96">
        <f>W70</f>
        <v/>
      </c>
      <c r="X96">
        <f>W70/I70</f>
        <v/>
      </c>
      <c r="Y96">
        <f>SUM(W70-U70)/U70</f>
        <v/>
      </c>
      <c r="Z96" t="inlineStr">
        <is>
          <t>D</t>
        </is>
      </c>
      <c r="AC96" t="inlineStr">
        <is>
          <t>No</t>
        </is>
      </c>
      <c r="AD96" t="inlineStr">
        <is>
          <t>Rent rises to £237,500 wef 15/03/26.</t>
        </is>
      </c>
      <c r="AI96" t="inlineStr">
        <is>
          <t>Let</t>
        </is>
      </c>
    </row>
    <row r="97">
      <c r="A97" t="inlineStr">
        <is>
          <t xml:space="preserve">   Office</t>
        </is>
      </c>
      <c r="B97" t="inlineStr">
        <is>
          <t>WS</t>
        </is>
      </c>
      <c r="C97" t="inlineStr">
        <is>
          <t>MEL</t>
        </is>
      </c>
      <c r="D97" t="n">
        <v>550080</v>
      </c>
      <c r="E97" t="inlineStr">
        <is>
          <t>Highlight House, 22-24 Great Portland Street</t>
        </is>
      </c>
      <c r="F97" t="inlineStr">
        <is>
          <t>First Floor</t>
        </is>
      </c>
      <c r="G97" t="inlineStr">
        <is>
          <t xml:space="preserve"> Office</t>
        </is>
      </c>
      <c r="H97" t="n">
        <v>1493</v>
      </c>
      <c r="I97">
        <f>I71</f>
        <v/>
      </c>
      <c r="J97" t="n">
        <v>1500</v>
      </c>
      <c r="K97" t="inlineStr">
        <is>
          <t>Vacant</t>
        </is>
      </c>
      <c r="N97" s="869" t="n">
        <v>43279</v>
      </c>
      <c r="Q97" t="n">
        <v>0</v>
      </c>
      <c r="R97">
        <f>R71</f>
        <v/>
      </c>
      <c r="T97" t="n">
        <v>86600</v>
      </c>
      <c r="U97">
        <f>U71</f>
        <v/>
      </c>
      <c r="V97" t="n">
        <v>93300</v>
      </c>
      <c r="W97">
        <f>W71</f>
        <v/>
      </c>
      <c r="X97">
        <f>W71/I71</f>
        <v/>
      </c>
      <c r="Y97">
        <f>SUM(W71-U71)/U71</f>
        <v/>
      </c>
      <c r="Z97" t="inlineStr">
        <is>
          <t>D</t>
        </is>
      </c>
      <c r="AC97" t="inlineStr">
        <is>
          <t>No</t>
        </is>
      </c>
      <c r="AD97" t="inlineStr">
        <is>
          <t>Mothballed.</t>
        </is>
      </c>
      <c r="AG97" t="n">
        <v>2</v>
      </c>
      <c r="AI97" t="inlineStr">
        <is>
          <t>Void</t>
        </is>
      </c>
    </row>
    <row r="98">
      <c r="A98" t="inlineStr">
        <is>
          <t xml:space="preserve">  Office</t>
        </is>
      </c>
      <c r="B98" t="inlineStr">
        <is>
          <t>WS</t>
        </is>
      </c>
      <c r="C98" t="inlineStr">
        <is>
          <t>MEL</t>
        </is>
      </c>
      <c r="D98" t="n">
        <v>550080</v>
      </c>
      <c r="E98" t="inlineStr">
        <is>
          <t>Highlight House, 22-24 Great Portland Street</t>
        </is>
      </c>
      <c r="F98" t="inlineStr">
        <is>
          <t>Second Floor</t>
        </is>
      </c>
      <c r="G98" t="inlineStr">
        <is>
          <t>Office</t>
        </is>
      </c>
      <c r="H98" t="n">
        <v>1503</v>
      </c>
      <c r="I98">
        <f>I72</f>
        <v/>
      </c>
      <c r="J98" t="n">
        <v>1500</v>
      </c>
      <c r="K98" t="inlineStr">
        <is>
          <t>Vacant</t>
        </is>
      </c>
      <c r="N98" s="869" t="n">
        <v>43354</v>
      </c>
      <c r="Q98" t="n">
        <v>0</v>
      </c>
      <c r="R98">
        <f>R72</f>
        <v/>
      </c>
      <c r="T98" t="n">
        <v>88100</v>
      </c>
      <c r="U98">
        <f>U72</f>
        <v/>
      </c>
      <c r="V98" t="n">
        <v>93900</v>
      </c>
      <c r="W98">
        <f>W72</f>
        <v/>
      </c>
      <c r="X98">
        <f>W72/I72</f>
        <v/>
      </c>
      <c r="Y98">
        <f>SUM(W72-U72)/U72</f>
        <v/>
      </c>
      <c r="Z98" t="inlineStr">
        <is>
          <t>D</t>
        </is>
      </c>
      <c r="AC98" t="inlineStr">
        <is>
          <t>No</t>
        </is>
      </c>
      <c r="AD98" t="inlineStr">
        <is>
          <t>Mothballed.</t>
        </is>
      </c>
      <c r="AG98" t="n">
        <v>2</v>
      </c>
      <c r="AI98" t="inlineStr">
        <is>
          <t>Void</t>
        </is>
      </c>
    </row>
    <row r="99">
      <c r="A99" t="inlineStr">
        <is>
          <t xml:space="preserve">  Office</t>
        </is>
      </c>
      <c r="B99" t="inlineStr">
        <is>
          <t>WS</t>
        </is>
      </c>
      <c r="C99" t="inlineStr">
        <is>
          <t>MEL</t>
        </is>
      </c>
      <c r="D99" t="n">
        <v>550080</v>
      </c>
      <c r="E99" t="inlineStr">
        <is>
          <t>Highlight House, 22-24 Great Portland Street</t>
        </is>
      </c>
      <c r="F99" t="inlineStr">
        <is>
          <t>Third Floor</t>
        </is>
      </c>
      <c r="G99" t="inlineStr">
        <is>
          <t>Office</t>
        </is>
      </c>
      <c r="H99" t="n">
        <v>1519</v>
      </c>
      <c r="I99">
        <f>I73</f>
        <v/>
      </c>
      <c r="J99" t="n">
        <v>1500</v>
      </c>
      <c r="K99" t="inlineStr">
        <is>
          <t>Vacant</t>
        </is>
      </c>
      <c r="N99" s="869" t="n">
        <v>43354</v>
      </c>
      <c r="Q99" t="n">
        <v>0</v>
      </c>
      <c r="R99">
        <f>R73</f>
        <v/>
      </c>
      <c r="T99" t="n">
        <v>83100</v>
      </c>
      <c r="U99">
        <f>U73</f>
        <v/>
      </c>
      <c r="V99" t="n">
        <v>91100</v>
      </c>
      <c r="W99">
        <f>W73</f>
        <v/>
      </c>
      <c r="X99">
        <f>W73/I73</f>
        <v/>
      </c>
      <c r="Y99">
        <f>SUM(W73-U73)/U73</f>
        <v/>
      </c>
      <c r="Z99" t="inlineStr">
        <is>
          <t>D</t>
        </is>
      </c>
      <c r="AC99" t="inlineStr">
        <is>
          <t>No</t>
        </is>
      </c>
      <c r="AD99" t="inlineStr">
        <is>
          <t>Mothballed.</t>
        </is>
      </c>
      <c r="AG99" t="n">
        <v>2</v>
      </c>
      <c r="AI99" t="inlineStr">
        <is>
          <t>Void</t>
        </is>
      </c>
    </row>
    <row r="100">
      <c r="A100" t="inlineStr">
        <is>
          <t xml:space="preserve">  Office</t>
        </is>
      </c>
      <c r="B100" t="inlineStr">
        <is>
          <t>WS</t>
        </is>
      </c>
      <c r="C100" t="inlineStr">
        <is>
          <t>MEL</t>
        </is>
      </c>
      <c r="D100" t="n">
        <v>550080</v>
      </c>
      <c r="E100" t="inlineStr">
        <is>
          <t>Highlight House, 22-24 Great Portland Street</t>
        </is>
      </c>
      <c r="F100" t="inlineStr">
        <is>
          <t>Fourth Floor</t>
        </is>
      </c>
      <c r="G100" t="inlineStr">
        <is>
          <t>Office</t>
        </is>
      </c>
      <c r="H100" t="n">
        <v>1505</v>
      </c>
      <c r="I100">
        <f>I74</f>
        <v/>
      </c>
      <c r="J100" t="n">
        <v>1500</v>
      </c>
      <c r="K100" t="inlineStr">
        <is>
          <t>Vacant</t>
        </is>
      </c>
      <c r="N100" s="869" t="n">
        <v>43354</v>
      </c>
      <c r="Q100" t="n">
        <v>0</v>
      </c>
      <c r="R100">
        <f>R74</f>
        <v/>
      </c>
      <c r="T100" t="n">
        <v>83800</v>
      </c>
      <c r="U100">
        <f>U74</f>
        <v/>
      </c>
      <c r="V100" t="n">
        <v>90300</v>
      </c>
      <c r="W100">
        <f>W74</f>
        <v/>
      </c>
      <c r="X100">
        <f>W74/I74</f>
        <v/>
      </c>
      <c r="Y100">
        <f>SUM(W74-U74)/U74</f>
        <v/>
      </c>
      <c r="Z100" t="inlineStr">
        <is>
          <t>D</t>
        </is>
      </c>
      <c r="AC100" t="inlineStr">
        <is>
          <t>No</t>
        </is>
      </c>
      <c r="AD100" t="inlineStr">
        <is>
          <t>Mothballed.</t>
        </is>
      </c>
      <c r="AG100" t="n">
        <v>2</v>
      </c>
      <c r="AI100" t="inlineStr">
        <is>
          <t>Void</t>
        </is>
      </c>
    </row>
    <row r="101"/>
    <row r="102">
      <c r="A102" s="868" t="inlineStr">
        <is>
          <t>23-25 Great Portland Street &amp; 54-55 Margaret Street</t>
        </is>
      </c>
    </row>
    <row r="103">
      <c r="A103" t="inlineStr">
        <is>
          <t xml:space="preserve">  Shop/Cafe</t>
        </is>
      </c>
      <c r="B103" t="inlineStr">
        <is>
          <t>CD</t>
        </is>
      </c>
      <c r="C103" t="inlineStr">
        <is>
          <t>MEL</t>
        </is>
      </c>
      <c r="D103" t="n">
        <v>550400</v>
      </c>
      <c r="E103" t="inlineStr">
        <is>
          <t>23-25 Great Portland Street &amp; 54-55 Margaret Street</t>
        </is>
      </c>
      <c r="F103" t="inlineStr">
        <is>
          <t>Basement &amp; Ground Floor</t>
        </is>
      </c>
      <c r="G103" t="inlineStr">
        <is>
          <t>Shop/Cafe</t>
        </is>
      </c>
      <c r="H103" t="n">
        <v>2164</v>
      </c>
      <c r="I103">
        <f>I75</f>
        <v/>
      </c>
      <c r="J103" t="n">
        <v>2000</v>
      </c>
      <c r="K103" t="inlineStr">
        <is>
          <t>Florian James Limited</t>
        </is>
      </c>
      <c r="L103" s="869" t="n">
        <v>44995</v>
      </c>
      <c r="M103" s="869" t="n">
        <v>48647</v>
      </c>
      <c r="O103" s="869" t="n">
        <v>46822</v>
      </c>
      <c r="Q103" t="n">
        <v>165000</v>
      </c>
      <c r="R103">
        <f>R75</f>
        <v/>
      </c>
      <c r="T103" t="n">
        <v>165000</v>
      </c>
      <c r="U103">
        <f>U75</f>
        <v/>
      </c>
      <c r="V103" t="n">
        <v>165000</v>
      </c>
      <c r="W103">
        <f>W75</f>
        <v/>
      </c>
      <c r="X103">
        <f>W75/I75</f>
        <v/>
      </c>
      <c r="Y103">
        <f>SUM(W75-U75)/U75</f>
        <v/>
      </c>
      <c r="Z103" t="inlineStr">
        <is>
          <t>D</t>
        </is>
      </c>
      <c r="AC103" t="inlineStr">
        <is>
          <t>No</t>
        </is>
      </c>
      <c r="AI103" t="inlineStr">
        <is>
          <t>Let</t>
        </is>
      </c>
    </row>
    <row r="104">
      <c r="A104" t="inlineStr">
        <is>
          <t xml:space="preserve">  Office</t>
        </is>
      </c>
      <c r="B104" t="inlineStr">
        <is>
          <t>CD</t>
        </is>
      </c>
      <c r="C104" t="inlineStr">
        <is>
          <t>MEL</t>
        </is>
      </c>
      <c r="D104" t="n">
        <v>550400</v>
      </c>
      <c r="E104" t="inlineStr">
        <is>
          <t>23-25 Great Portland Street &amp; 54-55 Margaret Street</t>
        </is>
      </c>
      <c r="F104" t="inlineStr">
        <is>
          <t>First to Fourth Floors</t>
        </is>
      </c>
      <c r="G104" t="inlineStr">
        <is>
          <t>Office</t>
        </is>
      </c>
      <c r="H104" t="n">
        <v>3545</v>
      </c>
      <c r="I104">
        <f>I76</f>
        <v/>
      </c>
      <c r="J104" t="n">
        <v>3500</v>
      </c>
      <c r="K104" t="inlineStr">
        <is>
          <t>Factory Studios Limited.</t>
        </is>
      </c>
      <c r="L104" s="869" t="n">
        <v>44362</v>
      </c>
      <c r="M104" s="869" t="n">
        <v>48013</v>
      </c>
      <c r="O104" s="869" t="n">
        <v>46197</v>
      </c>
      <c r="P104" s="869" t="n">
        <v>46197</v>
      </c>
      <c r="Q104" t="n">
        <v>220000</v>
      </c>
      <c r="R104">
        <f>R76</f>
        <v/>
      </c>
      <c r="T104" t="n">
        <v>220000</v>
      </c>
      <c r="U104">
        <f>U76</f>
        <v/>
      </c>
      <c r="V104" t="n">
        <v>220000</v>
      </c>
      <c r="W104">
        <f>W76</f>
        <v/>
      </c>
      <c r="X104">
        <f>W76/I76</f>
        <v/>
      </c>
      <c r="Y104">
        <f>SUM(W76-U76)/U76</f>
        <v/>
      </c>
      <c r="Z104" t="inlineStr">
        <is>
          <t>C</t>
        </is>
      </c>
      <c r="AC104" t="inlineStr">
        <is>
          <t>No</t>
        </is>
      </c>
      <c r="AD104" t="inlineStr">
        <is>
          <t>Tenant break on 6 months notice.</t>
        </is>
      </c>
      <c r="AI104" t="inlineStr">
        <is>
          <t>Let</t>
        </is>
      </c>
    </row>
    <row r="105"/>
    <row r="106">
      <c r="A106" s="868" t="inlineStr">
        <is>
          <t>39 Great Portland Street</t>
        </is>
      </c>
    </row>
    <row r="107">
      <c r="A107" t="inlineStr">
        <is>
          <t xml:space="preserve">  Showroom</t>
        </is>
      </c>
      <c r="B107" t="inlineStr">
        <is>
          <t>CM</t>
        </is>
      </c>
      <c r="C107" t="inlineStr">
        <is>
          <t>MEL</t>
        </is>
      </c>
      <c r="D107" t="n">
        <v>550740</v>
      </c>
      <c r="E107" t="inlineStr">
        <is>
          <t>39 Great Portland Street</t>
        </is>
      </c>
      <c r="F107" t="inlineStr">
        <is>
          <t>Basement &amp; Ground Floor</t>
        </is>
      </c>
      <c r="G107" t="inlineStr">
        <is>
          <t>Showroom</t>
        </is>
      </c>
      <c r="H107" t="n">
        <v>1524</v>
      </c>
      <c r="I107">
        <f>I77</f>
        <v/>
      </c>
      <c r="J107" t="n">
        <v>1500</v>
      </c>
      <c r="K107" t="inlineStr">
        <is>
          <t>Fads Boutique Limited</t>
        </is>
      </c>
      <c r="L107" s="869" t="n">
        <v>44833</v>
      </c>
      <c r="M107" s="869" t="n">
        <v>45928</v>
      </c>
      <c r="Q107" t="n">
        <v>72000</v>
      </c>
      <c r="R107">
        <f>R77</f>
        <v/>
      </c>
      <c r="T107" t="n">
        <v>72000</v>
      </c>
      <c r="U107">
        <f>U77</f>
        <v/>
      </c>
      <c r="V107" t="n">
        <v>72038</v>
      </c>
      <c r="W107">
        <f>W77</f>
        <v/>
      </c>
      <c r="X107">
        <f>W77/I77</f>
        <v/>
      </c>
      <c r="Y107">
        <f>SUM(W77-U77)/U77</f>
        <v/>
      </c>
      <c r="Z107" t="inlineStr">
        <is>
          <t>D</t>
        </is>
      </c>
      <c r="AC107" t="inlineStr">
        <is>
          <t>No</t>
        </is>
      </c>
      <c r="AF107" t="n">
        <v>1</v>
      </c>
      <c r="AG107" t="n">
        <v>1</v>
      </c>
      <c r="AI107" t="inlineStr">
        <is>
          <t>Let</t>
        </is>
      </c>
    </row>
    <row r="108">
      <c r="A108" t="inlineStr">
        <is>
          <t xml:space="preserve">  Office</t>
        </is>
      </c>
      <c r="B108" t="inlineStr">
        <is>
          <t>CM</t>
        </is>
      </c>
      <c r="C108" t="inlineStr">
        <is>
          <t>MEL</t>
        </is>
      </c>
      <c r="D108" t="n">
        <v>550740</v>
      </c>
      <c r="E108" t="inlineStr">
        <is>
          <t>39 Great Portland Street</t>
        </is>
      </c>
      <c r="F108" t="inlineStr">
        <is>
          <t>First Floor</t>
        </is>
      </c>
      <c r="G108" t="inlineStr">
        <is>
          <t>Office</t>
        </is>
      </c>
      <c r="H108" t="n">
        <v>730</v>
      </c>
      <c r="I108">
        <f>I78</f>
        <v/>
      </c>
      <c r="J108" t="n">
        <v>750</v>
      </c>
      <c r="K108" t="inlineStr">
        <is>
          <t>Studio Boum Limited.</t>
        </is>
      </c>
      <c r="L108" s="869" t="n">
        <v>45271</v>
      </c>
      <c r="M108" s="869" t="n">
        <v>46561</v>
      </c>
      <c r="Q108" t="n">
        <v>42705</v>
      </c>
      <c r="R108">
        <f>R78</f>
        <v/>
      </c>
      <c r="T108" t="n">
        <v>42000</v>
      </c>
      <c r="U108">
        <f>U78</f>
        <v/>
      </c>
      <c r="V108" t="n">
        <v>41975</v>
      </c>
      <c r="W108">
        <f>W78</f>
        <v/>
      </c>
      <c r="X108">
        <f>W78/I78</f>
        <v/>
      </c>
      <c r="Y108">
        <f>SUM(W78-U78)/U78</f>
        <v/>
      </c>
      <c r="Z108" t="inlineStr">
        <is>
          <t>D</t>
        </is>
      </c>
      <c r="AC108" t="inlineStr">
        <is>
          <t>No</t>
        </is>
      </c>
      <c r="AD108" t="inlineStr">
        <is>
          <t>Tenant break passed.</t>
        </is>
      </c>
      <c r="AI108" t="inlineStr">
        <is>
          <t>Let</t>
        </is>
      </c>
    </row>
    <row r="109">
      <c r="A109" t="inlineStr">
        <is>
          <t xml:space="preserve">  Office</t>
        </is>
      </c>
      <c r="B109" t="inlineStr">
        <is>
          <t>CM</t>
        </is>
      </c>
      <c r="C109" t="inlineStr">
        <is>
          <t>MEL</t>
        </is>
      </c>
      <c r="D109" t="n">
        <v>550740</v>
      </c>
      <c r="E109" t="inlineStr">
        <is>
          <t>39 Great Portland Street</t>
        </is>
      </c>
      <c r="F109" t="inlineStr">
        <is>
          <t>Second Floor</t>
        </is>
      </c>
      <c r="G109" t="inlineStr">
        <is>
          <t>Office</t>
        </is>
      </c>
      <c r="H109" t="n">
        <v>730</v>
      </c>
      <c r="I109">
        <f>I79</f>
        <v/>
      </c>
      <c r="J109" t="n">
        <v>750</v>
      </c>
      <c r="K109" t="inlineStr">
        <is>
          <t>David Walker Architects Ltd.</t>
        </is>
      </c>
      <c r="L109" s="869" t="n">
        <v>44833</v>
      </c>
      <c r="M109" s="869" t="n">
        <v>46658</v>
      </c>
      <c r="Q109" t="n">
        <v>42000</v>
      </c>
      <c r="R109">
        <f>R79</f>
        <v/>
      </c>
      <c r="T109" t="n">
        <v>42000</v>
      </c>
      <c r="U109">
        <f>U79</f>
        <v/>
      </c>
      <c r="V109" t="n">
        <v>41975</v>
      </c>
      <c r="W109">
        <f>W79</f>
        <v/>
      </c>
      <c r="X109">
        <f>W79/I79</f>
        <v/>
      </c>
      <c r="Y109">
        <f>SUM(W79-U79)/U79</f>
        <v/>
      </c>
      <c r="Z109" t="inlineStr">
        <is>
          <t>D</t>
        </is>
      </c>
      <c r="AC109" t="inlineStr">
        <is>
          <t>No</t>
        </is>
      </c>
      <c r="AI109" t="inlineStr">
        <is>
          <t>Let</t>
        </is>
      </c>
    </row>
    <row r="110">
      <c r="A110" t="inlineStr">
        <is>
          <t xml:space="preserve">  Office</t>
        </is>
      </c>
      <c r="B110" t="inlineStr">
        <is>
          <t>CM</t>
        </is>
      </c>
      <c r="C110" t="inlineStr">
        <is>
          <t>MEL</t>
        </is>
      </c>
      <c r="D110" t="n">
        <v>550740</v>
      </c>
      <c r="E110" t="inlineStr">
        <is>
          <t>39 Great Portland Street</t>
        </is>
      </c>
      <c r="F110" t="inlineStr">
        <is>
          <t>Third Floor</t>
        </is>
      </c>
      <c r="G110" t="inlineStr">
        <is>
          <t>Office</t>
        </is>
      </c>
      <c r="H110" t="n">
        <v>730</v>
      </c>
      <c r="I110">
        <f>I80</f>
        <v/>
      </c>
      <c r="J110" t="n">
        <v>750</v>
      </c>
      <c r="K110" t="inlineStr">
        <is>
          <t>Studio Boum Limited.</t>
        </is>
      </c>
      <c r="L110" s="869" t="n">
        <v>45271</v>
      </c>
      <c r="M110" s="869" t="n">
        <v>46561</v>
      </c>
      <c r="Q110" t="n">
        <v>42705</v>
      </c>
      <c r="R110">
        <f>R80</f>
        <v/>
      </c>
      <c r="T110" t="n">
        <v>42000</v>
      </c>
      <c r="U110">
        <f>U80</f>
        <v/>
      </c>
      <c r="V110" t="n">
        <v>41975</v>
      </c>
      <c r="W110">
        <f>W80</f>
        <v/>
      </c>
      <c r="X110">
        <f>W80/I80</f>
        <v/>
      </c>
      <c r="Y110">
        <f>SUM(W80-U80)/U80</f>
        <v/>
      </c>
      <c r="Z110" t="inlineStr">
        <is>
          <t>D</t>
        </is>
      </c>
      <c r="AC110" t="inlineStr">
        <is>
          <t>No</t>
        </is>
      </c>
      <c r="AD110" t="inlineStr">
        <is>
          <t>Tenant break passed.</t>
        </is>
      </c>
      <c r="AI110" t="inlineStr">
        <is>
          <t>Let</t>
        </is>
      </c>
    </row>
    <row r="111">
      <c r="A111" t="inlineStr">
        <is>
          <t xml:space="preserve">  Residential</t>
        </is>
      </c>
      <c r="B111" t="inlineStr">
        <is>
          <t>CM</t>
        </is>
      </c>
      <c r="C111" t="inlineStr">
        <is>
          <t>MEL</t>
        </is>
      </c>
      <c r="D111" t="n">
        <v>550740</v>
      </c>
      <c r="E111" t="inlineStr">
        <is>
          <t>39 Great Portland Street</t>
        </is>
      </c>
      <c r="F111" t="inlineStr">
        <is>
          <t>Fourth &amp; Fifth Floors</t>
        </is>
      </c>
      <c r="G111" t="inlineStr">
        <is>
          <t>Residential</t>
        </is>
      </c>
      <c r="H111" t="n">
        <v>1180</v>
      </c>
      <c r="I111">
        <f>I81</f>
        <v/>
      </c>
      <c r="J111" t="n">
        <v>1000</v>
      </c>
      <c r="K111" t="inlineStr">
        <is>
          <t>T. Ciss, E. Moser</t>
        </is>
      </c>
      <c r="L111" s="869" t="n">
        <v>45480</v>
      </c>
      <c r="M111" s="869" t="n">
        <v>45844</v>
      </c>
      <c r="Q111" t="n">
        <v>65000</v>
      </c>
      <c r="R111">
        <f>R81</f>
        <v/>
      </c>
      <c r="T111" t="n">
        <v>61360</v>
      </c>
      <c r="U111">
        <f>U81</f>
        <v/>
      </c>
      <c r="V111" t="n">
        <v>63177</v>
      </c>
      <c r="W111">
        <f>W81</f>
        <v/>
      </c>
      <c r="X111">
        <f>W81/I81</f>
        <v/>
      </c>
      <c r="Y111">
        <f>SUM(W81-U81)/U81</f>
        <v/>
      </c>
      <c r="Z111" t="inlineStr">
        <is>
          <t>C</t>
        </is>
      </c>
      <c r="AC111" t="inlineStr">
        <is>
          <t>No</t>
        </is>
      </c>
      <c r="AD111" t="inlineStr">
        <is>
          <t>Lease renewal agreed.</t>
        </is>
      </c>
      <c r="AI111" t="inlineStr">
        <is>
          <t>Let</t>
        </is>
      </c>
    </row>
    <row r="112"/>
    <row r="113">
      <c r="A113" s="868" t="inlineStr">
        <is>
          <t>41 Great Portland Street</t>
        </is>
      </c>
    </row>
    <row r="114">
      <c r="A114" t="inlineStr">
        <is>
          <t xml:space="preserve">  Offices</t>
        </is>
      </c>
      <c r="B114" t="inlineStr">
        <is>
          <t>CD</t>
        </is>
      </c>
      <c r="C114" t="inlineStr">
        <is>
          <t>MEL</t>
        </is>
      </c>
      <c r="D114" t="n">
        <v>550840</v>
      </c>
      <c r="E114" t="inlineStr">
        <is>
          <t>41 Great Portland Street</t>
        </is>
      </c>
      <c r="F114" t="inlineStr">
        <is>
          <t>Basement to Fourth</t>
        </is>
      </c>
      <c r="G114" t="inlineStr">
        <is>
          <t>Offices</t>
        </is>
      </c>
      <c r="H114" t="n">
        <v>2313</v>
      </c>
      <c r="I114">
        <f>I82</f>
        <v/>
      </c>
      <c r="J114" t="n">
        <v>2250</v>
      </c>
      <c r="K114" t="inlineStr">
        <is>
          <t>S.Hardwick &amp; L.Morris (t/a Hardwick &amp; Morris Chartered Accountants)</t>
        </is>
      </c>
      <c r="L114" s="869" t="n">
        <v>42339</v>
      </c>
      <c r="M114" s="869" t="n">
        <v>45991</v>
      </c>
      <c r="O114" s="869" t="n">
        <v>44166</v>
      </c>
      <c r="Q114" t="n">
        <v>112000</v>
      </c>
      <c r="R114">
        <f>R82</f>
        <v/>
      </c>
      <c r="S114">
        <f>S82</f>
        <v/>
      </c>
      <c r="T114" t="n">
        <v>106600</v>
      </c>
      <c r="U114">
        <f>U82</f>
        <v/>
      </c>
      <c r="V114" t="n">
        <v>102100</v>
      </c>
      <c r="W114">
        <f>W82</f>
        <v/>
      </c>
      <c r="X114">
        <f>W82/I82</f>
        <v/>
      </c>
      <c r="Y114">
        <f>SUM(W82-U82)/U82</f>
        <v/>
      </c>
      <c r="Z114" t="inlineStr">
        <is>
          <t>E</t>
        </is>
      </c>
      <c r="AB114" t="n">
        <v>1750000</v>
      </c>
      <c r="AC114" t="inlineStr">
        <is>
          <t>No</t>
        </is>
      </c>
      <c r="AI114" t="inlineStr">
        <is>
          <t>Let</t>
        </is>
      </c>
    </row>
    <row r="115"/>
    <row r="116">
      <c r="A116" s="868" t="inlineStr">
        <is>
          <t>42-48 Great Portland Street</t>
        </is>
      </c>
    </row>
    <row r="117">
      <c r="A117" t="inlineStr">
        <is>
          <t xml:space="preserve">  Shop</t>
        </is>
      </c>
      <c r="B117" t="inlineStr">
        <is>
          <t>CM</t>
        </is>
      </c>
      <c r="C117" t="inlineStr">
        <is>
          <t>MEL</t>
        </is>
      </c>
      <c r="D117" t="n">
        <v>550830</v>
      </c>
      <c r="E117" t="inlineStr">
        <is>
          <t>42-48 Great Portland Street</t>
        </is>
      </c>
      <c r="F117" t="inlineStr">
        <is>
          <t xml:space="preserve">Basement &amp; Ground Floor </t>
        </is>
      </c>
      <c r="G117" t="inlineStr">
        <is>
          <t>Shop</t>
        </is>
      </c>
      <c r="H117" t="n">
        <v>4259</v>
      </c>
      <c r="I117">
        <f>I83</f>
        <v/>
      </c>
      <c r="J117" t="n">
        <v>4250</v>
      </c>
      <c r="K117" t="inlineStr">
        <is>
          <t>GP Acoustics (UK) Limited</t>
        </is>
      </c>
      <c r="L117" s="869" t="n">
        <v>44967</v>
      </c>
      <c r="M117" s="869" t="n">
        <v>48619</v>
      </c>
      <c r="O117" s="869" t="n">
        <v>46793</v>
      </c>
      <c r="P117" s="869" t="n">
        <v>46792</v>
      </c>
      <c r="Q117" t="n">
        <v>215000</v>
      </c>
      <c r="R117">
        <f>R83</f>
        <v/>
      </c>
      <c r="T117" t="n">
        <v>215000</v>
      </c>
      <c r="U117">
        <f>U83</f>
        <v/>
      </c>
      <c r="V117" t="n">
        <v>215000</v>
      </c>
      <c r="W117">
        <f>W83</f>
        <v/>
      </c>
      <c r="X117">
        <f>W83/I83</f>
        <v/>
      </c>
      <c r="Y117">
        <f>SUM(W83-U83)/U83</f>
        <v/>
      </c>
      <c r="Z117" t="inlineStr">
        <is>
          <t>C</t>
        </is>
      </c>
      <c r="AC117" t="inlineStr">
        <is>
          <t>No</t>
        </is>
      </c>
      <c r="AD117" t="inlineStr">
        <is>
          <t>Tenant break on 6 months notice.</t>
        </is>
      </c>
      <c r="AI117" t="inlineStr">
        <is>
          <t>Let</t>
        </is>
      </c>
    </row>
    <row r="118">
      <c r="A118" t="inlineStr">
        <is>
          <t xml:space="preserve">  Office</t>
        </is>
      </c>
      <c r="B118" t="inlineStr">
        <is>
          <t>CM</t>
        </is>
      </c>
      <c r="C118" t="inlineStr">
        <is>
          <t>MEL</t>
        </is>
      </c>
      <c r="D118" t="n">
        <v>550830</v>
      </c>
      <c r="E118" t="inlineStr">
        <is>
          <t>42-48 Great Portland Street</t>
        </is>
      </c>
      <c r="F118" t="inlineStr">
        <is>
          <t>First Floor</t>
        </is>
      </c>
      <c r="G118" t="inlineStr">
        <is>
          <t>Office</t>
        </is>
      </c>
      <c r="H118" t="n">
        <v>1902</v>
      </c>
      <c r="I118">
        <f>I84</f>
        <v/>
      </c>
      <c r="J118" t="n">
        <v>2000</v>
      </c>
      <c r="K118" t="inlineStr">
        <is>
          <t>GP Acoustics (UK) Limited</t>
        </is>
      </c>
      <c r="L118" s="869" t="n">
        <v>44967</v>
      </c>
      <c r="M118" s="869" t="n">
        <v>48619</v>
      </c>
      <c r="O118" s="869" t="n">
        <v>46793</v>
      </c>
      <c r="P118" s="869" t="n">
        <v>46792</v>
      </c>
      <c r="Q118" t="n">
        <v>109620</v>
      </c>
      <c r="R118">
        <f>R84</f>
        <v/>
      </c>
      <c r="T118" t="n">
        <v>109620</v>
      </c>
      <c r="U118">
        <f>U84</f>
        <v/>
      </c>
      <c r="V118" t="n">
        <v>123600</v>
      </c>
      <c r="W118">
        <f>W84</f>
        <v/>
      </c>
      <c r="X118">
        <f>W84/I84</f>
        <v/>
      </c>
      <c r="Y118">
        <f>SUM(W84-U84)/U84</f>
        <v/>
      </c>
      <c r="Z118" t="inlineStr">
        <is>
          <t>C</t>
        </is>
      </c>
      <c r="AC118" t="inlineStr">
        <is>
          <t>No</t>
        </is>
      </c>
      <c r="AD118" t="inlineStr">
        <is>
          <t>Tenant break on 6 months notice.</t>
        </is>
      </c>
      <c r="AI118" t="inlineStr">
        <is>
          <t>Let</t>
        </is>
      </c>
    </row>
    <row r="119">
      <c r="A119" t="inlineStr">
        <is>
          <t xml:space="preserve">  Office</t>
        </is>
      </c>
      <c r="B119" t="inlineStr">
        <is>
          <t>CM</t>
        </is>
      </c>
      <c r="C119" t="inlineStr">
        <is>
          <t>MEL</t>
        </is>
      </c>
      <c r="D119" t="n">
        <v>550830</v>
      </c>
      <c r="E119" t="inlineStr">
        <is>
          <t>42-48 Great Portland Street</t>
        </is>
      </c>
      <c r="F119" t="inlineStr">
        <is>
          <t>Second Floor</t>
        </is>
      </c>
      <c r="G119" t="inlineStr">
        <is>
          <t>Office</t>
        </is>
      </c>
      <c r="H119" t="n">
        <v>1440</v>
      </c>
      <c r="I119">
        <f>I85</f>
        <v/>
      </c>
      <c r="J119" t="n">
        <v>1500</v>
      </c>
      <c r="K119" t="inlineStr">
        <is>
          <t>Vacant</t>
        </is>
      </c>
      <c r="N119" s="869" t="n">
        <v>44593</v>
      </c>
      <c r="Q119" t="n">
        <v>0</v>
      </c>
      <c r="R119">
        <f>R85</f>
        <v/>
      </c>
      <c r="T119" t="n">
        <v>79800</v>
      </c>
      <c r="U119">
        <f>U85</f>
        <v/>
      </c>
      <c r="V119" t="n">
        <v>93600</v>
      </c>
      <c r="W119">
        <f>W85</f>
        <v/>
      </c>
      <c r="X119">
        <f>W85/I85</f>
        <v/>
      </c>
      <c r="Y119">
        <f>SUM(W85-U85)/U85</f>
        <v/>
      </c>
      <c r="Z119" t="inlineStr">
        <is>
          <t>D</t>
        </is>
      </c>
      <c r="AC119" t="inlineStr">
        <is>
          <t>No</t>
        </is>
      </c>
      <c r="AD119" t="inlineStr">
        <is>
          <t>To be refurbished.</t>
        </is>
      </c>
      <c r="AI119" t="inlineStr">
        <is>
          <t>Void</t>
        </is>
      </c>
    </row>
    <row r="120">
      <c r="A120" t="inlineStr">
        <is>
          <t xml:space="preserve">  Office</t>
        </is>
      </c>
      <c r="B120" t="inlineStr">
        <is>
          <t>CM</t>
        </is>
      </c>
      <c r="C120" t="inlineStr">
        <is>
          <t>MEL</t>
        </is>
      </c>
      <c r="D120" t="n">
        <v>550830</v>
      </c>
      <c r="E120" t="inlineStr">
        <is>
          <t>42-48 Great Portland Street</t>
        </is>
      </c>
      <c r="F120" t="inlineStr">
        <is>
          <t>Third Floor</t>
        </is>
      </c>
      <c r="G120" t="inlineStr">
        <is>
          <t>Office</t>
        </is>
      </c>
      <c r="H120" t="n">
        <v>1433</v>
      </c>
      <c r="I120">
        <f>I86</f>
        <v/>
      </c>
      <c r="J120" t="n">
        <v>1500</v>
      </c>
      <c r="K120" t="inlineStr">
        <is>
          <t>Vacant</t>
        </is>
      </c>
      <c r="N120" s="869" t="n">
        <v>43313</v>
      </c>
      <c r="Q120" t="n">
        <v>0</v>
      </c>
      <c r="R120">
        <f>R86</f>
        <v/>
      </c>
      <c r="T120" t="n">
        <v>79750</v>
      </c>
      <c r="U120">
        <f>U86</f>
        <v/>
      </c>
      <c r="V120" t="n">
        <v>93100</v>
      </c>
      <c r="W120">
        <f>W86</f>
        <v/>
      </c>
      <c r="X120">
        <f>W86/I86</f>
        <v/>
      </c>
      <c r="Y120">
        <f>SUM(W86-U86)/U86</f>
        <v/>
      </c>
      <c r="Z120" t="inlineStr">
        <is>
          <t>D</t>
        </is>
      </c>
      <c r="AC120" t="inlineStr">
        <is>
          <t>No</t>
        </is>
      </c>
      <c r="AD120" t="inlineStr">
        <is>
          <t>To be refurbished.</t>
        </is>
      </c>
      <c r="AI120" t="inlineStr">
        <is>
          <t>Void</t>
        </is>
      </c>
    </row>
    <row r="121">
      <c r="A121" t="inlineStr">
        <is>
          <t xml:space="preserve">  Office</t>
        </is>
      </c>
      <c r="B121" t="inlineStr">
        <is>
          <t>CM</t>
        </is>
      </c>
      <c r="C121" t="inlineStr">
        <is>
          <t>MEL</t>
        </is>
      </c>
      <c r="D121" t="n">
        <v>550830</v>
      </c>
      <c r="E121" t="inlineStr">
        <is>
          <t>42-48 Great Portland Street</t>
        </is>
      </c>
      <c r="F121" t="inlineStr">
        <is>
          <t>Fourth Floor</t>
        </is>
      </c>
      <c r="G121" t="inlineStr">
        <is>
          <t>Office</t>
        </is>
      </c>
      <c r="H121" t="n">
        <v>1480</v>
      </c>
      <c r="I121">
        <f>I87</f>
        <v/>
      </c>
      <c r="J121" t="n">
        <v>1500</v>
      </c>
      <c r="K121" t="inlineStr">
        <is>
          <t>Vacant</t>
        </is>
      </c>
      <c r="N121" s="869" t="n">
        <v>44409</v>
      </c>
      <c r="Q121" t="n">
        <v>0</v>
      </c>
      <c r="R121">
        <f>R87</f>
        <v/>
      </c>
      <c r="T121" t="n">
        <v>79800</v>
      </c>
      <c r="U121">
        <f>U87</f>
        <v/>
      </c>
      <c r="V121" t="n">
        <v>96200</v>
      </c>
      <c r="W121">
        <f>W87</f>
        <v/>
      </c>
      <c r="X121">
        <f>W87/I87</f>
        <v/>
      </c>
      <c r="Y121">
        <f>SUM(W87-U87)/U87</f>
        <v/>
      </c>
      <c r="Z121" t="inlineStr">
        <is>
          <t>E</t>
        </is>
      </c>
      <c r="AC121" t="inlineStr">
        <is>
          <t>No</t>
        </is>
      </c>
      <c r="AD121" t="inlineStr">
        <is>
          <t>To be refurbished.</t>
        </is>
      </c>
      <c r="AI121" t="inlineStr">
        <is>
          <t>Void</t>
        </is>
      </c>
    </row>
    <row r="122">
      <c r="A122" t="inlineStr">
        <is>
          <t xml:space="preserve">  Office</t>
        </is>
      </c>
      <c r="B122" t="inlineStr">
        <is>
          <t>CM</t>
        </is>
      </c>
      <c r="C122" t="inlineStr">
        <is>
          <t>MEL</t>
        </is>
      </c>
      <c r="D122" t="n">
        <v>550830</v>
      </c>
      <c r="E122" t="inlineStr">
        <is>
          <t>42-48 Great Portland Street</t>
        </is>
      </c>
      <c r="F122" t="inlineStr">
        <is>
          <t>Fifth Floor</t>
        </is>
      </c>
      <c r="G122" t="inlineStr">
        <is>
          <t>Office</t>
        </is>
      </c>
      <c r="H122" t="n">
        <v>784</v>
      </c>
      <c r="I122">
        <f>I88</f>
        <v/>
      </c>
      <c r="J122" t="n">
        <v>750</v>
      </c>
      <c r="K122" t="inlineStr">
        <is>
          <t>Vacant</t>
        </is>
      </c>
      <c r="N122" s="869" t="n">
        <v>44734</v>
      </c>
      <c r="Q122" t="n">
        <v>0</v>
      </c>
      <c r="R122">
        <f>R88</f>
        <v/>
      </c>
      <c r="T122" t="n">
        <v>39030</v>
      </c>
      <c r="U122">
        <f>U88</f>
        <v/>
      </c>
      <c r="V122" t="n">
        <v>49000</v>
      </c>
      <c r="W122">
        <f>W88</f>
        <v/>
      </c>
      <c r="X122">
        <f>W88/I88</f>
        <v/>
      </c>
      <c r="Y122">
        <f>SUM(W88-U88)/U88</f>
        <v/>
      </c>
      <c r="Z122" t="inlineStr">
        <is>
          <t>D</t>
        </is>
      </c>
      <c r="AC122" t="inlineStr">
        <is>
          <t>No</t>
        </is>
      </c>
      <c r="AD122" t="inlineStr">
        <is>
          <t>To be refurbished.</t>
        </is>
      </c>
      <c r="AI122" t="inlineStr">
        <is>
          <t>Void</t>
        </is>
      </c>
    </row>
    <row r="123"/>
    <row r="124">
      <c r="A124" s="868" t="inlineStr">
        <is>
          <t>45-49 Great Portland Street</t>
        </is>
      </c>
    </row>
    <row r="125">
      <c r="A125" t="inlineStr">
        <is>
          <t xml:space="preserve">  Showroom</t>
        </is>
      </c>
      <c r="B125" t="inlineStr">
        <is>
          <t>SH</t>
        </is>
      </c>
      <c r="C125" t="inlineStr">
        <is>
          <t>MEL</t>
        </is>
      </c>
      <c r="D125" t="n">
        <v>550600</v>
      </c>
      <c r="E125" t="inlineStr">
        <is>
          <t>45-49 Great Portland Street</t>
        </is>
      </c>
      <c r="F125" t="inlineStr">
        <is>
          <t>Ground Floor &amp; Basement (North)</t>
        </is>
      </c>
      <c r="G125" t="inlineStr">
        <is>
          <t>Showroom</t>
        </is>
      </c>
      <c r="H125" t="n">
        <v>1449</v>
      </c>
      <c r="I125">
        <f>I89</f>
        <v/>
      </c>
      <c r="J125" t="n">
        <v>1500</v>
      </c>
      <c r="K125" t="inlineStr">
        <is>
          <t>Straight Forward Retail Ltd.</t>
        </is>
      </c>
      <c r="L125" s="869" t="n">
        <v>45624</v>
      </c>
      <c r="M125" s="869" t="n">
        <v>49275</v>
      </c>
      <c r="Q125" t="n">
        <v>70000</v>
      </c>
      <c r="R125">
        <f>R89</f>
        <v/>
      </c>
      <c r="T125" t="n">
        <v>76500</v>
      </c>
      <c r="U125">
        <f>U89</f>
        <v/>
      </c>
      <c r="V125" t="n">
        <v>76800</v>
      </c>
      <c r="W125">
        <f>W89</f>
        <v/>
      </c>
      <c r="X125">
        <f>W89/I89</f>
        <v/>
      </c>
      <c r="Y125">
        <f>SUM(W89-U89)/U89</f>
        <v/>
      </c>
      <c r="Z125" t="inlineStr">
        <is>
          <t>C</t>
        </is>
      </c>
      <c r="AC125" t="inlineStr">
        <is>
          <t>No</t>
        </is>
      </c>
      <c r="AD125" t="inlineStr">
        <is>
          <t>Rent increasing to £73,000 @ 28/11/27, £77,500 @ 28/11/30. Landlord break 27/11/27 on 6 months notice.</t>
        </is>
      </c>
      <c r="AI125" t="inlineStr">
        <is>
          <t>Let</t>
        </is>
      </c>
    </row>
    <row r="126">
      <c r="A126" t="inlineStr">
        <is>
          <t xml:space="preserve">  A1/D1</t>
        </is>
      </c>
      <c r="B126" t="inlineStr">
        <is>
          <t>SH</t>
        </is>
      </c>
      <c r="C126" t="inlineStr">
        <is>
          <t>MEL</t>
        </is>
      </c>
      <c r="D126" t="n">
        <v>550600</v>
      </c>
      <c r="E126" t="inlineStr">
        <is>
          <t>45-49 Great Portland Street</t>
        </is>
      </c>
      <c r="F126" t="inlineStr">
        <is>
          <t>Ground Floor &amp; Basement (South</t>
        </is>
      </c>
      <c r="G126" t="inlineStr">
        <is>
          <t>A1/D1</t>
        </is>
      </c>
      <c r="H126" t="n">
        <v>1550</v>
      </c>
      <c r="I126">
        <f>I90</f>
        <v/>
      </c>
      <c r="J126" t="n">
        <v>1500</v>
      </c>
      <c r="K126" t="inlineStr">
        <is>
          <t>Reviv Global Ltd</t>
        </is>
      </c>
      <c r="L126" s="869" t="n">
        <v>43293</v>
      </c>
      <c r="M126" s="869" t="n">
        <v>46214</v>
      </c>
      <c r="Q126" t="n">
        <v>120000</v>
      </c>
      <c r="R126">
        <f>R90</f>
        <v/>
      </c>
      <c r="T126" t="n">
        <v>81000</v>
      </c>
      <c r="U126">
        <f>U90</f>
        <v/>
      </c>
      <c r="V126" t="n">
        <v>97300</v>
      </c>
      <c r="W126">
        <f>W90</f>
        <v/>
      </c>
      <c r="X126">
        <f>W90/I90</f>
        <v/>
      </c>
      <c r="Y126">
        <f>SUM(W90-U90)/U90</f>
        <v/>
      </c>
      <c r="Z126" t="inlineStr">
        <is>
          <t>C</t>
        </is>
      </c>
      <c r="AC126" t="inlineStr">
        <is>
          <t>No</t>
        </is>
      </c>
      <c r="AI126" t="inlineStr">
        <is>
          <t>Let</t>
        </is>
      </c>
    </row>
    <row r="127">
      <c r="A127" t="inlineStr">
        <is>
          <t xml:space="preserve">  Office</t>
        </is>
      </c>
      <c r="B127" t="inlineStr">
        <is>
          <t>SH</t>
        </is>
      </c>
      <c r="C127" t="inlineStr">
        <is>
          <t>MEL</t>
        </is>
      </c>
      <c r="D127" t="n">
        <v>550600</v>
      </c>
      <c r="E127" t="inlineStr">
        <is>
          <t>45-49 Great Portland Street</t>
        </is>
      </c>
      <c r="F127" t="inlineStr">
        <is>
          <t>First, Second &amp; Third Floors</t>
        </is>
      </c>
      <c r="G127" t="inlineStr">
        <is>
          <t>Office</t>
        </is>
      </c>
      <c r="H127" t="n">
        <v>3441</v>
      </c>
      <c r="I127">
        <f>I91</f>
        <v/>
      </c>
      <c r="J127" t="n">
        <v>3500</v>
      </c>
      <c r="K127" t="inlineStr">
        <is>
          <t>DMR Film Ventures (Facilities) Ltd.</t>
        </is>
      </c>
      <c r="L127" s="869" t="n">
        <v>44358</v>
      </c>
      <c r="M127" s="869" t="n">
        <v>48009</v>
      </c>
      <c r="O127" s="869" t="n">
        <v>46184</v>
      </c>
      <c r="P127" s="869" t="n">
        <v>46183</v>
      </c>
      <c r="Q127" t="n">
        <v>189000</v>
      </c>
      <c r="R127">
        <f>R91</f>
        <v/>
      </c>
      <c r="T127" t="n">
        <v>189300</v>
      </c>
      <c r="U127">
        <f>U91</f>
        <v/>
      </c>
      <c r="V127" t="n">
        <v>189300</v>
      </c>
      <c r="W127">
        <f>W91</f>
        <v/>
      </c>
      <c r="X127">
        <f>W91/I91</f>
        <v/>
      </c>
      <c r="Y127">
        <f>SUM(W91-U91)/U91</f>
        <v/>
      </c>
      <c r="Z127" t="inlineStr">
        <is>
          <t>E</t>
        </is>
      </c>
      <c r="AC127" t="inlineStr">
        <is>
          <t>No</t>
        </is>
      </c>
      <c r="AD127" t="inlineStr">
        <is>
          <t>Tenant break on 6 months notice. 6 months rent free if not exercised.</t>
        </is>
      </c>
      <c r="AI127" t="inlineStr">
        <is>
          <t>Let</t>
        </is>
      </c>
    </row>
    <row r="128"/>
    <row r="129">
      <c r="A129" s="868" t="inlineStr">
        <is>
          <t>50 Great Portland Street</t>
        </is>
      </c>
    </row>
    <row r="130">
      <c r="A130" t="inlineStr">
        <is>
          <t xml:space="preserve">  Retail</t>
        </is>
      </c>
      <c r="B130" t="inlineStr">
        <is>
          <t>CD</t>
        </is>
      </c>
      <c r="C130" t="inlineStr">
        <is>
          <t>MEL</t>
        </is>
      </c>
      <c r="D130" t="n">
        <v>550990</v>
      </c>
      <c r="E130" t="inlineStr">
        <is>
          <t>50 Great Portland Street</t>
        </is>
      </c>
      <c r="F130" t="inlineStr">
        <is>
          <t>Ground Floor &amp; Basement</t>
        </is>
      </c>
      <c r="G130" t="inlineStr">
        <is>
          <t>Retail</t>
        </is>
      </c>
      <c r="H130" t="n">
        <v>1361</v>
      </c>
      <c r="I130">
        <f>I92</f>
        <v/>
      </c>
      <c r="K130" t="inlineStr">
        <is>
          <t>Beautify LDN Ltd.</t>
        </is>
      </c>
      <c r="L130" s="869" t="n">
        <v>45352</v>
      </c>
      <c r="M130" s="869" t="n">
        <v>49003</v>
      </c>
      <c r="O130" s="869" t="n">
        <v>47178</v>
      </c>
      <c r="P130" s="869" t="n">
        <v>47177</v>
      </c>
      <c r="Q130" t="n">
        <v>60000</v>
      </c>
      <c r="R130">
        <f>R92</f>
        <v/>
      </c>
      <c r="T130" t="n">
        <v>55600</v>
      </c>
      <c r="U130">
        <f>U92</f>
        <v/>
      </c>
      <c r="V130" t="n">
        <v>59000</v>
      </c>
      <c r="W130">
        <f>W92</f>
        <v/>
      </c>
      <c r="X130">
        <f>W92/I92</f>
        <v/>
      </c>
      <c r="Y130">
        <f>SUM(W92-U92)/U92</f>
        <v/>
      </c>
      <c r="Z130" t="inlineStr">
        <is>
          <t>B</t>
        </is>
      </c>
      <c r="AC130" t="inlineStr">
        <is>
          <t>No</t>
        </is>
      </c>
      <c r="AD130" t="inlineStr">
        <is>
          <t>Mutual break 28/02/29 on 6 months notice. 3 months rent free if break not exercised.</t>
        </is>
      </c>
      <c r="AI130" t="inlineStr">
        <is>
          <t>Let</t>
        </is>
      </c>
    </row>
    <row r="131">
      <c r="A131" t="inlineStr">
        <is>
          <t xml:space="preserve">  Office</t>
        </is>
      </c>
      <c r="B131" t="inlineStr">
        <is>
          <t>CD</t>
        </is>
      </c>
      <c r="C131" t="inlineStr">
        <is>
          <t>MEL</t>
        </is>
      </c>
      <c r="D131" t="n">
        <v>550990</v>
      </c>
      <c r="E131" t="inlineStr">
        <is>
          <t>50 Great Portland Street</t>
        </is>
      </c>
      <c r="F131" t="inlineStr">
        <is>
          <t>First Floor</t>
        </is>
      </c>
      <c r="G131" t="inlineStr">
        <is>
          <t>Office</t>
        </is>
      </c>
      <c r="H131" t="n">
        <v>552</v>
      </c>
      <c r="I131">
        <f>I93</f>
        <v/>
      </c>
      <c r="K131" t="inlineStr">
        <is>
          <t>Fresh Film Productions Ltd.</t>
        </is>
      </c>
      <c r="L131" s="869" t="n">
        <v>45579</v>
      </c>
      <c r="M131" s="869" t="n">
        <v>47404</v>
      </c>
      <c r="P131" s="869" t="n">
        <v>46673</v>
      </c>
      <c r="Q131" t="n">
        <v>33000</v>
      </c>
      <c r="R131">
        <f>R93</f>
        <v/>
      </c>
      <c r="T131" t="n">
        <v>29700</v>
      </c>
      <c r="U131">
        <f>U93</f>
        <v/>
      </c>
      <c r="V131" t="n">
        <v>30400</v>
      </c>
      <c r="W131">
        <f>W93</f>
        <v/>
      </c>
      <c r="X131">
        <f>W93/I93</f>
        <v/>
      </c>
      <c r="Y131">
        <f>SUM(W93-U93)/U93</f>
        <v/>
      </c>
      <c r="Z131" t="inlineStr">
        <is>
          <t>D</t>
        </is>
      </c>
      <c r="AC131" t="inlineStr">
        <is>
          <t>No</t>
        </is>
      </c>
      <c r="AD131" t="inlineStr">
        <is>
          <t>Tenant break on 6 months notice.</t>
        </is>
      </c>
      <c r="AI131" t="inlineStr">
        <is>
          <t>Let</t>
        </is>
      </c>
    </row>
    <row r="132">
      <c r="A132" t="inlineStr">
        <is>
          <t xml:space="preserve">  Office</t>
        </is>
      </c>
      <c r="B132" t="inlineStr">
        <is>
          <t>CD</t>
        </is>
      </c>
      <c r="C132" t="inlineStr">
        <is>
          <t>MEL</t>
        </is>
      </c>
      <c r="D132" t="n">
        <v>550990</v>
      </c>
      <c r="E132" t="inlineStr">
        <is>
          <t>50 Great Portland Street</t>
        </is>
      </c>
      <c r="F132" t="inlineStr">
        <is>
          <t>Second Floor</t>
        </is>
      </c>
      <c r="G132" t="inlineStr">
        <is>
          <t>Office</t>
        </is>
      </c>
      <c r="H132" t="n">
        <v>304</v>
      </c>
      <c r="I132">
        <f>I94</f>
        <v/>
      </c>
      <c r="J132" t="n">
        <v>250</v>
      </c>
      <c r="K132" t="inlineStr">
        <is>
          <t>Vacant</t>
        </is>
      </c>
      <c r="N132" s="869" t="n">
        <v>43256</v>
      </c>
      <c r="Q132" t="n">
        <v>0</v>
      </c>
      <c r="R132">
        <f>R94</f>
        <v/>
      </c>
      <c r="T132" t="n">
        <v>15800</v>
      </c>
      <c r="U132">
        <f>U94</f>
        <v/>
      </c>
      <c r="V132" t="n">
        <v>16700</v>
      </c>
      <c r="W132">
        <f>W94</f>
        <v/>
      </c>
      <c r="X132">
        <f>W94/I94</f>
        <v/>
      </c>
      <c r="Y132">
        <f>SUM(W94-U94)/U94</f>
        <v/>
      </c>
      <c r="Z132" t="inlineStr">
        <is>
          <t>D</t>
        </is>
      </c>
      <c r="AC132" t="inlineStr">
        <is>
          <t>No</t>
        </is>
      </c>
      <c r="AD132" t="inlineStr">
        <is>
          <t>To be refurbished.</t>
        </is>
      </c>
      <c r="AI132" t="inlineStr">
        <is>
          <t>Void</t>
        </is>
      </c>
    </row>
    <row r="133">
      <c r="A133" t="inlineStr">
        <is>
          <t xml:space="preserve">  Office</t>
        </is>
      </c>
      <c r="B133" t="inlineStr">
        <is>
          <t>CD</t>
        </is>
      </c>
      <c r="C133" t="inlineStr">
        <is>
          <t>MEL</t>
        </is>
      </c>
      <c r="D133" t="n">
        <v>550990</v>
      </c>
      <c r="E133" t="inlineStr">
        <is>
          <t>50 Great Portland Street</t>
        </is>
      </c>
      <c r="F133" t="inlineStr">
        <is>
          <t>Third Floor</t>
        </is>
      </c>
      <c r="G133" t="inlineStr">
        <is>
          <t>Office</t>
        </is>
      </c>
      <c r="H133" t="n">
        <v>314</v>
      </c>
      <c r="I133">
        <f>I95</f>
        <v/>
      </c>
      <c r="K133" t="inlineStr">
        <is>
          <t>Therapy Central LLP</t>
        </is>
      </c>
      <c r="L133" s="869" t="n">
        <v>45476</v>
      </c>
      <c r="M133" s="869" t="n">
        <v>47301</v>
      </c>
      <c r="P133" s="869" t="n">
        <v>46570</v>
      </c>
      <c r="Q133" t="n">
        <v>17500</v>
      </c>
      <c r="R133">
        <f>R95</f>
        <v/>
      </c>
      <c r="T133" t="n">
        <v>15000</v>
      </c>
      <c r="U133">
        <f>U95</f>
        <v/>
      </c>
      <c r="V133" t="n">
        <v>18100</v>
      </c>
      <c r="W133">
        <f>W95</f>
        <v/>
      </c>
      <c r="X133">
        <f>W95/I95</f>
        <v/>
      </c>
      <c r="Y133">
        <f>SUM(W95-U95)/U95</f>
        <v/>
      </c>
      <c r="Z133" t="inlineStr">
        <is>
          <t>C</t>
        </is>
      </c>
      <c r="AC133" t="inlineStr">
        <is>
          <t>No</t>
        </is>
      </c>
      <c r="AD133" t="inlineStr">
        <is>
          <t>Tenant break on 4 months notice.</t>
        </is>
      </c>
      <c r="AI133" t="inlineStr">
        <is>
          <t>Let</t>
        </is>
      </c>
    </row>
    <row r="134">
      <c r="A134" t="inlineStr">
        <is>
          <t xml:space="preserve">  Office</t>
        </is>
      </c>
      <c r="B134" t="inlineStr">
        <is>
          <t>CD</t>
        </is>
      </c>
      <c r="C134" t="inlineStr">
        <is>
          <t>MEL</t>
        </is>
      </c>
      <c r="D134" t="n">
        <v>550990</v>
      </c>
      <c r="E134" t="inlineStr">
        <is>
          <t>50 Great Portland Street</t>
        </is>
      </c>
      <c r="F134" t="inlineStr">
        <is>
          <t>Fourth Floor</t>
        </is>
      </c>
      <c r="G134" t="inlineStr">
        <is>
          <t>Office</t>
        </is>
      </c>
      <c r="H134" t="n">
        <v>314</v>
      </c>
      <c r="I134">
        <f>I96</f>
        <v/>
      </c>
      <c r="K134" t="inlineStr">
        <is>
          <t>James Boatman</t>
        </is>
      </c>
      <c r="L134" s="869" t="n">
        <v>45754</v>
      </c>
      <c r="M134" s="869" t="n">
        <v>46849</v>
      </c>
      <c r="Q134" t="n">
        <v>17500</v>
      </c>
      <c r="R134">
        <f>R96</f>
        <v/>
      </c>
      <c r="T134" t="n">
        <v>15500</v>
      </c>
      <c r="U134">
        <f>U96</f>
        <v/>
      </c>
      <c r="V134" t="n">
        <v>17300</v>
      </c>
      <c r="W134">
        <f>W96</f>
        <v/>
      </c>
      <c r="X134">
        <f>W96/I96</f>
        <v/>
      </c>
      <c r="Y134">
        <f>SUM(W96-U96)/U96</f>
        <v/>
      </c>
      <c r="Z134" t="inlineStr">
        <is>
          <t>C</t>
        </is>
      </c>
      <c r="AC134" t="inlineStr">
        <is>
          <t>No</t>
        </is>
      </c>
      <c r="AI134" t="inlineStr">
        <is>
          <t>Let</t>
        </is>
      </c>
    </row>
    <row r="135">
      <c r="A135" t="inlineStr">
        <is>
          <t xml:space="preserve">  Office</t>
        </is>
      </c>
      <c r="B135" t="inlineStr">
        <is>
          <t>CD</t>
        </is>
      </c>
      <c r="C135" t="inlineStr">
        <is>
          <t>MEL</t>
        </is>
      </c>
      <c r="D135" t="n">
        <v>550990</v>
      </c>
      <c r="E135" t="inlineStr">
        <is>
          <t>50 Great Portland Street</t>
        </is>
      </c>
      <c r="F135" t="inlineStr">
        <is>
          <t>Fifth Floor</t>
        </is>
      </c>
      <c r="G135" t="inlineStr">
        <is>
          <t>Office</t>
        </is>
      </c>
      <c r="H135" t="n">
        <v>309</v>
      </c>
      <c r="I135">
        <f>I97</f>
        <v/>
      </c>
      <c r="K135" t="inlineStr">
        <is>
          <t>OpenStudio Architects Ltd.</t>
        </is>
      </c>
      <c r="L135" s="869" t="n">
        <v>44767</v>
      </c>
      <c r="M135" s="869" t="n">
        <v>45862</v>
      </c>
      <c r="Q135" t="n">
        <v>16000</v>
      </c>
      <c r="R135">
        <f>R97</f>
        <v/>
      </c>
      <c r="T135" t="n">
        <v>15000</v>
      </c>
      <c r="U135">
        <f>U97</f>
        <v/>
      </c>
      <c r="V135" t="n">
        <v>15500</v>
      </c>
      <c r="W135">
        <f>W97</f>
        <v/>
      </c>
      <c r="X135">
        <f>W97/I97</f>
        <v/>
      </c>
      <c r="Y135">
        <f>SUM(W97-U97)/U97</f>
        <v/>
      </c>
      <c r="Z135" t="inlineStr">
        <is>
          <t>C</t>
        </is>
      </c>
      <c r="AC135" t="inlineStr">
        <is>
          <t>No</t>
        </is>
      </c>
      <c r="AD135" t="inlineStr">
        <is>
          <t>Lease renewal terms agreed.</t>
        </is>
      </c>
      <c r="AI135" t="inlineStr">
        <is>
          <t>Let</t>
        </is>
      </c>
    </row>
    <row r="136"/>
    <row r="137">
      <c r="A137" s="868" t="inlineStr">
        <is>
          <t>51 Great Portland Street</t>
        </is>
      </c>
    </row>
    <row r="138">
      <c r="A138" t="inlineStr">
        <is>
          <t xml:space="preserve">  Retail</t>
        </is>
      </c>
      <c r="B138" t="inlineStr">
        <is>
          <t>WS</t>
        </is>
      </c>
      <c r="C138" t="inlineStr">
        <is>
          <t>MEL</t>
        </is>
      </c>
      <c r="D138" t="n">
        <v>550700</v>
      </c>
      <c r="E138" t="inlineStr">
        <is>
          <t>51 Great Portland Street</t>
        </is>
      </c>
      <c r="F138" t="inlineStr">
        <is>
          <t>Ground Floor &amp; Basement</t>
        </is>
      </c>
      <c r="G138" t="inlineStr">
        <is>
          <t>Retail</t>
        </is>
      </c>
      <c r="H138" t="n">
        <v>750</v>
      </c>
      <c r="I138">
        <f>I98</f>
        <v/>
      </c>
      <c r="K138" t="inlineStr">
        <is>
          <t>Bernardo Vasconcelos Ltd</t>
        </is>
      </c>
      <c r="L138" s="869" t="n">
        <v>45377</v>
      </c>
      <c r="M138" s="869" t="n">
        <v>49028</v>
      </c>
      <c r="O138" s="869" t="n">
        <v>47203</v>
      </c>
      <c r="Q138" t="n">
        <v>45000</v>
      </c>
      <c r="R138">
        <f>R98</f>
        <v/>
      </c>
      <c r="T138" t="n">
        <v>39000</v>
      </c>
      <c r="U138">
        <f>U98</f>
        <v/>
      </c>
      <c r="V138" t="n">
        <v>39000</v>
      </c>
      <c r="W138">
        <f>W98</f>
        <v/>
      </c>
      <c r="X138">
        <f>W98/I98</f>
        <v/>
      </c>
      <c r="Y138">
        <f>SUM(W98-U98)/U98</f>
        <v/>
      </c>
      <c r="Z138" t="inlineStr">
        <is>
          <t>D</t>
        </is>
      </c>
      <c r="AC138" t="inlineStr">
        <is>
          <t>No</t>
        </is>
      </c>
      <c r="AI138" t="inlineStr">
        <is>
          <t>Let</t>
        </is>
      </c>
    </row>
    <row r="139">
      <c r="A139" t="inlineStr">
        <is>
          <t xml:space="preserve">  Office</t>
        </is>
      </c>
      <c r="B139" t="inlineStr">
        <is>
          <t>WS</t>
        </is>
      </c>
      <c r="C139" t="inlineStr">
        <is>
          <t>MEL</t>
        </is>
      </c>
      <c r="D139" t="n">
        <v>550700</v>
      </c>
      <c r="E139" t="inlineStr">
        <is>
          <t>51 Great Portland Street</t>
        </is>
      </c>
      <c r="F139" t="inlineStr">
        <is>
          <t>First Floor</t>
        </is>
      </c>
      <c r="G139" t="inlineStr">
        <is>
          <t>Office</t>
        </is>
      </c>
      <c r="H139" t="n">
        <v>325</v>
      </c>
      <c r="I139">
        <f>I99</f>
        <v/>
      </c>
      <c r="J139" t="n">
        <v>500</v>
      </c>
      <c r="K139" t="inlineStr">
        <is>
          <t>Vacant</t>
        </is>
      </c>
      <c r="N139" s="869" t="n">
        <v>45282</v>
      </c>
      <c r="Q139" t="n">
        <v>0</v>
      </c>
      <c r="R139">
        <f>R99</f>
        <v/>
      </c>
      <c r="T139" t="n">
        <v>17100</v>
      </c>
      <c r="U139">
        <f>U99</f>
        <v/>
      </c>
      <c r="V139" t="n">
        <v>17100</v>
      </c>
      <c r="W139">
        <f>W99</f>
        <v/>
      </c>
      <c r="X139">
        <f>W99/I99</f>
        <v/>
      </c>
      <c r="Y139">
        <f>SUM(W99-U99)/U99</f>
        <v/>
      </c>
      <c r="Z139" t="inlineStr">
        <is>
          <t>E</t>
        </is>
      </c>
      <c r="AC139" t="inlineStr">
        <is>
          <t>No</t>
        </is>
      </c>
      <c r="AD139" t="inlineStr">
        <is>
          <t>To be refurbished.</t>
        </is>
      </c>
      <c r="AE139" t="n">
        <v>58</v>
      </c>
      <c r="AG139" t="n">
        <v>4</v>
      </c>
      <c r="AI139" t="inlineStr">
        <is>
          <t>Void</t>
        </is>
      </c>
    </row>
    <row r="140">
      <c r="A140" t="inlineStr">
        <is>
          <t xml:space="preserve">  Office</t>
        </is>
      </c>
      <c r="B140" t="inlineStr">
        <is>
          <t>WS</t>
        </is>
      </c>
      <c r="C140" t="inlineStr">
        <is>
          <t>MEL</t>
        </is>
      </c>
      <c r="D140" t="n">
        <v>550700</v>
      </c>
      <c r="E140" t="inlineStr">
        <is>
          <t>51 Great Portland Street</t>
        </is>
      </c>
      <c r="F140" t="inlineStr">
        <is>
          <t>Second Floor</t>
        </is>
      </c>
      <c r="G140" t="inlineStr">
        <is>
          <t>Office</t>
        </is>
      </c>
      <c r="H140" t="n">
        <v>325</v>
      </c>
      <c r="I140">
        <f>I100</f>
        <v/>
      </c>
      <c r="J140" t="n">
        <v>500</v>
      </c>
      <c r="K140" t="inlineStr">
        <is>
          <t>Learn Lab Language School Ltd</t>
        </is>
      </c>
      <c r="L140" s="869" t="n">
        <v>45698</v>
      </c>
      <c r="M140" s="869" t="n">
        <v>46427</v>
      </c>
      <c r="Q140" t="n">
        <v>22069</v>
      </c>
      <c r="R140">
        <f>R100</f>
        <v/>
      </c>
      <c r="T140" t="n">
        <v>17100</v>
      </c>
      <c r="U140">
        <f>U100</f>
        <v/>
      </c>
      <c r="V140" t="n">
        <v>17100</v>
      </c>
      <c r="W140">
        <f>W100</f>
        <v/>
      </c>
      <c r="X140">
        <f>W100/I100</f>
        <v/>
      </c>
      <c r="Y140">
        <f>SUM(W100-U100)/U100</f>
        <v/>
      </c>
      <c r="Z140" t="inlineStr">
        <is>
          <t>D</t>
        </is>
      </c>
      <c r="AC140" t="inlineStr">
        <is>
          <t>No</t>
        </is>
      </c>
      <c r="AD140" t="inlineStr">
        <is>
          <t>Rent all inclusive (excl rates).</t>
        </is>
      </c>
      <c r="AG140" t="n">
        <v>1</v>
      </c>
      <c r="AI140" t="inlineStr">
        <is>
          <t>Let</t>
        </is>
      </c>
    </row>
    <row r="141">
      <c r="A141" t="inlineStr">
        <is>
          <t xml:space="preserve">  Office</t>
        </is>
      </c>
      <c r="B141" t="inlineStr">
        <is>
          <t>WS</t>
        </is>
      </c>
      <c r="C141" t="inlineStr">
        <is>
          <t>MEL</t>
        </is>
      </c>
      <c r="D141" t="n">
        <v>550700</v>
      </c>
      <c r="E141" t="inlineStr">
        <is>
          <t>51 Great Portland Street</t>
        </is>
      </c>
      <c r="F141" t="inlineStr">
        <is>
          <t>Third Floor</t>
        </is>
      </c>
      <c r="G141" t="inlineStr">
        <is>
          <t>Office</t>
        </is>
      </c>
      <c r="H141" t="n">
        <v>325</v>
      </c>
      <c r="I141">
        <f>I101</f>
        <v/>
      </c>
      <c r="J141" t="n">
        <v>500</v>
      </c>
      <c r="K141" t="inlineStr">
        <is>
          <t>Vacant</t>
        </is>
      </c>
      <c r="N141" s="869" t="n">
        <v>44714</v>
      </c>
      <c r="Q141" t="n">
        <v>0</v>
      </c>
      <c r="R141">
        <f>R101</f>
        <v/>
      </c>
      <c r="T141" t="n">
        <v>16300</v>
      </c>
      <c r="U141">
        <f>U101</f>
        <v/>
      </c>
      <c r="V141" t="n">
        <v>16300</v>
      </c>
      <c r="W141">
        <f>W101</f>
        <v/>
      </c>
      <c r="X141">
        <f>W101/I101</f>
        <v/>
      </c>
      <c r="Y141">
        <f>SUM(W101-U101)/U101</f>
        <v/>
      </c>
      <c r="Z141" t="inlineStr">
        <is>
          <t>C</t>
        </is>
      </c>
      <c r="AC141" t="inlineStr">
        <is>
          <t>No</t>
        </is>
      </c>
      <c r="AD141" t="inlineStr">
        <is>
          <t>To be refurbished.</t>
        </is>
      </c>
      <c r="AE141" t="n">
        <v>52.5</v>
      </c>
      <c r="AI141" t="inlineStr">
        <is>
          <t>Void</t>
        </is>
      </c>
    </row>
    <row r="142"/>
    <row r="143">
      <c r="A143" s="868" t="inlineStr">
        <is>
          <t>53 Great Portland Street</t>
        </is>
      </c>
    </row>
    <row r="144">
      <c r="A144" t="inlineStr">
        <is>
          <t xml:space="preserve">  Café</t>
        </is>
      </c>
      <c r="B144" t="inlineStr">
        <is>
          <t>WS</t>
        </is>
      </c>
      <c r="C144" t="inlineStr">
        <is>
          <t>MEL</t>
        </is>
      </c>
      <c r="D144" t="n">
        <v>550710</v>
      </c>
      <c r="E144" t="inlineStr">
        <is>
          <t>53 Great Portland Street</t>
        </is>
      </c>
      <c r="F144" t="inlineStr">
        <is>
          <t>Ground Floor &amp; Basement</t>
        </is>
      </c>
      <c r="G144" t="inlineStr">
        <is>
          <t>Café</t>
        </is>
      </c>
      <c r="H144" t="n">
        <v>807</v>
      </c>
      <c r="I144">
        <f>I102</f>
        <v/>
      </c>
      <c r="J144" t="n">
        <v>1000</v>
      </c>
      <c r="K144" t="inlineStr">
        <is>
          <t>O-Chaa Thai Ltd.</t>
        </is>
      </c>
      <c r="L144" s="869" t="n">
        <v>42179</v>
      </c>
      <c r="M144" s="869" t="n">
        <v>45831</v>
      </c>
      <c r="Q144" t="n">
        <v>34320</v>
      </c>
      <c r="R144">
        <f>R102</f>
        <v/>
      </c>
      <c r="T144" t="n">
        <v>34320</v>
      </c>
      <c r="U144">
        <f>U102</f>
        <v/>
      </c>
      <c r="V144" t="n">
        <v>34481</v>
      </c>
      <c r="W144">
        <f>W102</f>
        <v/>
      </c>
      <c r="X144">
        <f>W102/I102</f>
        <v/>
      </c>
      <c r="Y144">
        <f>SUM(W102-U102)/U102</f>
        <v/>
      </c>
      <c r="Z144" t="inlineStr">
        <is>
          <t>E</t>
        </is>
      </c>
      <c r="AC144" t="inlineStr">
        <is>
          <t>No</t>
        </is>
      </c>
      <c r="AD144" t="inlineStr">
        <is>
          <t>Lease renewal terms being discussed.</t>
        </is>
      </c>
      <c r="AI144" t="inlineStr">
        <is>
          <t>Let</t>
        </is>
      </c>
    </row>
    <row r="145">
      <c r="A145" t="inlineStr">
        <is>
          <t xml:space="preserve">  Kiosk</t>
        </is>
      </c>
      <c r="B145" t="inlineStr">
        <is>
          <t>WS</t>
        </is>
      </c>
      <c r="C145" t="inlineStr">
        <is>
          <t>MEL</t>
        </is>
      </c>
      <c r="D145" t="n">
        <v>550710</v>
      </c>
      <c r="E145" t="inlineStr">
        <is>
          <t>53 Great Portland Street</t>
        </is>
      </c>
      <c r="F145" t="inlineStr">
        <is>
          <t>Ground Floor</t>
        </is>
      </c>
      <c r="G145" t="inlineStr">
        <is>
          <t>Kiosk</t>
        </is>
      </c>
      <c r="H145" t="n">
        <v>60</v>
      </c>
      <c r="I145">
        <f>I103</f>
        <v/>
      </c>
      <c r="K145" t="inlineStr">
        <is>
          <t>J C Patel</t>
        </is>
      </c>
      <c r="L145" s="869" t="n">
        <v>44075</v>
      </c>
      <c r="M145" s="869" t="n">
        <v>45900</v>
      </c>
      <c r="Q145" t="n">
        <v>12500</v>
      </c>
      <c r="R145">
        <f>R103</f>
        <v/>
      </c>
      <c r="T145" t="n">
        <v>12000</v>
      </c>
      <c r="U145">
        <f>U103</f>
        <v/>
      </c>
      <c r="V145" t="n">
        <v>12000</v>
      </c>
      <c r="W145">
        <f>W103</f>
        <v/>
      </c>
      <c r="X145">
        <f>W103/I103</f>
        <v/>
      </c>
      <c r="Y145">
        <f>SUM(W103-U103)/U103</f>
        <v/>
      </c>
      <c r="Z145" t="inlineStr">
        <is>
          <t>E</t>
        </is>
      </c>
      <c r="AC145" t="inlineStr">
        <is>
          <t>No</t>
        </is>
      </c>
      <c r="AD145" t="inlineStr">
        <is>
          <t>All Inclusive. Lease renewal being discussed.</t>
        </is>
      </c>
      <c r="AI145" t="inlineStr">
        <is>
          <t>Let</t>
        </is>
      </c>
    </row>
    <row r="146">
      <c r="A146" t="inlineStr">
        <is>
          <t xml:space="preserve">  Office</t>
        </is>
      </c>
      <c r="B146" t="inlineStr">
        <is>
          <t>WS</t>
        </is>
      </c>
      <c r="C146" t="inlineStr">
        <is>
          <t>MEL</t>
        </is>
      </c>
      <c r="D146" t="n">
        <v>550710</v>
      </c>
      <c r="E146" t="inlineStr">
        <is>
          <t>53 Great Portland Street</t>
        </is>
      </c>
      <c r="F146" t="inlineStr">
        <is>
          <t>First Floor</t>
        </is>
      </c>
      <c r="G146" t="inlineStr">
        <is>
          <t>Office</t>
        </is>
      </c>
      <c r="H146" t="n">
        <v>370</v>
      </c>
      <c r="I146">
        <f>I104</f>
        <v/>
      </c>
      <c r="J146" t="n">
        <v>500</v>
      </c>
      <c r="K146" t="inlineStr">
        <is>
          <t>Vacant</t>
        </is>
      </c>
      <c r="N146" s="869" t="n">
        <v>43738</v>
      </c>
      <c r="Q146" t="n">
        <v>0</v>
      </c>
      <c r="R146">
        <f>R104</f>
        <v/>
      </c>
      <c r="T146" t="n">
        <v>18500</v>
      </c>
      <c r="U146">
        <f>U104</f>
        <v/>
      </c>
      <c r="V146" t="n">
        <v>18500</v>
      </c>
      <c r="W146">
        <f>W104</f>
        <v/>
      </c>
      <c r="X146">
        <f>W104/I104</f>
        <v/>
      </c>
      <c r="Y146">
        <f>SUM(W104-U104)/U104</f>
        <v/>
      </c>
      <c r="Z146" t="inlineStr">
        <is>
          <t>E</t>
        </is>
      </c>
      <c r="AC146" t="inlineStr">
        <is>
          <t>No</t>
        </is>
      </c>
      <c r="AD146" t="inlineStr">
        <is>
          <t>To be refurbished.</t>
        </is>
      </c>
      <c r="AE146" t="n">
        <v>52.5</v>
      </c>
      <c r="AF146" t="n">
        <v>1</v>
      </c>
      <c r="AG146" t="n">
        <v>3</v>
      </c>
      <c r="AI146" t="inlineStr">
        <is>
          <t>Void</t>
        </is>
      </c>
    </row>
    <row r="147">
      <c r="A147" t="inlineStr">
        <is>
          <t xml:space="preserve">  Office</t>
        </is>
      </c>
      <c r="B147" t="inlineStr">
        <is>
          <t>WS</t>
        </is>
      </c>
      <c r="C147" t="inlineStr">
        <is>
          <t>MEL</t>
        </is>
      </c>
      <c r="D147" t="n">
        <v>550710</v>
      </c>
      <c r="E147" t="inlineStr">
        <is>
          <t>53 Great Portland Street</t>
        </is>
      </c>
      <c r="F147" t="inlineStr">
        <is>
          <t>Second Floor</t>
        </is>
      </c>
      <c r="G147" t="inlineStr">
        <is>
          <t>Office</t>
        </is>
      </c>
      <c r="H147" t="n">
        <v>325</v>
      </c>
      <c r="I147">
        <f>I105</f>
        <v/>
      </c>
      <c r="J147" t="n">
        <v>500</v>
      </c>
      <c r="K147" t="inlineStr">
        <is>
          <t>Vacant</t>
        </is>
      </c>
      <c r="N147" s="869" t="n">
        <v>45379</v>
      </c>
      <c r="Q147" t="n">
        <v>0</v>
      </c>
      <c r="R147">
        <f>R105</f>
        <v/>
      </c>
      <c r="T147" t="n">
        <v>17000</v>
      </c>
      <c r="U147">
        <f>U105</f>
        <v/>
      </c>
      <c r="V147" t="n">
        <v>17062</v>
      </c>
      <c r="W147">
        <f>W105</f>
        <v/>
      </c>
      <c r="X147">
        <f>W105/I105</f>
        <v/>
      </c>
      <c r="Y147">
        <f>SUM(W105-U105)/U105</f>
        <v/>
      </c>
      <c r="Z147" t="inlineStr">
        <is>
          <t>E</t>
        </is>
      </c>
      <c r="AC147" t="inlineStr">
        <is>
          <t>No</t>
        </is>
      </c>
      <c r="AD147" t="inlineStr">
        <is>
          <t>To be refurbished.</t>
        </is>
      </c>
      <c r="AE147" t="n">
        <v>53</v>
      </c>
      <c r="AI147" t="inlineStr">
        <is>
          <t>Void</t>
        </is>
      </c>
    </row>
    <row r="148">
      <c r="A148" t="inlineStr">
        <is>
          <t xml:space="preserve">  Office</t>
        </is>
      </c>
      <c r="B148" t="inlineStr">
        <is>
          <t>WS</t>
        </is>
      </c>
      <c r="C148" t="inlineStr">
        <is>
          <t>MEL</t>
        </is>
      </c>
      <c r="D148" t="n">
        <v>550710</v>
      </c>
      <c r="E148" t="inlineStr">
        <is>
          <t>53 Great Portland Street</t>
        </is>
      </c>
      <c r="F148" t="inlineStr">
        <is>
          <t>Third Floor</t>
        </is>
      </c>
      <c r="G148" t="inlineStr">
        <is>
          <t>Office</t>
        </is>
      </c>
      <c r="H148" t="n">
        <v>321</v>
      </c>
      <c r="I148">
        <f>I106</f>
        <v/>
      </c>
      <c r="J148" t="n">
        <v>500</v>
      </c>
      <c r="K148" t="inlineStr">
        <is>
          <t>Vacant</t>
        </is>
      </c>
      <c r="N148" s="869" t="n">
        <v>45170</v>
      </c>
      <c r="Q148" t="n">
        <v>0</v>
      </c>
      <c r="R148">
        <f>R106</f>
        <v/>
      </c>
      <c r="T148" t="n">
        <v>17000</v>
      </c>
      <c r="U148">
        <f>U106</f>
        <v/>
      </c>
      <c r="V148" t="n">
        <v>16852</v>
      </c>
      <c r="W148">
        <f>W106</f>
        <v/>
      </c>
      <c r="X148">
        <f>W106/I106</f>
        <v/>
      </c>
      <c r="Y148">
        <f>SUM(W106-U106)/U106</f>
        <v/>
      </c>
      <c r="Z148" t="inlineStr">
        <is>
          <t>E</t>
        </is>
      </c>
      <c r="AC148" t="inlineStr">
        <is>
          <t>No</t>
        </is>
      </c>
      <c r="AD148" t="inlineStr">
        <is>
          <t>To be refurbished.</t>
        </is>
      </c>
      <c r="AE148" t="n">
        <v>53</v>
      </c>
      <c r="AF148" t="n">
        <v>2</v>
      </c>
      <c r="AG148" t="n">
        <v>2</v>
      </c>
      <c r="AI148" t="inlineStr">
        <is>
          <t>Void</t>
        </is>
      </c>
    </row>
    <row r="149"/>
    <row r="150">
      <c r="A150" s="868" t="inlineStr">
        <is>
          <t>76 Great Portland Street</t>
        </is>
      </c>
    </row>
    <row r="151">
      <c r="A151" t="inlineStr">
        <is>
          <t xml:space="preserve">  Showroom</t>
        </is>
      </c>
      <c r="B151" t="inlineStr">
        <is>
          <t>CM</t>
        </is>
      </c>
      <c r="C151" t="inlineStr">
        <is>
          <t>MEL</t>
        </is>
      </c>
      <c r="D151" t="n">
        <v>550090</v>
      </c>
      <c r="E151" t="inlineStr">
        <is>
          <t>76 Great Portland Street</t>
        </is>
      </c>
      <c r="F151" t="inlineStr">
        <is>
          <t>Basement &amp; Ground Floor (Front)</t>
        </is>
      </c>
      <c r="G151" t="inlineStr">
        <is>
          <t>Showroom</t>
        </is>
      </c>
      <c r="H151" t="n">
        <v>607</v>
      </c>
      <c r="I151">
        <f>I107</f>
        <v/>
      </c>
      <c r="J151" t="n">
        <v>500</v>
      </c>
      <c r="K151" t="inlineStr">
        <is>
          <t>O-Chaa Thai Ltd.</t>
        </is>
      </c>
      <c r="L151" s="869" t="n">
        <v>45706</v>
      </c>
      <c r="M151" s="869" t="n">
        <v>49357</v>
      </c>
      <c r="O151" s="869" t="n">
        <v>47532</v>
      </c>
      <c r="P151" s="869" t="n">
        <v>47531</v>
      </c>
      <c r="Q151" t="n">
        <v>27000</v>
      </c>
      <c r="R151">
        <f>R107</f>
        <v/>
      </c>
      <c r="T151" t="n">
        <v>25000</v>
      </c>
      <c r="U151">
        <f>U107</f>
        <v/>
      </c>
      <c r="V151" t="n">
        <v>25000</v>
      </c>
      <c r="W151">
        <f>W107</f>
        <v/>
      </c>
      <c r="X151">
        <f>W107/I107</f>
        <v/>
      </c>
      <c r="Y151">
        <f>SUM(W107-U107)/U107</f>
        <v/>
      </c>
      <c r="Z151" t="inlineStr">
        <is>
          <t>B</t>
        </is>
      </c>
      <c r="AC151" t="inlineStr">
        <is>
          <t>No</t>
        </is>
      </c>
      <c r="AD151" t="inlineStr">
        <is>
          <t xml:space="preserve">Tenant break on 6 months notice. </t>
        </is>
      </c>
      <c r="AI151" t="inlineStr">
        <is>
          <t>Let</t>
        </is>
      </c>
    </row>
    <row r="152">
      <c r="A152" t="inlineStr">
        <is>
          <t xml:space="preserve">  Restaurant</t>
        </is>
      </c>
      <c r="B152" t="inlineStr">
        <is>
          <t>CM</t>
        </is>
      </c>
      <c r="C152" t="inlineStr">
        <is>
          <t>MEL</t>
        </is>
      </c>
      <c r="D152" t="n">
        <v>550090</v>
      </c>
      <c r="E152" t="inlineStr">
        <is>
          <t>76 Great Portland Street</t>
        </is>
      </c>
      <c r="F152" t="inlineStr">
        <is>
          <t>Basement &amp; Ground Floor (Rear)</t>
        </is>
      </c>
      <c r="G152" t="inlineStr">
        <is>
          <t>Restaurant</t>
        </is>
      </c>
      <c r="H152" t="n">
        <v>662</v>
      </c>
      <c r="I152">
        <f>I108</f>
        <v/>
      </c>
      <c r="J152" t="n">
        <v>500</v>
      </c>
      <c r="K152" t="inlineStr">
        <is>
          <t>O-Chaa Thai Ltd.</t>
        </is>
      </c>
      <c r="L152" s="869" t="n">
        <v>45706</v>
      </c>
      <c r="M152" s="869" t="n">
        <v>49357</v>
      </c>
      <c r="O152" s="869" t="n">
        <v>47532</v>
      </c>
      <c r="P152" s="869" t="n">
        <v>47531</v>
      </c>
      <c r="Q152" t="n">
        <v>22000</v>
      </c>
      <c r="R152">
        <f>R108</f>
        <v/>
      </c>
      <c r="T152" t="n">
        <v>20000</v>
      </c>
      <c r="U152">
        <f>U108</f>
        <v/>
      </c>
      <c r="V152" t="n">
        <v>20000</v>
      </c>
      <c r="W152">
        <f>W108</f>
        <v/>
      </c>
      <c r="X152">
        <f>W108/I108</f>
        <v/>
      </c>
      <c r="Y152">
        <f>SUM(W108-U108)/U108</f>
        <v/>
      </c>
      <c r="Z152" t="inlineStr">
        <is>
          <t>B</t>
        </is>
      </c>
      <c r="AC152" t="inlineStr">
        <is>
          <t>No</t>
        </is>
      </c>
      <c r="AD152" t="inlineStr">
        <is>
          <t>Tenant break on 6 months notice.</t>
        </is>
      </c>
      <c r="AI152" t="inlineStr">
        <is>
          <t>Let</t>
        </is>
      </c>
    </row>
    <row r="153">
      <c r="A153" t="inlineStr">
        <is>
          <t xml:space="preserve">  Office</t>
        </is>
      </c>
      <c r="B153" t="inlineStr">
        <is>
          <t>CM</t>
        </is>
      </c>
      <c r="C153" t="inlineStr">
        <is>
          <t>MEL</t>
        </is>
      </c>
      <c r="D153" t="n">
        <v>550090</v>
      </c>
      <c r="E153" t="inlineStr">
        <is>
          <t>76 Great Portland Street</t>
        </is>
      </c>
      <c r="F153" t="inlineStr">
        <is>
          <t>First to Fourth Floor</t>
        </is>
      </c>
      <c r="G153" t="inlineStr">
        <is>
          <t>Office</t>
        </is>
      </c>
      <c r="H153" t="n">
        <v>1765</v>
      </c>
      <c r="I153">
        <f>I109</f>
        <v/>
      </c>
      <c r="J153" t="n">
        <v>1750</v>
      </c>
      <c r="K153" t="inlineStr">
        <is>
          <t>Vacant</t>
        </is>
      </c>
      <c r="N153" s="869" t="n">
        <v>43256</v>
      </c>
      <c r="Q153" t="n">
        <v>0</v>
      </c>
      <c r="R153">
        <f>R109</f>
        <v/>
      </c>
      <c r="T153" t="n">
        <v>90000</v>
      </c>
      <c r="U153">
        <f>U109</f>
        <v/>
      </c>
      <c r="V153" t="n">
        <v>85000</v>
      </c>
      <c r="W153">
        <f>W109</f>
        <v/>
      </c>
      <c r="X153">
        <f>W109/I109</f>
        <v/>
      </c>
      <c r="Y153">
        <f>SUM(W109-U109)/U109</f>
        <v/>
      </c>
      <c r="Z153" t="inlineStr">
        <is>
          <t>E</t>
        </is>
      </c>
      <c r="AC153" t="inlineStr">
        <is>
          <t>No</t>
        </is>
      </c>
      <c r="AD153" t="inlineStr">
        <is>
          <t>Mothballed.</t>
        </is>
      </c>
      <c r="AI153" t="inlineStr">
        <is>
          <t>Void</t>
        </is>
      </c>
    </row>
    <row r="154"/>
    <row r="155">
      <c r="A155" s="868" t="inlineStr">
        <is>
          <t>1 Great Titchfield Street</t>
        </is>
      </c>
    </row>
    <row r="156">
      <c r="A156" t="inlineStr">
        <is>
          <t xml:space="preserve">  Shop/Snack Bar</t>
        </is>
      </c>
      <c r="B156" t="inlineStr">
        <is>
          <t>WS</t>
        </is>
      </c>
      <c r="C156" t="inlineStr">
        <is>
          <t>MEL</t>
        </is>
      </c>
      <c r="D156" t="n">
        <v>550750</v>
      </c>
      <c r="E156" t="inlineStr">
        <is>
          <t>1 Great Titchfield Street</t>
        </is>
      </c>
      <c r="F156" t="inlineStr">
        <is>
          <t>Basement to Third Floor</t>
        </is>
      </c>
      <c r="G156" t="inlineStr">
        <is>
          <t>Shop/Snack Bar</t>
        </is>
      </c>
      <c r="H156" t="n">
        <v>1305</v>
      </c>
      <c r="I156">
        <f>I110</f>
        <v/>
      </c>
      <c r="J156" t="n">
        <v>1250</v>
      </c>
      <c r="K156" t="inlineStr">
        <is>
          <t>Tikkas Group Ltd</t>
        </is>
      </c>
      <c r="L156" s="869" t="n">
        <v>45748</v>
      </c>
      <c r="M156" s="869" t="n">
        <v>49399</v>
      </c>
      <c r="O156" s="869" t="n">
        <v>47574</v>
      </c>
      <c r="P156" s="869" t="n">
        <v>47573</v>
      </c>
      <c r="Q156" t="n">
        <v>0</v>
      </c>
      <c r="R156">
        <f>R110</f>
        <v/>
      </c>
      <c r="S156">
        <f>S110</f>
        <v/>
      </c>
      <c r="T156" t="n">
        <v>90000</v>
      </c>
      <c r="U156">
        <f>U110</f>
        <v/>
      </c>
      <c r="V156" t="n">
        <v>90000</v>
      </c>
      <c r="W156">
        <f>W110</f>
        <v/>
      </c>
      <c r="X156">
        <f>W110/I110</f>
        <v/>
      </c>
      <c r="Y156">
        <f>SUM(W110-U110)/U110</f>
        <v/>
      </c>
      <c r="Z156" t="inlineStr">
        <is>
          <t>D</t>
        </is>
      </c>
      <c r="AB156" t="n">
        <v>1630000</v>
      </c>
      <c r="AC156" t="inlineStr">
        <is>
          <t>No</t>
        </is>
      </c>
      <c r="AD156" t="inlineStr">
        <is>
          <t>Rent £90,000 wef 01/09/25. Tenant break on 6 months notice. 2 months rent free if break not exercised.</t>
        </is>
      </c>
      <c r="AE156" t="n">
        <v>69</v>
      </c>
      <c r="AG156" t="n">
        <v>10</v>
      </c>
      <c r="AH156" t="inlineStr">
        <is>
          <t>LEM</t>
        </is>
      </c>
      <c r="AI156" t="inlineStr">
        <is>
          <t>Let</t>
        </is>
      </c>
    </row>
    <row r="157"/>
    <row r="158">
      <c r="A158" s="868" t="inlineStr">
        <is>
          <t>3 Great Titchfield Street</t>
        </is>
      </c>
    </row>
    <row r="159">
      <c r="A159" t="inlineStr">
        <is>
          <t xml:space="preserve">  Restaurant</t>
        </is>
      </c>
      <c r="B159" t="inlineStr">
        <is>
          <t>CM</t>
        </is>
      </c>
      <c r="C159" t="inlineStr">
        <is>
          <t>MEL</t>
        </is>
      </c>
      <c r="D159" t="n">
        <v>550880</v>
      </c>
      <c r="E159" t="inlineStr">
        <is>
          <t>3 Great Titchfield Street</t>
        </is>
      </c>
      <c r="F159" t="inlineStr">
        <is>
          <t>Basement &amp; Ground</t>
        </is>
      </c>
      <c r="G159" t="inlineStr">
        <is>
          <t>Restaurant</t>
        </is>
      </c>
      <c r="H159" t="n">
        <v>1440</v>
      </c>
      <c r="I159">
        <f>I111</f>
        <v/>
      </c>
      <c r="J159" t="n">
        <v>1500</v>
      </c>
      <c r="K159" t="inlineStr">
        <is>
          <t>Pho Trading Ltd.</t>
        </is>
      </c>
      <c r="L159" s="869" t="n">
        <v>43430</v>
      </c>
      <c r="M159" s="869" t="n">
        <v>47082</v>
      </c>
      <c r="O159" s="869" t="n">
        <v>45256</v>
      </c>
      <c r="Q159" t="n">
        <v>100000</v>
      </c>
      <c r="R159">
        <f>R111</f>
        <v/>
      </c>
      <c r="T159" t="n">
        <v>100000</v>
      </c>
      <c r="U159">
        <f>U111</f>
        <v/>
      </c>
      <c r="V159" t="n">
        <v>100000</v>
      </c>
      <c r="W159">
        <f>W111</f>
        <v/>
      </c>
      <c r="X159">
        <f>W111/I111</f>
        <v/>
      </c>
      <c r="Y159">
        <f>SUM(W111-U111)/U111</f>
        <v/>
      </c>
      <c r="Z159" t="inlineStr">
        <is>
          <t>C</t>
        </is>
      </c>
      <c r="AC159" t="inlineStr">
        <is>
          <t>No</t>
        </is>
      </c>
      <c r="AD159" t="inlineStr">
        <is>
          <t>Rent review not activated due to level of passing rent.</t>
        </is>
      </c>
      <c r="AI159" t="inlineStr">
        <is>
          <t>Let</t>
        </is>
      </c>
    </row>
    <row r="160">
      <c r="A160" t="inlineStr">
        <is>
          <t xml:space="preserve">  Flat</t>
        </is>
      </c>
      <c r="B160" t="inlineStr">
        <is>
          <t>CM</t>
        </is>
      </c>
      <c r="C160" t="inlineStr">
        <is>
          <t>MEL</t>
        </is>
      </c>
      <c r="D160" t="n">
        <v>550880</v>
      </c>
      <c r="E160" t="inlineStr">
        <is>
          <t>3 Great Titchfield Street</t>
        </is>
      </c>
      <c r="F160" t="inlineStr">
        <is>
          <t xml:space="preserve">First to Third Floor </t>
        </is>
      </c>
      <c r="G160" t="inlineStr">
        <is>
          <t>Flat</t>
        </is>
      </c>
      <c r="H160" t="n">
        <v>1082</v>
      </c>
      <c r="I160">
        <f>I112</f>
        <v/>
      </c>
      <c r="J160" t="n">
        <v>1000</v>
      </c>
      <c r="K160" t="inlineStr">
        <is>
          <t>Hewson Independent Trading Company Ltd</t>
        </is>
      </c>
      <c r="L160" s="869" t="n">
        <v>45065</v>
      </c>
      <c r="M160" s="869" t="n">
        <v>46160</v>
      </c>
      <c r="Q160" t="n">
        <v>88400</v>
      </c>
      <c r="R160">
        <f>R112</f>
        <v/>
      </c>
      <c r="T160" t="n">
        <v>58968</v>
      </c>
      <c r="U160">
        <f>U112</f>
        <v/>
      </c>
      <c r="V160" t="n">
        <v>58968</v>
      </c>
      <c r="W160">
        <f>W112</f>
        <v/>
      </c>
      <c r="X160">
        <f>W112/I112</f>
        <v/>
      </c>
      <c r="Y160">
        <f>SUM(W112-U112)/U112</f>
        <v/>
      </c>
      <c r="Z160" t="inlineStr">
        <is>
          <t>D</t>
        </is>
      </c>
      <c r="AC160" t="inlineStr">
        <is>
          <t>No</t>
        </is>
      </c>
      <c r="AI160" t="inlineStr">
        <is>
          <t>Let</t>
        </is>
      </c>
    </row>
    <row r="161"/>
    <row r="162">
      <c r="A162" s="868" t="inlineStr">
        <is>
          <t>Great Titchfield House,  14-18 Great Titchfield Street</t>
        </is>
      </c>
    </row>
    <row r="163">
      <c r="A163" t="inlineStr">
        <is>
          <t xml:space="preserve">  Showroom</t>
        </is>
      </c>
      <c r="B163" t="inlineStr">
        <is>
          <t>WS</t>
        </is>
      </c>
      <c r="C163" t="inlineStr">
        <is>
          <t>MEL</t>
        </is>
      </c>
      <c r="D163" t="n">
        <v>550180</v>
      </c>
      <c r="E163" t="inlineStr">
        <is>
          <t>Great Titchfield House,  14-18 Great Titchfield Street</t>
        </is>
      </c>
      <c r="F163" t="inlineStr">
        <is>
          <t>Ground Floor &amp; Basement (South)</t>
        </is>
      </c>
      <c r="G163" t="inlineStr">
        <is>
          <t>Showroom</t>
        </is>
      </c>
      <c r="H163" t="n">
        <v>2026</v>
      </c>
      <c r="I163">
        <f>I113</f>
        <v/>
      </c>
      <c r="J163" t="n">
        <v>2000</v>
      </c>
      <c r="K163" t="inlineStr">
        <is>
          <t>Sound Disposition Limited</t>
        </is>
      </c>
      <c r="L163" s="869" t="n">
        <v>45247</v>
      </c>
      <c r="M163" s="869" t="n">
        <v>48899</v>
      </c>
      <c r="O163" s="869" t="n">
        <v>47074</v>
      </c>
      <c r="P163" s="869" t="n">
        <v>47073</v>
      </c>
      <c r="Q163" t="n">
        <v>100000</v>
      </c>
      <c r="R163">
        <f>R113</f>
        <v/>
      </c>
      <c r="T163" t="n">
        <v>71800</v>
      </c>
      <c r="U163">
        <f>U113</f>
        <v/>
      </c>
      <c r="V163" t="n">
        <v>100000</v>
      </c>
      <c r="W163">
        <f>W113</f>
        <v/>
      </c>
      <c r="X163">
        <f>W113/I113</f>
        <v/>
      </c>
      <c r="Y163">
        <f>SUM(W113-U113)/U113</f>
        <v/>
      </c>
      <c r="Z163" t="inlineStr">
        <is>
          <t>C</t>
        </is>
      </c>
      <c r="AC163" t="inlineStr">
        <is>
          <t>No</t>
        </is>
      </c>
      <c r="AD163" t="inlineStr">
        <is>
          <t>Tenant break on 6 months notice. 5 months rent free if not exercised (spread over 12 months).</t>
        </is>
      </c>
      <c r="AI163" t="inlineStr">
        <is>
          <t>Let</t>
        </is>
      </c>
    </row>
    <row r="164">
      <c r="A164" t="inlineStr">
        <is>
          <t xml:space="preserve">  Showroom</t>
        </is>
      </c>
      <c r="B164" t="inlineStr">
        <is>
          <t>WS</t>
        </is>
      </c>
      <c r="C164" t="inlineStr">
        <is>
          <t>MEL</t>
        </is>
      </c>
      <c r="D164" t="n">
        <v>550180</v>
      </c>
      <c r="E164" t="inlineStr">
        <is>
          <t>Great Titchfield House,  14-18 Great Titchfield Street</t>
        </is>
      </c>
      <c r="F164" t="inlineStr">
        <is>
          <t>Ground Floor &amp; Basement (North)</t>
        </is>
      </c>
      <c r="G164" t="inlineStr">
        <is>
          <t>Showroom</t>
        </is>
      </c>
      <c r="H164" t="n">
        <v>2202</v>
      </c>
      <c r="I164">
        <f>I114</f>
        <v/>
      </c>
      <c r="J164" t="n">
        <v>2000</v>
      </c>
      <c r="K164" t="inlineStr">
        <is>
          <t>Godske Group A/S</t>
        </is>
      </c>
      <c r="L164" s="869" t="n">
        <v>44497</v>
      </c>
      <c r="M164" s="869" t="n">
        <v>46322</v>
      </c>
      <c r="Q164" t="n">
        <v>96000</v>
      </c>
      <c r="R164">
        <f>R114</f>
        <v/>
      </c>
      <c r="T164" t="n">
        <v>78600</v>
      </c>
      <c r="U164">
        <f>U114</f>
        <v/>
      </c>
      <c r="V164" t="n">
        <v>96000</v>
      </c>
      <c r="W164">
        <f>W114</f>
        <v/>
      </c>
      <c r="X164">
        <f>W114/I114</f>
        <v/>
      </c>
      <c r="Y164">
        <f>SUM(W114-U114)/U114</f>
        <v/>
      </c>
      <c r="Z164" t="inlineStr">
        <is>
          <t>C</t>
        </is>
      </c>
      <c r="AC164" t="inlineStr">
        <is>
          <t>No</t>
        </is>
      </c>
      <c r="AI164" t="inlineStr">
        <is>
          <t>Let</t>
        </is>
      </c>
    </row>
    <row r="165">
      <c r="A165" t="inlineStr">
        <is>
          <t xml:space="preserve">  Recording Studio /Office</t>
        </is>
      </c>
      <c r="B165" t="inlineStr">
        <is>
          <t>WS</t>
        </is>
      </c>
      <c r="C165" t="inlineStr">
        <is>
          <t>MEL</t>
        </is>
      </c>
      <c r="D165" t="n">
        <v>550180</v>
      </c>
      <c r="E165" t="inlineStr">
        <is>
          <t>Great Titchfield House,  14-18 Great Titchfield Street</t>
        </is>
      </c>
      <c r="F165" t="inlineStr">
        <is>
          <t>First Floor</t>
        </is>
      </c>
      <c r="G165" t="inlineStr">
        <is>
          <t>Recording Studio /Office</t>
        </is>
      </c>
      <c r="H165" t="n">
        <v>1977</v>
      </c>
      <c r="I165">
        <f>I115</f>
        <v/>
      </c>
      <c r="J165" t="n">
        <v>2000</v>
      </c>
      <c r="K165" t="inlineStr">
        <is>
          <t>Sound Disposition Limited</t>
        </is>
      </c>
      <c r="L165" s="869" t="n">
        <v>45441</v>
      </c>
      <c r="Q165" t="n">
        <v>96000</v>
      </c>
      <c r="R165">
        <f>R115</f>
        <v/>
      </c>
      <c r="T165" t="n">
        <v>121900</v>
      </c>
      <c r="U165">
        <f>U115</f>
        <v/>
      </c>
      <c r="V165" t="n">
        <v>133400</v>
      </c>
      <c r="W165">
        <f>W115</f>
        <v/>
      </c>
      <c r="X165">
        <f>W115/I115</f>
        <v/>
      </c>
      <c r="Y165">
        <f>SUM(W115-U115)/U115</f>
        <v/>
      </c>
      <c r="Z165" t="inlineStr">
        <is>
          <t>D</t>
        </is>
      </c>
      <c r="AC165" t="inlineStr">
        <is>
          <t>No</t>
        </is>
      </c>
      <c r="AD165" t="inlineStr">
        <is>
          <t>Tenancy at will.</t>
        </is>
      </c>
      <c r="AI165" t="inlineStr">
        <is>
          <t>Let</t>
        </is>
      </c>
    </row>
    <row r="166">
      <c r="A166" t="inlineStr">
        <is>
          <t xml:space="preserve">  Office</t>
        </is>
      </c>
      <c r="B166" t="inlineStr">
        <is>
          <t>WS</t>
        </is>
      </c>
      <c r="C166" t="inlineStr">
        <is>
          <t>MEL</t>
        </is>
      </c>
      <c r="D166" t="n">
        <v>550180</v>
      </c>
      <c r="E166" t="inlineStr">
        <is>
          <t>Great Titchfield House,  14-18 Great Titchfield Street</t>
        </is>
      </c>
      <c r="F166" t="inlineStr">
        <is>
          <t>Second Floor</t>
        </is>
      </c>
      <c r="G166" t="inlineStr">
        <is>
          <t>Office</t>
        </is>
      </c>
      <c r="H166" t="n">
        <v>1938</v>
      </c>
      <c r="I166">
        <f>I116</f>
        <v/>
      </c>
      <c r="J166" t="n">
        <v>2000</v>
      </c>
      <c r="K166" t="inlineStr">
        <is>
          <t>Infront Sports &amp; Media UK Ltd</t>
        </is>
      </c>
      <c r="L166" s="869" t="n">
        <v>44768</v>
      </c>
      <c r="M166" s="869" t="n">
        <v>45863</v>
      </c>
      <c r="Q166" t="n">
        <v>152250</v>
      </c>
      <c r="R166">
        <f>R116</f>
        <v/>
      </c>
      <c r="T166" t="n">
        <v>121800</v>
      </c>
      <c r="U166">
        <f>U116</f>
        <v/>
      </c>
      <c r="V166" t="n">
        <v>130800</v>
      </c>
      <c r="W166">
        <f>W116</f>
        <v/>
      </c>
      <c r="X166">
        <f>W116/I116</f>
        <v/>
      </c>
      <c r="Y166">
        <f>SUM(W116-U116)/U116</f>
        <v/>
      </c>
      <c r="Z166" t="inlineStr">
        <is>
          <t>D</t>
        </is>
      </c>
      <c r="AC166" t="inlineStr">
        <is>
          <t>No</t>
        </is>
      </c>
      <c r="AD166" t="inlineStr">
        <is>
          <t>Tenanct vacating on expiry.</t>
        </is>
      </c>
      <c r="AI166" t="inlineStr">
        <is>
          <t>Let</t>
        </is>
      </c>
    </row>
    <row r="167">
      <c r="A167" t="inlineStr">
        <is>
          <t xml:space="preserve">  Showroom/ Office</t>
        </is>
      </c>
      <c r="B167" t="inlineStr">
        <is>
          <t>WS</t>
        </is>
      </c>
      <c r="C167" t="inlineStr">
        <is>
          <t>MEL</t>
        </is>
      </c>
      <c r="D167" t="n">
        <v>550180</v>
      </c>
      <c r="E167" t="inlineStr">
        <is>
          <t>Great Titchfield House,  14-18 Great Titchfield Street</t>
        </is>
      </c>
      <c r="F167" t="inlineStr">
        <is>
          <t>Third Floor</t>
        </is>
      </c>
      <c r="G167" t="inlineStr">
        <is>
          <t>Showroom/ Office</t>
        </is>
      </c>
      <c r="H167" t="n">
        <v>1961</v>
      </c>
      <c r="I167">
        <f>I117</f>
        <v/>
      </c>
      <c r="J167" t="n">
        <v>2000</v>
      </c>
      <c r="K167" t="inlineStr">
        <is>
          <t>Sam Rogoff &amp; Co Ltd</t>
        </is>
      </c>
      <c r="L167" s="869" t="n">
        <v>45357</v>
      </c>
      <c r="M167" s="869" t="n">
        <v>47182</v>
      </c>
      <c r="Q167" t="n">
        <v>137025</v>
      </c>
      <c r="R167">
        <f>R117</f>
        <v/>
      </c>
      <c r="T167" t="n">
        <v>121800</v>
      </c>
      <c r="U167">
        <f>U117</f>
        <v/>
      </c>
      <c r="V167" t="n">
        <v>137035</v>
      </c>
      <c r="W167">
        <f>W117</f>
        <v/>
      </c>
      <c r="X167">
        <f>W117/I117</f>
        <v/>
      </c>
      <c r="Y167">
        <f>SUM(W117-U117)/U117</f>
        <v/>
      </c>
      <c r="Z167" t="inlineStr">
        <is>
          <t>B</t>
        </is>
      </c>
      <c r="AC167" t="inlineStr">
        <is>
          <t>No</t>
        </is>
      </c>
      <c r="AD167" t="inlineStr">
        <is>
          <t>Rent PA corrected</t>
        </is>
      </c>
      <c r="AI167" t="inlineStr">
        <is>
          <t>Let</t>
        </is>
      </c>
    </row>
    <row r="168">
      <c r="A168" t="inlineStr">
        <is>
          <t xml:space="preserve">  Showroom/ Office</t>
        </is>
      </c>
      <c r="B168" t="inlineStr">
        <is>
          <t>WS</t>
        </is>
      </c>
      <c r="C168" t="inlineStr">
        <is>
          <t>MEL</t>
        </is>
      </c>
      <c r="D168" t="n">
        <v>550180</v>
      </c>
      <c r="E168" t="inlineStr">
        <is>
          <t>Great Titchfield House,  14-18 Great Titchfield Street</t>
        </is>
      </c>
      <c r="F168" t="inlineStr">
        <is>
          <t>Fourth Floor</t>
        </is>
      </c>
      <c r="G168" t="inlineStr">
        <is>
          <t>Showroom/ Office</t>
        </is>
      </c>
      <c r="H168" t="n">
        <v>1992</v>
      </c>
      <c r="I168">
        <f>I118</f>
        <v/>
      </c>
      <c r="J168" t="n">
        <v>2000</v>
      </c>
      <c r="K168" t="inlineStr">
        <is>
          <t>Vacant</t>
        </is>
      </c>
      <c r="N168" s="869" t="n">
        <v>45596</v>
      </c>
      <c r="Q168" t="n">
        <v>0</v>
      </c>
      <c r="R168">
        <f>R118</f>
        <v/>
      </c>
      <c r="T168" t="n">
        <v>117300</v>
      </c>
      <c r="U168">
        <f>U118</f>
        <v/>
      </c>
      <c r="V168" t="n">
        <v>130325</v>
      </c>
      <c r="W168">
        <f>W118</f>
        <v/>
      </c>
      <c r="X168">
        <f>W118/I118</f>
        <v/>
      </c>
      <c r="Y168">
        <f>SUM(W118-U118)/U118</f>
        <v/>
      </c>
      <c r="Z168" t="inlineStr">
        <is>
          <t>D</t>
        </is>
      </c>
      <c r="AC168" t="inlineStr">
        <is>
          <t>No</t>
        </is>
      </c>
      <c r="AD168" t="inlineStr">
        <is>
          <t>To be refurbished.</t>
        </is>
      </c>
      <c r="AE168" t="n">
        <v>72.5</v>
      </c>
      <c r="AF168" t="n">
        <v>4</v>
      </c>
      <c r="AG168" t="n">
        <v>9</v>
      </c>
      <c r="AH168" t="inlineStr">
        <is>
          <t>LEM</t>
        </is>
      </c>
      <c r="AI168" t="inlineStr">
        <is>
          <t>Void</t>
        </is>
      </c>
    </row>
    <row r="169">
      <c r="A169" t="inlineStr">
        <is>
          <t xml:space="preserve">  Recording Studio/ Office</t>
        </is>
      </c>
      <c r="B169" t="inlineStr">
        <is>
          <t>WS</t>
        </is>
      </c>
      <c r="C169" t="inlineStr">
        <is>
          <t>MEL</t>
        </is>
      </c>
      <c r="D169" t="n">
        <v>550180</v>
      </c>
      <c r="E169" t="inlineStr">
        <is>
          <t>Great Titchfield House,  14-18 Great Titchfield Street</t>
        </is>
      </c>
      <c r="F169" t="inlineStr">
        <is>
          <t>Fifth Floor</t>
        </is>
      </c>
      <c r="G169" t="inlineStr">
        <is>
          <t>Recording Studio/ Office</t>
        </is>
      </c>
      <c r="H169" t="n">
        <v>1468</v>
      </c>
      <c r="I169">
        <f>I119</f>
        <v/>
      </c>
      <c r="J169" t="n">
        <v>1500</v>
      </c>
      <c r="K169" t="inlineStr">
        <is>
          <t>Sine Audio Post Production Ltd</t>
        </is>
      </c>
      <c r="L169" s="869" t="n">
        <v>44805</v>
      </c>
      <c r="M169" s="869" t="n">
        <v>46630</v>
      </c>
      <c r="P169" s="869" t="n">
        <v>45900</v>
      </c>
      <c r="Q169" t="n">
        <v>98280</v>
      </c>
      <c r="R169">
        <f>R119</f>
        <v/>
      </c>
      <c r="T169" t="n">
        <v>100400</v>
      </c>
      <c r="U169">
        <f>U119</f>
        <v/>
      </c>
      <c r="V169" t="n">
        <v>99100</v>
      </c>
      <c r="W169">
        <f>W119</f>
        <v/>
      </c>
      <c r="X169">
        <f>W119/I119</f>
        <v/>
      </c>
      <c r="Y169">
        <f>SUM(W119-U119)/U119</f>
        <v/>
      </c>
      <c r="Z169" t="inlineStr">
        <is>
          <t>B</t>
        </is>
      </c>
      <c r="AC169" t="inlineStr">
        <is>
          <t>No</t>
        </is>
      </c>
      <c r="AD169" t="inlineStr">
        <is>
          <t>Tenant break on 6 months notice. Rent concession to be granted to reflect cost of tenant installing air-con.</t>
        </is>
      </c>
      <c r="AI169" t="inlineStr">
        <is>
          <t>Let</t>
        </is>
      </c>
    </row>
    <row r="170"/>
    <row r="171">
      <c r="A171" s="868" t="inlineStr">
        <is>
          <t>Golderbrock House,  15-19 Great Titchfield Street</t>
        </is>
      </c>
    </row>
    <row r="172">
      <c r="A172" t="inlineStr">
        <is>
          <t xml:space="preserve">  Showroom</t>
        </is>
      </c>
      <c r="B172" t="inlineStr">
        <is>
          <t>WS</t>
        </is>
      </c>
      <c r="C172" t="inlineStr">
        <is>
          <t>MEL</t>
        </is>
      </c>
      <c r="D172" t="n">
        <v>550420</v>
      </c>
      <c r="E172" t="inlineStr">
        <is>
          <t>Golderbrock House,  15-19 Great Titchfield Street</t>
        </is>
      </c>
      <c r="F172" t="inlineStr">
        <is>
          <t>Ground &amp; Basement (South)</t>
        </is>
      </c>
      <c r="G172" t="inlineStr">
        <is>
          <t>Showroom</t>
        </is>
      </c>
      <c r="H172" t="n">
        <v>1115</v>
      </c>
      <c r="I172">
        <f>I120</f>
        <v/>
      </c>
      <c r="J172" t="n">
        <v>1000</v>
      </c>
      <c r="K172" t="inlineStr">
        <is>
          <t>Dal Fiorentino Ltd</t>
        </is>
      </c>
      <c r="L172" s="869" t="n">
        <v>45504</v>
      </c>
      <c r="M172" s="869" t="n">
        <v>47329</v>
      </c>
      <c r="P172" s="869" t="n">
        <v>46599</v>
      </c>
      <c r="Q172" t="n">
        <v>60000</v>
      </c>
      <c r="R172">
        <f>R120</f>
        <v/>
      </c>
      <c r="T172" t="n">
        <v>50400</v>
      </c>
      <c r="U172">
        <f>U120</f>
        <v/>
      </c>
      <c r="V172" t="n">
        <v>63500</v>
      </c>
      <c r="W172">
        <f>W120</f>
        <v/>
      </c>
      <c r="X172">
        <f>W120/I120</f>
        <v/>
      </c>
      <c r="Y172">
        <f>SUM(W120-U120)/U120</f>
        <v/>
      </c>
      <c r="Z172" t="inlineStr">
        <is>
          <t>C</t>
        </is>
      </c>
      <c r="AC172" t="inlineStr">
        <is>
          <t>No</t>
        </is>
      </c>
      <c r="AD172" t="inlineStr">
        <is>
          <t>Rent increasing to £65,000 wef 31/07/25. Tenant break on 6 months notice. Tenant name corrected.</t>
        </is>
      </c>
      <c r="AI172" t="inlineStr">
        <is>
          <t>Let</t>
        </is>
      </c>
    </row>
    <row r="173">
      <c r="A173" t="inlineStr">
        <is>
          <t xml:space="preserve">  Recording Studio</t>
        </is>
      </c>
      <c r="B173" t="inlineStr">
        <is>
          <t>WS</t>
        </is>
      </c>
      <c r="C173" t="inlineStr">
        <is>
          <t>MEL</t>
        </is>
      </c>
      <c r="D173" t="n">
        <v>550420</v>
      </c>
      <c r="E173" t="inlineStr">
        <is>
          <t>Golderbrock House,  15-19 Great Titchfield Street</t>
        </is>
      </c>
      <c r="F173" t="inlineStr">
        <is>
          <t>Basement (Rear)</t>
        </is>
      </c>
      <c r="G173" t="inlineStr">
        <is>
          <t>Recording Studio</t>
        </is>
      </c>
      <c r="H173" t="n">
        <v>488</v>
      </c>
      <c r="I173">
        <f>I121</f>
        <v/>
      </c>
      <c r="J173" t="n">
        <v>500</v>
      </c>
      <c r="K173" t="inlineStr">
        <is>
          <t>Soho Sonic Ltd.</t>
        </is>
      </c>
      <c r="L173" s="869" t="n">
        <v>45439</v>
      </c>
      <c r="M173" s="869" t="n">
        <v>47264</v>
      </c>
      <c r="Q173" t="n">
        <v>16000</v>
      </c>
      <c r="R173">
        <f>R121</f>
        <v/>
      </c>
      <c r="T173" t="n">
        <v>13100</v>
      </c>
      <c r="U173">
        <f>U121</f>
        <v/>
      </c>
      <c r="V173" t="n">
        <v>14600</v>
      </c>
      <c r="W173">
        <f>W121</f>
        <v/>
      </c>
      <c r="X173">
        <f>W121/I121</f>
        <v/>
      </c>
      <c r="Y173">
        <f>SUM(W121-U121)/U121</f>
        <v/>
      </c>
      <c r="Z173" t="inlineStr">
        <is>
          <t>C</t>
        </is>
      </c>
      <c r="AC173" t="inlineStr">
        <is>
          <t>No</t>
        </is>
      </c>
      <c r="AI173" t="inlineStr">
        <is>
          <t>Let</t>
        </is>
      </c>
    </row>
    <row r="174">
      <c r="A174" t="inlineStr">
        <is>
          <t xml:space="preserve">  Showroom</t>
        </is>
      </c>
      <c r="B174" t="inlineStr">
        <is>
          <t>WS</t>
        </is>
      </c>
      <c r="C174" t="inlineStr">
        <is>
          <t>MEL</t>
        </is>
      </c>
      <c r="D174" t="n">
        <v>550420</v>
      </c>
      <c r="E174" t="inlineStr">
        <is>
          <t>Golderbrock House,  15-19 Great Titchfield Street</t>
        </is>
      </c>
      <c r="F174" t="inlineStr">
        <is>
          <t>Ground &amp; Basement (North)</t>
        </is>
      </c>
      <c r="G174" t="inlineStr">
        <is>
          <t>Showroom</t>
        </is>
      </c>
      <c r="H174" t="n">
        <v>1064</v>
      </c>
      <c r="I174">
        <f>I122</f>
        <v/>
      </c>
      <c r="J174" t="n">
        <v>100</v>
      </c>
      <c r="K174" t="inlineStr">
        <is>
          <t>Gillian Jason Modern &amp; Contemporary Art Ltd</t>
        </is>
      </c>
      <c r="L174" s="869" t="n">
        <v>44515</v>
      </c>
      <c r="M174" s="869" t="n">
        <v>46340</v>
      </c>
      <c r="Q174" t="n">
        <v>48000</v>
      </c>
      <c r="R174">
        <f>R122</f>
        <v/>
      </c>
      <c r="T174" t="n">
        <v>48000</v>
      </c>
      <c r="U174">
        <f>U122</f>
        <v/>
      </c>
      <c r="V174" t="n">
        <v>48000</v>
      </c>
      <c r="W174">
        <f>W122</f>
        <v/>
      </c>
      <c r="X174">
        <f>W122/I122</f>
        <v/>
      </c>
      <c r="Y174">
        <f>SUM(W122-U122)/U122</f>
        <v/>
      </c>
      <c r="Z174" t="inlineStr">
        <is>
          <t>D</t>
        </is>
      </c>
      <c r="AC174" t="inlineStr">
        <is>
          <t>No</t>
        </is>
      </c>
      <c r="AI174" t="inlineStr">
        <is>
          <t>Let</t>
        </is>
      </c>
    </row>
    <row r="175">
      <c r="A175" t="inlineStr">
        <is>
          <t xml:space="preserve">  Office</t>
        </is>
      </c>
      <c r="B175" t="inlineStr">
        <is>
          <t>WS</t>
        </is>
      </c>
      <c r="C175" t="inlineStr">
        <is>
          <t>MEL</t>
        </is>
      </c>
      <c r="D175" t="n">
        <v>550420</v>
      </c>
      <c r="E175" t="inlineStr">
        <is>
          <t>Golderbrock House,  15-19 Great Titchfield Street</t>
        </is>
      </c>
      <c r="F175" t="inlineStr">
        <is>
          <t xml:space="preserve">Ground Floor (Rear) </t>
        </is>
      </c>
      <c r="G175" t="inlineStr">
        <is>
          <t>Office</t>
        </is>
      </c>
      <c r="H175" t="n">
        <v>325</v>
      </c>
      <c r="I175">
        <f>I123</f>
        <v/>
      </c>
      <c r="J175" t="n">
        <v>500</v>
      </c>
      <c r="K175" t="inlineStr">
        <is>
          <t>Arlettie London Ltd.</t>
        </is>
      </c>
      <c r="L175" s="869" t="n">
        <v>45709</v>
      </c>
      <c r="M175" s="869" t="n">
        <v>47066</v>
      </c>
      <c r="Q175" t="n">
        <v>25310</v>
      </c>
      <c r="R175">
        <f>R123</f>
        <v/>
      </c>
      <c r="T175" t="n">
        <v>28000</v>
      </c>
      <c r="U175">
        <f>U123</f>
        <v/>
      </c>
      <c r="V175" t="n">
        <v>27600</v>
      </c>
      <c r="W175">
        <f>W123</f>
        <v/>
      </c>
      <c r="X175">
        <f>W123/I123</f>
        <v/>
      </c>
      <c r="Y175">
        <f>SUM(W123-U123)/U123</f>
        <v/>
      </c>
      <c r="Z175" t="inlineStr">
        <is>
          <t>B</t>
        </is>
      </c>
      <c r="AC175" t="inlineStr">
        <is>
          <t>No</t>
        </is>
      </c>
      <c r="AD175" t="inlineStr">
        <is>
          <t>All inclusive excluding rates.</t>
        </is>
      </c>
      <c r="AG175" t="n">
        <v>1</v>
      </c>
      <c r="AH175" t="inlineStr">
        <is>
          <t>LEM</t>
        </is>
      </c>
      <c r="AI175" t="inlineStr">
        <is>
          <t>Let</t>
        </is>
      </c>
    </row>
    <row r="176">
      <c r="A176" t="inlineStr">
        <is>
          <t xml:space="preserve">  Office</t>
        </is>
      </c>
      <c r="B176" t="inlineStr">
        <is>
          <t>WS</t>
        </is>
      </c>
      <c r="C176" t="inlineStr">
        <is>
          <t>MEL</t>
        </is>
      </c>
      <c r="D176" t="n">
        <v>550420</v>
      </c>
      <c r="E176" t="inlineStr">
        <is>
          <t>Golderbrock House,  15-19 Great Titchfield Street</t>
        </is>
      </c>
      <c r="F176" t="inlineStr">
        <is>
          <t>First Floor (Front)</t>
        </is>
      </c>
      <c r="G176" t="inlineStr">
        <is>
          <t>Office</t>
        </is>
      </c>
      <c r="H176" t="n">
        <v>1335</v>
      </c>
      <c r="I176">
        <f>I124</f>
        <v/>
      </c>
      <c r="J176" t="n">
        <v>1250</v>
      </c>
      <c r="K176" t="inlineStr">
        <is>
          <t>Space Workplace Ltd</t>
        </is>
      </c>
      <c r="L176" s="869" t="n">
        <v>45624</v>
      </c>
      <c r="M176" s="869" t="n">
        <v>47449</v>
      </c>
      <c r="P176" s="869" t="n">
        <v>46718</v>
      </c>
      <c r="Q176" t="n">
        <v>40200</v>
      </c>
      <c r="R176">
        <f>R124</f>
        <v/>
      </c>
      <c r="T176" t="n">
        <v>73700</v>
      </c>
      <c r="U176">
        <f>U124</f>
        <v/>
      </c>
      <c r="V176" t="n">
        <v>75710</v>
      </c>
      <c r="W176">
        <f>W124</f>
        <v/>
      </c>
      <c r="X176">
        <f>W124/I124</f>
        <v/>
      </c>
      <c r="Y176">
        <f>SUM(W124-U124)/U124</f>
        <v/>
      </c>
      <c r="Z176" t="inlineStr">
        <is>
          <t>B</t>
        </is>
      </c>
      <c r="AC176" t="inlineStr">
        <is>
          <t>No</t>
        </is>
      </c>
      <c r="AD176" t="inlineStr">
        <is>
          <t>Rent increases to £80,400 wef 28/11/25. Tenant break on 6 months notice.</t>
        </is>
      </c>
      <c r="AG176" t="n">
        <v>1</v>
      </c>
      <c r="AH176" t="inlineStr">
        <is>
          <t>LEM</t>
        </is>
      </c>
      <c r="AI176" t="inlineStr">
        <is>
          <t>Let</t>
        </is>
      </c>
    </row>
    <row r="177">
      <c r="A177" t="inlineStr">
        <is>
          <t xml:space="preserve">  Office</t>
        </is>
      </c>
      <c r="B177" t="inlineStr">
        <is>
          <t>WS</t>
        </is>
      </c>
      <c r="C177" t="inlineStr">
        <is>
          <t>MEL</t>
        </is>
      </c>
      <c r="D177" t="n">
        <v>550420</v>
      </c>
      <c r="E177" t="inlineStr">
        <is>
          <t>Golderbrock House,  15-19 Great Titchfield Street</t>
        </is>
      </c>
      <c r="F177" t="inlineStr">
        <is>
          <t>First Floor (Rear)</t>
        </is>
      </c>
      <c r="G177" t="inlineStr">
        <is>
          <t>Office</t>
        </is>
      </c>
      <c r="H177" t="n">
        <v>533</v>
      </c>
      <c r="I177">
        <f>I125</f>
        <v/>
      </c>
      <c r="J177" t="n">
        <v>500</v>
      </c>
      <c r="K177" t="inlineStr">
        <is>
          <t>Vacant</t>
        </is>
      </c>
      <c r="N177" s="869" t="n">
        <v>44536</v>
      </c>
      <c r="Q177" t="n">
        <v>0</v>
      </c>
      <c r="R177">
        <f>R125</f>
        <v/>
      </c>
      <c r="T177" t="n">
        <v>28900</v>
      </c>
      <c r="U177">
        <f>U125</f>
        <v/>
      </c>
      <c r="V177" t="n">
        <v>29300</v>
      </c>
      <c r="W177">
        <f>W125</f>
        <v/>
      </c>
      <c r="X177">
        <f>W125/I125</f>
        <v/>
      </c>
      <c r="Y177">
        <f>SUM(W125-U125)/U125</f>
        <v/>
      </c>
      <c r="Z177" t="inlineStr">
        <is>
          <t>C</t>
        </is>
      </c>
      <c r="AC177" t="inlineStr">
        <is>
          <t>No</t>
        </is>
      </c>
      <c r="AD177" t="inlineStr">
        <is>
          <t>To be refurbished.</t>
        </is>
      </c>
      <c r="AF177" t="n">
        <v>1</v>
      </c>
      <c r="AG177" t="n">
        <v>1</v>
      </c>
      <c r="AI177" t="inlineStr">
        <is>
          <t>Void</t>
        </is>
      </c>
    </row>
    <row r="178">
      <c r="A178" t="inlineStr">
        <is>
          <t xml:space="preserve">  Office</t>
        </is>
      </c>
      <c r="B178" t="inlineStr">
        <is>
          <t>WS</t>
        </is>
      </c>
      <c r="C178" t="inlineStr">
        <is>
          <t>MEL</t>
        </is>
      </c>
      <c r="D178" t="n">
        <v>550420</v>
      </c>
      <c r="E178" t="inlineStr">
        <is>
          <t>Golderbrock House,  15-19 Great Titchfield Street</t>
        </is>
      </c>
      <c r="F178" t="inlineStr">
        <is>
          <t>Second Floor</t>
        </is>
      </c>
      <c r="G178" t="inlineStr">
        <is>
          <t>Office</t>
        </is>
      </c>
      <c r="H178" t="n">
        <v>1404</v>
      </c>
      <c r="I178">
        <f>I126</f>
        <v/>
      </c>
      <c r="J178" t="n">
        <v>1500</v>
      </c>
      <c r="K178" t="inlineStr">
        <is>
          <t>Final Cut Ltd.</t>
        </is>
      </c>
      <c r="L178" s="869" t="n">
        <v>44490</v>
      </c>
      <c r="M178" s="869" t="n">
        <v>45930</v>
      </c>
      <c r="O178" s="869" t="n">
        <v>45258</v>
      </c>
      <c r="Q178" t="n">
        <v>78000</v>
      </c>
      <c r="R178">
        <f>R126</f>
        <v/>
      </c>
      <c r="T178" t="n">
        <v>79100</v>
      </c>
      <c r="U178">
        <f>U126</f>
        <v/>
      </c>
      <c r="V178" t="n">
        <v>80700</v>
      </c>
      <c r="W178">
        <f>W126</f>
        <v/>
      </c>
      <c r="X178">
        <f>W126/I126</f>
        <v/>
      </c>
      <c r="Y178">
        <f>SUM(W126-U126)/U126</f>
        <v/>
      </c>
      <c r="Z178" t="inlineStr">
        <is>
          <t>C</t>
        </is>
      </c>
      <c r="AC178" t="inlineStr">
        <is>
          <t>No</t>
        </is>
      </c>
      <c r="AI178" t="inlineStr">
        <is>
          <t>Let</t>
        </is>
      </c>
    </row>
    <row r="179">
      <c r="A179" t="inlineStr">
        <is>
          <t xml:space="preserve">  Office</t>
        </is>
      </c>
      <c r="B179" t="inlineStr">
        <is>
          <t>WS</t>
        </is>
      </c>
      <c r="C179" t="inlineStr">
        <is>
          <t>MEL</t>
        </is>
      </c>
      <c r="D179" t="n">
        <v>550420</v>
      </c>
      <c r="E179" t="inlineStr">
        <is>
          <t>Golderbrock House,  15-19 Great Titchfield Street</t>
        </is>
      </c>
      <c r="F179" t="inlineStr">
        <is>
          <t>Third Floor</t>
        </is>
      </c>
      <c r="G179" t="inlineStr">
        <is>
          <t>Office</t>
        </is>
      </c>
      <c r="H179" t="n">
        <v>1404</v>
      </c>
      <c r="I179">
        <f>I127</f>
        <v/>
      </c>
      <c r="J179" t="n">
        <v>1500</v>
      </c>
      <c r="K179" t="inlineStr">
        <is>
          <t>Final Cut Ltd.</t>
        </is>
      </c>
      <c r="L179" s="869" t="n">
        <v>45259</v>
      </c>
      <c r="M179" s="869" t="n">
        <v>45930</v>
      </c>
      <c r="P179" s="869" t="n">
        <v>45930</v>
      </c>
      <c r="Q179" t="n">
        <v>78800</v>
      </c>
      <c r="R179">
        <f>R127</f>
        <v/>
      </c>
      <c r="T179" t="n">
        <v>79600</v>
      </c>
      <c r="U179">
        <f>U127</f>
        <v/>
      </c>
      <c r="V179" t="n">
        <v>80700</v>
      </c>
      <c r="W179">
        <f>W127</f>
        <v/>
      </c>
      <c r="X179">
        <f>W127/I127</f>
        <v/>
      </c>
      <c r="Y179">
        <f>SUM(W127-U127)/U127</f>
        <v/>
      </c>
      <c r="Z179" t="inlineStr">
        <is>
          <t>C</t>
        </is>
      </c>
      <c r="AC179" t="inlineStr">
        <is>
          <t>No</t>
        </is>
      </c>
      <c r="AD179" t="inlineStr">
        <is>
          <t>Tenant break on 6 months notice. Tenant break exercised. Lease to end on 30/09/25 if conditions met.</t>
        </is>
      </c>
      <c r="AI179" t="inlineStr">
        <is>
          <t>Let</t>
        </is>
      </c>
    </row>
    <row r="180">
      <c r="A180" t="inlineStr">
        <is>
          <t xml:space="preserve">  Office</t>
        </is>
      </c>
      <c r="B180" t="inlineStr">
        <is>
          <t>WS</t>
        </is>
      </c>
      <c r="C180" t="inlineStr">
        <is>
          <t>MEL</t>
        </is>
      </c>
      <c r="D180" t="n">
        <v>550420</v>
      </c>
      <c r="E180" t="inlineStr">
        <is>
          <t>Golderbrock House,  15-19 Great Titchfield Street</t>
        </is>
      </c>
      <c r="F180" t="inlineStr">
        <is>
          <t>Fourth Floor</t>
        </is>
      </c>
      <c r="G180" t="inlineStr">
        <is>
          <t>Office</t>
        </is>
      </c>
      <c r="H180" t="n">
        <v>1330</v>
      </c>
      <c r="I180">
        <f>I128</f>
        <v/>
      </c>
      <c r="J180" t="n">
        <v>1250</v>
      </c>
      <c r="K180" t="inlineStr">
        <is>
          <t>Autonomous UK Operations Ltd</t>
        </is>
      </c>
      <c r="L180" s="869" t="n">
        <v>45762</v>
      </c>
      <c r="M180" s="869" t="n">
        <v>47587</v>
      </c>
      <c r="P180" s="869" t="n">
        <v>46857</v>
      </c>
      <c r="Q180" t="n">
        <v>86450</v>
      </c>
      <c r="R180">
        <f>R128</f>
        <v/>
      </c>
      <c r="T180" t="n">
        <v>78200</v>
      </c>
      <c r="U180">
        <f>U128</f>
        <v/>
      </c>
      <c r="V180" t="n">
        <v>76500</v>
      </c>
      <c r="W180">
        <f>W128</f>
        <v/>
      </c>
      <c r="X180">
        <f>W128/I128</f>
        <v/>
      </c>
      <c r="Y180">
        <f>SUM(W128-U128)/U128</f>
        <v/>
      </c>
      <c r="Z180" t="inlineStr">
        <is>
          <t>B</t>
        </is>
      </c>
      <c r="AC180" t="inlineStr">
        <is>
          <t>No</t>
        </is>
      </c>
      <c r="AD180" t="inlineStr">
        <is>
          <t>Tenant break on 6 months notice.</t>
        </is>
      </c>
      <c r="AE180" t="n">
        <v>63</v>
      </c>
      <c r="AG180" t="n">
        <v>4</v>
      </c>
      <c r="AH180" t="inlineStr">
        <is>
          <t>LEM</t>
        </is>
      </c>
      <c r="AI180" t="inlineStr">
        <is>
          <t>Let</t>
        </is>
      </c>
    </row>
    <row r="181"/>
    <row r="182">
      <c r="A182" s="868" t="inlineStr">
        <is>
          <t>Circus House,  21 Great Titchfield Street</t>
        </is>
      </c>
    </row>
    <row r="183">
      <c r="A183" t="inlineStr">
        <is>
          <t xml:space="preserve">  Showroom/ Office</t>
        </is>
      </c>
      <c r="B183" t="inlineStr">
        <is>
          <t>SH</t>
        </is>
      </c>
      <c r="C183" t="inlineStr">
        <is>
          <t>MEL</t>
        </is>
      </c>
      <c r="D183" t="n">
        <v>550190</v>
      </c>
      <c r="E183" t="inlineStr">
        <is>
          <t>Circus House,  21 Great Titchfield Street</t>
        </is>
      </c>
      <c r="F183" t="inlineStr">
        <is>
          <t>Basement &amp; Ground (East)</t>
        </is>
      </c>
      <c r="G183" t="inlineStr">
        <is>
          <t>Showroom/ Office</t>
        </is>
      </c>
      <c r="H183" t="n">
        <v>3443</v>
      </c>
      <c r="I183">
        <f>I129</f>
        <v/>
      </c>
      <c r="J183" t="n">
        <v>3500</v>
      </c>
      <c r="K183" t="inlineStr">
        <is>
          <t>The Graphical Tree Ltd</t>
        </is>
      </c>
      <c r="L183" s="869" t="n">
        <v>44348</v>
      </c>
      <c r="M183" s="869" t="n">
        <v>47999</v>
      </c>
      <c r="O183" s="869" t="n">
        <v>46174</v>
      </c>
      <c r="P183" s="869" t="n">
        <v>46173</v>
      </c>
      <c r="Q183" t="n">
        <v>75000</v>
      </c>
      <c r="R183">
        <f>R129</f>
        <v/>
      </c>
      <c r="T183" t="n">
        <v>75800</v>
      </c>
      <c r="U183">
        <f>U129</f>
        <v/>
      </c>
      <c r="V183" t="n">
        <v>75000</v>
      </c>
      <c r="W183">
        <f>W129</f>
        <v/>
      </c>
      <c r="X183">
        <f>W129/I129</f>
        <v/>
      </c>
      <c r="Y183">
        <f>SUM(W129-U129)/U129</f>
        <v/>
      </c>
      <c r="Z183" t="inlineStr">
        <is>
          <t>B</t>
        </is>
      </c>
      <c r="AC183" t="inlineStr">
        <is>
          <t>No</t>
        </is>
      </c>
      <c r="AD183" t="inlineStr">
        <is>
          <t>Tenant break on 6 months notice. Rent free 01/06/26 to 31/08/26 if not exercised. Landlord rolling break from 07/10/25.</t>
        </is>
      </c>
      <c r="AI183" t="inlineStr">
        <is>
          <t>Let</t>
        </is>
      </c>
    </row>
    <row r="184">
      <c r="A184" t="inlineStr">
        <is>
          <t xml:space="preserve">  Office</t>
        </is>
      </c>
      <c r="B184" t="inlineStr">
        <is>
          <t>SH</t>
        </is>
      </c>
      <c r="C184" t="inlineStr">
        <is>
          <t>MEL</t>
        </is>
      </c>
      <c r="D184" t="n">
        <v>550190</v>
      </c>
      <c r="E184" t="inlineStr">
        <is>
          <t>Circus House,  21 Great Titchfield Street</t>
        </is>
      </c>
      <c r="F184" t="inlineStr">
        <is>
          <t>Ground Floor (West)</t>
        </is>
      </c>
      <c r="G184" t="inlineStr">
        <is>
          <t>Office</t>
        </is>
      </c>
      <c r="H184" t="n">
        <v>1946</v>
      </c>
      <c r="I184">
        <f>I130</f>
        <v/>
      </c>
      <c r="J184" t="n">
        <v>2000</v>
      </c>
      <c r="K184" t="inlineStr">
        <is>
          <t>Vacant</t>
        </is>
      </c>
      <c r="N184" s="869" t="n">
        <v>45154</v>
      </c>
      <c r="Q184" t="n">
        <v>0</v>
      </c>
      <c r="R184">
        <f>R130</f>
        <v/>
      </c>
      <c r="T184" t="n">
        <v>113900</v>
      </c>
      <c r="U184">
        <f>U130</f>
        <v/>
      </c>
      <c r="V184" t="n">
        <v>116800</v>
      </c>
      <c r="W184">
        <f>W130</f>
        <v/>
      </c>
      <c r="X184">
        <f>W130/I130</f>
        <v/>
      </c>
      <c r="Y184">
        <f>SUM(W130-U130)/U130</f>
        <v/>
      </c>
      <c r="Z184" t="inlineStr">
        <is>
          <t>E</t>
        </is>
      </c>
      <c r="AC184" t="inlineStr">
        <is>
          <t>No</t>
        </is>
      </c>
      <c r="AD184" t="inlineStr">
        <is>
          <t>LEM marketing.</t>
        </is>
      </c>
      <c r="AE184" t="n">
        <v>60</v>
      </c>
      <c r="AF184" t="n">
        <v>5</v>
      </c>
      <c r="AG184" t="n">
        <v>11</v>
      </c>
      <c r="AH184" t="inlineStr">
        <is>
          <t>LEM</t>
        </is>
      </c>
      <c r="AI184" t="inlineStr">
        <is>
          <t>Void</t>
        </is>
      </c>
    </row>
    <row r="185">
      <c r="A185" t="inlineStr">
        <is>
          <t xml:space="preserve">  Office</t>
        </is>
      </c>
      <c r="B185" t="inlineStr">
        <is>
          <t>SH</t>
        </is>
      </c>
      <c r="C185" t="inlineStr">
        <is>
          <t>MEL</t>
        </is>
      </c>
      <c r="D185" t="n">
        <v>550190</v>
      </c>
      <c r="E185" t="inlineStr">
        <is>
          <t>Circus House,  21 Great Titchfield Street</t>
        </is>
      </c>
      <c r="F185" t="inlineStr">
        <is>
          <t>First Floor</t>
        </is>
      </c>
      <c r="G185" t="inlineStr">
        <is>
          <t>Office</t>
        </is>
      </c>
      <c r="H185" t="n">
        <v>2319</v>
      </c>
      <c r="I185">
        <f>I131</f>
        <v/>
      </c>
      <c r="J185" t="n">
        <v>2250</v>
      </c>
      <c r="K185" t="inlineStr">
        <is>
          <t>Dawbell Limited</t>
        </is>
      </c>
      <c r="L185" s="869" t="n">
        <v>44839</v>
      </c>
      <c r="M185" s="869" t="n">
        <v>46664</v>
      </c>
      <c r="P185" s="869" t="n">
        <v>45935</v>
      </c>
      <c r="Q185" t="n">
        <v>153216</v>
      </c>
      <c r="R185">
        <f>R131</f>
        <v/>
      </c>
      <c r="T185" t="n">
        <v>153600</v>
      </c>
      <c r="U185">
        <f>U131</f>
        <v/>
      </c>
      <c r="V185" t="n">
        <v>151900</v>
      </c>
      <c r="W185">
        <f>W131</f>
        <v/>
      </c>
      <c r="X185">
        <f>W131/I131</f>
        <v/>
      </c>
      <c r="Y185">
        <f>SUM(W131-U131)/U131</f>
        <v/>
      </c>
      <c r="Z185" t="inlineStr">
        <is>
          <t>D</t>
        </is>
      </c>
      <c r="AC185" t="inlineStr">
        <is>
          <t>No</t>
        </is>
      </c>
      <c r="AD185" t="inlineStr">
        <is>
          <t>Rent reducing to £134,064 wef 05/10/25. Tenant break on 6 months notice.</t>
        </is>
      </c>
      <c r="AI185" t="inlineStr">
        <is>
          <t>Let</t>
        </is>
      </c>
    </row>
    <row r="186">
      <c r="A186" t="inlineStr">
        <is>
          <t xml:space="preserve">  Office</t>
        </is>
      </c>
      <c r="B186" t="inlineStr">
        <is>
          <t>SH</t>
        </is>
      </c>
      <c r="C186" t="inlineStr">
        <is>
          <t>MEL</t>
        </is>
      </c>
      <c r="D186" t="n">
        <v>550190</v>
      </c>
      <c r="E186" t="inlineStr">
        <is>
          <t>Circus House,  21 Great Titchfield Street</t>
        </is>
      </c>
      <c r="F186" t="inlineStr">
        <is>
          <t>Second &amp; Third Floors</t>
        </is>
      </c>
      <c r="G186" t="inlineStr">
        <is>
          <t>Office</t>
        </is>
      </c>
      <c r="H186" t="n">
        <v>4653</v>
      </c>
      <c r="I186">
        <f>I132</f>
        <v/>
      </c>
      <c r="J186" t="n">
        <v>4500</v>
      </c>
      <c r="K186" t="inlineStr">
        <is>
          <t>Mesmerise Global Limited</t>
        </is>
      </c>
      <c r="L186" s="869" t="n">
        <v>44879</v>
      </c>
      <c r="M186" s="869" t="n">
        <v>46704</v>
      </c>
      <c r="P186" s="869" t="n">
        <v>45974</v>
      </c>
      <c r="Q186" t="n">
        <v>310500</v>
      </c>
      <c r="R186">
        <f>R132</f>
        <v/>
      </c>
      <c r="T186" t="n">
        <v>310800</v>
      </c>
      <c r="U186">
        <f>U132</f>
        <v/>
      </c>
      <c r="V186" t="n">
        <v>316400</v>
      </c>
      <c r="W186">
        <f>W132</f>
        <v/>
      </c>
      <c r="X186">
        <f>W132/I132</f>
        <v/>
      </c>
      <c r="Y186">
        <f>SUM(W132-U132)/U132</f>
        <v/>
      </c>
      <c r="Z186" t="inlineStr">
        <is>
          <t>D</t>
        </is>
      </c>
      <c r="AC186" t="inlineStr">
        <is>
          <t>No</t>
        </is>
      </c>
      <c r="AD186" t="inlineStr">
        <is>
          <t>Tenant break on 6 months notice. 3 months rent free if not exercised. Break notice served. Ongoing discussions regarding renewal of one floor.</t>
        </is>
      </c>
      <c r="AI186" t="inlineStr">
        <is>
          <t>Let</t>
        </is>
      </c>
    </row>
    <row r="187">
      <c r="A187" t="inlineStr">
        <is>
          <t xml:space="preserve">  Office</t>
        </is>
      </c>
      <c r="B187" t="inlineStr">
        <is>
          <t>SH</t>
        </is>
      </c>
      <c r="C187" t="inlineStr">
        <is>
          <t>MEL</t>
        </is>
      </c>
      <c r="D187" t="n">
        <v>550190</v>
      </c>
      <c r="E187" t="inlineStr">
        <is>
          <t>Circus House,  21 Great Titchfield Street</t>
        </is>
      </c>
      <c r="F187" t="inlineStr">
        <is>
          <t>Fourth Floor</t>
        </is>
      </c>
      <c r="G187" t="inlineStr">
        <is>
          <t>Office</t>
        </is>
      </c>
      <c r="H187" t="n">
        <v>2316</v>
      </c>
      <c r="I187">
        <f>I133</f>
        <v/>
      </c>
      <c r="J187" t="n">
        <v>2250</v>
      </c>
      <c r="K187" t="inlineStr">
        <is>
          <t>Marstead Living Limited</t>
        </is>
      </c>
      <c r="L187" s="869" t="n">
        <v>44883</v>
      </c>
      <c r="M187" s="869" t="n">
        <v>46708</v>
      </c>
      <c r="P187" s="869" t="n">
        <v>45978</v>
      </c>
      <c r="Q187" t="n">
        <v>151875</v>
      </c>
      <c r="R187">
        <f>R133</f>
        <v/>
      </c>
      <c r="T187" t="n">
        <v>152900</v>
      </c>
      <c r="U187">
        <f>U133</f>
        <v/>
      </c>
      <c r="V187" t="n">
        <v>157500</v>
      </c>
      <c r="W187">
        <f>W133</f>
        <v/>
      </c>
      <c r="X187">
        <f>W133/I133</f>
        <v/>
      </c>
      <c r="Y187">
        <f>SUM(W133-U133)/U133</f>
        <v/>
      </c>
      <c r="Z187" t="inlineStr">
        <is>
          <t>E</t>
        </is>
      </c>
      <c r="AC187" t="inlineStr">
        <is>
          <t>No</t>
        </is>
      </c>
      <c r="AD187" t="inlineStr">
        <is>
          <t>Tenant break on 6 months notice. 3 months rent free if not exercised.</t>
        </is>
      </c>
      <c r="AI187" t="inlineStr">
        <is>
          <t>Let</t>
        </is>
      </c>
    </row>
    <row r="188">
      <c r="A188" t="inlineStr">
        <is>
          <t xml:space="preserve">  Office</t>
        </is>
      </c>
      <c r="B188" t="inlineStr">
        <is>
          <t>SH</t>
        </is>
      </c>
      <c r="C188" t="inlineStr">
        <is>
          <t>MEL</t>
        </is>
      </c>
      <c r="D188" t="n">
        <v>550190</v>
      </c>
      <c r="E188" t="inlineStr">
        <is>
          <t>Circus House,  21 Great Titchfield Street</t>
        </is>
      </c>
      <c r="F188" t="inlineStr">
        <is>
          <t>Fifth Floor</t>
        </is>
      </c>
      <c r="G188" t="inlineStr">
        <is>
          <t>Office</t>
        </is>
      </c>
      <c r="H188" t="n">
        <v>2096</v>
      </c>
      <c r="I188">
        <f>I134</f>
        <v/>
      </c>
      <c r="J188" t="n">
        <v>2000</v>
      </c>
      <c r="K188" t="inlineStr">
        <is>
          <t>NSL Limited</t>
        </is>
      </c>
      <c r="L188" s="869" t="n">
        <v>44470</v>
      </c>
      <c r="M188" s="869" t="n">
        <v>46295</v>
      </c>
      <c r="Q188" t="n">
        <v>120750</v>
      </c>
      <c r="R188">
        <f>R134</f>
        <v/>
      </c>
      <c r="T188" t="n">
        <v>141800</v>
      </c>
      <c r="U188">
        <f>U134</f>
        <v/>
      </c>
      <c r="V188" t="n">
        <v>142500</v>
      </c>
      <c r="W188">
        <f>W134</f>
        <v/>
      </c>
      <c r="X188">
        <f>W134/I134</f>
        <v/>
      </c>
      <c r="Y188">
        <f>SUM(W134-U134)/U134</f>
        <v/>
      </c>
      <c r="Z188" t="inlineStr">
        <is>
          <t>E</t>
        </is>
      </c>
      <c r="AC188" t="inlineStr">
        <is>
          <t>No</t>
        </is>
      </c>
      <c r="AD188" t="inlineStr">
        <is>
          <t>Ongoing legal action withdrawn. Rent stop removed. Tenant repaid all arrears.</t>
        </is>
      </c>
      <c r="AI188" t="inlineStr">
        <is>
          <t>Let</t>
        </is>
      </c>
    </row>
    <row r="189"/>
    <row r="190">
      <c r="A190" s="868" t="inlineStr">
        <is>
          <t>Moray House, 23-35 Great Titchfield Street &amp; 63-65 Mortimer Street</t>
        </is>
      </c>
    </row>
    <row r="191">
      <c r="A191" t="inlineStr">
        <is>
          <t xml:space="preserve">  Gym / D1</t>
        </is>
      </c>
      <c r="B191" t="inlineStr">
        <is>
          <t>WS</t>
        </is>
      </c>
      <c r="C191" t="inlineStr">
        <is>
          <t>MEL</t>
        </is>
      </c>
      <c r="D191" t="n">
        <v>550570</v>
      </c>
      <c r="E191" t="inlineStr">
        <is>
          <t>Moray House, 23-35 Great Titchfield Street &amp; 63-65 Mortimer Street</t>
        </is>
      </c>
      <c r="F191" t="inlineStr">
        <is>
          <t>Part Lower Ground</t>
        </is>
      </c>
      <c r="G191" t="inlineStr">
        <is>
          <t>Gym / D1</t>
        </is>
      </c>
      <c r="H191" t="n">
        <v>2604</v>
      </c>
      <c r="I191">
        <f>I135</f>
        <v/>
      </c>
      <c r="J191" t="n">
        <v>2500</v>
      </c>
      <c r="K191" t="inlineStr">
        <is>
          <t>Rehabilitation &amp; Athletics Performance UK Ltd.</t>
        </is>
      </c>
      <c r="L191" s="869" t="n">
        <v>44941</v>
      </c>
      <c r="M191" s="869" t="n">
        <v>47057</v>
      </c>
      <c r="Q191" t="n">
        <v>80000</v>
      </c>
      <c r="R191">
        <f>R135</f>
        <v/>
      </c>
      <c r="T191" t="n">
        <v>80000</v>
      </c>
      <c r="U191">
        <f>U135</f>
        <v/>
      </c>
      <c r="V191" t="n">
        <v>70000</v>
      </c>
      <c r="W191">
        <f>W135</f>
        <v/>
      </c>
      <c r="X191">
        <f>W135/I135</f>
        <v/>
      </c>
      <c r="Y191">
        <f>SUM(W135-U135)/U135</f>
        <v/>
      </c>
      <c r="Z191" t="inlineStr">
        <is>
          <t>D</t>
        </is>
      </c>
      <c r="AC191" t="inlineStr">
        <is>
          <t>No</t>
        </is>
      </c>
      <c r="AD191" t="inlineStr">
        <is>
          <t>Fixed increases 01/05/26 wef  £85,000, 01/05/27 wef £90,000 and 01/05/28 wef £95,000.</t>
        </is>
      </c>
      <c r="AI191" t="inlineStr">
        <is>
          <t>Let</t>
        </is>
      </c>
    </row>
    <row r="192">
      <c r="A192" t="inlineStr">
        <is>
          <t xml:space="preserve">  Shop/Showroom</t>
        </is>
      </c>
      <c r="B192" t="inlineStr">
        <is>
          <t>WS</t>
        </is>
      </c>
      <c r="C192" t="inlineStr">
        <is>
          <t>MEL</t>
        </is>
      </c>
      <c r="D192" t="n">
        <v>550570</v>
      </c>
      <c r="E192" t="inlineStr">
        <is>
          <t>Moray House, 23-35 Great Titchfield Street &amp; 63-65 Mortimer Street</t>
        </is>
      </c>
      <c r="F192" t="inlineStr">
        <is>
          <t>Unit A &amp; B. Ground Floor</t>
        </is>
      </c>
      <c r="G192" t="inlineStr">
        <is>
          <t>Shop/Showroom</t>
        </is>
      </c>
      <c r="H192" t="n">
        <v>1452</v>
      </c>
      <c r="I192">
        <f>I136</f>
        <v/>
      </c>
      <c r="J192" t="n">
        <v>1500</v>
      </c>
      <c r="K192" t="inlineStr">
        <is>
          <t>Medialab Group Ltd.</t>
        </is>
      </c>
      <c r="L192" s="869" t="n">
        <v>45586</v>
      </c>
      <c r="M192" s="869" t="n">
        <v>46827</v>
      </c>
      <c r="P192" s="869" t="n">
        <v>46097</v>
      </c>
      <c r="Q192" t="n">
        <v>117500</v>
      </c>
      <c r="R192">
        <f>R136</f>
        <v/>
      </c>
      <c r="T192" t="n">
        <v>115000</v>
      </c>
      <c r="U192">
        <f>U136</f>
        <v/>
      </c>
      <c r="V192" t="n">
        <v>115000</v>
      </c>
      <c r="W192">
        <f>W136</f>
        <v/>
      </c>
      <c r="X192">
        <f>W136/I136</f>
        <v/>
      </c>
      <c r="Y192">
        <f>SUM(W136-U136)/U136</f>
        <v/>
      </c>
      <c r="Z192" t="inlineStr">
        <is>
          <t>B</t>
        </is>
      </c>
      <c r="AC192" t="inlineStr">
        <is>
          <t>No</t>
        </is>
      </c>
      <c r="AD192" t="inlineStr">
        <is>
          <t>Tenant break on 6 months notice.</t>
        </is>
      </c>
      <c r="AI192" t="inlineStr">
        <is>
          <t>Let</t>
        </is>
      </c>
    </row>
    <row r="193">
      <c r="A193" t="inlineStr">
        <is>
          <t xml:space="preserve">  Office/ Showroom</t>
        </is>
      </c>
      <c r="B193" t="inlineStr">
        <is>
          <t>WS</t>
        </is>
      </c>
      <c r="C193" t="inlineStr">
        <is>
          <t>MEL</t>
        </is>
      </c>
      <c r="D193" t="n">
        <v>550570</v>
      </c>
      <c r="E193" t="inlineStr">
        <is>
          <t>Moray House, 23-35 Great Titchfield Street &amp; 63-65 Mortimer Street</t>
        </is>
      </c>
      <c r="F193" t="inlineStr">
        <is>
          <t>Unit C. Ground Floor &amp; Basement</t>
        </is>
      </c>
      <c r="G193" t="inlineStr">
        <is>
          <t>Office/ Showroom</t>
        </is>
      </c>
      <c r="H193" t="n">
        <v>1949</v>
      </c>
      <c r="I193">
        <f>I137</f>
        <v/>
      </c>
      <c r="J193" t="n">
        <v>2000</v>
      </c>
      <c r="K193" t="inlineStr">
        <is>
          <t>H Illume Ltd (t/a LAPO)</t>
        </is>
      </c>
      <c r="L193" s="869" t="n">
        <v>45687</v>
      </c>
      <c r="M193" s="869" t="n">
        <v>49338</v>
      </c>
      <c r="O193" s="869" t="n">
        <v>47513</v>
      </c>
      <c r="Q193" t="n">
        <v>59000</v>
      </c>
      <c r="R193">
        <f>R137</f>
        <v/>
      </c>
      <c r="T193" t="n">
        <v>91000</v>
      </c>
      <c r="U193">
        <f>U137</f>
        <v/>
      </c>
      <c r="V193" t="n">
        <v>115000</v>
      </c>
      <c r="W193">
        <f>W137</f>
        <v/>
      </c>
      <c r="X193">
        <f>W137/I137</f>
        <v/>
      </c>
      <c r="Y193">
        <f>SUM(W137-U137)/U137</f>
        <v/>
      </c>
      <c r="Z193" t="inlineStr">
        <is>
          <t>D</t>
        </is>
      </c>
      <c r="AC193" t="inlineStr">
        <is>
          <t>No</t>
        </is>
      </c>
      <c r="AD193" t="inlineStr">
        <is>
          <t>Rent increasing to £118,000 wef 30/04/26.</t>
        </is>
      </c>
      <c r="AG193" t="n">
        <v>3</v>
      </c>
      <c r="AH193" t="inlineStr">
        <is>
          <t>LEM</t>
        </is>
      </c>
      <c r="AI193" t="inlineStr">
        <is>
          <t>Let</t>
        </is>
      </c>
    </row>
    <row r="194">
      <c r="A194" t="inlineStr">
        <is>
          <t xml:space="preserve">  Gym / D1</t>
        </is>
      </c>
      <c r="B194" t="inlineStr">
        <is>
          <t>WS</t>
        </is>
      </c>
      <c r="C194" t="inlineStr">
        <is>
          <t>MEL</t>
        </is>
      </c>
      <c r="D194" t="n">
        <v>550570</v>
      </c>
      <c r="E194" t="inlineStr">
        <is>
          <t>Moray House, 23-35 Great Titchfield Street &amp; 63-65 Mortimer Street</t>
        </is>
      </c>
      <c r="F194" t="inlineStr">
        <is>
          <t>Unit D &amp; E. Ground Floor &amp; Part Basement</t>
        </is>
      </c>
      <c r="G194" t="inlineStr">
        <is>
          <t>Gym / D1</t>
        </is>
      </c>
      <c r="H194" t="n">
        <v>4976</v>
      </c>
      <c r="I194">
        <f>I138</f>
        <v/>
      </c>
      <c r="J194" t="n">
        <v>5000</v>
      </c>
      <c r="K194" t="inlineStr">
        <is>
          <t>CSS F45 UK Ltd</t>
        </is>
      </c>
      <c r="L194" s="869" t="n">
        <v>44722</v>
      </c>
      <c r="M194" s="869" t="n">
        <v>48374</v>
      </c>
      <c r="O194" s="869" t="n">
        <v>46548</v>
      </c>
      <c r="P194" s="869" t="n">
        <v>46547</v>
      </c>
      <c r="Q194" t="n">
        <v>230000</v>
      </c>
      <c r="R194">
        <f>R138</f>
        <v/>
      </c>
      <c r="T194" t="n">
        <v>230000</v>
      </c>
      <c r="U194">
        <f>U138</f>
        <v/>
      </c>
      <c r="V194" t="n">
        <v>230000</v>
      </c>
      <c r="W194">
        <f>W138</f>
        <v/>
      </c>
      <c r="X194">
        <f>W138/I138</f>
        <v/>
      </c>
      <c r="Y194">
        <f>SUM(W138-U138)/U138</f>
        <v/>
      </c>
      <c r="Z194" t="inlineStr">
        <is>
          <t>B</t>
        </is>
      </c>
      <c r="AC194" t="inlineStr">
        <is>
          <t>No</t>
        </is>
      </c>
      <c r="AD194" t="inlineStr">
        <is>
          <t xml:space="preserve">Tenant break on 6 months notice. </t>
        </is>
      </c>
      <c r="AI194" t="inlineStr">
        <is>
          <t>Let</t>
        </is>
      </c>
    </row>
    <row r="195">
      <c r="A195" t="inlineStr">
        <is>
          <t xml:space="preserve">  Office</t>
        </is>
      </c>
      <c r="B195" t="inlineStr">
        <is>
          <t>WS</t>
        </is>
      </c>
      <c r="C195" t="inlineStr">
        <is>
          <t>MEL</t>
        </is>
      </c>
      <c r="D195" t="n">
        <v>550570</v>
      </c>
      <c r="E195" t="inlineStr">
        <is>
          <t>Moray House, 23-35 Great Titchfield Street &amp; 63-65 Mortimer Street</t>
        </is>
      </c>
      <c r="F195" t="inlineStr">
        <is>
          <t>Suite 1.1 First Floor</t>
        </is>
      </c>
      <c r="G195" t="inlineStr">
        <is>
          <t>Office</t>
        </is>
      </c>
      <c r="H195" t="n">
        <v>1443</v>
      </c>
      <c r="I195">
        <f>I139</f>
        <v/>
      </c>
      <c r="J195" t="n">
        <v>1500</v>
      </c>
      <c r="K195" t="inlineStr">
        <is>
          <t>Vacant</t>
        </is>
      </c>
      <c r="N195" s="869" t="n">
        <v>44121</v>
      </c>
      <c r="Q195" t="n">
        <v>0</v>
      </c>
      <c r="R195">
        <f>R139</f>
        <v/>
      </c>
      <c r="T195" t="n">
        <v>87800</v>
      </c>
      <c r="U195">
        <f>U139</f>
        <v/>
      </c>
      <c r="V195" t="n">
        <v>90200</v>
      </c>
      <c r="W195">
        <f>W139</f>
        <v/>
      </c>
      <c r="X195">
        <f>W139/I139</f>
        <v/>
      </c>
      <c r="Y195">
        <f>SUM(W139-U139)/U139</f>
        <v/>
      </c>
      <c r="Z195" t="inlineStr">
        <is>
          <t>D</t>
        </is>
      </c>
      <c r="AC195" t="inlineStr">
        <is>
          <t>No</t>
        </is>
      </c>
      <c r="AD195" t="inlineStr">
        <is>
          <t>To be refurbished.</t>
        </is>
      </c>
      <c r="AE195" t="n">
        <v>65</v>
      </c>
      <c r="AG195" t="n">
        <v>3</v>
      </c>
      <c r="AH195" t="inlineStr">
        <is>
          <t>LEM</t>
        </is>
      </c>
      <c r="AI195" t="inlineStr">
        <is>
          <t>Void</t>
        </is>
      </c>
    </row>
    <row r="196">
      <c r="A196" t="inlineStr">
        <is>
          <t xml:space="preserve">  Showroom/Office</t>
        </is>
      </c>
      <c r="B196" t="inlineStr">
        <is>
          <t>WS</t>
        </is>
      </c>
      <c r="C196" t="inlineStr">
        <is>
          <t>MEL</t>
        </is>
      </c>
      <c r="D196" t="n">
        <v>550570</v>
      </c>
      <c r="E196" t="inlineStr">
        <is>
          <t>Moray House, 23-35 Great Titchfield Street &amp; 63-65 Mortimer Street</t>
        </is>
      </c>
      <c r="F196" t="inlineStr">
        <is>
          <t xml:space="preserve">Suites 2 &amp; 3 First Floor  </t>
        </is>
      </c>
      <c r="G196" t="inlineStr">
        <is>
          <t>Showroom/Office</t>
        </is>
      </c>
      <c r="H196" t="n">
        <v>2851</v>
      </c>
      <c r="I196">
        <f>I140</f>
        <v/>
      </c>
      <c r="J196" t="n">
        <v>2750</v>
      </c>
      <c r="K196" t="inlineStr">
        <is>
          <t>Wacoal Emea Ltd.</t>
        </is>
      </c>
      <c r="L196" s="869" t="n">
        <v>42192</v>
      </c>
      <c r="M196" s="869" t="n">
        <v>45844</v>
      </c>
      <c r="O196" s="869" t="n">
        <v>44019</v>
      </c>
      <c r="Q196" t="n">
        <v>156000</v>
      </c>
      <c r="R196">
        <f>R140</f>
        <v/>
      </c>
      <c r="T196" t="n">
        <v>151300</v>
      </c>
      <c r="U196">
        <f>U140</f>
        <v/>
      </c>
      <c r="V196" t="n">
        <v>178200</v>
      </c>
      <c r="W196">
        <f>W140</f>
        <v/>
      </c>
      <c r="X196">
        <f>W140/I140</f>
        <v/>
      </c>
      <c r="Y196">
        <f>SUM(W140-U140)/U140</f>
        <v/>
      </c>
      <c r="Z196" t="inlineStr">
        <is>
          <t>C</t>
        </is>
      </c>
      <c r="AC196" t="inlineStr">
        <is>
          <t>No</t>
        </is>
      </c>
      <c r="AD196" t="inlineStr">
        <is>
          <t>Tenant vacating on expiry. Renewal discussions ended.</t>
        </is>
      </c>
      <c r="AI196" t="inlineStr">
        <is>
          <t>Let</t>
        </is>
      </c>
    </row>
    <row r="197">
      <c r="A197" t="inlineStr">
        <is>
          <t xml:space="preserve">  Showroom/Office</t>
        </is>
      </c>
      <c r="B197" t="inlineStr">
        <is>
          <t>WS</t>
        </is>
      </c>
      <c r="C197" t="inlineStr">
        <is>
          <t>MEL</t>
        </is>
      </c>
      <c r="D197" t="n">
        <v>550570</v>
      </c>
      <c r="E197" t="inlineStr">
        <is>
          <t>Moray House, 23-35 Great Titchfield Street &amp; 63-65 Mortimer Street</t>
        </is>
      </c>
      <c r="F197" t="inlineStr">
        <is>
          <t>Suite 4 First Floor</t>
        </is>
      </c>
      <c r="G197" t="inlineStr">
        <is>
          <t>Showroom/Office</t>
        </is>
      </c>
      <c r="H197" t="n">
        <v>483</v>
      </c>
      <c r="I197">
        <f>I141</f>
        <v/>
      </c>
      <c r="J197" t="n">
        <v>500</v>
      </c>
      <c r="K197" t="inlineStr">
        <is>
          <t>Oldie Publications Ltd</t>
        </is>
      </c>
      <c r="L197" s="869" t="n">
        <v>44272</v>
      </c>
      <c r="M197" s="869" t="n">
        <v>46097</v>
      </c>
      <c r="Q197" t="n">
        <v>52200</v>
      </c>
      <c r="R197">
        <f>R141</f>
        <v/>
      </c>
      <c r="T197" t="n">
        <v>54900</v>
      </c>
      <c r="U197">
        <f>U141</f>
        <v/>
      </c>
      <c r="V197" t="n">
        <v>30200</v>
      </c>
      <c r="W197">
        <f>W141</f>
        <v/>
      </c>
      <c r="X197">
        <f>W141/I141</f>
        <v/>
      </c>
      <c r="Y197">
        <f>SUM(W141-U141)/U141</f>
        <v/>
      </c>
      <c r="Z197" t="inlineStr">
        <is>
          <t>E</t>
        </is>
      </c>
      <c r="AC197" t="inlineStr">
        <is>
          <t>No</t>
        </is>
      </c>
      <c r="AI197" t="inlineStr">
        <is>
          <t>Let</t>
        </is>
      </c>
    </row>
    <row r="198">
      <c r="A198" t="inlineStr">
        <is>
          <t xml:space="preserve">  Showroom</t>
        </is>
      </c>
      <c r="B198" t="inlineStr">
        <is>
          <t>WS</t>
        </is>
      </c>
      <c r="C198" t="inlineStr">
        <is>
          <t>MEL</t>
        </is>
      </c>
      <c r="D198" t="n">
        <v>550570</v>
      </c>
      <c r="E198" t="inlineStr">
        <is>
          <t>Moray House, 23-35 Great Titchfield Street &amp; 63-65 Mortimer Street</t>
        </is>
      </c>
      <c r="F198" t="inlineStr">
        <is>
          <t>Suites 1, 2, 3 &amp; 4, Second Floor</t>
        </is>
      </c>
      <c r="G198" t="inlineStr">
        <is>
          <t>Showroom</t>
        </is>
      </c>
      <c r="H198" t="n">
        <v>3299</v>
      </c>
      <c r="I198">
        <f>I142</f>
        <v/>
      </c>
      <c r="J198" t="n">
        <v>3250</v>
      </c>
      <c r="K198" t="inlineStr">
        <is>
          <t>InPost UK Limited</t>
        </is>
      </c>
      <c r="L198" s="869" t="n">
        <v>45807</v>
      </c>
      <c r="M198" s="869" t="n">
        <v>47143</v>
      </c>
      <c r="P198" s="869" t="n">
        <v>46408</v>
      </c>
      <c r="Q198" t="n">
        <v>0</v>
      </c>
      <c r="R198">
        <f>R142</f>
        <v/>
      </c>
      <c r="T198" t="n">
        <v>193200</v>
      </c>
      <c r="U198">
        <f>U142</f>
        <v/>
      </c>
      <c r="V198" t="n">
        <v>209500</v>
      </c>
      <c r="W198">
        <f>W142</f>
        <v/>
      </c>
      <c r="X198">
        <f>W142/I142</f>
        <v/>
      </c>
      <c r="Y198">
        <f>SUM(W142-U142)/U142</f>
        <v/>
      </c>
      <c r="Z198" t="inlineStr">
        <is>
          <t>B</t>
        </is>
      </c>
      <c r="AC198" t="inlineStr">
        <is>
          <t>No</t>
        </is>
      </c>
      <c r="AD198" t="inlineStr">
        <is>
          <t>Rent £231,000 wef 30/07/25. Tenant break on 6 months notice. 1 month rent free wef 22/01/27 if break not exercised.</t>
        </is>
      </c>
      <c r="AF198" t="n">
        <v>3</v>
      </c>
      <c r="AG198" t="n">
        <v>5</v>
      </c>
      <c r="AI198" t="inlineStr">
        <is>
          <t>Let</t>
        </is>
      </c>
    </row>
    <row r="199">
      <c r="A199" t="inlineStr">
        <is>
          <t xml:space="preserve">  Showroom/ Office</t>
        </is>
      </c>
      <c r="B199" t="inlineStr">
        <is>
          <t>WS</t>
        </is>
      </c>
      <c r="C199" t="inlineStr">
        <is>
          <t>MEL</t>
        </is>
      </c>
      <c r="D199" t="n">
        <v>550570</v>
      </c>
      <c r="E199" t="inlineStr">
        <is>
          <t>Moray House, 23-35 Great Titchfield Street &amp; 63-65 Mortimer Street</t>
        </is>
      </c>
      <c r="F199" t="inlineStr">
        <is>
          <t>Suite 5, Second Floor</t>
        </is>
      </c>
      <c r="G199" t="inlineStr">
        <is>
          <t>Showroom/ Office</t>
        </is>
      </c>
      <c r="H199" t="n">
        <v>882</v>
      </c>
      <c r="I199">
        <f>I143</f>
        <v/>
      </c>
      <c r="J199" t="n">
        <v>1000</v>
      </c>
      <c r="K199" t="inlineStr">
        <is>
          <t>Carbonaires Ltd</t>
        </is>
      </c>
      <c r="L199" s="869" t="n">
        <v>45114</v>
      </c>
      <c r="M199" s="869" t="n">
        <v>46209</v>
      </c>
      <c r="P199" s="869" t="n">
        <v>45844</v>
      </c>
      <c r="Q199" t="n">
        <v>56225</v>
      </c>
      <c r="R199">
        <f>R143</f>
        <v/>
      </c>
      <c r="T199" t="n">
        <v>52800</v>
      </c>
      <c r="U199">
        <f>U143</f>
        <v/>
      </c>
      <c r="V199" t="n">
        <v>56225</v>
      </c>
      <c r="W199">
        <f>W143</f>
        <v/>
      </c>
      <c r="X199">
        <f>W143/I143</f>
        <v/>
      </c>
      <c r="Y199">
        <f>SUM(W143-U143)/U143</f>
        <v/>
      </c>
      <c r="Z199" t="inlineStr">
        <is>
          <t>D</t>
        </is>
      </c>
      <c r="AC199" t="inlineStr">
        <is>
          <t>No</t>
        </is>
      </c>
      <c r="AD199" t="inlineStr">
        <is>
          <t>Tenant break on 6 months notice. Rent free @ 07/07/25 to 20/09/25 if not exercised.</t>
        </is>
      </c>
      <c r="AI199" t="inlineStr">
        <is>
          <t>Let</t>
        </is>
      </c>
    </row>
    <row r="200">
      <c r="A200" t="inlineStr">
        <is>
          <t xml:space="preserve">  Showroom/ Office</t>
        </is>
      </c>
      <c r="B200" t="inlineStr">
        <is>
          <t>WS</t>
        </is>
      </c>
      <c r="C200" t="inlineStr">
        <is>
          <t>MEL</t>
        </is>
      </c>
      <c r="D200" t="n">
        <v>550570</v>
      </c>
      <c r="E200" t="inlineStr">
        <is>
          <t>Moray House, 23-35 Great Titchfield Street &amp; 63-65 Mortimer Street</t>
        </is>
      </c>
      <c r="F200" t="inlineStr">
        <is>
          <t>Third Floor</t>
        </is>
      </c>
      <c r="G200" t="inlineStr">
        <is>
          <t>Showroom/ Office</t>
        </is>
      </c>
      <c r="H200" t="n">
        <v>4169</v>
      </c>
      <c r="I200">
        <f>I144</f>
        <v/>
      </c>
      <c r="J200" t="n">
        <v>4000</v>
      </c>
      <c r="K200" t="inlineStr">
        <is>
          <t>Knotel Moray House Ltd.</t>
        </is>
      </c>
      <c r="L200" s="869" t="n">
        <v>43378</v>
      </c>
      <c r="M200" s="869" t="n">
        <v>47030</v>
      </c>
      <c r="O200" s="869" t="n">
        <v>45204</v>
      </c>
      <c r="Q200" t="n">
        <v>257635</v>
      </c>
      <c r="R200">
        <f>R144</f>
        <v/>
      </c>
      <c r="T200" t="n">
        <v>264100</v>
      </c>
      <c r="U200">
        <f>U144</f>
        <v/>
      </c>
      <c r="V200" t="n">
        <v>271000</v>
      </c>
      <c r="W200">
        <f>W144</f>
        <v/>
      </c>
      <c r="X200">
        <f>W144/I144</f>
        <v/>
      </c>
      <c r="Y200">
        <f>SUM(W144-U144)/U144</f>
        <v/>
      </c>
      <c r="Z200" t="inlineStr">
        <is>
          <t>D</t>
        </is>
      </c>
      <c r="AC200" t="inlineStr">
        <is>
          <t>No</t>
        </is>
      </c>
      <c r="AD200" t="inlineStr">
        <is>
          <t>Landlords redevelopment break @ 04/10/26 on 9 months notice.</t>
        </is>
      </c>
      <c r="AF200" t="n">
        <v>1</v>
      </c>
      <c r="AG200" t="n">
        <v>1</v>
      </c>
      <c r="AI200" t="inlineStr">
        <is>
          <t>Let</t>
        </is>
      </c>
    </row>
    <row r="201">
      <c r="A201" t="inlineStr">
        <is>
          <t xml:space="preserve">  Office</t>
        </is>
      </c>
      <c r="B201" t="inlineStr">
        <is>
          <t>WS</t>
        </is>
      </c>
      <c r="C201" t="inlineStr">
        <is>
          <t>MEL</t>
        </is>
      </c>
      <c r="D201" t="n">
        <v>550570</v>
      </c>
      <c r="E201" t="inlineStr">
        <is>
          <t>Moray House, 23-35 Great Titchfield Street &amp; 63-65 Mortimer Street</t>
        </is>
      </c>
      <c r="F201" t="inlineStr">
        <is>
          <t>Suite 1, 2 &amp; 3  Fourth Floor</t>
        </is>
      </c>
      <c r="G201" t="inlineStr">
        <is>
          <t>Office</t>
        </is>
      </c>
      <c r="H201" t="n">
        <v>4098</v>
      </c>
      <c r="I201">
        <f>I145</f>
        <v/>
      </c>
      <c r="J201" t="n">
        <v>4000</v>
      </c>
      <c r="K201" t="inlineStr">
        <is>
          <t>InPost UK Limited</t>
        </is>
      </c>
      <c r="L201" s="869" t="n">
        <v>45317</v>
      </c>
      <c r="M201" s="869" t="n">
        <v>47143</v>
      </c>
      <c r="P201" s="869" t="n">
        <v>46047</v>
      </c>
      <c r="Q201" t="n">
        <v>304500</v>
      </c>
      <c r="R201">
        <f>R145</f>
        <v/>
      </c>
      <c r="T201" t="n">
        <v>255600</v>
      </c>
      <c r="U201">
        <f>U145</f>
        <v/>
      </c>
      <c r="V201" t="n">
        <v>304500</v>
      </c>
      <c r="W201">
        <f>W145</f>
        <v/>
      </c>
      <c r="X201">
        <f>W145/I145</f>
        <v/>
      </c>
      <c r="Y201">
        <f>SUM(W145-U145)/U145</f>
        <v/>
      </c>
      <c r="Z201" t="inlineStr">
        <is>
          <t>B</t>
        </is>
      </c>
      <c r="AC201" t="inlineStr">
        <is>
          <t>No</t>
        </is>
      </c>
      <c r="AD201" t="inlineStr">
        <is>
          <t>Tenant breaks @ 26/01/26 &amp; 21/01/27 on 3 months notice. One month rent free if not exercised.</t>
        </is>
      </c>
      <c r="AI201" t="inlineStr">
        <is>
          <t>Let</t>
        </is>
      </c>
    </row>
    <row r="202">
      <c r="A202" t="inlineStr">
        <is>
          <t xml:space="preserve">  Office</t>
        </is>
      </c>
      <c r="B202" t="inlineStr">
        <is>
          <t>WS</t>
        </is>
      </c>
      <c r="C202" t="inlineStr">
        <is>
          <t>MEL</t>
        </is>
      </c>
      <c r="D202" t="n">
        <v>550570</v>
      </c>
      <c r="E202" t="inlineStr">
        <is>
          <t>Moray House, 23-35 Great Titchfield Street &amp; 63-65 Mortimer Street</t>
        </is>
      </c>
      <c r="F202" t="inlineStr">
        <is>
          <t>Fifth Floor</t>
        </is>
      </c>
      <c r="G202" t="inlineStr">
        <is>
          <t>Office</t>
        </is>
      </c>
      <c r="H202" t="n">
        <v>3179</v>
      </c>
      <c r="I202">
        <f>I146</f>
        <v/>
      </c>
      <c r="J202" t="n">
        <v>3000</v>
      </c>
      <c r="K202" t="inlineStr">
        <is>
          <t xml:space="preserve">ACP Ltd &amp; ACM Ltd </t>
        </is>
      </c>
      <c r="L202" s="869" t="n">
        <v>45086</v>
      </c>
      <c r="M202" s="869" t="n">
        <v>46912</v>
      </c>
      <c r="P202" s="869" t="n">
        <v>46181</v>
      </c>
      <c r="Q202" t="n">
        <v>225875</v>
      </c>
      <c r="R202">
        <f>R146</f>
        <v/>
      </c>
      <c r="T202" t="n">
        <v>196883</v>
      </c>
      <c r="U202">
        <f>U146</f>
        <v/>
      </c>
      <c r="V202" t="n">
        <v>230500</v>
      </c>
      <c r="W202">
        <f>W146</f>
        <v/>
      </c>
      <c r="X202">
        <f>W146/I146</f>
        <v/>
      </c>
      <c r="Y202">
        <f>SUM(W146-U146)/U146</f>
        <v/>
      </c>
      <c r="Z202" t="inlineStr">
        <is>
          <t>D</t>
        </is>
      </c>
      <c r="AC202" t="inlineStr">
        <is>
          <t>No</t>
        </is>
      </c>
      <c r="AD202" t="inlineStr">
        <is>
          <t>Tenant break on 6 months notice. Rent free @ 09/06/26 to 23/09/26 if not exercised.</t>
        </is>
      </c>
      <c r="AI202" t="inlineStr">
        <is>
          <t>Let</t>
        </is>
      </c>
    </row>
    <row r="203">
      <c r="A203" t="inlineStr">
        <is>
          <t xml:space="preserve">  Office</t>
        </is>
      </c>
      <c r="B203" t="inlineStr">
        <is>
          <t>WS</t>
        </is>
      </c>
      <c r="C203" t="inlineStr">
        <is>
          <t>MEL</t>
        </is>
      </c>
      <c r="D203" t="n">
        <v>550570</v>
      </c>
      <c r="E203" t="inlineStr">
        <is>
          <t>Moray House, 23-35 Great Titchfield Street &amp; 63-65 Mortimer Street</t>
        </is>
      </c>
      <c r="F203" t="inlineStr">
        <is>
          <t>Suites 1 &amp; 2 , Sixth Floor</t>
        </is>
      </c>
      <c r="G203" t="inlineStr">
        <is>
          <t>Office</t>
        </is>
      </c>
      <c r="H203" t="n">
        <v>2099</v>
      </c>
      <c r="I203">
        <f>I147</f>
        <v/>
      </c>
      <c r="J203" t="n">
        <v>2000</v>
      </c>
      <c r="K203" t="inlineStr">
        <is>
          <t>Katch Investment Management Ltd</t>
        </is>
      </c>
      <c r="L203" s="869" t="n">
        <v>45019</v>
      </c>
      <c r="M203" s="869" t="n">
        <v>46845</v>
      </c>
      <c r="P203" s="869" t="n">
        <v>46114</v>
      </c>
      <c r="Q203" t="n">
        <v>133250</v>
      </c>
      <c r="R203">
        <f>R147</f>
        <v/>
      </c>
      <c r="T203" t="n">
        <v>135167</v>
      </c>
      <c r="U203">
        <f>U147</f>
        <v/>
      </c>
      <c r="V203" t="n">
        <v>152200</v>
      </c>
      <c r="W203">
        <f>W147</f>
        <v/>
      </c>
      <c r="X203">
        <f>W147/I147</f>
        <v/>
      </c>
      <c r="Y203">
        <f>SUM(W147-U147)/U147</f>
        <v/>
      </c>
      <c r="Z203" t="inlineStr">
        <is>
          <t>D</t>
        </is>
      </c>
      <c r="AC203" t="inlineStr">
        <is>
          <t>No</t>
        </is>
      </c>
      <c r="AD203" t="inlineStr">
        <is>
          <t>Tenant break on 6 months notice. Rent reduces to £66,625 for 2 months if not exercised.</t>
        </is>
      </c>
      <c r="AI203" t="inlineStr">
        <is>
          <t>Let</t>
        </is>
      </c>
    </row>
    <row r="204">
      <c r="A204" t="inlineStr">
        <is>
          <t xml:space="preserve">  Residential</t>
        </is>
      </c>
      <c r="B204" t="inlineStr">
        <is>
          <t>WS</t>
        </is>
      </c>
      <c r="C204" t="inlineStr">
        <is>
          <t>MEL</t>
        </is>
      </c>
      <c r="D204" t="n">
        <v>550570</v>
      </c>
      <c r="E204" t="inlineStr">
        <is>
          <t>Moray House, 23-35 Great Titchfield Street &amp; 63-65 Mortimer Street</t>
        </is>
      </c>
      <c r="F204" t="inlineStr">
        <is>
          <t>Sixth Floor</t>
        </is>
      </c>
      <c r="G204" t="inlineStr">
        <is>
          <t>Residential</t>
        </is>
      </c>
      <c r="H204" t="n">
        <v>580</v>
      </c>
      <c r="I204">
        <f>I148</f>
        <v/>
      </c>
      <c r="J204" t="n">
        <v>500</v>
      </c>
      <c r="K204" t="inlineStr">
        <is>
          <t>Mr M Versteegh &amp; Mr W Antell</t>
        </is>
      </c>
      <c r="L204" s="869" t="n">
        <v>45546</v>
      </c>
      <c r="M204" s="869" t="n">
        <v>45910</v>
      </c>
      <c r="Q204" t="n">
        <v>42016</v>
      </c>
      <c r="R204">
        <f>R148</f>
        <v/>
      </c>
      <c r="T204" t="n">
        <v>26496</v>
      </c>
      <c r="U204">
        <f>U148</f>
        <v/>
      </c>
      <c r="V204" t="n">
        <v>26496</v>
      </c>
      <c r="W204">
        <f>W148</f>
        <v/>
      </c>
      <c r="X204">
        <f>W148/I148</f>
        <v/>
      </c>
      <c r="Y204">
        <f>SUM(W148-U148)/U148</f>
        <v/>
      </c>
      <c r="Z204" t="inlineStr">
        <is>
          <t>E</t>
        </is>
      </c>
      <c r="AC204" t="inlineStr">
        <is>
          <t>No</t>
        </is>
      </c>
      <c r="AI204" t="inlineStr">
        <is>
          <t>Let</t>
        </is>
      </c>
    </row>
    <row r="205"/>
    <row r="206">
      <c r="A206" s="868" t="inlineStr">
        <is>
          <t>56 Great Titchfield Street</t>
        </is>
      </c>
    </row>
    <row r="207">
      <c r="A207" t="inlineStr">
        <is>
          <t xml:space="preserve">  Retail</t>
        </is>
      </c>
      <c r="B207" t="inlineStr">
        <is>
          <t>CD</t>
        </is>
      </c>
      <c r="C207" t="inlineStr">
        <is>
          <t>MEL</t>
        </is>
      </c>
      <c r="D207" t="n">
        <v>550430</v>
      </c>
      <c r="E207" t="inlineStr">
        <is>
          <t>56 Great Titchfield Street</t>
        </is>
      </c>
      <c r="F207" t="inlineStr">
        <is>
          <t>Whole Building</t>
        </is>
      </c>
      <c r="G207" t="inlineStr">
        <is>
          <t>Retail</t>
        </is>
      </c>
      <c r="H207" t="n">
        <v>2692</v>
      </c>
      <c r="I207">
        <f>I149</f>
        <v/>
      </c>
      <c r="J207" t="n">
        <v>2750</v>
      </c>
      <c r="K207" t="inlineStr">
        <is>
          <t>Morplan Ltd.</t>
        </is>
      </c>
      <c r="L207" s="869" t="n">
        <v>39814</v>
      </c>
      <c r="M207" s="869" t="n">
        <v>45747</v>
      </c>
      <c r="Q207" t="n">
        <v>104500</v>
      </c>
      <c r="R207">
        <f>R149</f>
        <v/>
      </c>
      <c r="S207">
        <f>S149</f>
        <v/>
      </c>
      <c r="T207" t="n">
        <v>94400</v>
      </c>
      <c r="U207">
        <f>U149</f>
        <v/>
      </c>
      <c r="V207" t="n">
        <v>94400</v>
      </c>
      <c r="W207">
        <f>W149</f>
        <v/>
      </c>
      <c r="X207">
        <f>W149/I149</f>
        <v/>
      </c>
      <c r="Y207">
        <f>SUM(W149-U149)/U149</f>
        <v/>
      </c>
      <c r="Z207" t="inlineStr">
        <is>
          <t>B</t>
        </is>
      </c>
      <c r="AB207" t="n">
        <v>1425000</v>
      </c>
      <c r="AC207" t="inlineStr">
        <is>
          <t>Yes</t>
        </is>
      </c>
      <c r="AD207" t="inlineStr">
        <is>
          <t>Tenant holding over. S25 served terminating tenancy @ 12/10/24. Lease renewal agreed. Awaiting completion. Lease extension agreed to 31/03/25</t>
        </is>
      </c>
      <c r="AI207" t="inlineStr">
        <is>
          <t>Let</t>
        </is>
      </c>
    </row>
    <row r="208"/>
    <row r="209">
      <c r="A209" s="868" t="inlineStr">
        <is>
          <t>58 Great Titchfield Street</t>
        </is>
      </c>
    </row>
    <row r="210">
      <c r="A210" t="inlineStr">
        <is>
          <t xml:space="preserve">  Retail</t>
        </is>
      </c>
      <c r="B210" t="inlineStr">
        <is>
          <t>CD</t>
        </is>
      </c>
      <c r="C210" t="inlineStr">
        <is>
          <t>MEL</t>
        </is>
      </c>
      <c r="D210" t="n">
        <v>550440</v>
      </c>
      <c r="E210" t="inlineStr">
        <is>
          <t>58 Great Titchfield Street</t>
        </is>
      </c>
      <c r="F210" t="inlineStr">
        <is>
          <t>Basement &amp; Ground Floor</t>
        </is>
      </c>
      <c r="G210" t="inlineStr">
        <is>
          <t>Retail</t>
        </is>
      </c>
      <c r="H210" t="n">
        <v>1171</v>
      </c>
      <c r="I210">
        <f>I150</f>
        <v/>
      </c>
      <c r="J210" t="n">
        <v>1000</v>
      </c>
      <c r="K210" t="inlineStr">
        <is>
          <t>Morplan Ltd.</t>
        </is>
      </c>
      <c r="L210" s="869" t="n">
        <v>39814</v>
      </c>
      <c r="M210" s="869" t="n">
        <v>45747</v>
      </c>
      <c r="Q210" t="n">
        <v>50425</v>
      </c>
      <c r="R210">
        <f>R150</f>
        <v/>
      </c>
      <c r="T210" t="n">
        <v>41000</v>
      </c>
      <c r="U210">
        <f>U150</f>
        <v/>
      </c>
      <c r="V210" t="n">
        <v>41000</v>
      </c>
      <c r="W210">
        <f>W150</f>
        <v/>
      </c>
      <c r="X210">
        <f>W150/I150</f>
        <v/>
      </c>
      <c r="Y210">
        <f>SUM(W150-U150)/U150</f>
        <v/>
      </c>
      <c r="Z210" t="inlineStr">
        <is>
          <t>B</t>
        </is>
      </c>
      <c r="AC210" t="inlineStr">
        <is>
          <t>Yes</t>
        </is>
      </c>
      <c r="AD210" t="inlineStr">
        <is>
          <t>Tenant holding over. S25 served terminating tenancy @ 12/10/24. Lease renewal agreed. Awaiting completion. Lease extension agreed to 31/03/25</t>
        </is>
      </c>
      <c r="AI210" t="inlineStr">
        <is>
          <t>Let</t>
        </is>
      </c>
    </row>
    <row r="211">
      <c r="A211" t="inlineStr">
        <is>
          <t xml:space="preserve">  Retail/Showroom/Office</t>
        </is>
      </c>
      <c r="B211" t="inlineStr">
        <is>
          <t>CD</t>
        </is>
      </c>
      <c r="C211" t="inlineStr">
        <is>
          <t>MEL</t>
        </is>
      </c>
      <c r="D211" t="n">
        <v>550440</v>
      </c>
      <c r="E211" t="inlineStr">
        <is>
          <t>58 Great Titchfield Street</t>
        </is>
      </c>
      <c r="F211" t="inlineStr">
        <is>
          <t>First, Second &amp; Third Floors</t>
        </is>
      </c>
      <c r="G211" t="inlineStr">
        <is>
          <t>Retail/Showroom/Office</t>
        </is>
      </c>
      <c r="H211" t="n">
        <v>1120</v>
      </c>
      <c r="I211">
        <f>I151</f>
        <v/>
      </c>
      <c r="J211" t="n">
        <v>1000</v>
      </c>
      <c r="K211" t="inlineStr">
        <is>
          <t>Morplan Ltd.</t>
        </is>
      </c>
      <c r="L211" s="869" t="n">
        <v>45292</v>
      </c>
      <c r="Q211" t="n">
        <v>61575</v>
      </c>
      <c r="R211">
        <f>R151</f>
        <v/>
      </c>
      <c r="T211" t="n">
        <v>58800</v>
      </c>
      <c r="U211">
        <f>U151</f>
        <v/>
      </c>
      <c r="V211" t="n">
        <v>58800</v>
      </c>
      <c r="W211">
        <f>W151</f>
        <v/>
      </c>
      <c r="X211">
        <f>W151/I151</f>
        <v/>
      </c>
      <c r="Z211" t="inlineStr">
        <is>
          <t>E</t>
        </is>
      </c>
      <c r="AC211" t="inlineStr">
        <is>
          <t>No</t>
        </is>
      </c>
      <c r="AD211" t="inlineStr">
        <is>
          <t>Lease renewal terms being discussed.</t>
        </is>
      </c>
      <c r="AI211" t="inlineStr">
        <is>
          <t>Let</t>
        </is>
      </c>
    </row>
    <row r="212"/>
    <row r="213">
      <c r="A213" s="868" t="inlineStr">
        <is>
          <t>12 Hallam Street (The Hallam Hotel)</t>
        </is>
      </c>
    </row>
    <row r="214">
      <c r="A214" t="inlineStr">
        <is>
          <t xml:space="preserve">  Hotel                       25 Beds</t>
        </is>
      </c>
      <c r="B214" t="inlineStr">
        <is>
          <t>WS</t>
        </is>
      </c>
      <c r="C214" t="inlineStr">
        <is>
          <t>MEL</t>
        </is>
      </c>
      <c r="D214" t="n">
        <v>550220</v>
      </c>
      <c r="E214" t="inlineStr">
        <is>
          <t>12 Hallam Street (The Hallam Hotel)</t>
        </is>
      </c>
      <c r="F214" t="inlineStr">
        <is>
          <t xml:space="preserve">Whole Building </t>
        </is>
      </c>
      <c r="G214" t="inlineStr">
        <is>
          <t>Hotel                       25 Beds</t>
        </is>
      </c>
      <c r="H214" t="n">
        <v>4284</v>
      </c>
      <c r="I214">
        <f>I152</f>
        <v/>
      </c>
      <c r="J214" t="n">
        <v>4250</v>
      </c>
      <c r="K214" t="inlineStr">
        <is>
          <t>Vacant</t>
        </is>
      </c>
      <c r="N214" s="869" t="n">
        <v>44387</v>
      </c>
      <c r="Q214" t="n">
        <v>0</v>
      </c>
      <c r="R214">
        <f>R152</f>
        <v/>
      </c>
      <c r="S214">
        <f>S152</f>
        <v/>
      </c>
      <c r="T214" t="n">
        <v>0</v>
      </c>
      <c r="U214">
        <f>U152</f>
        <v/>
      </c>
      <c r="V214" t="n">
        <v>0</v>
      </c>
      <c r="W214">
        <f>W152</f>
        <v/>
      </c>
      <c r="AB214" t="n">
        <v>1500000</v>
      </c>
      <c r="AC214" t="inlineStr">
        <is>
          <t>No</t>
        </is>
      </c>
      <c r="AD214" t="inlineStr">
        <is>
          <t>Mothballed.</t>
        </is>
      </c>
      <c r="AI214" t="inlineStr">
        <is>
          <t>Void</t>
        </is>
      </c>
    </row>
    <row r="215"/>
    <row r="216">
      <c r="A216" s="868" t="inlineStr">
        <is>
          <t>16-20 Hallam Street  (Astor Court Hotel)</t>
        </is>
      </c>
    </row>
    <row r="217">
      <c r="A217" t="inlineStr">
        <is>
          <t xml:space="preserve">  Hotel 52 Beds</t>
        </is>
      </c>
      <c r="B217" t="inlineStr">
        <is>
          <t>WS</t>
        </is>
      </c>
      <c r="C217" t="inlineStr">
        <is>
          <t>MEL</t>
        </is>
      </c>
      <c r="D217" t="n">
        <v>550890</v>
      </c>
      <c r="E217" t="inlineStr">
        <is>
          <t>16-20 Hallam Street  (Astor Court Hotel)</t>
        </is>
      </c>
      <c r="F217" t="inlineStr">
        <is>
          <t>Whole Building</t>
        </is>
      </c>
      <c r="G217" t="inlineStr">
        <is>
          <t>Hotel 52 Beds</t>
        </is>
      </c>
      <c r="H217" t="n">
        <v>23500</v>
      </c>
      <c r="I217">
        <f>I153</f>
        <v/>
      </c>
      <c r="J217" t="n">
        <v>23500</v>
      </c>
      <c r="K217" t="inlineStr">
        <is>
          <t>Wesdom Investments Ltd.</t>
        </is>
      </c>
      <c r="L217" s="869" t="n">
        <v>45651</v>
      </c>
      <c r="M217" s="869" t="n">
        <v>49302</v>
      </c>
      <c r="O217" s="869" t="n">
        <v>47477</v>
      </c>
      <c r="Q217" t="n">
        <v>660000</v>
      </c>
      <c r="R217">
        <f>R153</f>
        <v/>
      </c>
      <c r="S217">
        <f>S153</f>
        <v/>
      </c>
      <c r="T217" t="n">
        <v>0</v>
      </c>
      <c r="U217">
        <f>U153</f>
        <v/>
      </c>
      <c r="V217" t="n">
        <v>0</v>
      </c>
      <c r="W217">
        <f>W153</f>
        <v/>
      </c>
      <c r="Z217" t="inlineStr">
        <is>
          <t>B</t>
        </is>
      </c>
      <c r="AB217" t="n">
        <v>17500000</v>
      </c>
      <c r="AC217" t="inlineStr">
        <is>
          <t>No</t>
        </is>
      </c>
      <c r="AD217" t="inlineStr">
        <is>
          <t>Internal Lease to another Lee Family Group Company. CBRE value on a DCF basis and do not adopt ERV for valuation purposes. Guide ERV is £660,000 pa. Rent review is CPI indexed.</t>
        </is>
      </c>
      <c r="AI217" t="inlineStr">
        <is>
          <t>Let</t>
        </is>
      </c>
    </row>
    <row r="218"/>
    <row r="219">
      <c r="A219" s="868" t="inlineStr">
        <is>
          <t>Flat 1, 2 Little Portland Street</t>
        </is>
      </c>
    </row>
    <row r="220">
      <c r="A220" t="inlineStr">
        <is>
          <t xml:space="preserve">  Residential</t>
        </is>
      </c>
      <c r="B220" t="inlineStr">
        <is>
          <t>CM</t>
        </is>
      </c>
      <c r="C220" t="inlineStr">
        <is>
          <t>MEL</t>
        </is>
      </c>
      <c r="D220" t="n">
        <v>550586</v>
      </c>
      <c r="E220" t="inlineStr">
        <is>
          <t>Flat 1, 2 Little Portland Street</t>
        </is>
      </c>
      <c r="F220" t="inlineStr">
        <is>
          <t>Flat 1</t>
        </is>
      </c>
      <c r="G220" t="inlineStr">
        <is>
          <t>Residential</t>
        </is>
      </c>
      <c r="H220" t="n">
        <v>420</v>
      </c>
      <c r="I220">
        <f>I154</f>
        <v/>
      </c>
      <c r="J220" t="n">
        <v>500</v>
      </c>
      <c r="K220" t="inlineStr">
        <is>
          <t>Miss Julia Tressler</t>
        </is>
      </c>
      <c r="L220" s="869" t="n">
        <v>45664</v>
      </c>
      <c r="M220" s="869" t="n">
        <v>46028</v>
      </c>
      <c r="Q220" t="n">
        <v>25220</v>
      </c>
      <c r="R220">
        <f>R154</f>
        <v/>
      </c>
      <c r="S220">
        <f>S154</f>
        <v/>
      </c>
      <c r="T220" t="n">
        <v>27000</v>
      </c>
      <c r="U220">
        <f>U154</f>
        <v/>
      </c>
      <c r="V220" t="n">
        <v>27000</v>
      </c>
      <c r="W220">
        <f>W154</f>
        <v/>
      </c>
      <c r="Y220">
        <f>SUM(W154-U154)/U154</f>
        <v/>
      </c>
      <c r="Z220" t="inlineStr">
        <is>
          <t>D</t>
        </is>
      </c>
      <c r="AB220" t="n">
        <v>590000</v>
      </c>
      <c r="AC220" t="inlineStr">
        <is>
          <t>No</t>
        </is>
      </c>
      <c r="AD220" t="inlineStr">
        <is>
          <t>Tenant break passed.</t>
        </is>
      </c>
      <c r="AI220" t="inlineStr">
        <is>
          <t>Let</t>
        </is>
      </c>
    </row>
    <row r="221"/>
    <row r="222">
      <c r="A222" s="868" t="inlineStr">
        <is>
          <t>3/4/4a Little Portland Street</t>
        </is>
      </c>
    </row>
    <row r="223">
      <c r="A223" t="inlineStr">
        <is>
          <t xml:space="preserve">  Storage/Cloakroom</t>
        </is>
      </c>
      <c r="B223" t="inlineStr">
        <is>
          <t>CD</t>
        </is>
      </c>
      <c r="C223" t="inlineStr">
        <is>
          <t>MEL</t>
        </is>
      </c>
      <c r="D223" t="n">
        <v>550300</v>
      </c>
      <c r="E223" t="inlineStr">
        <is>
          <t>3/4/4a Little Portland Street</t>
        </is>
      </c>
      <c r="F223" t="inlineStr">
        <is>
          <t>Basement (North &amp; Centre) Part Ground</t>
        </is>
      </c>
      <c r="G223" t="inlineStr">
        <is>
          <t>Storage/Cloakroom</t>
        </is>
      </c>
      <c r="H223" t="n">
        <v>1911</v>
      </c>
      <c r="I223">
        <f>I155</f>
        <v/>
      </c>
      <c r="J223" t="n">
        <v>2000</v>
      </c>
      <c r="K223" t="inlineStr">
        <is>
          <t>Pure Public Relations Ltd.</t>
        </is>
      </c>
      <c r="L223" s="869" t="n">
        <v>44774</v>
      </c>
      <c r="M223" s="869" t="n">
        <v>46599</v>
      </c>
      <c r="P223" s="869" t="n">
        <v>45870</v>
      </c>
      <c r="Q223" t="n">
        <v>44735</v>
      </c>
      <c r="R223">
        <f>R155</f>
        <v/>
      </c>
      <c r="T223" t="n">
        <v>45700</v>
      </c>
      <c r="U223">
        <f>U155</f>
        <v/>
      </c>
      <c r="V223" t="n">
        <v>47800</v>
      </c>
      <c r="W223">
        <f>W155</f>
        <v/>
      </c>
      <c r="X223">
        <f>W155/I155</f>
        <v/>
      </c>
      <c r="Y223">
        <f>SUM(W155-U155)/U155</f>
        <v/>
      </c>
      <c r="Z223" t="inlineStr">
        <is>
          <t>E</t>
        </is>
      </c>
      <c r="AC223" t="inlineStr">
        <is>
          <t>No</t>
        </is>
      </c>
      <c r="AD223" t="inlineStr">
        <is>
          <t>Tenant break on 6 months notice. 3 months rent free if not exercised.</t>
        </is>
      </c>
      <c r="AI223" t="inlineStr">
        <is>
          <t>Let</t>
        </is>
      </c>
    </row>
    <row r="224">
      <c r="A224" t="inlineStr">
        <is>
          <t xml:space="preserve">  Cloakroom</t>
        </is>
      </c>
      <c r="B224" t="inlineStr">
        <is>
          <t>CD</t>
        </is>
      </c>
      <c r="C224" t="inlineStr">
        <is>
          <t>MEL</t>
        </is>
      </c>
      <c r="D224" t="n">
        <v>550300</v>
      </c>
      <c r="E224" t="inlineStr">
        <is>
          <t>3/4/4a Little Portland Street</t>
        </is>
      </c>
      <c r="F224" t="inlineStr">
        <is>
          <t>Ground Floor (Rear)</t>
        </is>
      </c>
      <c r="G224" t="inlineStr">
        <is>
          <t>Cloakroom</t>
        </is>
      </c>
      <c r="H224" t="n">
        <v>0</v>
      </c>
      <c r="I224">
        <f>I156</f>
        <v/>
      </c>
      <c r="K224" t="inlineStr">
        <is>
          <t>Vacant / Landlord</t>
        </is>
      </c>
      <c r="N224" s="869" t="n">
        <v>45456</v>
      </c>
      <c r="Q224" t="n">
        <v>0</v>
      </c>
      <c r="R224">
        <f>R156</f>
        <v/>
      </c>
      <c r="T224" t="n">
        <v>0</v>
      </c>
      <c r="U224">
        <f>U156</f>
        <v/>
      </c>
      <c r="V224" t="n">
        <v>0</v>
      </c>
      <c r="W224">
        <f>W156</f>
        <v/>
      </c>
      <c r="Z224" t="inlineStr">
        <is>
          <t>E</t>
        </is>
      </c>
      <c r="AC224" t="inlineStr">
        <is>
          <t>No</t>
        </is>
      </c>
      <c r="AI224" t="inlineStr">
        <is>
          <t>Void</t>
        </is>
      </c>
    </row>
    <row r="225">
      <c r="A225" t="inlineStr">
        <is>
          <t xml:space="preserve">  Showroom</t>
        </is>
      </c>
      <c r="B225" t="inlineStr">
        <is>
          <t>CD</t>
        </is>
      </c>
      <c r="C225" t="inlineStr">
        <is>
          <t>MEL</t>
        </is>
      </c>
      <c r="D225" t="n">
        <v>550300</v>
      </c>
      <c r="E225" t="inlineStr">
        <is>
          <t>3/4/4a Little Portland Street</t>
        </is>
      </c>
      <c r="F225" t="inlineStr">
        <is>
          <t>Ground Floor (East)</t>
        </is>
      </c>
      <c r="G225" t="inlineStr">
        <is>
          <t>Showroom</t>
        </is>
      </c>
      <c r="H225" t="n">
        <v>495</v>
      </c>
      <c r="I225">
        <f>I157</f>
        <v/>
      </c>
      <c r="J225" t="n">
        <v>500</v>
      </c>
      <c r="K225" t="inlineStr">
        <is>
          <t>Econnective UK Ltd.</t>
        </is>
      </c>
      <c r="L225" s="869" t="n">
        <v>45010</v>
      </c>
      <c r="M225" s="869" t="n">
        <v>48662</v>
      </c>
      <c r="O225" s="869" t="n">
        <v>46837</v>
      </c>
      <c r="Q225" t="n">
        <v>35000</v>
      </c>
      <c r="R225">
        <f>R157</f>
        <v/>
      </c>
      <c r="T225" t="n">
        <v>35400</v>
      </c>
      <c r="U225">
        <f>U157</f>
        <v/>
      </c>
      <c r="V225" t="n">
        <v>35000</v>
      </c>
      <c r="W225">
        <f>W157</f>
        <v/>
      </c>
      <c r="X225">
        <f>W157/I157</f>
        <v/>
      </c>
      <c r="Y225">
        <f>SUM(W157-U157)/U157</f>
        <v/>
      </c>
      <c r="Z225" t="inlineStr">
        <is>
          <t>E</t>
        </is>
      </c>
      <c r="AC225" t="inlineStr">
        <is>
          <t>No</t>
        </is>
      </c>
      <c r="AI225" t="inlineStr">
        <is>
          <t>Let</t>
        </is>
      </c>
    </row>
    <row r="226">
      <c r="A226" t="inlineStr">
        <is>
          <t xml:space="preserve">  Workshop</t>
        </is>
      </c>
      <c r="B226" t="inlineStr">
        <is>
          <t>CD</t>
        </is>
      </c>
      <c r="C226" t="inlineStr">
        <is>
          <t>MEL</t>
        </is>
      </c>
      <c r="D226" t="n">
        <v>550300</v>
      </c>
      <c r="E226" t="inlineStr">
        <is>
          <t>3/4/4a Little Portland Street</t>
        </is>
      </c>
      <c r="F226" t="inlineStr">
        <is>
          <t>Basement (South) (Front)</t>
        </is>
      </c>
      <c r="G226" t="inlineStr">
        <is>
          <t>Workshop</t>
        </is>
      </c>
      <c r="H226" t="n">
        <v>1051</v>
      </c>
      <c r="I226">
        <f>I158</f>
        <v/>
      </c>
      <c r="J226" t="n">
        <v>1000</v>
      </c>
      <c r="K226" t="inlineStr">
        <is>
          <t>Langham Estate Management Ltd</t>
        </is>
      </c>
      <c r="L226" s="869" t="n">
        <v>43549</v>
      </c>
      <c r="M226" s="869" t="n">
        <v>46836</v>
      </c>
      <c r="O226" s="869" t="n">
        <v>45010</v>
      </c>
      <c r="Q226" t="n">
        <v>28200</v>
      </c>
      <c r="R226">
        <f>R158</f>
        <v/>
      </c>
      <c r="T226" t="n">
        <v>32000</v>
      </c>
      <c r="U226">
        <f>U158</f>
        <v/>
      </c>
      <c r="V226" t="n">
        <v>21000</v>
      </c>
      <c r="W226">
        <f>W158</f>
        <v/>
      </c>
      <c r="X226">
        <f>W158/I158</f>
        <v/>
      </c>
      <c r="Y226">
        <f>SUM(W158-U158)/U158</f>
        <v/>
      </c>
      <c r="Z226" t="inlineStr">
        <is>
          <t>E</t>
        </is>
      </c>
      <c r="AC226" t="inlineStr">
        <is>
          <t>No</t>
        </is>
      </c>
      <c r="AD226" t="inlineStr">
        <is>
          <t>Mutual rolling break on 6 months notice. Internal Lease to another Lee Family Group Company.</t>
        </is>
      </c>
      <c r="AI226" t="inlineStr">
        <is>
          <t>Let</t>
        </is>
      </c>
    </row>
    <row r="227">
      <c r="A227" t="inlineStr">
        <is>
          <t xml:space="preserve">  Offices</t>
        </is>
      </c>
      <c r="B227" t="inlineStr">
        <is>
          <t>CD</t>
        </is>
      </c>
      <c r="C227" t="inlineStr">
        <is>
          <t>MEL</t>
        </is>
      </c>
      <c r="D227" t="n">
        <v>550300</v>
      </c>
      <c r="E227" t="inlineStr">
        <is>
          <t>3/4/4a Little Portland Street</t>
        </is>
      </c>
      <c r="F227" t="inlineStr">
        <is>
          <t>Ground Floor (West)</t>
        </is>
      </c>
      <c r="G227" t="inlineStr">
        <is>
          <t>Offices</t>
        </is>
      </c>
      <c r="H227" t="n">
        <v>2254</v>
      </c>
      <c r="I227">
        <f>I159</f>
        <v/>
      </c>
      <c r="J227" t="n">
        <v>2250</v>
      </c>
      <c r="K227" t="inlineStr">
        <is>
          <t>Medialab Group Ltd.</t>
        </is>
      </c>
      <c r="L227" s="869" t="n">
        <v>45001</v>
      </c>
      <c r="M227" s="869" t="n">
        <v>46827</v>
      </c>
      <c r="P227" s="869" t="n">
        <v>46097</v>
      </c>
      <c r="Q227" t="n">
        <v>148590</v>
      </c>
      <c r="R227">
        <f>R159</f>
        <v/>
      </c>
      <c r="T227" t="n">
        <v>148600</v>
      </c>
      <c r="U227">
        <f>U159</f>
        <v/>
      </c>
      <c r="V227" t="n">
        <v>148590</v>
      </c>
      <c r="W227">
        <f>W159</f>
        <v/>
      </c>
      <c r="X227">
        <f>W159/I159</f>
        <v/>
      </c>
      <c r="Y227">
        <f>SUM(W159-U159)/U159</f>
        <v/>
      </c>
      <c r="Z227" t="inlineStr">
        <is>
          <t>E</t>
        </is>
      </c>
      <c r="AC227" t="inlineStr">
        <is>
          <t>No</t>
        </is>
      </c>
      <c r="AD227" t="inlineStr">
        <is>
          <t>Mutual break in the event of planning enforcement. Tenant break on 6 months notice. 3 months rent free if not exercised.</t>
        </is>
      </c>
      <c r="AI227" t="inlineStr">
        <is>
          <t>Let</t>
        </is>
      </c>
    </row>
    <row r="228">
      <c r="A228" t="inlineStr">
        <is>
          <t xml:space="preserve">  Office</t>
        </is>
      </c>
      <c r="B228" t="inlineStr">
        <is>
          <t>CD</t>
        </is>
      </c>
      <c r="C228" t="inlineStr">
        <is>
          <t>MEL</t>
        </is>
      </c>
      <c r="D228" t="n">
        <v>550300</v>
      </c>
      <c r="E228" t="inlineStr">
        <is>
          <t>3/4/4a Little Portland Street</t>
        </is>
      </c>
      <c r="F228" t="inlineStr">
        <is>
          <t>First Floor</t>
        </is>
      </c>
      <c r="G228" t="inlineStr">
        <is>
          <t>Office</t>
        </is>
      </c>
      <c r="H228" t="n">
        <v>3205</v>
      </c>
      <c r="I228">
        <f>I160</f>
        <v/>
      </c>
      <c r="J228" t="n">
        <v>3250</v>
      </c>
      <c r="K228" t="inlineStr">
        <is>
          <t>Medialab Group Ltd.</t>
        </is>
      </c>
      <c r="L228" s="869" t="n">
        <v>45000</v>
      </c>
      <c r="M228" s="869" t="n">
        <v>46827</v>
      </c>
      <c r="P228" s="869" t="n">
        <v>46097</v>
      </c>
      <c r="Q228" t="n">
        <v>218325</v>
      </c>
      <c r="R228">
        <f>R160</f>
        <v/>
      </c>
      <c r="T228" t="n">
        <v>218300</v>
      </c>
      <c r="U228">
        <f>U160</f>
        <v/>
      </c>
      <c r="V228" t="n">
        <v>218325</v>
      </c>
      <c r="W228">
        <f>W160</f>
        <v/>
      </c>
      <c r="X228">
        <f>W160/I160</f>
        <v/>
      </c>
      <c r="Y228">
        <f>SUM(W160-U160)/U160</f>
        <v/>
      </c>
      <c r="Z228" t="inlineStr">
        <is>
          <t>E</t>
        </is>
      </c>
      <c r="AC228" t="inlineStr">
        <is>
          <t>No</t>
        </is>
      </c>
      <c r="AD228" t="inlineStr">
        <is>
          <t>Mutual break in the event of planning enforcement. Tenant break on 6 months notice. 3 months rent free if not exercised.</t>
        </is>
      </c>
      <c r="AI228" t="inlineStr">
        <is>
          <t>Let</t>
        </is>
      </c>
    </row>
    <row r="229">
      <c r="A229" t="inlineStr">
        <is>
          <t xml:space="preserve">  Office</t>
        </is>
      </c>
      <c r="B229" t="inlineStr">
        <is>
          <t>CD</t>
        </is>
      </c>
      <c r="C229" t="inlineStr">
        <is>
          <t>MEL</t>
        </is>
      </c>
      <c r="D229" t="n">
        <v>550300</v>
      </c>
      <c r="E229" t="inlineStr">
        <is>
          <t>3/4/4a Little Portland Street</t>
        </is>
      </c>
      <c r="F229" t="inlineStr">
        <is>
          <t>Second Floor (Middle &amp; West)</t>
        </is>
      </c>
      <c r="G229" t="inlineStr">
        <is>
          <t>Office</t>
        </is>
      </c>
      <c r="H229" t="n">
        <v>1510</v>
      </c>
      <c r="I229">
        <f>I161</f>
        <v/>
      </c>
      <c r="J229" t="n">
        <v>1500</v>
      </c>
      <c r="K229" t="inlineStr">
        <is>
          <t>Medialab Group Ltd.</t>
        </is>
      </c>
      <c r="L229" s="869" t="n">
        <v>45200</v>
      </c>
      <c r="M229" s="869" t="n">
        <v>46827</v>
      </c>
      <c r="P229" s="869" t="n">
        <v>46097</v>
      </c>
      <c r="Q229" t="n">
        <v>92250</v>
      </c>
      <c r="R229">
        <f>R161</f>
        <v/>
      </c>
      <c r="T229" t="n">
        <v>92300</v>
      </c>
      <c r="U229">
        <f>U161</f>
        <v/>
      </c>
      <c r="V229" t="n">
        <v>92250</v>
      </c>
      <c r="W229">
        <f>W161</f>
        <v/>
      </c>
      <c r="X229">
        <f>W161/I161</f>
        <v/>
      </c>
      <c r="Y229">
        <f>SUM(W161-U161)/U161</f>
        <v/>
      </c>
      <c r="Z229" t="inlineStr">
        <is>
          <t>E</t>
        </is>
      </c>
      <c r="AC229" t="inlineStr">
        <is>
          <t>No</t>
        </is>
      </c>
      <c r="AD229" t="inlineStr">
        <is>
          <t>Tenant break on 6 months notice with £7.7k penalty clause.</t>
        </is>
      </c>
      <c r="AI229" t="inlineStr">
        <is>
          <t>Let</t>
        </is>
      </c>
    </row>
    <row r="230">
      <c r="A230" t="inlineStr">
        <is>
          <t xml:space="preserve">  Office</t>
        </is>
      </c>
      <c r="B230" t="inlineStr">
        <is>
          <t>CD</t>
        </is>
      </c>
      <c r="C230" t="inlineStr">
        <is>
          <t>MEL</t>
        </is>
      </c>
      <c r="D230" t="n">
        <v>550300</v>
      </c>
      <c r="E230" t="inlineStr">
        <is>
          <t>3/4/4a Little Portland Street</t>
        </is>
      </c>
      <c r="F230" t="inlineStr">
        <is>
          <t xml:space="preserve">Second Floor (East) </t>
        </is>
      </c>
      <c r="G230" t="inlineStr">
        <is>
          <t>Office</t>
        </is>
      </c>
      <c r="H230" t="n">
        <v>130</v>
      </c>
      <c r="I230">
        <f>I162</f>
        <v/>
      </c>
      <c r="J230" t="n">
        <v>250</v>
      </c>
      <c r="K230" t="inlineStr">
        <is>
          <t>Vacant</t>
        </is>
      </c>
      <c r="N230" s="869" t="n">
        <v>45173</v>
      </c>
      <c r="Q230" t="n">
        <v>0</v>
      </c>
      <c r="R230">
        <f>R162</f>
        <v/>
      </c>
      <c r="T230" t="n">
        <v>8120</v>
      </c>
      <c r="U230">
        <f>U162</f>
        <v/>
      </c>
      <c r="V230" t="n">
        <v>8000</v>
      </c>
      <c r="W230">
        <f>W162</f>
        <v/>
      </c>
      <c r="X230">
        <f>W162/I162</f>
        <v/>
      </c>
      <c r="Y230">
        <f>SUM(W162-U162)/U162</f>
        <v/>
      </c>
      <c r="Z230" t="inlineStr">
        <is>
          <t>E</t>
        </is>
      </c>
      <c r="AC230" t="inlineStr">
        <is>
          <t>No</t>
        </is>
      </c>
      <c r="AD230" t="inlineStr">
        <is>
          <t>LEM marketing.</t>
        </is>
      </c>
      <c r="AI230" t="inlineStr">
        <is>
          <t>Void</t>
        </is>
      </c>
    </row>
    <row r="231">
      <c r="A231" t="inlineStr">
        <is>
          <t xml:space="preserve">   Office &amp; Storage</t>
        </is>
      </c>
      <c r="B231" t="inlineStr">
        <is>
          <t>CD</t>
        </is>
      </c>
      <c r="C231" t="inlineStr">
        <is>
          <t>MEL</t>
        </is>
      </c>
      <c r="D231" t="n">
        <v>550300</v>
      </c>
      <c r="E231" t="inlineStr">
        <is>
          <t>3/4/4a Little Portland Street</t>
        </is>
      </c>
      <c r="F231" t="inlineStr">
        <is>
          <t>Second (Rear) &amp; Part Ground (Storage)</t>
        </is>
      </c>
      <c r="G231" t="inlineStr">
        <is>
          <t xml:space="preserve"> Office &amp; Storage</t>
        </is>
      </c>
      <c r="H231" t="n">
        <v>1074</v>
      </c>
      <c r="I231">
        <f>I163</f>
        <v/>
      </c>
      <c r="J231" t="n">
        <v>1000</v>
      </c>
      <c r="K231" t="inlineStr">
        <is>
          <t>Vacant</t>
        </is>
      </c>
      <c r="N231" s="869" t="n">
        <v>45003</v>
      </c>
      <c r="Q231" t="n">
        <v>0</v>
      </c>
      <c r="R231">
        <f>R163</f>
        <v/>
      </c>
      <c r="T231" t="n">
        <v>72100</v>
      </c>
      <c r="U231">
        <f>U163</f>
        <v/>
      </c>
      <c r="V231" t="n">
        <v>66100</v>
      </c>
      <c r="W231">
        <f>W163</f>
        <v/>
      </c>
      <c r="X231">
        <f>W163/I163</f>
        <v/>
      </c>
      <c r="Y231">
        <f>SUM(W163-U163)/U163</f>
        <v/>
      </c>
      <c r="Z231" t="inlineStr">
        <is>
          <t>E</t>
        </is>
      </c>
      <c r="AA231" t="inlineStr">
        <is>
          <t>*</t>
        </is>
      </c>
      <c r="AC231" t="inlineStr">
        <is>
          <t>No</t>
        </is>
      </c>
      <c r="AD231" t="inlineStr">
        <is>
          <t>LEM marketing.</t>
        </is>
      </c>
      <c r="AE231" t="n">
        <v>67.5</v>
      </c>
      <c r="AF231" t="n">
        <v>2</v>
      </c>
      <c r="AG231" t="n">
        <v>5</v>
      </c>
      <c r="AI231" t="inlineStr">
        <is>
          <t>Void</t>
        </is>
      </c>
    </row>
    <row r="232">
      <c r="A232" t="inlineStr">
        <is>
          <t xml:space="preserve">  Office</t>
        </is>
      </c>
      <c r="B232" t="inlineStr">
        <is>
          <t>CD</t>
        </is>
      </c>
      <c r="C232" t="inlineStr">
        <is>
          <t>MEL</t>
        </is>
      </c>
      <c r="D232" t="n">
        <v>550300</v>
      </c>
      <c r="E232" t="inlineStr">
        <is>
          <t>3/4/4a Little Portland Street</t>
        </is>
      </c>
      <c r="F232" t="inlineStr">
        <is>
          <t>Third Floor</t>
        </is>
      </c>
      <c r="G232" t="inlineStr">
        <is>
          <t>Office</t>
        </is>
      </c>
      <c r="H232" t="n">
        <v>2018</v>
      </c>
      <c r="I232">
        <f>I164</f>
        <v/>
      </c>
      <c r="J232" t="n">
        <v>2000</v>
      </c>
      <c r="K232" t="inlineStr">
        <is>
          <t>Total Recruitment Specialists Ltd</t>
        </is>
      </c>
      <c r="L232" s="869" t="n">
        <v>45456</v>
      </c>
      <c r="M232" s="869" t="n">
        <v>47281</v>
      </c>
      <c r="P232" s="869" t="n">
        <v>46550</v>
      </c>
      <c r="Q232" t="n">
        <v>140315</v>
      </c>
      <c r="R232">
        <f>R164</f>
        <v/>
      </c>
      <c r="T232" t="n">
        <v>129800</v>
      </c>
      <c r="U232">
        <f>U164</f>
        <v/>
      </c>
      <c r="V232" t="n">
        <v>140315</v>
      </c>
      <c r="W232">
        <f>W164</f>
        <v/>
      </c>
      <c r="X232">
        <f>W164/I164</f>
        <v/>
      </c>
      <c r="Y232">
        <f>SUM(W164-U164)/U164</f>
        <v/>
      </c>
      <c r="Z232" t="inlineStr">
        <is>
          <t>E</t>
        </is>
      </c>
      <c r="AC232" t="inlineStr">
        <is>
          <t>No</t>
        </is>
      </c>
      <c r="AD232" t="inlineStr">
        <is>
          <t>Tenant break on 6 months notice.</t>
        </is>
      </c>
      <c r="AI232" t="inlineStr">
        <is>
          <t>Let</t>
        </is>
      </c>
    </row>
    <row r="233">
      <c r="A233" t="inlineStr">
        <is>
          <t xml:space="preserve">  Sub-Station</t>
        </is>
      </c>
      <c r="B233" t="inlineStr">
        <is>
          <t>CD</t>
        </is>
      </c>
      <c r="C233" t="inlineStr">
        <is>
          <t>MEL</t>
        </is>
      </c>
      <c r="D233" t="n">
        <v>550300</v>
      </c>
      <c r="E233" t="inlineStr">
        <is>
          <t>3/4/4a Little Portland Street</t>
        </is>
      </c>
      <c r="F233" t="inlineStr">
        <is>
          <t>Electricity Sub-Station</t>
        </is>
      </c>
      <c r="G233" t="inlineStr">
        <is>
          <t>Sub-Station</t>
        </is>
      </c>
      <c r="H233" t="n">
        <v>0</v>
      </c>
      <c r="I233">
        <f>I165</f>
        <v/>
      </c>
      <c r="K233" t="inlineStr">
        <is>
          <t>London Power Networks Plc</t>
        </is>
      </c>
      <c r="L233" s="869" t="n">
        <v>43866</v>
      </c>
      <c r="M233" s="869" t="n">
        <v>47518</v>
      </c>
      <c r="O233" s="869" t="n">
        <v>45693</v>
      </c>
      <c r="Q233" t="n">
        <v>1000</v>
      </c>
      <c r="R233">
        <f>R165</f>
        <v/>
      </c>
      <c r="T233" t="n">
        <v>1000</v>
      </c>
      <c r="U233">
        <f>U165</f>
        <v/>
      </c>
      <c r="V233" t="n">
        <v>1000</v>
      </c>
      <c r="W233">
        <f>W165</f>
        <v/>
      </c>
      <c r="AC233" t="inlineStr">
        <is>
          <t>Yes</t>
        </is>
      </c>
      <c r="AD233" t="inlineStr">
        <is>
          <t>Rent review is RPI. Rolling landlords redevelopment break after 04/02/25 on 9 months notice.</t>
        </is>
      </c>
      <c r="AI233" t="inlineStr">
        <is>
          <t>Let</t>
        </is>
      </c>
    </row>
    <row r="234"/>
    <row r="235">
      <c r="A235" s="868" t="inlineStr">
        <is>
          <t>5 Little Portland Street</t>
        </is>
      </c>
    </row>
    <row r="236">
      <c r="A236" t="inlineStr">
        <is>
          <t xml:space="preserve">  Bar</t>
        </is>
      </c>
      <c r="B236" t="inlineStr">
        <is>
          <t>CD</t>
        </is>
      </c>
      <c r="C236" t="inlineStr">
        <is>
          <t>MEL</t>
        </is>
      </c>
      <c r="D236" t="n">
        <v>550500</v>
      </c>
      <c r="E236" t="inlineStr">
        <is>
          <t>5 Little Portland Street</t>
        </is>
      </c>
      <c r="F236" t="inlineStr">
        <is>
          <t>Ground &amp; Basement</t>
        </is>
      </c>
      <c r="G236" t="inlineStr">
        <is>
          <t>Bar</t>
        </is>
      </c>
      <c r="H236" t="n">
        <v>2520</v>
      </c>
      <c r="I236">
        <f>I166</f>
        <v/>
      </c>
      <c r="J236" t="n">
        <v>2500</v>
      </c>
      <c r="K236" t="inlineStr">
        <is>
          <t>The Social Little Portland Street Ltd.</t>
        </is>
      </c>
      <c r="L236" s="869" t="n">
        <v>43571</v>
      </c>
      <c r="M236" s="869" t="n">
        <v>47223</v>
      </c>
      <c r="O236" s="869" t="n">
        <v>45398</v>
      </c>
      <c r="Q236" t="n">
        <v>82500</v>
      </c>
      <c r="R236">
        <f>R166</f>
        <v/>
      </c>
      <c r="T236" t="n">
        <v>70000</v>
      </c>
      <c r="U236">
        <f>U166</f>
        <v/>
      </c>
      <c r="V236" t="n">
        <v>70000</v>
      </c>
      <c r="W236">
        <f>W166</f>
        <v/>
      </c>
      <c r="X236">
        <f>W166/I166</f>
        <v/>
      </c>
      <c r="Y236">
        <f>SUM(W166-U166)/U166</f>
        <v/>
      </c>
      <c r="Z236" t="inlineStr">
        <is>
          <t>B</t>
        </is>
      </c>
      <c r="AC236" t="inlineStr">
        <is>
          <t>No</t>
        </is>
      </c>
      <c r="AI236" t="inlineStr">
        <is>
          <t>Let</t>
        </is>
      </c>
    </row>
    <row r="237">
      <c r="A237" t="inlineStr">
        <is>
          <t xml:space="preserve">  Office</t>
        </is>
      </c>
      <c r="B237" t="inlineStr">
        <is>
          <t>CD</t>
        </is>
      </c>
      <c r="C237" t="inlineStr">
        <is>
          <t>MEL</t>
        </is>
      </c>
      <c r="D237" t="n">
        <v>550500</v>
      </c>
      <c r="E237" t="inlineStr">
        <is>
          <t>5 Little Portland Street</t>
        </is>
      </c>
      <c r="F237" t="inlineStr">
        <is>
          <t>First to Third Floors</t>
        </is>
      </c>
      <c r="G237" t="inlineStr">
        <is>
          <t>Office</t>
        </is>
      </c>
      <c r="H237" t="n">
        <v>2186</v>
      </c>
      <c r="I237">
        <f>I167</f>
        <v/>
      </c>
      <c r="J237" t="n">
        <v>2000</v>
      </c>
      <c r="K237" t="inlineStr">
        <is>
          <t>Oaxaca Ltd.</t>
        </is>
      </c>
      <c r="L237" s="869" t="n">
        <v>43398</v>
      </c>
      <c r="M237" s="869" t="n">
        <v>47050</v>
      </c>
      <c r="O237" s="869" t="n">
        <v>45955</v>
      </c>
      <c r="P237" s="869" t="n">
        <v>45954</v>
      </c>
      <c r="Q237" t="n">
        <v>101200</v>
      </c>
      <c r="R237">
        <f>R167</f>
        <v/>
      </c>
      <c r="T237" t="n">
        <v>117100</v>
      </c>
      <c r="U237">
        <f>U167</f>
        <v/>
      </c>
      <c r="V237" t="n">
        <v>117100</v>
      </c>
      <c r="W237">
        <f>W167</f>
        <v/>
      </c>
      <c r="X237">
        <f>W167/I167</f>
        <v/>
      </c>
      <c r="Y237">
        <f>SUM(W167-U167)/U167</f>
        <v/>
      </c>
      <c r="Z237" t="inlineStr">
        <is>
          <t>E</t>
        </is>
      </c>
      <c r="AC237" t="inlineStr">
        <is>
          <t>No</t>
        </is>
      </c>
      <c r="AD237" t="inlineStr">
        <is>
          <t>Tenant break on 6 months notice. Tenant has a 20% concession reducing the rent until the 25/10/25 review date, after this date it reverts to £126,500 pa.</t>
        </is>
      </c>
      <c r="AI237" t="inlineStr">
        <is>
          <t>Let</t>
        </is>
      </c>
    </row>
    <row r="238"/>
    <row r="239">
      <c r="A239" s="868" t="inlineStr">
        <is>
          <t>Alexandra House, 6 Little Portland Street</t>
        </is>
      </c>
    </row>
    <row r="240">
      <c r="A240" t="inlineStr">
        <is>
          <t xml:space="preserve">  Restaurant</t>
        </is>
      </c>
      <c r="B240" t="inlineStr">
        <is>
          <t>CD</t>
        </is>
      </c>
      <c r="C240" t="inlineStr">
        <is>
          <t>MEL</t>
        </is>
      </c>
      <c r="D240" t="n">
        <v>550310</v>
      </c>
      <c r="E240" t="inlineStr">
        <is>
          <t>Alexandra House, 6 Little Portland Street</t>
        </is>
      </c>
      <c r="F240" t="inlineStr">
        <is>
          <t>Ground Floor &amp; Part Basement</t>
        </is>
      </c>
      <c r="G240" t="inlineStr">
        <is>
          <t>Restaurant</t>
        </is>
      </c>
      <c r="H240" t="n">
        <v>4430</v>
      </c>
      <c r="I240">
        <f>I168</f>
        <v/>
      </c>
      <c r="J240" t="n">
        <v>4500</v>
      </c>
      <c r="K240" t="inlineStr">
        <is>
          <t>Burger &amp; Lobster Restaurant Group Ltd.</t>
        </is>
      </c>
      <c r="L240" s="869" t="n">
        <v>41585</v>
      </c>
      <c r="M240" s="869" t="n">
        <v>47063</v>
      </c>
      <c r="O240" s="869" t="n">
        <v>45237</v>
      </c>
      <c r="Q240" t="n">
        <v>170000</v>
      </c>
      <c r="R240">
        <f>R168</f>
        <v/>
      </c>
      <c r="T240" t="n">
        <v>146900</v>
      </c>
      <c r="U240">
        <f>U168</f>
        <v/>
      </c>
      <c r="V240" t="n">
        <v>152100</v>
      </c>
      <c r="W240">
        <f>W168</f>
        <v/>
      </c>
      <c r="X240">
        <f>W168/I168</f>
        <v/>
      </c>
      <c r="Y240">
        <f>SUM(W168-U168)/U168</f>
        <v/>
      </c>
      <c r="Z240" t="inlineStr">
        <is>
          <t>B</t>
        </is>
      </c>
      <c r="AC240" t="inlineStr">
        <is>
          <t>No</t>
        </is>
      </c>
      <c r="AD240" t="inlineStr">
        <is>
          <t>Rent review not yet activated due to level of passing rent.</t>
        </is>
      </c>
      <c r="AI240" t="inlineStr">
        <is>
          <t>Let</t>
        </is>
      </c>
    </row>
    <row r="241">
      <c r="A241" t="inlineStr">
        <is>
          <t xml:space="preserve">  Office</t>
        </is>
      </c>
      <c r="B241" t="inlineStr">
        <is>
          <t>CD</t>
        </is>
      </c>
      <c r="C241" t="inlineStr">
        <is>
          <t>MEL</t>
        </is>
      </c>
      <c r="D241" t="n">
        <v>550310</v>
      </c>
      <c r="E241" t="inlineStr">
        <is>
          <t>Alexandra House, 6 Little Portland Street</t>
        </is>
      </c>
      <c r="F241" t="inlineStr">
        <is>
          <t>First to Fourth Floors</t>
        </is>
      </c>
      <c r="G241" t="inlineStr">
        <is>
          <t>Office</t>
        </is>
      </c>
      <c r="H241" t="n">
        <v>10421</v>
      </c>
      <c r="I241">
        <f>I169</f>
        <v/>
      </c>
      <c r="J241" t="n">
        <v>10500</v>
      </c>
      <c r="K241" t="inlineStr">
        <is>
          <t>Exposure Promotions Ltd.</t>
        </is>
      </c>
      <c r="L241" s="869" t="n">
        <v>44552</v>
      </c>
      <c r="M241" s="869" t="n">
        <v>46377</v>
      </c>
      <c r="Q241" t="n">
        <v>573565</v>
      </c>
      <c r="R241">
        <f>R169</f>
        <v/>
      </c>
      <c r="T241" t="n">
        <v>572700</v>
      </c>
      <c r="U241">
        <f>U169</f>
        <v/>
      </c>
      <c r="V241" t="n">
        <v>589700</v>
      </c>
      <c r="W241">
        <f>W169</f>
        <v/>
      </c>
      <c r="X241">
        <f>W169/I169</f>
        <v/>
      </c>
      <c r="Y241">
        <f>SUM(W169-U169)/U169</f>
        <v/>
      </c>
      <c r="Z241" t="inlineStr">
        <is>
          <t>C</t>
        </is>
      </c>
      <c r="AC241" t="inlineStr">
        <is>
          <t>No</t>
        </is>
      </c>
      <c r="AD241" t="inlineStr">
        <is>
          <t>Tenant break on 6 months notice. 3 months rent free if not exercised.</t>
        </is>
      </c>
      <c r="AI241" t="inlineStr">
        <is>
          <t>Let</t>
        </is>
      </c>
    </row>
    <row r="242"/>
    <row r="243">
      <c r="A243" s="868" t="inlineStr">
        <is>
          <t>9 Little Portland Street</t>
        </is>
      </c>
    </row>
    <row r="244">
      <c r="A244" t="inlineStr">
        <is>
          <t xml:space="preserve">  Showroom / Office</t>
        </is>
      </c>
      <c r="B244" t="inlineStr">
        <is>
          <t>CD</t>
        </is>
      </c>
      <c r="C244" t="inlineStr">
        <is>
          <t>MEL</t>
        </is>
      </c>
      <c r="D244" t="n">
        <v>551010</v>
      </c>
      <c r="E244" t="inlineStr">
        <is>
          <t>9 Little Portland Street</t>
        </is>
      </c>
      <c r="F244" t="inlineStr">
        <is>
          <t>Lower Ground and Ground Floors</t>
        </is>
      </c>
      <c r="G244" t="inlineStr">
        <is>
          <t>Showroom / Office</t>
        </is>
      </c>
      <c r="H244" t="n">
        <v>747</v>
      </c>
      <c r="I244">
        <f>I170</f>
        <v/>
      </c>
      <c r="J244" t="n">
        <v>750</v>
      </c>
      <c r="K244" t="inlineStr">
        <is>
          <t>Order Line Ltd</t>
        </is>
      </c>
      <c r="L244" s="869" t="n">
        <v>44724</v>
      </c>
      <c r="Q244" t="n">
        <v>45000</v>
      </c>
      <c r="R244">
        <f>R170</f>
        <v/>
      </c>
      <c r="T244" t="n">
        <v>41700</v>
      </c>
      <c r="U244">
        <f>U170</f>
        <v/>
      </c>
      <c r="V244" t="n">
        <v>45000</v>
      </c>
      <c r="W244">
        <f>W170</f>
        <v/>
      </c>
      <c r="X244">
        <f>W170/I170</f>
        <v/>
      </c>
      <c r="Y244">
        <f>SUM(W170-U170)/U170</f>
        <v/>
      </c>
      <c r="Z244" t="inlineStr">
        <is>
          <t>E</t>
        </is>
      </c>
      <c r="AC244" t="inlineStr">
        <is>
          <t>No</t>
        </is>
      </c>
      <c r="AD244" t="inlineStr">
        <is>
          <t>Tenancy at will granted based at existing rent.</t>
        </is>
      </c>
      <c r="AI244" t="inlineStr">
        <is>
          <t>Let</t>
        </is>
      </c>
    </row>
    <row r="245">
      <c r="A245" t="inlineStr">
        <is>
          <t xml:space="preserve">  Office</t>
        </is>
      </c>
      <c r="B245" t="inlineStr">
        <is>
          <t>CD</t>
        </is>
      </c>
      <c r="C245" t="inlineStr">
        <is>
          <t>MEL</t>
        </is>
      </c>
      <c r="D245" t="n">
        <v>551010</v>
      </c>
      <c r="E245" t="inlineStr">
        <is>
          <t>9 Little Portland Street</t>
        </is>
      </c>
      <c r="F245" t="inlineStr">
        <is>
          <t>First Floor</t>
        </is>
      </c>
      <c r="G245" t="inlineStr">
        <is>
          <t>Office</t>
        </is>
      </c>
      <c r="H245" t="n">
        <v>452</v>
      </c>
      <c r="I245">
        <f>I171</f>
        <v/>
      </c>
      <c r="J245" t="n">
        <v>500</v>
      </c>
      <c r="K245" t="inlineStr">
        <is>
          <t>Vacant</t>
        </is>
      </c>
      <c r="N245" s="869" t="n">
        <v>43466</v>
      </c>
      <c r="Q245" t="n">
        <v>0</v>
      </c>
      <c r="R245">
        <f>R171</f>
        <v/>
      </c>
      <c r="T245" t="n">
        <v>24900</v>
      </c>
      <c r="U245">
        <f>U171</f>
        <v/>
      </c>
      <c r="V245" t="n">
        <v>24900</v>
      </c>
      <c r="W245">
        <f>W171</f>
        <v/>
      </c>
      <c r="X245">
        <f>W171/I171</f>
        <v/>
      </c>
      <c r="Y245">
        <f>SUM(W171-U171)/U171</f>
        <v/>
      </c>
      <c r="Z245" t="inlineStr">
        <is>
          <t>E</t>
        </is>
      </c>
      <c r="AC245" t="inlineStr">
        <is>
          <t>No</t>
        </is>
      </c>
      <c r="AD245" t="inlineStr">
        <is>
          <t>To be refurbished.</t>
        </is>
      </c>
      <c r="AI245" t="inlineStr">
        <is>
          <t>Void</t>
        </is>
      </c>
    </row>
    <row r="246">
      <c r="A246" t="inlineStr">
        <is>
          <t xml:space="preserve">  Office</t>
        </is>
      </c>
      <c r="B246" t="inlineStr">
        <is>
          <t>CD</t>
        </is>
      </c>
      <c r="C246" t="inlineStr">
        <is>
          <t>MEL</t>
        </is>
      </c>
      <c r="D246" t="n">
        <v>551010</v>
      </c>
      <c r="E246" t="inlineStr">
        <is>
          <t>9 Little Portland Street</t>
        </is>
      </c>
      <c r="F246" t="inlineStr">
        <is>
          <t xml:space="preserve">Second Floor </t>
        </is>
      </c>
      <c r="G246" t="inlineStr">
        <is>
          <t>Office</t>
        </is>
      </c>
      <c r="H246" t="n">
        <v>437</v>
      </c>
      <c r="I246">
        <f>I172</f>
        <v/>
      </c>
      <c r="J246" t="n">
        <v>500</v>
      </c>
      <c r="K246" t="inlineStr">
        <is>
          <t>Vacant</t>
        </is>
      </c>
      <c r="N246" s="869" t="n">
        <v>43466</v>
      </c>
      <c r="Q246" t="n">
        <v>0</v>
      </c>
      <c r="R246">
        <f>R172</f>
        <v/>
      </c>
      <c r="T246" t="n">
        <v>24000</v>
      </c>
      <c r="U246">
        <f>U172</f>
        <v/>
      </c>
      <c r="V246" t="n">
        <v>24000</v>
      </c>
      <c r="W246">
        <f>W172</f>
        <v/>
      </c>
      <c r="X246">
        <f>W172/I172</f>
        <v/>
      </c>
      <c r="Y246">
        <f>SUM(W172-U172)/U172</f>
        <v/>
      </c>
      <c r="Z246" t="inlineStr">
        <is>
          <t>E</t>
        </is>
      </c>
      <c r="AC246" t="inlineStr">
        <is>
          <t>No</t>
        </is>
      </c>
      <c r="AD246" t="inlineStr">
        <is>
          <t>To be refurbished.</t>
        </is>
      </c>
      <c r="AI246" t="inlineStr">
        <is>
          <t>Void</t>
        </is>
      </c>
    </row>
    <row r="247">
      <c r="A247" t="inlineStr">
        <is>
          <t xml:space="preserve">  Office</t>
        </is>
      </c>
      <c r="B247" t="inlineStr">
        <is>
          <t>CD</t>
        </is>
      </c>
      <c r="C247" t="inlineStr">
        <is>
          <t>MEL</t>
        </is>
      </c>
      <c r="D247" t="n">
        <v>551010</v>
      </c>
      <c r="E247" t="inlineStr">
        <is>
          <t>9 Little Portland Street</t>
        </is>
      </c>
      <c r="F247" t="inlineStr">
        <is>
          <t>Third Floor</t>
        </is>
      </c>
      <c r="G247" t="inlineStr">
        <is>
          <t>Office</t>
        </is>
      </c>
      <c r="H247" t="n">
        <v>350</v>
      </c>
      <c r="I247">
        <f>I173</f>
        <v/>
      </c>
      <c r="J247" t="n">
        <v>500</v>
      </c>
      <c r="K247" t="inlineStr">
        <is>
          <t>Skynet Ltd</t>
        </is>
      </c>
      <c r="L247" s="869" t="n">
        <v>44724</v>
      </c>
      <c r="Q247" t="n">
        <v>21060</v>
      </c>
      <c r="R247">
        <f>R173</f>
        <v/>
      </c>
      <c r="T247" t="n">
        <v>19300</v>
      </c>
      <c r="U247">
        <f>U173</f>
        <v/>
      </c>
      <c r="V247" t="n">
        <v>19300</v>
      </c>
      <c r="W247">
        <f>W173</f>
        <v/>
      </c>
      <c r="X247">
        <f>W173/I173</f>
        <v/>
      </c>
      <c r="Y247">
        <f>SUM(W173-U173)/U173</f>
        <v/>
      </c>
      <c r="Z247" t="inlineStr">
        <is>
          <t>E</t>
        </is>
      </c>
      <c r="AC247" t="inlineStr">
        <is>
          <t>No</t>
        </is>
      </c>
      <c r="AD247" t="inlineStr">
        <is>
          <t>Tenancy at will granted based at existing rent.</t>
        </is>
      </c>
      <c r="AI247" t="inlineStr">
        <is>
          <t>Let</t>
        </is>
      </c>
    </row>
    <row r="248"/>
    <row r="249">
      <c r="A249" s="868" t="inlineStr">
        <is>
          <t>21 Little Portland Street</t>
        </is>
      </c>
    </row>
    <row r="250">
      <c r="A250" t="inlineStr">
        <is>
          <t xml:space="preserve">  Office</t>
        </is>
      </c>
      <c r="B250" t="inlineStr">
        <is>
          <t>WS</t>
        </is>
      </c>
      <c r="C250" t="inlineStr">
        <is>
          <t>MEL</t>
        </is>
      </c>
      <c r="D250" t="n">
        <v>550960</v>
      </c>
      <c r="E250" t="inlineStr">
        <is>
          <t>21 Little Portland Street</t>
        </is>
      </c>
      <c r="F250" t="inlineStr">
        <is>
          <t>Lower Ground and Ground Floors</t>
        </is>
      </c>
      <c r="G250" t="inlineStr">
        <is>
          <t>Office</t>
        </is>
      </c>
      <c r="H250" t="n">
        <v>2820</v>
      </c>
      <c r="I250">
        <f>I174</f>
        <v/>
      </c>
      <c r="J250" t="n">
        <v>3000</v>
      </c>
      <c r="K250" t="inlineStr">
        <is>
          <t>FRIBA Limited</t>
        </is>
      </c>
      <c r="L250" s="869" t="n">
        <v>43794</v>
      </c>
      <c r="M250" s="869" t="n">
        <v>47446</v>
      </c>
      <c r="O250" s="869" t="n">
        <v>45621</v>
      </c>
      <c r="Q250" t="n">
        <v>124773</v>
      </c>
      <c r="R250">
        <f>R174</f>
        <v/>
      </c>
      <c r="T250" t="n">
        <v>126900</v>
      </c>
      <c r="U250">
        <f>U174</f>
        <v/>
      </c>
      <c r="V250" t="n">
        <v>141000</v>
      </c>
      <c r="W250">
        <f>W174</f>
        <v/>
      </c>
      <c r="X250">
        <f>W174/I174</f>
        <v/>
      </c>
      <c r="Y250">
        <f>SUM(W174-U174)/U174</f>
        <v/>
      </c>
      <c r="Z250" t="inlineStr">
        <is>
          <t>D</t>
        </is>
      </c>
      <c r="AC250" t="inlineStr">
        <is>
          <t>No</t>
        </is>
      </c>
      <c r="AD250" t="inlineStr">
        <is>
          <t>Premises inter connected with 19 Margaret Street and let under a single lease. The floor area is shown for this building only. Rent shown pro rata.</t>
        </is>
      </c>
      <c r="AI250" t="inlineStr">
        <is>
          <t>Let</t>
        </is>
      </c>
    </row>
    <row r="251">
      <c r="A251" t="inlineStr">
        <is>
          <t xml:space="preserve">  Office</t>
        </is>
      </c>
      <c r="B251" t="inlineStr">
        <is>
          <t>WS</t>
        </is>
      </c>
      <c r="C251" t="inlineStr">
        <is>
          <t>MEL</t>
        </is>
      </c>
      <c r="D251" t="n">
        <v>550960</v>
      </c>
      <c r="E251" t="inlineStr">
        <is>
          <t>21 Little Portland Street</t>
        </is>
      </c>
      <c r="F251" t="inlineStr">
        <is>
          <t>First Floor</t>
        </is>
      </c>
      <c r="G251" t="inlineStr">
        <is>
          <t>Office</t>
        </is>
      </c>
      <c r="H251" t="n">
        <v>1282</v>
      </c>
      <c r="I251">
        <f>I175</f>
        <v/>
      </c>
      <c r="J251" t="n">
        <v>1250</v>
      </c>
      <c r="K251" t="inlineStr">
        <is>
          <t>Vacant</t>
        </is>
      </c>
      <c r="N251" s="869" t="n">
        <v>44747</v>
      </c>
      <c r="Q251" t="n">
        <v>0</v>
      </c>
      <c r="R251">
        <f>R175</f>
        <v/>
      </c>
      <c r="T251" t="n">
        <v>70500</v>
      </c>
      <c r="U251">
        <f>U175</f>
        <v/>
      </c>
      <c r="V251" t="n">
        <v>70500</v>
      </c>
      <c r="W251">
        <f>W175</f>
        <v/>
      </c>
      <c r="X251">
        <f>W175/I175</f>
        <v/>
      </c>
      <c r="Y251">
        <f>SUM(W175-U175)/U175</f>
        <v/>
      </c>
      <c r="Z251" t="inlineStr">
        <is>
          <t>D</t>
        </is>
      </c>
      <c r="AC251" t="inlineStr">
        <is>
          <t>No</t>
        </is>
      </c>
      <c r="AD251" t="inlineStr">
        <is>
          <t>To be refurbished.</t>
        </is>
      </c>
      <c r="AE251" t="n">
        <v>67.5</v>
      </c>
      <c r="AF251" t="n">
        <v>6</v>
      </c>
      <c r="AG251" t="n">
        <v>7</v>
      </c>
      <c r="AH251" t="inlineStr">
        <is>
          <t>LEM</t>
        </is>
      </c>
      <c r="AI251" t="inlineStr">
        <is>
          <t>Void</t>
        </is>
      </c>
    </row>
    <row r="252">
      <c r="A252" t="inlineStr">
        <is>
          <t xml:space="preserve">  Office</t>
        </is>
      </c>
      <c r="B252" t="inlineStr">
        <is>
          <t>WS</t>
        </is>
      </c>
      <c r="C252" t="inlineStr">
        <is>
          <t>MEL</t>
        </is>
      </c>
      <c r="D252" t="n">
        <v>550960</v>
      </c>
      <c r="E252" t="inlineStr">
        <is>
          <t>21 Little Portland Street</t>
        </is>
      </c>
      <c r="F252" t="inlineStr">
        <is>
          <t>Second Floor</t>
        </is>
      </c>
      <c r="G252" t="inlineStr">
        <is>
          <t>Office</t>
        </is>
      </c>
      <c r="H252" t="n">
        <v>1214</v>
      </c>
      <c r="I252">
        <f>I176</f>
        <v/>
      </c>
      <c r="J252" t="n">
        <v>1250</v>
      </c>
      <c r="K252" t="inlineStr">
        <is>
          <t>Spanx UK Ltd</t>
        </is>
      </c>
      <c r="L252" s="869" t="n">
        <v>44733</v>
      </c>
      <c r="M252" s="869" t="n">
        <v>46558</v>
      </c>
      <c r="P252" s="869" t="n">
        <v>45828</v>
      </c>
      <c r="Q252" t="n">
        <v>71000</v>
      </c>
      <c r="R252">
        <f>R176</f>
        <v/>
      </c>
      <c r="T252" t="n">
        <v>71000</v>
      </c>
      <c r="U252">
        <f>U176</f>
        <v/>
      </c>
      <c r="V252" t="n">
        <v>71000</v>
      </c>
      <c r="W252">
        <f>W176</f>
        <v/>
      </c>
      <c r="X252">
        <f>W176/I176</f>
        <v/>
      </c>
      <c r="Y252">
        <f>SUM(W176-U176)/U176</f>
        <v/>
      </c>
      <c r="Z252" t="inlineStr">
        <is>
          <t>D</t>
        </is>
      </c>
      <c r="AC252" t="inlineStr">
        <is>
          <t>No</t>
        </is>
      </c>
      <c r="AD252" t="inlineStr">
        <is>
          <t>Mutual break @ 20/06/25 on 6 months notice. Tenant break exercised. Break conditions not met. Lease to continue.</t>
        </is>
      </c>
      <c r="AI252" t="inlineStr">
        <is>
          <t>Let</t>
        </is>
      </c>
    </row>
    <row r="253">
      <c r="A253" t="inlineStr">
        <is>
          <t xml:space="preserve">  Office</t>
        </is>
      </c>
      <c r="B253" t="inlineStr">
        <is>
          <t>WS</t>
        </is>
      </c>
      <c r="C253" t="inlineStr">
        <is>
          <t>MEL</t>
        </is>
      </c>
      <c r="D253" t="n">
        <v>550960</v>
      </c>
      <c r="E253" t="inlineStr">
        <is>
          <t>21 Little Portland Street</t>
        </is>
      </c>
      <c r="F253" t="inlineStr">
        <is>
          <t>Third Floor</t>
        </is>
      </c>
      <c r="G253" t="inlineStr">
        <is>
          <t>Office</t>
        </is>
      </c>
      <c r="H253" t="n">
        <v>1226</v>
      </c>
      <c r="I253">
        <f>I177</f>
        <v/>
      </c>
      <c r="J253" t="n">
        <v>1250</v>
      </c>
      <c r="K253" t="inlineStr">
        <is>
          <t>Caneparo Associates Ltd</t>
        </is>
      </c>
      <c r="L253" s="869" t="n">
        <v>44605</v>
      </c>
      <c r="M253" s="869" t="n">
        <v>46430</v>
      </c>
      <c r="Q253" t="n">
        <v>63000</v>
      </c>
      <c r="R253">
        <f>R177</f>
        <v/>
      </c>
      <c r="T253" t="n">
        <v>63100</v>
      </c>
      <c r="U253">
        <f>U177</f>
        <v/>
      </c>
      <c r="V253" t="n">
        <v>63100</v>
      </c>
      <c r="W253">
        <f>W177</f>
        <v/>
      </c>
      <c r="X253">
        <f>W177/I177</f>
        <v/>
      </c>
      <c r="Y253">
        <f>SUM(W177-U177)/U177</f>
        <v/>
      </c>
      <c r="Z253" t="inlineStr">
        <is>
          <t>D</t>
        </is>
      </c>
      <c r="AC253" t="inlineStr">
        <is>
          <t>No</t>
        </is>
      </c>
      <c r="AI253" t="inlineStr">
        <is>
          <t>Let</t>
        </is>
      </c>
    </row>
    <row r="254"/>
    <row r="255">
      <c r="A255" s="868" t="inlineStr">
        <is>
          <t>22 Little Portland Street (formerly 22-23 LPS)</t>
        </is>
      </c>
    </row>
    <row r="256">
      <c r="A256" t="inlineStr">
        <is>
          <t xml:space="preserve">  Office/ Showroom/ Storage</t>
        </is>
      </c>
      <c r="B256" t="inlineStr">
        <is>
          <t>WS</t>
        </is>
      </c>
      <c r="C256" t="inlineStr">
        <is>
          <t>MEL</t>
        </is>
      </c>
      <c r="D256" t="n">
        <v>550320</v>
      </c>
      <c r="E256" t="inlineStr">
        <is>
          <t>22-23 Little Portland Street</t>
        </is>
      </c>
      <c r="F256" t="inlineStr">
        <is>
          <t>Whole Building</t>
        </is>
      </c>
      <c r="G256" t="inlineStr">
        <is>
          <t>Office/ Showroom/ Storage</t>
        </is>
      </c>
      <c r="H256" t="n">
        <v>9776</v>
      </c>
      <c r="I256">
        <f>I178</f>
        <v/>
      </c>
      <c r="J256" t="n">
        <v>10000</v>
      </c>
      <c r="K256" t="inlineStr">
        <is>
          <t>David Chipperfield Architects Ltd</t>
        </is>
      </c>
      <c r="L256" s="869" t="n">
        <v>45463</v>
      </c>
      <c r="M256" s="869" t="n">
        <v>49114</v>
      </c>
      <c r="O256" s="869" t="n">
        <v>47289</v>
      </c>
      <c r="P256" s="869" t="n">
        <v>47288</v>
      </c>
      <c r="Q256" t="n">
        <v>715000</v>
      </c>
      <c r="R256">
        <f>R178</f>
        <v/>
      </c>
      <c r="S256">
        <f>S178</f>
        <v/>
      </c>
      <c r="T256" t="n">
        <v>715000</v>
      </c>
      <c r="U256">
        <f>U178</f>
        <v/>
      </c>
      <c r="V256" t="n">
        <v>715000</v>
      </c>
      <c r="W256">
        <f>W178</f>
        <v/>
      </c>
      <c r="X256">
        <f>W178/I178</f>
        <v/>
      </c>
      <c r="Y256">
        <f>SUM(W178-U178)/U178</f>
        <v/>
      </c>
      <c r="Z256" t="inlineStr">
        <is>
          <t>A</t>
        </is>
      </c>
      <c r="AB256" t="n">
        <v>12325000</v>
      </c>
      <c r="AC256" t="inlineStr">
        <is>
          <t>No</t>
        </is>
      </c>
      <c r="AD256" t="inlineStr">
        <is>
          <t>Tenant break on 6 months notice.</t>
        </is>
      </c>
      <c r="AI256" t="inlineStr">
        <is>
          <t>Let</t>
        </is>
      </c>
    </row>
    <row r="257"/>
    <row r="258">
      <c r="A258" s="868" t="inlineStr">
        <is>
          <t>9 Margaret Street</t>
        </is>
      </c>
    </row>
    <row r="259">
      <c r="A259" t="inlineStr">
        <is>
          <t xml:space="preserve">  Office</t>
        </is>
      </c>
      <c r="B259" t="inlineStr">
        <is>
          <t>WS</t>
        </is>
      </c>
      <c r="C259" t="inlineStr">
        <is>
          <t>MEL</t>
        </is>
      </c>
      <c r="D259" t="n">
        <v>550330</v>
      </c>
      <c r="E259" t="inlineStr">
        <is>
          <t>9 Margaret Street</t>
        </is>
      </c>
      <c r="F259" t="inlineStr">
        <is>
          <t>Whole</t>
        </is>
      </c>
      <c r="G259" t="inlineStr">
        <is>
          <t>Office</t>
        </is>
      </c>
      <c r="H259" t="n">
        <v>4969</v>
      </c>
      <c r="I259">
        <f>I179</f>
        <v/>
      </c>
      <c r="J259" t="n">
        <v>5000</v>
      </c>
      <c r="K259" t="inlineStr">
        <is>
          <t>Racoon Media Services Limited</t>
        </is>
      </c>
      <c r="L259" s="869" t="n">
        <v>45198</v>
      </c>
      <c r="M259" s="869" t="n">
        <v>48850</v>
      </c>
      <c r="O259" s="869" t="n">
        <v>47025</v>
      </c>
      <c r="P259" s="869" t="n">
        <v>46293</v>
      </c>
      <c r="Q259" t="n">
        <v>315000</v>
      </c>
      <c r="R259">
        <f>R179</f>
        <v/>
      </c>
      <c r="S259">
        <f>S179</f>
        <v/>
      </c>
      <c r="T259" t="n">
        <v>266600</v>
      </c>
      <c r="U259">
        <f>U179</f>
        <v/>
      </c>
      <c r="V259" t="n">
        <v>315000</v>
      </c>
      <c r="W259">
        <f>W179</f>
        <v/>
      </c>
      <c r="X259">
        <f>W179/I179</f>
        <v/>
      </c>
      <c r="Y259">
        <f>SUM(W179-U179)/U179</f>
        <v/>
      </c>
      <c r="Z259" t="inlineStr">
        <is>
          <t>C</t>
        </is>
      </c>
      <c r="AB259" t="n">
        <v>5575000</v>
      </c>
      <c r="AC259" t="inlineStr">
        <is>
          <t>No</t>
        </is>
      </c>
      <c r="AD259" t="inlineStr">
        <is>
          <t>Tenant break on 6 months notice, if not exercised then a further 3 months rent free.</t>
        </is>
      </c>
      <c r="AI259" t="inlineStr">
        <is>
          <t>Let</t>
        </is>
      </c>
    </row>
    <row r="260"/>
    <row r="261">
      <c r="A261" s="868" t="inlineStr">
        <is>
          <t>London House, 9a Margaret Street</t>
        </is>
      </c>
    </row>
    <row r="262">
      <c r="A262" t="inlineStr">
        <is>
          <t xml:space="preserve">  Storage</t>
        </is>
      </c>
      <c r="B262" t="inlineStr">
        <is>
          <t>CM</t>
        </is>
      </c>
      <c r="C262" t="inlineStr">
        <is>
          <t>MEL</t>
        </is>
      </c>
      <c r="D262" t="n">
        <v>550340</v>
      </c>
      <c r="E262" t="inlineStr">
        <is>
          <t>London House, 9a Margaret Street</t>
        </is>
      </c>
      <c r="F262" t="inlineStr">
        <is>
          <t>Basement (Vaults)</t>
        </is>
      </c>
      <c r="G262" t="inlineStr">
        <is>
          <t>Storage</t>
        </is>
      </c>
      <c r="H262" t="n">
        <v>400</v>
      </c>
      <c r="I262">
        <f>I180</f>
        <v/>
      </c>
      <c r="K262" t="inlineStr">
        <is>
          <t>Langham Estate Management Ltd</t>
        </is>
      </c>
      <c r="L262" s="869" t="n">
        <v>43184</v>
      </c>
      <c r="M262" s="869" t="n">
        <v>46836</v>
      </c>
      <c r="O262" s="869" t="n">
        <v>45010</v>
      </c>
      <c r="Q262" t="n">
        <v>2400</v>
      </c>
      <c r="R262">
        <f>R180</f>
        <v/>
      </c>
      <c r="T262" t="n">
        <v>2000</v>
      </c>
      <c r="U262">
        <f>U180</f>
        <v/>
      </c>
      <c r="V262" t="n">
        <v>2000</v>
      </c>
      <c r="W262">
        <f>W180</f>
        <v/>
      </c>
      <c r="X262">
        <f>W180/I180</f>
        <v/>
      </c>
      <c r="Y262">
        <f>SUM(W180-U180)/U180</f>
        <v/>
      </c>
      <c r="AC262" t="inlineStr">
        <is>
          <t>No</t>
        </is>
      </c>
      <c r="AD262" t="inlineStr">
        <is>
          <t>Mutual rolling break on 6 months notice. Internal Lease to another Lee Family Group Company.</t>
        </is>
      </c>
      <c r="AI262" t="inlineStr">
        <is>
          <t>Let</t>
        </is>
      </c>
    </row>
    <row r="263">
      <c r="A263" t="inlineStr">
        <is>
          <t xml:space="preserve">  Office/ Storage</t>
        </is>
      </c>
      <c r="B263" t="inlineStr">
        <is>
          <t>CM</t>
        </is>
      </c>
      <c r="C263" t="inlineStr">
        <is>
          <t>MEL</t>
        </is>
      </c>
      <c r="D263" t="n">
        <v>550340</v>
      </c>
      <c r="E263" t="inlineStr">
        <is>
          <t>London House, 9a Margaret Street</t>
        </is>
      </c>
      <c r="F263" t="inlineStr">
        <is>
          <t>Basement (South)</t>
        </is>
      </c>
      <c r="G263" t="inlineStr">
        <is>
          <t>Office/ Storage</t>
        </is>
      </c>
      <c r="H263" t="n">
        <v>873</v>
      </c>
      <c r="I263">
        <f>I181</f>
        <v/>
      </c>
      <c r="K263" t="inlineStr">
        <is>
          <t>Langham Estate Management Ltd</t>
        </is>
      </c>
      <c r="L263" s="869" t="n">
        <v>43184</v>
      </c>
      <c r="M263" s="869" t="n">
        <v>46836</v>
      </c>
      <c r="O263" s="869" t="n">
        <v>45010</v>
      </c>
      <c r="Q263" t="n">
        <v>24500</v>
      </c>
      <c r="R263">
        <f>R181</f>
        <v/>
      </c>
      <c r="T263" t="n">
        <v>17500</v>
      </c>
      <c r="U263">
        <f>U181</f>
        <v/>
      </c>
      <c r="V263" t="n">
        <v>26200</v>
      </c>
      <c r="W263">
        <f>W181</f>
        <v/>
      </c>
      <c r="X263">
        <f>W181/I181</f>
        <v/>
      </c>
      <c r="Y263">
        <f>SUM(W181-U181)/U181</f>
        <v/>
      </c>
      <c r="Z263" t="inlineStr">
        <is>
          <t>D</t>
        </is>
      </c>
      <c r="AC263" t="inlineStr">
        <is>
          <t>No</t>
        </is>
      </c>
      <c r="AD263" t="inlineStr">
        <is>
          <t>Mutual rolling break on 6 months notice. Internal Lease to another Lee Family Group Company.</t>
        </is>
      </c>
      <c r="AI263" t="inlineStr">
        <is>
          <t>Let</t>
        </is>
      </c>
    </row>
    <row r="264">
      <c r="A264" t="inlineStr">
        <is>
          <t xml:space="preserve">  Office</t>
        </is>
      </c>
      <c r="B264" t="inlineStr">
        <is>
          <t>CM</t>
        </is>
      </c>
      <c r="C264" t="inlineStr">
        <is>
          <t>MEL</t>
        </is>
      </c>
      <c r="D264" t="n">
        <v>550340</v>
      </c>
      <c r="E264" t="inlineStr">
        <is>
          <t>London House, 9a Margaret Street</t>
        </is>
      </c>
      <c r="F264" t="inlineStr">
        <is>
          <t>Basement (North)</t>
        </is>
      </c>
      <c r="G264" t="inlineStr">
        <is>
          <t>Office</t>
        </is>
      </c>
      <c r="H264" t="n">
        <v>624</v>
      </c>
      <c r="I264">
        <f>I182</f>
        <v/>
      </c>
      <c r="K264" t="inlineStr">
        <is>
          <t>Langham Estate Management Ltd</t>
        </is>
      </c>
      <c r="L264" s="869" t="n">
        <v>43184</v>
      </c>
      <c r="M264" s="869" t="n">
        <v>46836</v>
      </c>
      <c r="O264" s="869" t="n">
        <v>45010</v>
      </c>
      <c r="Q264" t="n">
        <v>15600</v>
      </c>
      <c r="R264">
        <f>R182</f>
        <v/>
      </c>
      <c r="T264" t="n">
        <v>12500</v>
      </c>
      <c r="U264">
        <f>U182</f>
        <v/>
      </c>
      <c r="V264" t="n">
        <v>18700</v>
      </c>
      <c r="W264">
        <f>W182</f>
        <v/>
      </c>
      <c r="X264">
        <f>W182/I182</f>
        <v/>
      </c>
      <c r="Y264">
        <f>SUM(W182-U182)/U182</f>
        <v/>
      </c>
      <c r="Z264" t="inlineStr">
        <is>
          <t>D</t>
        </is>
      </c>
      <c r="AC264" t="inlineStr">
        <is>
          <t>No</t>
        </is>
      </c>
      <c r="AD264" t="inlineStr">
        <is>
          <t>Mutual rolling break on 6 months notice. Internal Lease to another Lee Family Group Company.</t>
        </is>
      </c>
      <c r="AI264" t="inlineStr">
        <is>
          <t>Let</t>
        </is>
      </c>
    </row>
    <row r="265">
      <c r="A265" t="inlineStr">
        <is>
          <t xml:space="preserve">  Office</t>
        </is>
      </c>
      <c r="B265" t="inlineStr">
        <is>
          <t>CM</t>
        </is>
      </c>
      <c r="C265" t="inlineStr">
        <is>
          <t>MEL</t>
        </is>
      </c>
      <c r="D265" t="n">
        <v>550340</v>
      </c>
      <c r="E265" t="inlineStr">
        <is>
          <t>London House, 9a Margaret Street</t>
        </is>
      </c>
      <c r="F265" t="inlineStr">
        <is>
          <t>Ground Floor (East)</t>
        </is>
      </c>
      <c r="G265" t="inlineStr">
        <is>
          <t>Office</t>
        </is>
      </c>
      <c r="H265" t="n">
        <v>1497</v>
      </c>
      <c r="I265">
        <f>I183</f>
        <v/>
      </c>
      <c r="K265" t="inlineStr">
        <is>
          <t>Langham Estate Management Ltd</t>
        </is>
      </c>
      <c r="L265" s="869" t="n">
        <v>45010</v>
      </c>
      <c r="M265" s="869" t="n">
        <v>46836</v>
      </c>
      <c r="Q265" t="n">
        <v>84600</v>
      </c>
      <c r="R265">
        <f>R183</f>
        <v/>
      </c>
      <c r="T265" t="n">
        <v>86100</v>
      </c>
      <c r="U265">
        <f>U183</f>
        <v/>
      </c>
      <c r="V265" t="n">
        <v>89800</v>
      </c>
      <c r="W265">
        <f>W183</f>
        <v/>
      </c>
      <c r="X265">
        <f>W183/I183</f>
        <v/>
      </c>
      <c r="Y265">
        <f>SUM(W183-U183)/U183</f>
        <v/>
      </c>
      <c r="Z265" t="inlineStr">
        <is>
          <t>C</t>
        </is>
      </c>
      <c r="AC265" t="inlineStr">
        <is>
          <t>No</t>
        </is>
      </c>
      <c r="AD265" t="inlineStr">
        <is>
          <t>Mutual rolling break on 6 months notice. Internal Lease to another Lee Family Group Company.</t>
        </is>
      </c>
      <c r="AI265" t="inlineStr">
        <is>
          <t>Let</t>
        </is>
      </c>
    </row>
    <row r="266">
      <c r="A266" t="inlineStr">
        <is>
          <t xml:space="preserve">  Office</t>
        </is>
      </c>
      <c r="B266" t="inlineStr">
        <is>
          <t>CM</t>
        </is>
      </c>
      <c r="C266" t="inlineStr">
        <is>
          <t>MEL</t>
        </is>
      </c>
      <c r="D266" t="n">
        <v>550340</v>
      </c>
      <c r="E266" t="inlineStr">
        <is>
          <t>London House, 9a Margaret Street</t>
        </is>
      </c>
      <c r="F266" t="inlineStr">
        <is>
          <t>Ground Floor (West)</t>
        </is>
      </c>
      <c r="G266" t="inlineStr">
        <is>
          <t>Office</t>
        </is>
      </c>
      <c r="H266" t="n">
        <v>1553</v>
      </c>
      <c r="I266">
        <f>I184</f>
        <v/>
      </c>
      <c r="K266" t="inlineStr">
        <is>
          <t>Langham Estate Management Ltd</t>
        </is>
      </c>
      <c r="L266" s="869" t="n">
        <v>45269</v>
      </c>
      <c r="M266" s="869" t="n">
        <v>46836</v>
      </c>
      <c r="Q266" t="n">
        <v>87750</v>
      </c>
      <c r="R266">
        <f>R184</f>
        <v/>
      </c>
      <c r="T266" t="n">
        <v>89300</v>
      </c>
      <c r="U266">
        <f>U184</f>
        <v/>
      </c>
      <c r="V266" t="n">
        <v>93200</v>
      </c>
      <c r="W266">
        <f>W184</f>
        <v/>
      </c>
      <c r="X266">
        <f>W184/I184</f>
        <v/>
      </c>
      <c r="Y266">
        <f>SUM(W184-U184)/U184</f>
        <v/>
      </c>
      <c r="Z266" t="inlineStr">
        <is>
          <t>D</t>
        </is>
      </c>
      <c r="AC266" t="inlineStr">
        <is>
          <t>No</t>
        </is>
      </c>
      <c r="AD266" t="inlineStr">
        <is>
          <t>Mutual rolling break on 6 months notice. Internal Lease to another Lee Family Group Company.</t>
        </is>
      </c>
      <c r="AI266" t="inlineStr">
        <is>
          <t>Let</t>
        </is>
      </c>
    </row>
    <row r="267">
      <c r="A267" t="inlineStr">
        <is>
          <t xml:space="preserve">  Office</t>
        </is>
      </c>
      <c r="B267" t="inlineStr">
        <is>
          <t>CM</t>
        </is>
      </c>
      <c r="C267" t="inlineStr">
        <is>
          <t>MEL</t>
        </is>
      </c>
      <c r="D267" t="n">
        <v>550340</v>
      </c>
      <c r="E267" t="inlineStr">
        <is>
          <t>London House, 9a Margaret Street</t>
        </is>
      </c>
      <c r="F267" t="inlineStr">
        <is>
          <t>First Floor (East)</t>
        </is>
      </c>
      <c r="G267" t="inlineStr">
        <is>
          <t>Office</t>
        </is>
      </c>
      <c r="H267" t="n">
        <v>1445</v>
      </c>
      <c r="I267">
        <f>I185</f>
        <v/>
      </c>
      <c r="K267" t="inlineStr">
        <is>
          <t>Langham Estate Management Ltd</t>
        </is>
      </c>
      <c r="L267" s="869" t="n">
        <v>43184</v>
      </c>
      <c r="M267" s="869" t="n">
        <v>46836</v>
      </c>
      <c r="O267" s="869" t="n">
        <v>45010</v>
      </c>
      <c r="Q267" t="n">
        <v>79500</v>
      </c>
      <c r="R267">
        <f>R185</f>
        <v/>
      </c>
      <c r="T267" t="n">
        <v>86700</v>
      </c>
      <c r="U267">
        <f>U185</f>
        <v/>
      </c>
      <c r="V267" t="n">
        <v>90300</v>
      </c>
      <c r="W267">
        <f>W185</f>
        <v/>
      </c>
      <c r="X267">
        <f>W185/I185</f>
        <v/>
      </c>
      <c r="Y267">
        <f>SUM(W185-U185)/U185</f>
        <v/>
      </c>
      <c r="Z267" t="inlineStr">
        <is>
          <t>D</t>
        </is>
      </c>
      <c r="AC267" t="inlineStr">
        <is>
          <t>No</t>
        </is>
      </c>
      <c r="AD267" t="inlineStr">
        <is>
          <t>Mutual rolling break on 6 months notice. Internal Lease to another Lee Family Group Company.</t>
        </is>
      </c>
      <c r="AI267" t="inlineStr">
        <is>
          <t>Let</t>
        </is>
      </c>
    </row>
    <row r="268">
      <c r="A268" t="inlineStr">
        <is>
          <t xml:space="preserve">  Office</t>
        </is>
      </c>
      <c r="B268" t="inlineStr">
        <is>
          <t>CM</t>
        </is>
      </c>
      <c r="C268" t="inlineStr">
        <is>
          <t>MEL</t>
        </is>
      </c>
      <c r="D268" t="n">
        <v>550340</v>
      </c>
      <c r="E268" t="inlineStr">
        <is>
          <t>London House, 9a Margaret Street</t>
        </is>
      </c>
      <c r="F268" t="inlineStr">
        <is>
          <t>First Floor (West)</t>
        </is>
      </c>
      <c r="G268" t="inlineStr">
        <is>
          <t>Office</t>
        </is>
      </c>
      <c r="H268" t="n">
        <v>1200</v>
      </c>
      <c r="I268">
        <f>I186</f>
        <v/>
      </c>
      <c r="K268" t="inlineStr">
        <is>
          <t>Langham Estate Management Ltd</t>
        </is>
      </c>
      <c r="L268" s="869" t="n">
        <v>43184</v>
      </c>
      <c r="M268" s="869" t="n">
        <v>46836</v>
      </c>
      <c r="O268" s="869" t="n">
        <v>45010</v>
      </c>
      <c r="Q268" t="n">
        <v>66000</v>
      </c>
      <c r="R268">
        <f>R186</f>
        <v/>
      </c>
      <c r="T268" t="n">
        <v>72000</v>
      </c>
      <c r="U268">
        <f>U186</f>
        <v/>
      </c>
      <c r="V268" t="n">
        <v>75000</v>
      </c>
      <c r="W268">
        <f>W186</f>
        <v/>
      </c>
      <c r="X268">
        <f>W186/I186</f>
        <v/>
      </c>
      <c r="Y268">
        <f>SUM(W186-U186)/U186</f>
        <v/>
      </c>
      <c r="Z268" t="inlineStr">
        <is>
          <t>C</t>
        </is>
      </c>
      <c r="AC268" t="inlineStr">
        <is>
          <t>No</t>
        </is>
      </c>
      <c r="AD268" t="inlineStr">
        <is>
          <t>Mutual rolling break on 6 months notice. Internal Lease to another Lee Family Group Company.</t>
        </is>
      </c>
      <c r="AI268" t="inlineStr">
        <is>
          <t>Let</t>
        </is>
      </c>
    </row>
    <row r="269">
      <c r="A269" t="inlineStr">
        <is>
          <t xml:space="preserve">  Office</t>
        </is>
      </c>
      <c r="B269" t="inlineStr">
        <is>
          <t>CM</t>
        </is>
      </c>
      <c r="C269" t="inlineStr">
        <is>
          <t>MEL</t>
        </is>
      </c>
      <c r="D269" t="n">
        <v>550340</v>
      </c>
      <c r="E269" t="inlineStr">
        <is>
          <t>London House, 9a Margaret Street</t>
        </is>
      </c>
      <c r="F269" t="inlineStr">
        <is>
          <t>Second Floor (East)</t>
        </is>
      </c>
      <c r="G269" t="inlineStr">
        <is>
          <t>Office</t>
        </is>
      </c>
      <c r="H269" t="n">
        <v>373</v>
      </c>
      <c r="I269">
        <f>I187</f>
        <v/>
      </c>
      <c r="K269" t="inlineStr">
        <is>
          <t>Langham Estate Management Ltd</t>
        </is>
      </c>
      <c r="L269" s="869" t="n">
        <v>43184</v>
      </c>
      <c r="M269" s="869" t="n">
        <v>46836</v>
      </c>
      <c r="O269" s="869" t="n">
        <v>45010</v>
      </c>
      <c r="Q269" t="n">
        <v>18650</v>
      </c>
      <c r="R269">
        <f>R187</f>
        <v/>
      </c>
      <c r="T269" t="n">
        <v>22400</v>
      </c>
      <c r="U269">
        <f>U187</f>
        <v/>
      </c>
      <c r="V269" t="n">
        <v>23300</v>
      </c>
      <c r="W269">
        <f>W187</f>
        <v/>
      </c>
      <c r="X269">
        <f>W187/I187</f>
        <v/>
      </c>
      <c r="Y269">
        <f>SUM(W187-U187)/U187</f>
        <v/>
      </c>
      <c r="Z269" t="inlineStr">
        <is>
          <t>D</t>
        </is>
      </c>
      <c r="AC269" t="inlineStr">
        <is>
          <t>No</t>
        </is>
      </c>
      <c r="AD269" t="inlineStr">
        <is>
          <t>Mutual rolling break on 6 months notice. Internal Lease to another Lee Family Group Company.</t>
        </is>
      </c>
      <c r="AI269" t="inlineStr">
        <is>
          <t>Let</t>
        </is>
      </c>
    </row>
    <row r="270">
      <c r="A270" t="inlineStr">
        <is>
          <t xml:space="preserve">  Office</t>
        </is>
      </c>
      <c r="B270" t="inlineStr">
        <is>
          <t>CM</t>
        </is>
      </c>
      <c r="C270" t="inlineStr">
        <is>
          <t>MEL</t>
        </is>
      </c>
      <c r="D270" t="n">
        <v>550340</v>
      </c>
      <c r="E270" t="inlineStr">
        <is>
          <t>London House, 9a Margaret Street</t>
        </is>
      </c>
      <c r="F270" t="inlineStr">
        <is>
          <t>Second Floor (West)</t>
        </is>
      </c>
      <c r="G270" t="inlineStr">
        <is>
          <t>Office</t>
        </is>
      </c>
      <c r="H270" t="n">
        <v>346</v>
      </c>
      <c r="I270">
        <f>I188</f>
        <v/>
      </c>
      <c r="K270" t="inlineStr">
        <is>
          <t>Langham Estate Management Ltd</t>
        </is>
      </c>
      <c r="L270" s="869" t="n">
        <v>43184</v>
      </c>
      <c r="M270" s="869" t="n">
        <v>46836</v>
      </c>
      <c r="O270" s="869" t="n">
        <v>45010</v>
      </c>
      <c r="Q270" t="n">
        <v>18150</v>
      </c>
      <c r="R270">
        <f>R188</f>
        <v/>
      </c>
      <c r="T270" t="n">
        <v>20800</v>
      </c>
      <c r="U270">
        <f>U188</f>
        <v/>
      </c>
      <c r="V270" t="n">
        <v>21600</v>
      </c>
      <c r="W270">
        <f>W188</f>
        <v/>
      </c>
      <c r="X270">
        <f>W188/I188</f>
        <v/>
      </c>
      <c r="Y270">
        <f>SUM(W188-U188)/U188</f>
        <v/>
      </c>
      <c r="Z270" t="inlineStr">
        <is>
          <t>D</t>
        </is>
      </c>
      <c r="AC270" t="inlineStr">
        <is>
          <t>No</t>
        </is>
      </c>
      <c r="AD270" t="inlineStr">
        <is>
          <t>Mutual rolling break on 6 months notice. Internal Lease to another Lee Family Group Company.</t>
        </is>
      </c>
      <c r="AI270" t="inlineStr">
        <is>
          <t>Let</t>
        </is>
      </c>
    </row>
    <row r="271"/>
    <row r="272">
      <c r="A272" s="868" t="inlineStr">
        <is>
          <t>10 Margaret Street</t>
        </is>
      </c>
    </row>
    <row r="273">
      <c r="A273" t="inlineStr">
        <is>
          <t xml:space="preserve">  Office</t>
        </is>
      </c>
      <c r="B273" t="inlineStr">
        <is>
          <t>SH</t>
        </is>
      </c>
      <c r="C273" t="inlineStr">
        <is>
          <t>MEL</t>
        </is>
      </c>
      <c r="D273" t="n">
        <v>550900</v>
      </c>
      <c r="E273" t="inlineStr">
        <is>
          <t>10 Margaret Street</t>
        </is>
      </c>
      <c r="F273" t="inlineStr">
        <is>
          <t>Whole</t>
        </is>
      </c>
      <c r="G273" t="inlineStr">
        <is>
          <t>Office</t>
        </is>
      </c>
      <c r="H273" t="n">
        <v>8445</v>
      </c>
      <c r="I273">
        <f>I189</f>
        <v/>
      </c>
      <c r="J273" t="n">
        <v>8500</v>
      </c>
      <c r="K273" t="inlineStr">
        <is>
          <t>DMR Film Ventures (Facilities) Ltd.</t>
        </is>
      </c>
      <c r="L273" s="869" t="n">
        <v>44390</v>
      </c>
      <c r="M273" s="869" t="n">
        <v>48041</v>
      </c>
      <c r="O273" s="869" t="n">
        <v>46216</v>
      </c>
      <c r="P273" s="869" t="n">
        <v>46215</v>
      </c>
      <c r="Q273" t="n">
        <v>450500</v>
      </c>
      <c r="R273">
        <f>R189</f>
        <v/>
      </c>
      <c r="T273" t="n">
        <v>450500</v>
      </c>
      <c r="U273">
        <f>U189</f>
        <v/>
      </c>
      <c r="V273" t="n">
        <v>495300</v>
      </c>
      <c r="W273">
        <f>W189</f>
        <v/>
      </c>
      <c r="X273">
        <f>W189/I189</f>
        <v/>
      </c>
      <c r="Y273">
        <f>SUM(W189-U189)/U189</f>
        <v/>
      </c>
      <c r="Z273" t="inlineStr">
        <is>
          <t>C</t>
        </is>
      </c>
      <c r="AC273" t="inlineStr">
        <is>
          <t>No</t>
        </is>
      </c>
      <c r="AD273" t="inlineStr">
        <is>
          <t>Tenant break on 6 months notice. 6 months rent free if break not exercised.</t>
        </is>
      </c>
      <c r="AI273" t="inlineStr">
        <is>
          <t>Let</t>
        </is>
      </c>
    </row>
    <row r="274">
      <c r="A274" t="inlineStr">
        <is>
          <t xml:space="preserve">  Sub-Station</t>
        </is>
      </c>
      <c r="B274" t="inlineStr">
        <is>
          <t>SH</t>
        </is>
      </c>
      <c r="C274" t="inlineStr">
        <is>
          <t>MEL</t>
        </is>
      </c>
      <c r="D274" t="n">
        <v>550900</v>
      </c>
      <c r="E274" t="inlineStr">
        <is>
          <t>10 Margaret Street</t>
        </is>
      </c>
      <c r="F274" t="inlineStr">
        <is>
          <t>Pavement Vaults</t>
        </is>
      </c>
      <c r="G274" t="inlineStr">
        <is>
          <t>Sub-Station</t>
        </is>
      </c>
      <c r="H274" t="n">
        <v>0</v>
      </c>
      <c r="I274">
        <f>I190</f>
        <v/>
      </c>
      <c r="K274" t="inlineStr">
        <is>
          <t>London Power Networks Plc</t>
        </is>
      </c>
      <c r="L274" s="869" t="n">
        <v>38840</v>
      </c>
      <c r="M274" s="869" t="n">
        <v>46144</v>
      </c>
      <c r="Q274" t="n">
        <v>1100</v>
      </c>
      <c r="R274">
        <f>R190</f>
        <v/>
      </c>
      <c r="T274" t="n">
        <v>1100</v>
      </c>
      <c r="U274">
        <f>U190</f>
        <v/>
      </c>
      <c r="V274" t="n">
        <v>1100</v>
      </c>
      <c r="W274">
        <f>W190</f>
        <v/>
      </c>
      <c r="AC274" t="inlineStr">
        <is>
          <t>No</t>
        </is>
      </c>
      <c r="AD274" t="inlineStr">
        <is>
          <t>Landlords rolling redevelopment option on 6 months notice.</t>
        </is>
      </c>
      <c r="AI274" t="inlineStr">
        <is>
          <t>Let</t>
        </is>
      </c>
    </row>
    <row r="275"/>
    <row r="276">
      <c r="A276" s="868" t="inlineStr">
        <is>
          <t>Audley House,  12 Margaret Street</t>
        </is>
      </c>
    </row>
    <row r="277">
      <c r="A277" t="inlineStr">
        <is>
          <t xml:space="preserve">  Office</t>
        </is>
      </c>
      <c r="B277" t="inlineStr">
        <is>
          <t>SH</t>
        </is>
      </c>
      <c r="C277" t="inlineStr">
        <is>
          <t>MEL</t>
        </is>
      </c>
      <c r="D277" t="n">
        <v>550350</v>
      </c>
      <c r="E277" t="inlineStr">
        <is>
          <t>Audley House,  12 Margaret Street</t>
        </is>
      </c>
      <c r="F277" t="inlineStr">
        <is>
          <t>Whole</t>
        </is>
      </c>
      <c r="G277" t="inlineStr">
        <is>
          <t>Office</t>
        </is>
      </c>
      <c r="H277" t="n">
        <v>6563</v>
      </c>
      <c r="I277">
        <f>I191</f>
        <v/>
      </c>
      <c r="J277" t="n">
        <v>6500</v>
      </c>
      <c r="K277" t="inlineStr">
        <is>
          <t>Wimbledon Business Centre Ltd.</t>
        </is>
      </c>
      <c r="L277" s="869" t="n">
        <v>45062</v>
      </c>
      <c r="M277" s="869" t="n">
        <v>48714</v>
      </c>
      <c r="O277" s="869" t="n">
        <v>46889</v>
      </c>
      <c r="Q277" t="n">
        <v>350000</v>
      </c>
      <c r="R277">
        <f>R191</f>
        <v/>
      </c>
      <c r="S277">
        <f>S191</f>
        <v/>
      </c>
      <c r="T277" t="n">
        <v>350000</v>
      </c>
      <c r="U277">
        <f>U191</f>
        <v/>
      </c>
      <c r="V277" t="n">
        <v>350000</v>
      </c>
      <c r="W277">
        <f>W191</f>
        <v/>
      </c>
      <c r="X277">
        <f>W191/I191</f>
        <v/>
      </c>
      <c r="Y277">
        <f>SUM(W191-U191)/U191</f>
        <v/>
      </c>
      <c r="Z277" t="inlineStr">
        <is>
          <t>D</t>
        </is>
      </c>
      <c r="AB277" t="n">
        <v>6575000</v>
      </c>
      <c r="AC277" t="inlineStr">
        <is>
          <t>No</t>
        </is>
      </c>
      <c r="AI277" t="inlineStr">
        <is>
          <t>Let</t>
        </is>
      </c>
    </row>
    <row r="278"/>
    <row r="279">
      <c r="A279" s="868" t="inlineStr">
        <is>
          <t>13-14 Margaret Street</t>
        </is>
      </c>
    </row>
    <row r="280">
      <c r="A280" t="inlineStr">
        <is>
          <t xml:space="preserve">  Retail</t>
        </is>
      </c>
      <c r="B280" t="inlineStr">
        <is>
          <t>WS</t>
        </is>
      </c>
      <c r="C280" t="inlineStr">
        <is>
          <t>MEL</t>
        </is>
      </c>
      <c r="D280" t="n">
        <v>550360</v>
      </c>
      <c r="E280" t="inlineStr">
        <is>
          <t>13-14 Margaret Street</t>
        </is>
      </c>
      <c r="F280" t="inlineStr">
        <is>
          <t>Basement &amp; Ground</t>
        </is>
      </c>
      <c r="G280" t="inlineStr">
        <is>
          <t>Retail</t>
        </is>
      </c>
      <c r="H280" t="n">
        <v>5735</v>
      </c>
      <c r="I280">
        <f>I192</f>
        <v/>
      </c>
      <c r="J280" t="n">
        <v>5750</v>
      </c>
      <c r="K280" t="inlineStr">
        <is>
          <t>Arlettie London Ltd.</t>
        </is>
      </c>
      <c r="L280" s="869" t="n">
        <v>45240</v>
      </c>
      <c r="M280" s="869" t="n">
        <v>48892</v>
      </c>
      <c r="O280" s="869" t="n">
        <v>47067</v>
      </c>
      <c r="P280" s="869" t="n">
        <v>47066</v>
      </c>
      <c r="Q280" t="n">
        <v>282288</v>
      </c>
      <c r="R280">
        <f>R192</f>
        <v/>
      </c>
      <c r="T280" t="n">
        <v>258600</v>
      </c>
      <c r="U280">
        <f>U192</f>
        <v/>
      </c>
      <c r="V280" t="n">
        <v>282288</v>
      </c>
      <c r="W280">
        <f>W192</f>
        <v/>
      </c>
      <c r="X280">
        <f>W192/I192</f>
        <v/>
      </c>
      <c r="Y280">
        <f>SUM(W192-U192)/U192</f>
        <v/>
      </c>
      <c r="Z280" t="inlineStr">
        <is>
          <t>C</t>
        </is>
      </c>
      <c r="AC280" t="inlineStr">
        <is>
          <t>No</t>
        </is>
      </c>
      <c r="AD280" t="inlineStr">
        <is>
          <t>Tenant break on 6 months notice and penalty clause of £48,345.</t>
        </is>
      </c>
      <c r="AI280" t="inlineStr">
        <is>
          <t>Let</t>
        </is>
      </c>
    </row>
    <row r="281">
      <c r="A281" t="inlineStr">
        <is>
          <t xml:space="preserve">  Office</t>
        </is>
      </c>
      <c r="B281" t="inlineStr">
        <is>
          <t>WS</t>
        </is>
      </c>
      <c r="C281" t="inlineStr">
        <is>
          <t>MEL</t>
        </is>
      </c>
      <c r="D281" t="n">
        <v>550360</v>
      </c>
      <c r="E281" t="inlineStr">
        <is>
          <t>13-14 Margaret Street</t>
        </is>
      </c>
      <c r="F281" t="inlineStr">
        <is>
          <t>First Floor</t>
        </is>
      </c>
      <c r="G281" t="inlineStr">
        <is>
          <t>Office</t>
        </is>
      </c>
      <c r="H281" t="n">
        <v>2400</v>
      </c>
      <c r="I281">
        <f>I193</f>
        <v/>
      </c>
      <c r="J281" t="n">
        <v>2500</v>
      </c>
      <c r="K281" t="inlineStr">
        <is>
          <t>Final Cut Ltd.</t>
        </is>
      </c>
      <c r="L281" s="869" t="n">
        <v>44665</v>
      </c>
      <c r="M281" s="869" t="n">
        <v>48852</v>
      </c>
      <c r="O281" s="869" t="n">
        <v>46491</v>
      </c>
      <c r="P281" s="869" t="n">
        <v>47026</v>
      </c>
      <c r="Q281" t="n">
        <v>152500</v>
      </c>
      <c r="R281">
        <f>R193</f>
        <v/>
      </c>
      <c r="T281" t="n">
        <v>152400</v>
      </c>
      <c r="U281">
        <f>U193</f>
        <v/>
      </c>
      <c r="V281" t="n">
        <v>152400</v>
      </c>
      <c r="W281">
        <f>W193</f>
        <v/>
      </c>
      <c r="X281">
        <f>W193/I193</f>
        <v/>
      </c>
      <c r="Y281">
        <f>SUM(W193-U193)/U193</f>
        <v/>
      </c>
      <c r="Z281" t="inlineStr">
        <is>
          <t>E</t>
        </is>
      </c>
      <c r="AC281" t="inlineStr">
        <is>
          <t>No</t>
        </is>
      </c>
      <c r="AD281" t="inlineStr">
        <is>
          <t xml:space="preserve">Tenant break on 6 months notice. </t>
        </is>
      </c>
      <c r="AI281" t="inlineStr">
        <is>
          <t>Let</t>
        </is>
      </c>
    </row>
    <row r="282">
      <c r="A282" t="inlineStr">
        <is>
          <t xml:space="preserve">  Office</t>
        </is>
      </c>
      <c r="B282" t="inlineStr">
        <is>
          <t>WS</t>
        </is>
      </c>
      <c r="C282" t="inlineStr">
        <is>
          <t>MEL</t>
        </is>
      </c>
      <c r="D282" t="n">
        <v>550360</v>
      </c>
      <c r="E282" t="inlineStr">
        <is>
          <t>13-14 Margaret Street</t>
        </is>
      </c>
      <c r="F282" t="inlineStr">
        <is>
          <t>Second Floor</t>
        </is>
      </c>
      <c r="G282" t="inlineStr">
        <is>
          <t>Office</t>
        </is>
      </c>
      <c r="H282" t="n">
        <v>2516</v>
      </c>
      <c r="I282">
        <f>I194</f>
        <v/>
      </c>
      <c r="J282" t="n">
        <v>2500</v>
      </c>
      <c r="K282" t="inlineStr">
        <is>
          <t>Final Cut Ltd.</t>
        </is>
      </c>
      <c r="L282" s="869" t="n">
        <v>44445</v>
      </c>
      <c r="M282" s="869" t="n">
        <v>47026</v>
      </c>
      <c r="O282" s="869" t="n">
        <v>46271</v>
      </c>
      <c r="Q282" t="n">
        <v>150000</v>
      </c>
      <c r="R282">
        <f>R194</f>
        <v/>
      </c>
      <c r="T282" t="n">
        <v>158800</v>
      </c>
      <c r="U282">
        <f>U194</f>
        <v/>
      </c>
      <c r="V282" t="n">
        <v>159800</v>
      </c>
      <c r="W282">
        <f>W194</f>
        <v/>
      </c>
      <c r="X282">
        <f>W194/I194</f>
        <v/>
      </c>
      <c r="Y282">
        <f>SUM(W194-U194)/U194</f>
        <v/>
      </c>
      <c r="Z282" t="inlineStr">
        <is>
          <t>E</t>
        </is>
      </c>
      <c r="AC282" t="inlineStr">
        <is>
          <t>No</t>
        </is>
      </c>
      <c r="AI282" t="inlineStr">
        <is>
          <t>Let</t>
        </is>
      </c>
    </row>
    <row r="283">
      <c r="A283" t="inlineStr">
        <is>
          <t xml:space="preserve">  Office</t>
        </is>
      </c>
      <c r="B283" t="inlineStr">
        <is>
          <t>WS</t>
        </is>
      </c>
      <c r="C283" t="inlineStr">
        <is>
          <t>MEL</t>
        </is>
      </c>
      <c r="D283" t="n">
        <v>550360</v>
      </c>
      <c r="E283" t="inlineStr">
        <is>
          <t>13-14 Margaret Street</t>
        </is>
      </c>
      <c r="F283" t="inlineStr">
        <is>
          <t>Third &amp; Fourth Floor</t>
        </is>
      </c>
      <c r="G283" t="inlineStr">
        <is>
          <t>Office</t>
        </is>
      </c>
      <c r="H283" t="n">
        <v>4902</v>
      </c>
      <c r="I283">
        <f>I195</f>
        <v/>
      </c>
      <c r="J283" t="n">
        <v>5000</v>
      </c>
      <c r="K283" t="inlineStr">
        <is>
          <t>Final Cut Ltd.</t>
        </is>
      </c>
      <c r="L283" s="869" t="n">
        <v>45259</v>
      </c>
      <c r="M283" s="869" t="n">
        <v>47026</v>
      </c>
      <c r="Q283" t="n">
        <v>307687</v>
      </c>
      <c r="R283">
        <f>R195</f>
        <v/>
      </c>
      <c r="T283" t="n">
        <v>314300</v>
      </c>
      <c r="U283">
        <f>U195</f>
        <v/>
      </c>
      <c r="V283" t="n">
        <v>311300</v>
      </c>
      <c r="W283">
        <f>W195</f>
        <v/>
      </c>
      <c r="X283">
        <f>W195/I195</f>
        <v/>
      </c>
      <c r="Y283">
        <f>SUM(W195-U195)/U195</f>
        <v/>
      </c>
      <c r="Z283" t="inlineStr">
        <is>
          <t>E</t>
        </is>
      </c>
      <c r="AC283" t="inlineStr">
        <is>
          <t>No</t>
        </is>
      </c>
      <c r="AI283" t="inlineStr">
        <is>
          <t>Let</t>
        </is>
      </c>
    </row>
    <row r="284">
      <c r="A284" t="inlineStr">
        <is>
          <t xml:space="preserve">  Office</t>
        </is>
      </c>
      <c r="B284" t="inlineStr">
        <is>
          <t>WS</t>
        </is>
      </c>
      <c r="C284" t="inlineStr">
        <is>
          <t>MEL</t>
        </is>
      </c>
      <c r="D284" t="n">
        <v>550360</v>
      </c>
      <c r="E284" t="inlineStr">
        <is>
          <t>13-14 Margaret Street</t>
        </is>
      </c>
      <c r="F284" t="inlineStr">
        <is>
          <t>Fifth Floor</t>
        </is>
      </c>
      <c r="G284" t="inlineStr">
        <is>
          <t>Office</t>
        </is>
      </c>
      <c r="H284" t="n">
        <v>2251</v>
      </c>
      <c r="I284">
        <f>I196</f>
        <v/>
      </c>
      <c r="J284" t="n">
        <v>2250</v>
      </c>
      <c r="K284" t="inlineStr">
        <is>
          <t>Final Cut Ltd.</t>
        </is>
      </c>
      <c r="L284" s="869" t="n">
        <v>45259</v>
      </c>
      <c r="M284" s="869" t="n">
        <v>47026</v>
      </c>
      <c r="Q284" t="n">
        <v>138500</v>
      </c>
      <c r="R284">
        <f>R196</f>
        <v/>
      </c>
      <c r="T284" t="n">
        <v>138500</v>
      </c>
      <c r="U284">
        <f>U196</f>
        <v/>
      </c>
      <c r="V284" t="n">
        <v>140700</v>
      </c>
      <c r="W284">
        <f>W196</f>
        <v/>
      </c>
      <c r="X284">
        <f>W196/I196</f>
        <v/>
      </c>
      <c r="Y284">
        <f>SUM(W196-U196)/U196</f>
        <v/>
      </c>
      <c r="Z284" t="inlineStr">
        <is>
          <t>E</t>
        </is>
      </c>
      <c r="AC284" t="inlineStr">
        <is>
          <t>No</t>
        </is>
      </c>
      <c r="AI284" t="inlineStr">
        <is>
          <t>Let</t>
        </is>
      </c>
    </row>
    <row r="285"/>
    <row r="286">
      <c r="A286" s="868" t="inlineStr">
        <is>
          <t>15-16 Margaret Street</t>
        </is>
      </c>
    </row>
    <row r="287">
      <c r="A287" t="inlineStr">
        <is>
          <t xml:space="preserve">  Office</t>
        </is>
      </c>
      <c r="B287" t="inlineStr">
        <is>
          <t>WS</t>
        </is>
      </c>
      <c r="C287" t="inlineStr">
        <is>
          <t>MEL</t>
        </is>
      </c>
      <c r="D287" t="n">
        <v>550370</v>
      </c>
      <c r="E287" t="inlineStr">
        <is>
          <t>15-16 Margaret Street</t>
        </is>
      </c>
      <c r="F287" t="inlineStr">
        <is>
          <t>Lower Ground</t>
        </is>
      </c>
      <c r="G287" t="inlineStr">
        <is>
          <t>Office</t>
        </is>
      </c>
      <c r="H287" t="n">
        <v>2161</v>
      </c>
      <c r="I287">
        <f>I197</f>
        <v/>
      </c>
      <c r="J287" t="n">
        <v>2000</v>
      </c>
      <c r="K287" t="inlineStr">
        <is>
          <t>Vacant</t>
        </is>
      </c>
      <c r="N287" s="869" t="n">
        <v>44063</v>
      </c>
      <c r="Q287" t="n">
        <v>0</v>
      </c>
      <c r="R287">
        <f>R197</f>
        <v/>
      </c>
      <c r="T287" t="n">
        <v>53800</v>
      </c>
      <c r="U287">
        <f>U197</f>
        <v/>
      </c>
      <c r="V287" t="n">
        <v>54000</v>
      </c>
      <c r="W287">
        <f>W197</f>
        <v/>
      </c>
      <c r="X287">
        <f>W197/I197</f>
        <v/>
      </c>
      <c r="Y287">
        <f>SUM(W197-U197)/U197</f>
        <v/>
      </c>
      <c r="Z287" t="inlineStr">
        <is>
          <t>E</t>
        </is>
      </c>
      <c r="AC287" t="inlineStr">
        <is>
          <t>No</t>
        </is>
      </c>
      <c r="AD287" t="inlineStr">
        <is>
          <t>Under offer</t>
        </is>
      </c>
      <c r="AF287" t="n">
        <v>3</v>
      </c>
      <c r="AG287" t="n">
        <v>9</v>
      </c>
      <c r="AH287" t="inlineStr">
        <is>
          <t>LEM</t>
        </is>
      </c>
      <c r="AI287" t="inlineStr">
        <is>
          <t>Void</t>
        </is>
      </c>
    </row>
    <row r="288">
      <c r="A288" t="inlineStr">
        <is>
          <t xml:space="preserve">  Office</t>
        </is>
      </c>
      <c r="B288" t="inlineStr">
        <is>
          <t>WS</t>
        </is>
      </c>
      <c r="C288" t="inlineStr">
        <is>
          <t>MEL</t>
        </is>
      </c>
      <c r="D288" t="n">
        <v>550370</v>
      </c>
      <c r="E288" t="inlineStr">
        <is>
          <t>15-16 Margaret Street</t>
        </is>
      </c>
      <c r="F288" t="inlineStr">
        <is>
          <t>Ground Floor</t>
        </is>
      </c>
      <c r="G288" t="inlineStr">
        <is>
          <t>Office</t>
        </is>
      </c>
      <c r="H288" t="n">
        <v>2185</v>
      </c>
      <c r="I288">
        <f>I198</f>
        <v/>
      </c>
      <c r="J288" t="n">
        <v>2000</v>
      </c>
      <c r="K288" t="inlineStr">
        <is>
          <t>Arlettie London Ltd.</t>
        </is>
      </c>
      <c r="L288" s="869" t="n">
        <v>45240</v>
      </c>
      <c r="M288" s="869" t="n">
        <v>48892</v>
      </c>
      <c r="O288" s="869" t="n">
        <v>47067</v>
      </c>
      <c r="P288" s="869" t="n">
        <v>47066</v>
      </c>
      <c r="Q288" t="n">
        <v>132000</v>
      </c>
      <c r="R288">
        <f>R198</f>
        <v/>
      </c>
      <c r="T288" t="n">
        <v>130000</v>
      </c>
      <c r="U288">
        <f>U198</f>
        <v/>
      </c>
      <c r="V288" t="n">
        <v>132000</v>
      </c>
      <c r="W288">
        <f>W198</f>
        <v/>
      </c>
      <c r="X288">
        <f>W198/I198</f>
        <v/>
      </c>
      <c r="Y288">
        <f>SUM(W198-U198)/U198</f>
        <v/>
      </c>
      <c r="Z288" t="inlineStr">
        <is>
          <t>C</t>
        </is>
      </c>
      <c r="AC288" t="inlineStr">
        <is>
          <t>No</t>
        </is>
      </c>
      <c r="AD288" t="inlineStr">
        <is>
          <t>Tenant break on 6 months notice</t>
        </is>
      </c>
      <c r="AI288" t="inlineStr">
        <is>
          <t>Let</t>
        </is>
      </c>
    </row>
    <row r="289">
      <c r="A289" t="inlineStr">
        <is>
          <t xml:space="preserve">  Office</t>
        </is>
      </c>
      <c r="B289" t="inlineStr">
        <is>
          <t>WS</t>
        </is>
      </c>
      <c r="C289" t="inlineStr">
        <is>
          <t>MEL</t>
        </is>
      </c>
      <c r="D289" t="n">
        <v>550370</v>
      </c>
      <c r="E289" t="inlineStr">
        <is>
          <t>15-16 Margaret Street</t>
        </is>
      </c>
      <c r="F289" t="inlineStr">
        <is>
          <t>First Floor</t>
        </is>
      </c>
      <c r="G289" t="inlineStr">
        <is>
          <t>Office</t>
        </is>
      </c>
      <c r="H289" t="n">
        <v>1606</v>
      </c>
      <c r="I289">
        <f>I199</f>
        <v/>
      </c>
      <c r="J289" t="n">
        <v>1500</v>
      </c>
      <c r="K289" t="inlineStr">
        <is>
          <t>Vacant</t>
        </is>
      </c>
      <c r="N289" s="869" t="n">
        <v>44403</v>
      </c>
      <c r="Q289" t="n">
        <v>0</v>
      </c>
      <c r="R289">
        <f>R199</f>
        <v/>
      </c>
      <c r="T289" t="n">
        <v>85800</v>
      </c>
      <c r="U289">
        <f>U199</f>
        <v/>
      </c>
      <c r="V289" t="n">
        <v>100400</v>
      </c>
      <c r="W289">
        <f>W199</f>
        <v/>
      </c>
      <c r="X289">
        <f>W199/I199</f>
        <v/>
      </c>
      <c r="Y289">
        <f>SUM(W199-U199)/U199</f>
        <v/>
      </c>
      <c r="Z289" t="inlineStr">
        <is>
          <t>D</t>
        </is>
      </c>
      <c r="AC289" t="inlineStr">
        <is>
          <t>No</t>
        </is>
      </c>
      <c r="AD289" t="inlineStr">
        <is>
          <t>To be refurbished.</t>
        </is>
      </c>
      <c r="AE289" t="n">
        <v>65</v>
      </c>
      <c r="AF289" t="n">
        <v>5</v>
      </c>
      <c r="AG289" t="n">
        <v>6</v>
      </c>
      <c r="AH289" t="inlineStr">
        <is>
          <t>LEM</t>
        </is>
      </c>
      <c r="AI289" t="inlineStr">
        <is>
          <t>Void</t>
        </is>
      </c>
    </row>
    <row r="290">
      <c r="A290" t="inlineStr">
        <is>
          <t xml:space="preserve">  Office</t>
        </is>
      </c>
      <c r="B290" t="inlineStr">
        <is>
          <t>WS</t>
        </is>
      </c>
      <c r="C290" t="inlineStr">
        <is>
          <t>MEL</t>
        </is>
      </c>
      <c r="D290" t="n">
        <v>550370</v>
      </c>
      <c r="E290" t="inlineStr">
        <is>
          <t>15-16 Margaret Street</t>
        </is>
      </c>
      <c r="F290" t="inlineStr">
        <is>
          <t>Second Floor</t>
        </is>
      </c>
      <c r="G290" t="inlineStr">
        <is>
          <t>Office</t>
        </is>
      </c>
      <c r="H290" t="n">
        <v>1296</v>
      </c>
      <c r="I290">
        <f>I200</f>
        <v/>
      </c>
      <c r="J290" t="n">
        <v>1250</v>
      </c>
      <c r="K290" t="inlineStr">
        <is>
          <t>Marson Property Ltd</t>
        </is>
      </c>
      <c r="L290" s="869" t="n">
        <v>44798</v>
      </c>
      <c r="M290" s="869" t="n">
        <v>46623</v>
      </c>
      <c r="Q290" t="n">
        <v>73700</v>
      </c>
      <c r="R290">
        <f>R200</f>
        <v/>
      </c>
      <c r="T290" t="n">
        <v>73500</v>
      </c>
      <c r="U290">
        <f>U200</f>
        <v/>
      </c>
      <c r="V290" t="n">
        <v>81000</v>
      </c>
      <c r="W290">
        <f>W200</f>
        <v/>
      </c>
      <c r="X290">
        <f>W200/I200</f>
        <v/>
      </c>
      <c r="Y290">
        <f>SUM(W200-U200)/U200</f>
        <v/>
      </c>
      <c r="Z290" t="inlineStr">
        <is>
          <t>D</t>
        </is>
      </c>
      <c r="AC290" t="inlineStr">
        <is>
          <t>No</t>
        </is>
      </c>
      <c r="AI290" t="inlineStr">
        <is>
          <t>Let</t>
        </is>
      </c>
    </row>
    <row r="291">
      <c r="A291" t="inlineStr">
        <is>
          <t xml:space="preserve">  Office</t>
        </is>
      </c>
      <c r="B291" t="inlineStr">
        <is>
          <t>WS</t>
        </is>
      </c>
      <c r="C291" t="inlineStr">
        <is>
          <t>MEL</t>
        </is>
      </c>
      <c r="D291" t="n">
        <v>550370</v>
      </c>
      <c r="E291" t="inlineStr">
        <is>
          <t>15-16 Margaret Street</t>
        </is>
      </c>
      <c r="F291" t="inlineStr">
        <is>
          <t>Third Floor</t>
        </is>
      </c>
      <c r="G291" t="inlineStr">
        <is>
          <t>Office</t>
        </is>
      </c>
      <c r="H291" t="n">
        <v>1129</v>
      </c>
      <c r="I291">
        <f>I201</f>
        <v/>
      </c>
      <c r="J291" t="n">
        <v>1000</v>
      </c>
      <c r="K291" t="inlineStr">
        <is>
          <t>Vacant</t>
        </is>
      </c>
      <c r="N291" s="869" t="n">
        <v>44097</v>
      </c>
      <c r="Q291" t="n">
        <v>0</v>
      </c>
      <c r="R291">
        <f>R201</f>
        <v/>
      </c>
      <c r="T291" t="n">
        <v>65600</v>
      </c>
      <c r="U291">
        <f>U201</f>
        <v/>
      </c>
      <c r="V291" t="n">
        <v>70600</v>
      </c>
      <c r="W291">
        <f>W201</f>
        <v/>
      </c>
      <c r="X291">
        <f>W201/I201</f>
        <v/>
      </c>
      <c r="Y291">
        <f>SUM(W201-U201)/U201</f>
        <v/>
      </c>
      <c r="Z291" t="inlineStr">
        <is>
          <t>D</t>
        </is>
      </c>
      <c r="AC291" t="inlineStr">
        <is>
          <t>No</t>
        </is>
      </c>
      <c r="AD291" t="inlineStr">
        <is>
          <t>To be refurbished.</t>
        </is>
      </c>
      <c r="AE291" t="n">
        <v>65</v>
      </c>
      <c r="AF291" t="n">
        <v>8</v>
      </c>
      <c r="AG291" t="n">
        <v>10</v>
      </c>
      <c r="AI291" t="inlineStr">
        <is>
          <t>Void</t>
        </is>
      </c>
    </row>
    <row r="292">
      <c r="A292" t="inlineStr">
        <is>
          <t xml:space="preserve">  Office</t>
        </is>
      </c>
      <c r="B292" t="inlineStr">
        <is>
          <t>WS</t>
        </is>
      </c>
      <c r="C292" t="inlineStr">
        <is>
          <t>MEL</t>
        </is>
      </c>
      <c r="D292" t="n">
        <v>550370</v>
      </c>
      <c r="E292" t="inlineStr">
        <is>
          <t>15-16 Margaret Street</t>
        </is>
      </c>
      <c r="F292" t="inlineStr">
        <is>
          <t>Fourth Floor</t>
        </is>
      </c>
      <c r="G292" t="inlineStr">
        <is>
          <t>Office</t>
        </is>
      </c>
      <c r="H292" t="n">
        <v>856</v>
      </c>
      <c r="I292">
        <f>I202</f>
        <v/>
      </c>
      <c r="J292" t="n">
        <v>1000</v>
      </c>
      <c r="K292" t="inlineStr">
        <is>
          <t>Vacant</t>
        </is>
      </c>
      <c r="N292" s="869" t="n">
        <v>44814</v>
      </c>
      <c r="Q292" t="n">
        <v>0</v>
      </c>
      <c r="R292">
        <f>R202</f>
        <v/>
      </c>
      <c r="T292" t="n">
        <v>45000</v>
      </c>
      <c r="U292">
        <f>U202</f>
        <v/>
      </c>
      <c r="V292" t="n">
        <v>53500</v>
      </c>
      <c r="W292">
        <f>W202</f>
        <v/>
      </c>
      <c r="X292">
        <f>W202/I202</f>
        <v/>
      </c>
      <c r="Y292">
        <f>SUM(W202-U202)/U202</f>
        <v/>
      </c>
      <c r="Z292" t="inlineStr">
        <is>
          <t>E</t>
        </is>
      </c>
      <c r="AC292" t="inlineStr">
        <is>
          <t>No</t>
        </is>
      </c>
      <c r="AD292" t="inlineStr">
        <is>
          <t>To be refurbished.</t>
        </is>
      </c>
      <c r="AE292" t="n">
        <v>65</v>
      </c>
      <c r="AF292" t="n">
        <v>4</v>
      </c>
      <c r="AG292" t="n">
        <v>4</v>
      </c>
      <c r="AI292" t="inlineStr">
        <is>
          <t>Void</t>
        </is>
      </c>
    </row>
    <row r="293">
      <c r="A293" t="inlineStr">
        <is>
          <t xml:space="preserve">  Office</t>
        </is>
      </c>
      <c r="B293" t="inlineStr">
        <is>
          <t>WS</t>
        </is>
      </c>
      <c r="C293" t="inlineStr">
        <is>
          <t>MEL</t>
        </is>
      </c>
      <c r="D293" t="n">
        <v>550370</v>
      </c>
      <c r="E293" t="inlineStr">
        <is>
          <t>15-16 Margaret Street</t>
        </is>
      </c>
      <c r="F293" t="inlineStr">
        <is>
          <t>Fifth Floor</t>
        </is>
      </c>
      <c r="G293" t="inlineStr">
        <is>
          <t>Office</t>
        </is>
      </c>
      <c r="H293" t="n">
        <v>766</v>
      </c>
      <c r="I293">
        <f>I203</f>
        <v/>
      </c>
      <c r="J293" t="n">
        <v>750</v>
      </c>
      <c r="K293" t="inlineStr">
        <is>
          <t>Vacant</t>
        </is>
      </c>
      <c r="N293" s="869" t="n">
        <v>44063</v>
      </c>
      <c r="Q293" t="n">
        <v>0</v>
      </c>
      <c r="R293">
        <f>R203</f>
        <v/>
      </c>
      <c r="T293" t="n">
        <v>39300</v>
      </c>
      <c r="U293">
        <f>U203</f>
        <v/>
      </c>
      <c r="V293" t="n">
        <v>43100</v>
      </c>
      <c r="W293">
        <f>W203</f>
        <v/>
      </c>
      <c r="X293">
        <f>W203/I203</f>
        <v/>
      </c>
      <c r="Y293">
        <f>SUM(W203-U203)/U203</f>
        <v/>
      </c>
      <c r="Z293" t="inlineStr">
        <is>
          <t>E</t>
        </is>
      </c>
      <c r="AC293" t="inlineStr">
        <is>
          <t>No</t>
        </is>
      </c>
      <c r="AD293" t="inlineStr">
        <is>
          <t>To be refurbished.</t>
        </is>
      </c>
      <c r="AE293" t="n">
        <v>65</v>
      </c>
      <c r="AF293" t="n">
        <v>3</v>
      </c>
      <c r="AG293" t="n">
        <v>5</v>
      </c>
      <c r="AI293" t="inlineStr">
        <is>
          <t>Void</t>
        </is>
      </c>
    </row>
    <row r="294"/>
    <row r="295">
      <c r="A295" s="868" t="inlineStr">
        <is>
          <t>17-18 Margaret Street</t>
        </is>
      </c>
    </row>
    <row r="296">
      <c r="A296" t="inlineStr">
        <is>
          <t xml:space="preserve">  Office/ Showroom</t>
        </is>
      </c>
      <c r="B296" t="inlineStr">
        <is>
          <t>WS</t>
        </is>
      </c>
      <c r="C296" t="inlineStr">
        <is>
          <t>MEL</t>
        </is>
      </c>
      <c r="D296" t="n">
        <v>550380</v>
      </c>
      <c r="E296" t="inlineStr">
        <is>
          <t>17-18 Margaret Street</t>
        </is>
      </c>
      <c r="F296" t="inlineStr">
        <is>
          <t>Basement</t>
        </is>
      </c>
      <c r="G296" t="inlineStr">
        <is>
          <t>Office/ Showroom</t>
        </is>
      </c>
      <c r="H296" t="n">
        <v>2481</v>
      </c>
      <c r="I296">
        <f>I204</f>
        <v/>
      </c>
      <c r="J296" t="n">
        <v>2500</v>
      </c>
      <c r="K296" t="inlineStr">
        <is>
          <t>Arrow International Media Ltd.</t>
        </is>
      </c>
      <c r="L296" s="869" t="n">
        <v>44758</v>
      </c>
      <c r="M296" s="869" t="n">
        <v>46583</v>
      </c>
      <c r="Q296" t="n">
        <v>69440</v>
      </c>
      <c r="R296">
        <f>R204</f>
        <v/>
      </c>
      <c r="T296" t="n">
        <v>69500</v>
      </c>
      <c r="U296">
        <f>U204</f>
        <v/>
      </c>
      <c r="V296" t="n">
        <v>69500</v>
      </c>
      <c r="W296">
        <f>W204</f>
        <v/>
      </c>
      <c r="X296">
        <f>W204/I204</f>
        <v/>
      </c>
      <c r="Y296">
        <f>SUM(W204-U204)/U204</f>
        <v/>
      </c>
      <c r="Z296" t="inlineStr">
        <is>
          <t>E</t>
        </is>
      </c>
      <c r="AC296" t="inlineStr">
        <is>
          <t>No</t>
        </is>
      </c>
      <c r="AI296" t="inlineStr">
        <is>
          <t>Let</t>
        </is>
      </c>
    </row>
    <row r="297">
      <c r="A297" t="inlineStr">
        <is>
          <t xml:space="preserve">  Showroom</t>
        </is>
      </c>
      <c r="B297" t="inlineStr">
        <is>
          <t>WS</t>
        </is>
      </c>
      <c r="C297" t="inlineStr">
        <is>
          <t>MEL</t>
        </is>
      </c>
      <c r="D297" t="n">
        <v>550380</v>
      </c>
      <c r="E297" t="inlineStr">
        <is>
          <t>17-18 Margaret Street</t>
        </is>
      </c>
      <c r="F297" t="inlineStr">
        <is>
          <t xml:space="preserve">Ground Floor (E) </t>
        </is>
      </c>
      <c r="G297" t="inlineStr">
        <is>
          <t>Showroom</t>
        </is>
      </c>
      <c r="H297" t="n">
        <v>1616</v>
      </c>
      <c r="I297">
        <f>I205</f>
        <v/>
      </c>
      <c r="J297" t="n">
        <v>1500</v>
      </c>
      <c r="K297" t="inlineStr">
        <is>
          <t>Arlettie London Ltd.</t>
        </is>
      </c>
      <c r="L297" s="869" t="n">
        <v>45240</v>
      </c>
      <c r="M297" s="869" t="n">
        <v>48892</v>
      </c>
      <c r="O297" s="869" t="n">
        <v>47067</v>
      </c>
      <c r="P297" s="869" t="n">
        <v>47066</v>
      </c>
      <c r="Q297" t="n">
        <v>85500</v>
      </c>
      <c r="R297">
        <f>R205</f>
        <v/>
      </c>
      <c r="T297" t="n">
        <v>84800</v>
      </c>
      <c r="U297">
        <f>U205</f>
        <v/>
      </c>
      <c r="V297" t="n">
        <v>85000</v>
      </c>
      <c r="W297">
        <f>W205</f>
        <v/>
      </c>
      <c r="X297">
        <f>W205/I205</f>
        <v/>
      </c>
      <c r="Y297">
        <f>SUM(W205-U205)/U205</f>
        <v/>
      </c>
      <c r="Z297" t="inlineStr">
        <is>
          <t>D</t>
        </is>
      </c>
      <c r="AC297" t="inlineStr">
        <is>
          <t>No</t>
        </is>
      </c>
      <c r="AD297" t="inlineStr">
        <is>
          <t>Tenant break on 6 months notice</t>
        </is>
      </c>
      <c r="AI297" t="inlineStr">
        <is>
          <t>Let</t>
        </is>
      </c>
    </row>
    <row r="298">
      <c r="A298" t="inlineStr">
        <is>
          <t xml:space="preserve">  Office/ Showroom</t>
        </is>
      </c>
      <c r="B298" t="inlineStr">
        <is>
          <t>WS</t>
        </is>
      </c>
      <c r="C298" t="inlineStr">
        <is>
          <t>MEL</t>
        </is>
      </c>
      <c r="D298" t="n">
        <v>550380</v>
      </c>
      <c r="E298" t="inlineStr">
        <is>
          <t>17-18 Margaret Street</t>
        </is>
      </c>
      <c r="F298" t="inlineStr">
        <is>
          <t>Ground Floor (W)</t>
        </is>
      </c>
      <c r="G298" t="inlineStr">
        <is>
          <t>Office/ Showroom</t>
        </is>
      </c>
      <c r="H298" t="n">
        <v>1485</v>
      </c>
      <c r="I298">
        <f>I206</f>
        <v/>
      </c>
      <c r="J298" t="n">
        <v>1500</v>
      </c>
      <c r="K298" t="inlineStr">
        <is>
          <t>Yamaha Music Europe GMBH.</t>
        </is>
      </c>
      <c r="L298" s="869" t="n">
        <v>45525</v>
      </c>
      <c r="M298" s="869" t="n">
        <v>47350</v>
      </c>
      <c r="P298" s="869" t="n">
        <v>46620</v>
      </c>
      <c r="Q298" t="n">
        <v>90000</v>
      </c>
      <c r="R298">
        <f>R206</f>
        <v/>
      </c>
      <c r="T298" t="n">
        <v>78000</v>
      </c>
      <c r="U298">
        <f>U206</f>
        <v/>
      </c>
      <c r="V298" t="n">
        <v>90000</v>
      </c>
      <c r="W298">
        <f>W206</f>
        <v/>
      </c>
      <c r="X298">
        <f>W206/I206</f>
        <v/>
      </c>
      <c r="Y298">
        <f>SUM(W206-U206)/U206</f>
        <v/>
      </c>
      <c r="Z298" t="inlineStr">
        <is>
          <t>E</t>
        </is>
      </c>
      <c r="AC298" t="inlineStr">
        <is>
          <t>No</t>
        </is>
      </c>
      <c r="AD298" t="inlineStr">
        <is>
          <t xml:space="preserve">Tenant break on 6 months notice. </t>
        </is>
      </c>
      <c r="AI298" t="inlineStr">
        <is>
          <t>Let</t>
        </is>
      </c>
    </row>
    <row r="299">
      <c r="A299" t="inlineStr">
        <is>
          <t xml:space="preserve">  Office</t>
        </is>
      </c>
      <c r="B299" t="inlineStr">
        <is>
          <t>WS</t>
        </is>
      </c>
      <c r="C299" t="inlineStr">
        <is>
          <t>MEL</t>
        </is>
      </c>
      <c r="D299" t="n">
        <v>550380</v>
      </c>
      <c r="E299" t="inlineStr">
        <is>
          <t>17-18 Margaret Street</t>
        </is>
      </c>
      <c r="F299" t="inlineStr">
        <is>
          <t>First Floor</t>
        </is>
      </c>
      <c r="G299" t="inlineStr">
        <is>
          <t>Office</t>
        </is>
      </c>
      <c r="H299" t="n">
        <v>1855</v>
      </c>
      <c r="I299">
        <f>I207</f>
        <v/>
      </c>
      <c r="J299" t="n">
        <v>2000</v>
      </c>
      <c r="K299" t="inlineStr">
        <is>
          <t>Arrow International Media Ltd.</t>
        </is>
      </c>
      <c r="L299" s="869" t="n">
        <v>44758</v>
      </c>
      <c r="M299" s="869" t="n">
        <v>46583</v>
      </c>
      <c r="Q299" t="n">
        <v>106663</v>
      </c>
      <c r="R299">
        <f>R207</f>
        <v/>
      </c>
      <c r="T299" t="n">
        <v>106700</v>
      </c>
      <c r="U299">
        <f>U207</f>
        <v/>
      </c>
      <c r="V299" t="n">
        <v>106700</v>
      </c>
      <c r="W299">
        <f>W207</f>
        <v/>
      </c>
      <c r="X299">
        <f>W207/I207</f>
        <v/>
      </c>
      <c r="Y299">
        <f>SUM(W207-U207)/U207</f>
        <v/>
      </c>
      <c r="Z299" t="inlineStr">
        <is>
          <t>E</t>
        </is>
      </c>
      <c r="AC299" t="inlineStr">
        <is>
          <t>No</t>
        </is>
      </c>
      <c r="AI299" t="inlineStr">
        <is>
          <t>Let</t>
        </is>
      </c>
    </row>
    <row r="300">
      <c r="A300" t="inlineStr">
        <is>
          <t xml:space="preserve">  Office</t>
        </is>
      </c>
      <c r="B300" t="inlineStr">
        <is>
          <t>WS</t>
        </is>
      </c>
      <c r="C300" t="inlineStr">
        <is>
          <t>MEL</t>
        </is>
      </c>
      <c r="D300" t="n">
        <v>550380</v>
      </c>
      <c r="E300" t="inlineStr">
        <is>
          <t>17-18 Margaret Street</t>
        </is>
      </c>
      <c r="F300" t="inlineStr">
        <is>
          <t>Second Floor (E)</t>
        </is>
      </c>
      <c r="G300" t="inlineStr">
        <is>
          <t>Office</t>
        </is>
      </c>
      <c r="H300" t="n">
        <v>726</v>
      </c>
      <c r="I300">
        <f>I208</f>
        <v/>
      </c>
      <c r="J300" t="n">
        <v>750</v>
      </c>
      <c r="K300" t="inlineStr">
        <is>
          <t>Arrow International Media Ltd.</t>
        </is>
      </c>
      <c r="L300" s="869" t="n">
        <v>44758</v>
      </c>
      <c r="M300" s="869" t="n">
        <v>46583</v>
      </c>
      <c r="Q300" t="n">
        <v>41975</v>
      </c>
      <c r="R300">
        <f>R208</f>
        <v/>
      </c>
      <c r="T300" t="n">
        <v>41700</v>
      </c>
      <c r="U300">
        <f>U208</f>
        <v/>
      </c>
      <c r="V300" t="n">
        <v>41700</v>
      </c>
      <c r="W300">
        <f>W208</f>
        <v/>
      </c>
      <c r="X300">
        <f>W208/I208</f>
        <v/>
      </c>
      <c r="Y300">
        <f>SUM(W208-U208)/U208</f>
        <v/>
      </c>
      <c r="Z300" t="inlineStr">
        <is>
          <t>E</t>
        </is>
      </c>
      <c r="AC300" t="inlineStr">
        <is>
          <t>No</t>
        </is>
      </c>
      <c r="AI300" t="inlineStr">
        <is>
          <t>Let</t>
        </is>
      </c>
    </row>
    <row r="301">
      <c r="A301" t="inlineStr">
        <is>
          <t xml:space="preserve">  Office</t>
        </is>
      </c>
      <c r="B301" t="inlineStr">
        <is>
          <t>WS</t>
        </is>
      </c>
      <c r="C301" t="inlineStr">
        <is>
          <t>MEL</t>
        </is>
      </c>
      <c r="D301" t="n">
        <v>550380</v>
      </c>
      <c r="E301" t="inlineStr">
        <is>
          <t>17-18 Margaret Street</t>
        </is>
      </c>
      <c r="F301" t="inlineStr">
        <is>
          <t>Second Floor (W &amp; N)</t>
        </is>
      </c>
      <c r="G301" t="inlineStr">
        <is>
          <t>Office</t>
        </is>
      </c>
      <c r="H301" t="n">
        <v>1220</v>
      </c>
      <c r="I301">
        <f>I209</f>
        <v/>
      </c>
      <c r="J301" t="n">
        <v>1250</v>
      </c>
      <c r="K301" t="inlineStr">
        <is>
          <t>Smiggle UK Limited</t>
        </is>
      </c>
      <c r="L301" s="869" t="n">
        <v>45438</v>
      </c>
      <c r="M301" s="869" t="n">
        <v>47263</v>
      </c>
      <c r="P301" s="869" t="n">
        <v>46532</v>
      </c>
      <c r="Q301" t="n">
        <v>70200</v>
      </c>
      <c r="R301">
        <f>R209</f>
        <v/>
      </c>
      <c r="T301" t="n">
        <v>70200</v>
      </c>
      <c r="U301">
        <f>U209</f>
        <v/>
      </c>
      <c r="V301" t="n">
        <v>70200</v>
      </c>
      <c r="W301">
        <f>W209</f>
        <v/>
      </c>
      <c r="X301">
        <f>W209/I209</f>
        <v/>
      </c>
      <c r="Y301">
        <f>SUM(W209-U209)/U209</f>
        <v/>
      </c>
      <c r="Z301" t="inlineStr">
        <is>
          <t>D</t>
        </is>
      </c>
      <c r="AC301" t="inlineStr">
        <is>
          <t>No</t>
        </is>
      </c>
      <c r="AD301" t="inlineStr">
        <is>
          <t>Tenant break on 3 months notice. Two months rent free if not exercised.</t>
        </is>
      </c>
      <c r="AI301" t="inlineStr">
        <is>
          <t>Let</t>
        </is>
      </c>
    </row>
    <row r="302">
      <c r="A302" t="inlineStr">
        <is>
          <t xml:space="preserve">  Office</t>
        </is>
      </c>
      <c r="B302" t="inlineStr">
        <is>
          <t>WS</t>
        </is>
      </c>
      <c r="C302" t="inlineStr">
        <is>
          <t>MEL</t>
        </is>
      </c>
      <c r="D302" t="n">
        <v>550380</v>
      </c>
      <c r="E302" t="inlineStr">
        <is>
          <t>17-18 Margaret Street</t>
        </is>
      </c>
      <c r="F302" t="inlineStr">
        <is>
          <t>Third Floor</t>
        </is>
      </c>
      <c r="G302" t="inlineStr">
        <is>
          <t>Office</t>
        </is>
      </c>
      <c r="H302" t="n">
        <v>1963</v>
      </c>
      <c r="I302">
        <f>I210</f>
        <v/>
      </c>
      <c r="J302" t="n">
        <v>2000</v>
      </c>
      <c r="K302" t="inlineStr">
        <is>
          <t>Arrow International Media Ltd.</t>
        </is>
      </c>
      <c r="L302" s="869" t="n">
        <v>44758</v>
      </c>
      <c r="M302" s="869" t="n">
        <v>46583</v>
      </c>
      <c r="Q302" t="n">
        <v>107965</v>
      </c>
      <c r="R302">
        <f>R210</f>
        <v/>
      </c>
      <c r="T302" t="n">
        <v>108000</v>
      </c>
      <c r="U302">
        <f>U210</f>
        <v/>
      </c>
      <c r="V302" t="n">
        <v>108000</v>
      </c>
      <c r="W302">
        <f>W210</f>
        <v/>
      </c>
      <c r="X302">
        <f>W210/I210</f>
        <v/>
      </c>
      <c r="Y302">
        <f>SUM(W210-U210)/U210</f>
        <v/>
      </c>
      <c r="Z302" t="inlineStr">
        <is>
          <t>E</t>
        </is>
      </c>
      <c r="AC302" t="inlineStr">
        <is>
          <t>No</t>
        </is>
      </c>
      <c r="AI302" t="inlineStr">
        <is>
          <t>Let</t>
        </is>
      </c>
    </row>
    <row r="303">
      <c r="A303" t="inlineStr">
        <is>
          <t xml:space="preserve">  Office</t>
        </is>
      </c>
      <c r="B303" t="inlineStr">
        <is>
          <t>WS</t>
        </is>
      </c>
      <c r="C303" t="inlineStr">
        <is>
          <t>MEL</t>
        </is>
      </c>
      <c r="D303" t="n">
        <v>550380</v>
      </c>
      <c r="E303" t="inlineStr">
        <is>
          <t>17-18 Margaret Street</t>
        </is>
      </c>
      <c r="F303" t="inlineStr">
        <is>
          <t xml:space="preserve">Fourth Floor (R) </t>
        </is>
      </c>
      <c r="G303" t="inlineStr">
        <is>
          <t>Office</t>
        </is>
      </c>
      <c r="H303" t="n">
        <v>94</v>
      </c>
      <c r="I303">
        <f>I211</f>
        <v/>
      </c>
      <c r="J303" t="n">
        <v>100</v>
      </c>
      <c r="K303" t="inlineStr">
        <is>
          <t>The London Child &amp; Family Therapy Centre Ltd.</t>
        </is>
      </c>
      <c r="L303" s="869" t="n">
        <v>45735</v>
      </c>
      <c r="M303" s="869" t="n">
        <v>47560</v>
      </c>
      <c r="Q303" t="n">
        <v>7200</v>
      </c>
      <c r="R303">
        <f>R211</f>
        <v/>
      </c>
      <c r="T303" t="n">
        <v>5410</v>
      </c>
      <c r="U303">
        <f>U211</f>
        <v/>
      </c>
      <c r="V303" t="n">
        <v>5410</v>
      </c>
      <c r="W303">
        <f>W211</f>
        <v/>
      </c>
      <c r="X303">
        <f>W211/I211</f>
        <v/>
      </c>
      <c r="Y303">
        <f>SUM(W211-U211)/U211</f>
        <v/>
      </c>
      <c r="Z303" t="inlineStr">
        <is>
          <t>E</t>
        </is>
      </c>
      <c r="AA303" t="inlineStr">
        <is>
          <t>*</t>
        </is>
      </c>
      <c r="AC303" t="inlineStr">
        <is>
          <t>No</t>
        </is>
      </c>
      <c r="AD303" t="inlineStr">
        <is>
          <t xml:space="preserve">All inclusive rent (excl rates). </t>
        </is>
      </c>
      <c r="AI303" t="inlineStr">
        <is>
          <t>Let</t>
        </is>
      </c>
    </row>
    <row r="304">
      <c r="A304" t="inlineStr">
        <is>
          <t xml:space="preserve">  Office</t>
        </is>
      </c>
      <c r="B304" t="inlineStr">
        <is>
          <t>WS</t>
        </is>
      </c>
      <c r="C304" t="inlineStr">
        <is>
          <t>MEL</t>
        </is>
      </c>
      <c r="D304" t="n">
        <v>550380</v>
      </c>
      <c r="E304" t="inlineStr">
        <is>
          <t>17-18 Margaret Street</t>
        </is>
      </c>
      <c r="F304" t="inlineStr">
        <is>
          <t>Fourth Floor (RW)</t>
        </is>
      </c>
      <c r="G304" t="inlineStr">
        <is>
          <t>Office</t>
        </is>
      </c>
      <c r="H304" t="n">
        <v>284</v>
      </c>
      <c r="I304">
        <f>I212</f>
        <v/>
      </c>
      <c r="J304" t="n">
        <v>250</v>
      </c>
      <c r="K304" t="inlineStr">
        <is>
          <t>Vacant</t>
        </is>
      </c>
      <c r="N304" s="869" t="n">
        <v>43909</v>
      </c>
      <c r="Q304" t="n">
        <v>0</v>
      </c>
      <c r="R304">
        <f>R212</f>
        <v/>
      </c>
      <c r="T304" t="n">
        <v>16300</v>
      </c>
      <c r="U304">
        <f>U212</f>
        <v/>
      </c>
      <c r="V304" t="n">
        <v>16300</v>
      </c>
      <c r="W304">
        <f>W212</f>
        <v/>
      </c>
      <c r="X304">
        <f>W212/I212</f>
        <v/>
      </c>
      <c r="Y304">
        <f>SUM(W212-U212)/U212</f>
        <v/>
      </c>
      <c r="Z304" t="inlineStr">
        <is>
          <t>E</t>
        </is>
      </c>
      <c r="AA304" t="inlineStr">
        <is>
          <t>*</t>
        </is>
      </c>
      <c r="AD304" t="inlineStr">
        <is>
          <t>To be refurbished.</t>
        </is>
      </c>
      <c r="AF304" t="n">
        <v>1</v>
      </c>
      <c r="AG304" t="n">
        <v>2</v>
      </c>
      <c r="AI304" t="inlineStr">
        <is>
          <t>Void</t>
        </is>
      </c>
    </row>
    <row r="305">
      <c r="A305" t="inlineStr">
        <is>
          <t xml:space="preserve">  Office</t>
        </is>
      </c>
      <c r="B305" t="inlineStr">
        <is>
          <t>WS</t>
        </is>
      </c>
      <c r="C305" t="inlineStr">
        <is>
          <t>MEL</t>
        </is>
      </c>
      <c r="D305" t="n">
        <v>550380</v>
      </c>
      <c r="E305" t="inlineStr">
        <is>
          <t>17-18 Margaret Street</t>
        </is>
      </c>
      <c r="F305" t="inlineStr">
        <is>
          <t>Fourth Floor (E)</t>
        </is>
      </c>
      <c r="G305" t="inlineStr">
        <is>
          <t>Office</t>
        </is>
      </c>
      <c r="H305" t="n">
        <v>619</v>
      </c>
      <c r="I305">
        <f>I213</f>
        <v/>
      </c>
      <c r="J305" t="n">
        <v>500</v>
      </c>
      <c r="K305" t="inlineStr">
        <is>
          <t>Vacant</t>
        </is>
      </c>
      <c r="N305" s="869" t="n">
        <v>45678</v>
      </c>
      <c r="Q305" t="n">
        <v>0</v>
      </c>
      <c r="R305">
        <f>R213</f>
        <v/>
      </c>
      <c r="T305" t="n">
        <v>35600</v>
      </c>
      <c r="U305">
        <f>U213</f>
        <v/>
      </c>
      <c r="V305" t="n">
        <v>35600</v>
      </c>
      <c r="W305">
        <f>W213</f>
        <v/>
      </c>
      <c r="X305">
        <f>W213/I213</f>
        <v/>
      </c>
      <c r="Y305">
        <f>SUM(W213-U213)/U213</f>
        <v/>
      </c>
      <c r="Z305" t="inlineStr">
        <is>
          <t>E</t>
        </is>
      </c>
      <c r="AC305" t="inlineStr">
        <is>
          <t>No</t>
        </is>
      </c>
      <c r="AD305" t="inlineStr">
        <is>
          <t>LEM marketing.</t>
        </is>
      </c>
      <c r="AI305" t="inlineStr">
        <is>
          <t>Void</t>
        </is>
      </c>
    </row>
    <row r="306">
      <c r="A306" t="inlineStr">
        <is>
          <t xml:space="preserve">  Office</t>
        </is>
      </c>
      <c r="B306" t="inlineStr">
        <is>
          <t>WS</t>
        </is>
      </c>
      <c r="C306" t="inlineStr">
        <is>
          <t>MEL</t>
        </is>
      </c>
      <c r="D306" t="n">
        <v>550380</v>
      </c>
      <c r="E306" t="inlineStr">
        <is>
          <t>17-18 Margaret Street</t>
        </is>
      </c>
      <c r="F306" t="inlineStr">
        <is>
          <t>Fourth Floor (W)</t>
        </is>
      </c>
      <c r="G306" t="inlineStr">
        <is>
          <t>Office</t>
        </is>
      </c>
      <c r="H306" t="n">
        <v>653</v>
      </c>
      <c r="I306">
        <f>I214</f>
        <v/>
      </c>
      <c r="J306" t="n">
        <v>750</v>
      </c>
      <c r="K306" t="inlineStr">
        <is>
          <t>Vacant</t>
        </is>
      </c>
      <c r="N306" s="869" t="n">
        <v>44555</v>
      </c>
      <c r="Q306" t="n">
        <v>0</v>
      </c>
      <c r="R306">
        <f>R214</f>
        <v/>
      </c>
      <c r="T306" t="n">
        <v>37500</v>
      </c>
      <c r="U306">
        <f>U214</f>
        <v/>
      </c>
      <c r="V306" t="n">
        <v>37500</v>
      </c>
      <c r="W306">
        <f>W214</f>
        <v/>
      </c>
      <c r="X306">
        <f>W214/I214</f>
        <v/>
      </c>
      <c r="Y306">
        <f>SUM(W214-U214)/U214</f>
        <v/>
      </c>
      <c r="Z306" t="inlineStr">
        <is>
          <t>E</t>
        </is>
      </c>
      <c r="AC306" t="inlineStr">
        <is>
          <t>No</t>
        </is>
      </c>
      <c r="AD306" t="inlineStr">
        <is>
          <t>To be refurbished.</t>
        </is>
      </c>
      <c r="AE306" t="n">
        <v>62.5</v>
      </c>
      <c r="AF306" t="n">
        <v>2</v>
      </c>
      <c r="AG306" t="n">
        <v>3</v>
      </c>
      <c r="AH306" t="inlineStr">
        <is>
          <t>LEM</t>
        </is>
      </c>
      <c r="AI306" t="inlineStr">
        <is>
          <t>Void</t>
        </is>
      </c>
    </row>
    <row r="307"/>
    <row r="308">
      <c r="A308" s="868" t="inlineStr">
        <is>
          <t>19 Margaret Street</t>
        </is>
      </c>
    </row>
    <row r="309">
      <c r="A309" t="inlineStr">
        <is>
          <t xml:space="preserve">  Office</t>
        </is>
      </c>
      <c r="B309" t="inlineStr">
        <is>
          <t>WS</t>
        </is>
      </c>
      <c r="C309" t="inlineStr">
        <is>
          <t>MEL</t>
        </is>
      </c>
      <c r="D309" t="n">
        <v>550950</v>
      </c>
      <c r="E309" t="inlineStr">
        <is>
          <t>19 Margaret Street</t>
        </is>
      </c>
      <c r="F309" t="inlineStr">
        <is>
          <t>Lower Ground and Ground Floors</t>
        </is>
      </c>
      <c r="G309" t="inlineStr">
        <is>
          <t>Office</t>
        </is>
      </c>
      <c r="H309" t="n">
        <v>2370</v>
      </c>
      <c r="I309">
        <f>I215</f>
        <v/>
      </c>
      <c r="K309" t="inlineStr">
        <is>
          <t>FRIBA Limited</t>
        </is>
      </c>
      <c r="L309" s="869" t="n">
        <v>43794</v>
      </c>
      <c r="M309" s="869" t="n">
        <v>47446</v>
      </c>
      <c r="O309" s="869" t="n">
        <v>45621</v>
      </c>
      <c r="Q309" t="n">
        <v>104885</v>
      </c>
      <c r="R309">
        <f>R215</f>
        <v/>
      </c>
      <c r="T309" t="n">
        <v>100700</v>
      </c>
      <c r="U309">
        <f>U215</f>
        <v/>
      </c>
      <c r="V309" t="n">
        <v>100700</v>
      </c>
      <c r="W309">
        <f>W215</f>
        <v/>
      </c>
      <c r="X309">
        <f>W215/I215</f>
        <v/>
      </c>
      <c r="Y309">
        <f>SUM(W215-U215)/U215</f>
        <v/>
      </c>
      <c r="Z309" t="inlineStr">
        <is>
          <t>D</t>
        </is>
      </c>
      <c r="AC309" t="inlineStr">
        <is>
          <t>No</t>
        </is>
      </c>
      <c r="AD309" t="inlineStr">
        <is>
          <t>This unit interconnects with G &amp; B, 21 Lt Portland St. The floor area shown is only for this unit. Rent shown pro rata. Tenant break on 6 months notice. Rent review @ 25/11/24.</t>
        </is>
      </c>
      <c r="AI309" t="inlineStr">
        <is>
          <t>Let</t>
        </is>
      </c>
    </row>
    <row r="310">
      <c r="A310" t="inlineStr">
        <is>
          <t xml:space="preserve">  Office</t>
        </is>
      </c>
      <c r="B310" t="inlineStr">
        <is>
          <t>WS</t>
        </is>
      </c>
      <c r="C310" t="inlineStr">
        <is>
          <t>MEL</t>
        </is>
      </c>
      <c r="D310" t="n">
        <v>550950</v>
      </c>
      <c r="E310" t="inlineStr">
        <is>
          <t>19 Margaret Street</t>
        </is>
      </c>
      <c r="F310" t="inlineStr">
        <is>
          <t>First Floor</t>
        </is>
      </c>
      <c r="G310" t="inlineStr">
        <is>
          <t>Office</t>
        </is>
      </c>
      <c r="H310" t="n">
        <v>980</v>
      </c>
      <c r="I310">
        <f>I216</f>
        <v/>
      </c>
      <c r="J310" t="n">
        <v>1000</v>
      </c>
      <c r="K310" t="inlineStr">
        <is>
          <t>Vacant</t>
        </is>
      </c>
      <c r="N310" s="869" t="n">
        <v>43323</v>
      </c>
      <c r="Q310" t="n">
        <v>0</v>
      </c>
      <c r="R310">
        <f>R216</f>
        <v/>
      </c>
      <c r="T310" t="n">
        <v>53900</v>
      </c>
      <c r="U310">
        <f>U216</f>
        <v/>
      </c>
      <c r="V310" t="n">
        <v>56400</v>
      </c>
      <c r="W310">
        <f>W216</f>
        <v/>
      </c>
      <c r="X310">
        <f>W216/I216</f>
        <v/>
      </c>
      <c r="Y310">
        <f>SUM(W216-U216)/U216</f>
        <v/>
      </c>
      <c r="Z310" t="inlineStr">
        <is>
          <t>D</t>
        </is>
      </c>
      <c r="AC310" t="inlineStr">
        <is>
          <t>No</t>
        </is>
      </c>
      <c r="AD310" t="inlineStr">
        <is>
          <t>LEM Marketing.</t>
        </is>
      </c>
      <c r="AE310" t="n">
        <v>61.5</v>
      </c>
      <c r="AF310" t="n">
        <v>4</v>
      </c>
      <c r="AG310" t="n">
        <v>6</v>
      </c>
      <c r="AI310" t="inlineStr">
        <is>
          <t>Void</t>
        </is>
      </c>
    </row>
    <row r="311">
      <c r="A311" t="inlineStr">
        <is>
          <t xml:space="preserve">  Office</t>
        </is>
      </c>
      <c r="B311" t="inlineStr">
        <is>
          <t>WS</t>
        </is>
      </c>
      <c r="C311" t="inlineStr">
        <is>
          <t>MEL</t>
        </is>
      </c>
      <c r="D311" t="n">
        <v>550950</v>
      </c>
      <c r="E311" t="inlineStr">
        <is>
          <t>19 Margaret Street</t>
        </is>
      </c>
      <c r="F311" t="inlineStr">
        <is>
          <t>Second Floor</t>
        </is>
      </c>
      <c r="G311" t="inlineStr">
        <is>
          <t>Office</t>
        </is>
      </c>
      <c r="H311" t="n">
        <v>980</v>
      </c>
      <c r="I311">
        <f>I217</f>
        <v/>
      </c>
      <c r="J311" t="n">
        <v>1000</v>
      </c>
      <c r="K311" t="inlineStr">
        <is>
          <t>Effigest UK Ltd.</t>
        </is>
      </c>
      <c r="L311" s="869" t="n">
        <v>45210</v>
      </c>
      <c r="M311" s="869" t="n">
        <v>46305</v>
      </c>
      <c r="Q311" t="n">
        <v>52800</v>
      </c>
      <c r="R311">
        <f>R217</f>
        <v/>
      </c>
      <c r="T311" t="n">
        <v>53900</v>
      </c>
      <c r="U311">
        <f>U217</f>
        <v/>
      </c>
      <c r="V311" t="n">
        <v>56400</v>
      </c>
      <c r="W311">
        <f>W217</f>
        <v/>
      </c>
      <c r="X311">
        <f>W217/I217</f>
        <v/>
      </c>
      <c r="Y311">
        <f>SUM(W217-U217)/U217</f>
        <v/>
      </c>
      <c r="Z311" t="inlineStr">
        <is>
          <t>E</t>
        </is>
      </c>
      <c r="AC311" t="inlineStr">
        <is>
          <t>No</t>
        </is>
      </c>
      <c r="AI311" t="inlineStr">
        <is>
          <t>Let</t>
        </is>
      </c>
    </row>
    <row r="312">
      <c r="A312" t="inlineStr">
        <is>
          <t xml:space="preserve">  Office</t>
        </is>
      </c>
      <c r="B312" t="inlineStr">
        <is>
          <t>WS</t>
        </is>
      </c>
      <c r="C312" t="inlineStr">
        <is>
          <t>MEL</t>
        </is>
      </c>
      <c r="D312" t="n">
        <v>550950</v>
      </c>
      <c r="E312" t="inlineStr">
        <is>
          <t>19 Margaret Street</t>
        </is>
      </c>
      <c r="F312" t="inlineStr">
        <is>
          <t>Third Floor</t>
        </is>
      </c>
      <c r="G312" t="inlineStr">
        <is>
          <t>Office</t>
        </is>
      </c>
      <c r="H312" t="n">
        <v>836</v>
      </c>
      <c r="I312">
        <f>I218</f>
        <v/>
      </c>
      <c r="J312" t="n">
        <v>1000</v>
      </c>
      <c r="K312" t="inlineStr">
        <is>
          <t>Theatrical Rights Worldwide Limited</t>
        </is>
      </c>
      <c r="L312" s="869" t="n">
        <v>44869</v>
      </c>
      <c r="M312" s="869" t="n">
        <v>46694</v>
      </c>
      <c r="P312" s="869" t="n">
        <v>45964</v>
      </c>
      <c r="Q312" t="n">
        <v>48300</v>
      </c>
      <c r="R312">
        <f>R218</f>
        <v/>
      </c>
      <c r="T312" t="n">
        <v>46000</v>
      </c>
      <c r="U312">
        <f>U218</f>
        <v/>
      </c>
      <c r="V312" t="n">
        <v>48100</v>
      </c>
      <c r="W312">
        <f>W218</f>
        <v/>
      </c>
      <c r="X312">
        <f>W218/I218</f>
        <v/>
      </c>
      <c r="Y312">
        <f>SUM(W218-U218)/U218</f>
        <v/>
      </c>
      <c r="Z312" t="inlineStr">
        <is>
          <t>E</t>
        </is>
      </c>
      <c r="AC312" t="inlineStr">
        <is>
          <t>No</t>
        </is>
      </c>
      <c r="AD312" t="inlineStr">
        <is>
          <t>Tenant break on 6 months notice.</t>
        </is>
      </c>
      <c r="AI312" t="inlineStr">
        <is>
          <t>Let</t>
        </is>
      </c>
    </row>
    <row r="313">
      <c r="A313" t="inlineStr">
        <is>
          <t xml:space="preserve">  Office</t>
        </is>
      </c>
      <c r="B313" t="inlineStr">
        <is>
          <t>WS</t>
        </is>
      </c>
      <c r="C313" t="inlineStr">
        <is>
          <t>MEL</t>
        </is>
      </c>
      <c r="D313" t="n">
        <v>550950</v>
      </c>
      <c r="E313" t="inlineStr">
        <is>
          <t>19 Margaret Street</t>
        </is>
      </c>
      <c r="F313" t="inlineStr">
        <is>
          <t>Fourth Floor</t>
        </is>
      </c>
      <c r="G313" t="inlineStr">
        <is>
          <t>Office</t>
        </is>
      </c>
      <c r="H313" t="n">
        <v>830</v>
      </c>
      <c r="I313">
        <f>I219</f>
        <v/>
      </c>
      <c r="J313" t="n">
        <v>1000</v>
      </c>
      <c r="K313" t="inlineStr">
        <is>
          <t>Theatrical Rights Worldwide Limited</t>
        </is>
      </c>
      <c r="L313" s="869" t="n">
        <v>45436</v>
      </c>
      <c r="M313" s="869" t="n">
        <v>46694</v>
      </c>
      <c r="P313" s="869" t="n">
        <v>45964</v>
      </c>
      <c r="Q313" t="n">
        <v>47725</v>
      </c>
      <c r="R313">
        <f>R219</f>
        <v/>
      </c>
      <c r="T313" t="n">
        <v>45700</v>
      </c>
      <c r="U313">
        <f>U219</f>
        <v/>
      </c>
      <c r="V313" t="n">
        <v>47700</v>
      </c>
      <c r="W313">
        <f>W219</f>
        <v/>
      </c>
      <c r="X313">
        <f>W219/I219</f>
        <v/>
      </c>
      <c r="Y313">
        <f>SUM(W219-U219)/U219</f>
        <v/>
      </c>
      <c r="Z313" t="inlineStr">
        <is>
          <t>D</t>
        </is>
      </c>
      <c r="AC313" t="inlineStr">
        <is>
          <t>No</t>
        </is>
      </c>
      <c r="AD313" t="inlineStr">
        <is>
          <t>Tenant break on 6 months notice.</t>
        </is>
      </c>
      <c r="AI313" t="inlineStr">
        <is>
          <t>Let</t>
        </is>
      </c>
    </row>
    <row r="314">
      <c r="A314" t="inlineStr">
        <is>
          <t xml:space="preserve">  Office</t>
        </is>
      </c>
      <c r="B314" t="inlineStr">
        <is>
          <t>WS</t>
        </is>
      </c>
      <c r="C314" t="inlineStr">
        <is>
          <t>MEL</t>
        </is>
      </c>
      <c r="D314" t="n">
        <v>550950</v>
      </c>
      <c r="E314" t="inlineStr">
        <is>
          <t>19 Margaret Street</t>
        </is>
      </c>
      <c r="F314" t="inlineStr">
        <is>
          <t>Fifth Floor</t>
        </is>
      </c>
      <c r="G314" t="inlineStr">
        <is>
          <t>Office</t>
        </is>
      </c>
      <c r="H314" t="n">
        <v>685</v>
      </c>
      <c r="I314">
        <f>I220</f>
        <v/>
      </c>
      <c r="J314" t="n">
        <v>750</v>
      </c>
      <c r="K314" t="inlineStr">
        <is>
          <t>Vacant</t>
        </is>
      </c>
      <c r="N314" s="869" t="n">
        <v>45627</v>
      </c>
      <c r="Q314" t="n">
        <v>0</v>
      </c>
      <c r="R314">
        <f>R220</f>
        <v/>
      </c>
      <c r="T314" t="n">
        <v>37700</v>
      </c>
      <c r="U314">
        <f>U220</f>
        <v/>
      </c>
      <c r="V314" t="n">
        <v>39400</v>
      </c>
      <c r="W314">
        <f>W220</f>
        <v/>
      </c>
      <c r="X314">
        <f>W220/I220</f>
        <v/>
      </c>
      <c r="Y314">
        <f>SUM(W220-U220)/U220</f>
        <v/>
      </c>
      <c r="Z314" t="inlineStr">
        <is>
          <t>E</t>
        </is>
      </c>
      <c r="AC314" t="inlineStr">
        <is>
          <t>No</t>
        </is>
      </c>
      <c r="AD314" t="inlineStr">
        <is>
          <t>LEM marketing.</t>
        </is>
      </c>
      <c r="AI314" t="inlineStr">
        <is>
          <t>Void</t>
        </is>
      </c>
    </row>
    <row r="315"/>
    <row r="316">
      <c r="A316" s="868" t="inlineStr">
        <is>
          <t>20 Margaret Street</t>
        </is>
      </c>
    </row>
    <row r="317">
      <c r="A317" t="inlineStr">
        <is>
          <t xml:space="preserve">  Showroom</t>
        </is>
      </c>
      <c r="B317" t="inlineStr">
        <is>
          <t>WS</t>
        </is>
      </c>
      <c r="C317" t="inlineStr">
        <is>
          <t>MEL</t>
        </is>
      </c>
      <c r="D317" t="n">
        <v>550730</v>
      </c>
      <c r="E317" t="inlineStr">
        <is>
          <t>20 Margaret Street</t>
        </is>
      </c>
      <c r="F317" t="inlineStr">
        <is>
          <t>Basement &amp; Ground Floor</t>
        </is>
      </c>
      <c r="G317" t="inlineStr">
        <is>
          <t>Showroom</t>
        </is>
      </c>
      <c r="H317" t="n">
        <v>1946</v>
      </c>
      <c r="I317">
        <f>I221</f>
        <v/>
      </c>
      <c r="J317" t="n">
        <v>2000</v>
      </c>
      <c r="K317" t="inlineStr">
        <is>
          <t>Outform Group UK Ltd.</t>
        </is>
      </c>
      <c r="L317" s="869" t="n">
        <v>45457</v>
      </c>
      <c r="M317" s="869" t="n">
        <v>47282</v>
      </c>
      <c r="P317" s="869" t="n">
        <v>46186</v>
      </c>
      <c r="Q317" t="n">
        <v>94417</v>
      </c>
      <c r="R317">
        <f>R221</f>
        <v/>
      </c>
      <c r="T317" t="n">
        <v>86800</v>
      </c>
      <c r="U317">
        <f>U221</f>
        <v/>
      </c>
      <c r="V317" t="n">
        <v>94417</v>
      </c>
      <c r="W317">
        <f>W221</f>
        <v/>
      </c>
      <c r="X317">
        <f>W221/I221</f>
        <v/>
      </c>
      <c r="Y317">
        <f>SUM(W221-U221)/U221</f>
        <v/>
      </c>
      <c r="Z317" t="inlineStr">
        <is>
          <t>E</t>
        </is>
      </c>
      <c r="AC317" t="inlineStr">
        <is>
          <t>No</t>
        </is>
      </c>
      <c r="AD317" t="inlineStr">
        <is>
          <t>Rent increasing to £103,000 wef 14/06/27. Tenant break on 6 months notice. Penalty payment due if exercised. Further tenant break 13/06/27 on 6 months notice.</t>
        </is>
      </c>
      <c r="AI317" t="inlineStr">
        <is>
          <t>Let</t>
        </is>
      </c>
    </row>
    <row r="318">
      <c r="A318" t="inlineStr">
        <is>
          <t xml:space="preserve">  Office</t>
        </is>
      </c>
      <c r="B318" t="inlineStr">
        <is>
          <t>WS</t>
        </is>
      </c>
      <c r="C318" t="inlineStr">
        <is>
          <t>MEL</t>
        </is>
      </c>
      <c r="D318" t="n">
        <v>550730</v>
      </c>
      <c r="E318" t="inlineStr">
        <is>
          <t>20 Margaret Street</t>
        </is>
      </c>
      <c r="F318" t="inlineStr">
        <is>
          <t>First Floor</t>
        </is>
      </c>
      <c r="G318" t="inlineStr">
        <is>
          <t>Office</t>
        </is>
      </c>
      <c r="H318" t="n">
        <v>804</v>
      </c>
      <c r="I318">
        <f>I222</f>
        <v/>
      </c>
      <c r="J318" t="n">
        <v>750</v>
      </c>
      <c r="K318" t="inlineStr">
        <is>
          <t>Vacant</t>
        </is>
      </c>
      <c r="N318" s="869" t="n">
        <v>43132</v>
      </c>
      <c r="Q318" t="n">
        <v>0</v>
      </c>
      <c r="R318">
        <f>R222</f>
        <v/>
      </c>
      <c r="T318" t="n">
        <v>44200</v>
      </c>
      <c r="U318">
        <f>U222</f>
        <v/>
      </c>
      <c r="V318" t="n">
        <v>46200</v>
      </c>
      <c r="W318">
        <f>W222</f>
        <v/>
      </c>
      <c r="X318">
        <f>W222/I222</f>
        <v/>
      </c>
      <c r="Y318">
        <f>SUM(W222-U222)/U222</f>
        <v/>
      </c>
      <c r="Z318" t="inlineStr">
        <is>
          <t>E</t>
        </is>
      </c>
      <c r="AC318" t="inlineStr">
        <is>
          <t>No</t>
        </is>
      </c>
      <c r="AD318" t="inlineStr">
        <is>
          <t>To be refurbished.</t>
        </is>
      </c>
      <c r="AE318" t="n">
        <v>62.5</v>
      </c>
      <c r="AF318" t="n">
        <v>1</v>
      </c>
      <c r="AG318" t="n">
        <v>3</v>
      </c>
      <c r="AH318" t="inlineStr">
        <is>
          <t>LEM</t>
        </is>
      </c>
      <c r="AI318" t="inlineStr">
        <is>
          <t>Void</t>
        </is>
      </c>
    </row>
    <row r="319">
      <c r="A319" t="inlineStr">
        <is>
          <t xml:space="preserve">  Office</t>
        </is>
      </c>
      <c r="B319" t="inlineStr">
        <is>
          <t>WS</t>
        </is>
      </c>
      <c r="C319" t="inlineStr">
        <is>
          <t>MEL</t>
        </is>
      </c>
      <c r="D319" t="n">
        <v>550730</v>
      </c>
      <c r="E319" t="inlineStr">
        <is>
          <t>20 Margaret Street</t>
        </is>
      </c>
      <c r="F319" t="inlineStr">
        <is>
          <t>Second Floor</t>
        </is>
      </c>
      <c r="G319" t="inlineStr">
        <is>
          <t>Office</t>
        </is>
      </c>
      <c r="H319" t="n">
        <v>813</v>
      </c>
      <c r="I319">
        <f>I223</f>
        <v/>
      </c>
      <c r="J319" t="n">
        <v>750</v>
      </c>
      <c r="K319" t="inlineStr">
        <is>
          <t>Vacant</t>
        </is>
      </c>
      <c r="N319" s="869" t="n">
        <v>42819</v>
      </c>
      <c r="Q319" t="n">
        <v>0</v>
      </c>
      <c r="R319">
        <f>R223</f>
        <v/>
      </c>
      <c r="T319" t="n">
        <v>44700</v>
      </c>
      <c r="U319">
        <f>U223</f>
        <v/>
      </c>
      <c r="V319" t="n">
        <v>46700</v>
      </c>
      <c r="W319">
        <f>W223</f>
        <v/>
      </c>
      <c r="X319">
        <f>W223/I223</f>
        <v/>
      </c>
      <c r="Y319">
        <f>SUM(W223-U223)/U223</f>
        <v/>
      </c>
      <c r="Z319" t="inlineStr">
        <is>
          <t>E</t>
        </is>
      </c>
      <c r="AC319" t="inlineStr">
        <is>
          <t>No</t>
        </is>
      </c>
      <c r="AD319" t="inlineStr">
        <is>
          <t>To be refurbished.</t>
        </is>
      </c>
      <c r="AE319" t="n">
        <v>62.5</v>
      </c>
      <c r="AG319" t="n">
        <v>2</v>
      </c>
      <c r="AH319" t="inlineStr">
        <is>
          <t>LEM</t>
        </is>
      </c>
      <c r="AI319" t="inlineStr">
        <is>
          <t>Void</t>
        </is>
      </c>
    </row>
    <row r="320">
      <c r="A320" t="inlineStr">
        <is>
          <t xml:space="preserve">  Office</t>
        </is>
      </c>
      <c r="B320" t="inlineStr">
        <is>
          <t>WS</t>
        </is>
      </c>
      <c r="C320" t="inlineStr">
        <is>
          <t>MEL</t>
        </is>
      </c>
      <c r="D320" t="n">
        <v>550730</v>
      </c>
      <c r="E320" t="inlineStr">
        <is>
          <t>20 Margaret Street</t>
        </is>
      </c>
      <c r="F320" t="inlineStr">
        <is>
          <t>Third Floor</t>
        </is>
      </c>
      <c r="G320" t="inlineStr">
        <is>
          <t>Office</t>
        </is>
      </c>
      <c r="H320" t="n">
        <v>791</v>
      </c>
      <c r="I320">
        <f>I224</f>
        <v/>
      </c>
      <c r="J320" t="n">
        <v>750</v>
      </c>
      <c r="K320" t="inlineStr">
        <is>
          <t>Vesper Investments Ltd</t>
        </is>
      </c>
      <c r="L320" s="869" t="n">
        <v>45533</v>
      </c>
      <c r="M320" s="869" t="n">
        <v>47358</v>
      </c>
      <c r="Q320" t="n">
        <v>46273</v>
      </c>
      <c r="R320">
        <f>R224</f>
        <v/>
      </c>
      <c r="T320" t="n">
        <v>43500</v>
      </c>
      <c r="U320">
        <f>U224</f>
        <v/>
      </c>
      <c r="V320" t="n">
        <v>45500</v>
      </c>
      <c r="W320">
        <f>W224</f>
        <v/>
      </c>
      <c r="X320">
        <f>W224/I224</f>
        <v/>
      </c>
      <c r="Y320">
        <f>SUM(W224-U224)/U224</f>
        <v/>
      </c>
      <c r="Z320" t="inlineStr">
        <is>
          <t>E</t>
        </is>
      </c>
      <c r="AC320" t="inlineStr">
        <is>
          <t>No</t>
        </is>
      </c>
      <c r="AI320" t="inlineStr">
        <is>
          <t>Let</t>
        </is>
      </c>
    </row>
    <row r="321">
      <c r="A321" t="inlineStr">
        <is>
          <t xml:space="preserve">  Office</t>
        </is>
      </c>
      <c r="B321" t="inlineStr">
        <is>
          <t>WS</t>
        </is>
      </c>
      <c r="C321" t="inlineStr">
        <is>
          <t>MEL</t>
        </is>
      </c>
      <c r="D321" t="n">
        <v>550730</v>
      </c>
      <c r="E321" t="inlineStr">
        <is>
          <t>20 Margaret Street</t>
        </is>
      </c>
      <c r="F321" t="inlineStr">
        <is>
          <t>Fourth Floor</t>
        </is>
      </c>
      <c r="G321" t="inlineStr">
        <is>
          <t>Office</t>
        </is>
      </c>
      <c r="H321" t="n">
        <v>797</v>
      </c>
      <c r="I321">
        <f>I225</f>
        <v/>
      </c>
      <c r="J321" t="n">
        <v>750</v>
      </c>
      <c r="K321" t="inlineStr">
        <is>
          <t>Vacant</t>
        </is>
      </c>
      <c r="N321" s="869" t="n">
        <v>44439</v>
      </c>
      <c r="Q321" t="n">
        <v>0</v>
      </c>
      <c r="R321">
        <f>R225</f>
        <v/>
      </c>
      <c r="T321" t="n">
        <v>43800</v>
      </c>
      <c r="U321">
        <f>U225</f>
        <v/>
      </c>
      <c r="V321" t="n">
        <v>45800</v>
      </c>
      <c r="W321">
        <f>W225</f>
        <v/>
      </c>
      <c r="X321">
        <f>W225/I225</f>
        <v/>
      </c>
      <c r="Y321">
        <f>SUM(W225-U225)/U225</f>
        <v/>
      </c>
      <c r="Z321" t="inlineStr">
        <is>
          <t>E</t>
        </is>
      </c>
      <c r="AC321" t="inlineStr">
        <is>
          <t>No</t>
        </is>
      </c>
      <c r="AD321" t="inlineStr">
        <is>
          <t>To be refurbished.</t>
        </is>
      </c>
      <c r="AE321" t="n">
        <v>62.5</v>
      </c>
      <c r="AG321" t="n">
        <v>2</v>
      </c>
      <c r="AH321" t="inlineStr">
        <is>
          <t>LEM</t>
        </is>
      </c>
      <c r="AI321" t="inlineStr">
        <is>
          <t>Void</t>
        </is>
      </c>
    </row>
    <row r="322">
      <c r="A322" t="inlineStr">
        <is>
          <t xml:space="preserve">  Office</t>
        </is>
      </c>
      <c r="B322" t="inlineStr">
        <is>
          <t>WS</t>
        </is>
      </c>
      <c r="C322" t="inlineStr">
        <is>
          <t>MEL</t>
        </is>
      </c>
      <c r="D322" t="n">
        <v>550730</v>
      </c>
      <c r="E322" t="inlineStr">
        <is>
          <t>20 Margaret Street</t>
        </is>
      </c>
      <c r="F322" t="inlineStr">
        <is>
          <t>Fifth Floor</t>
        </is>
      </c>
      <c r="G322" t="inlineStr">
        <is>
          <t>Office</t>
        </is>
      </c>
      <c r="H322" t="n">
        <v>747</v>
      </c>
      <c r="I322">
        <f>I226</f>
        <v/>
      </c>
      <c r="J322" t="n">
        <v>750</v>
      </c>
      <c r="K322" t="inlineStr">
        <is>
          <t>Moods Beauty Ltd</t>
        </is>
      </c>
      <c r="L322" s="869" t="n">
        <v>45553</v>
      </c>
      <c r="M322" s="869" t="n">
        <v>46282</v>
      </c>
      <c r="Q322" t="n">
        <v>41250</v>
      </c>
      <c r="R322">
        <f>R226</f>
        <v/>
      </c>
      <c r="T322" t="n">
        <v>39200</v>
      </c>
      <c r="U322">
        <f>U226</f>
        <v/>
      </c>
      <c r="V322" t="n">
        <v>41100</v>
      </c>
      <c r="W322">
        <f>W226</f>
        <v/>
      </c>
      <c r="X322">
        <f>W226/I226</f>
        <v/>
      </c>
      <c r="Y322">
        <f>SUM(W226-U226)/U226</f>
        <v/>
      </c>
      <c r="Z322" t="inlineStr">
        <is>
          <t>E</t>
        </is>
      </c>
      <c r="AC322" t="inlineStr">
        <is>
          <t>No</t>
        </is>
      </c>
      <c r="AI322" t="inlineStr">
        <is>
          <t>Let</t>
        </is>
      </c>
    </row>
    <row r="323"/>
    <row r="324">
      <c r="A324" s="868" t="inlineStr">
        <is>
          <t>25 Margaret Street</t>
        </is>
      </c>
    </row>
    <row r="325">
      <c r="A325" t="inlineStr">
        <is>
          <t xml:space="preserve">  Showroom</t>
        </is>
      </c>
      <c r="B325" t="inlineStr">
        <is>
          <t>CM</t>
        </is>
      </c>
      <c r="C325" t="inlineStr">
        <is>
          <t>MEL</t>
        </is>
      </c>
      <c r="D325" t="n">
        <v>550800</v>
      </c>
      <c r="E325" t="inlineStr">
        <is>
          <t>25 Margaret Street</t>
        </is>
      </c>
      <c r="F325" t="inlineStr">
        <is>
          <t>Basement</t>
        </is>
      </c>
      <c r="G325" t="inlineStr">
        <is>
          <t>Showroom</t>
        </is>
      </c>
      <c r="H325" t="n">
        <v>424</v>
      </c>
      <c r="I325">
        <f>I227</f>
        <v/>
      </c>
      <c r="J325" t="n">
        <v>500</v>
      </c>
      <c r="K325" t="inlineStr">
        <is>
          <t>Mr K Saraj</t>
        </is>
      </c>
      <c r="L325" s="869" t="n">
        <v>45262</v>
      </c>
      <c r="M325" s="869" t="n">
        <v>47088</v>
      </c>
      <c r="Q325" t="n">
        <v>11872</v>
      </c>
      <c r="R325">
        <f>R227</f>
        <v/>
      </c>
      <c r="T325" t="n">
        <v>11660</v>
      </c>
      <c r="U325">
        <f>U227</f>
        <v/>
      </c>
      <c r="V325" t="n">
        <v>11660</v>
      </c>
      <c r="W325">
        <f>W227</f>
        <v/>
      </c>
      <c r="X325">
        <f>W227/I227</f>
        <v/>
      </c>
      <c r="Y325">
        <f>SUM(W227-U227)/U227</f>
        <v/>
      </c>
      <c r="Z325" t="inlineStr">
        <is>
          <t>E</t>
        </is>
      </c>
      <c r="AC325" t="inlineStr">
        <is>
          <t>No</t>
        </is>
      </c>
      <c r="AI325" t="inlineStr">
        <is>
          <t>Let</t>
        </is>
      </c>
    </row>
    <row r="326">
      <c r="A326" t="inlineStr">
        <is>
          <t xml:space="preserve">  Retail</t>
        </is>
      </c>
      <c r="B326" t="inlineStr">
        <is>
          <t>CM</t>
        </is>
      </c>
      <c r="C326" t="inlineStr">
        <is>
          <t>MEL</t>
        </is>
      </c>
      <c r="D326" t="n">
        <v>550800</v>
      </c>
      <c r="E326" t="inlineStr">
        <is>
          <t>25 Margaret Street</t>
        </is>
      </c>
      <c r="F326" t="inlineStr">
        <is>
          <t xml:space="preserve">Ground Floor </t>
        </is>
      </c>
      <c r="G326" t="inlineStr">
        <is>
          <t>Retail</t>
        </is>
      </c>
      <c r="H326" t="n">
        <v>515</v>
      </c>
      <c r="I326">
        <f>I228</f>
        <v/>
      </c>
      <c r="J326" t="n">
        <v>500</v>
      </c>
      <c r="K326" t="inlineStr">
        <is>
          <t>Camran Naseri &amp; Rehana Miah</t>
        </is>
      </c>
      <c r="L326" s="869" t="n">
        <v>44756</v>
      </c>
      <c r="M326" s="869" t="n">
        <v>47154</v>
      </c>
      <c r="O326" s="869" t="n">
        <v>45328</v>
      </c>
      <c r="Q326" t="n">
        <v>37500</v>
      </c>
      <c r="R326">
        <f>R228</f>
        <v/>
      </c>
      <c r="T326" t="n">
        <v>37502</v>
      </c>
      <c r="U326">
        <f>U228</f>
        <v/>
      </c>
      <c r="V326" t="n">
        <v>37500</v>
      </c>
      <c r="W326">
        <f>W228</f>
        <v/>
      </c>
      <c r="X326">
        <f>W228/I228</f>
        <v/>
      </c>
      <c r="Y326">
        <f>SUM(W228-U228)/U228</f>
        <v/>
      </c>
      <c r="Z326" t="inlineStr">
        <is>
          <t>B</t>
        </is>
      </c>
      <c r="AC326" t="inlineStr">
        <is>
          <t>No</t>
        </is>
      </c>
      <c r="AI326" t="inlineStr">
        <is>
          <t>Let</t>
        </is>
      </c>
    </row>
    <row r="327">
      <c r="A327" t="inlineStr">
        <is>
          <t xml:space="preserve">  Office</t>
        </is>
      </c>
      <c r="B327" t="inlineStr">
        <is>
          <t>CM</t>
        </is>
      </c>
      <c r="C327" t="inlineStr">
        <is>
          <t>MEL</t>
        </is>
      </c>
      <c r="D327" t="n">
        <v>550800</v>
      </c>
      <c r="E327" t="inlineStr">
        <is>
          <t>25 Margaret Street</t>
        </is>
      </c>
      <c r="F327" t="inlineStr">
        <is>
          <t>First Floor (F)</t>
        </is>
      </c>
      <c r="G327" t="inlineStr">
        <is>
          <t>Office</t>
        </is>
      </c>
      <c r="H327" t="n">
        <v>172</v>
      </c>
      <c r="I327">
        <f>I229</f>
        <v/>
      </c>
      <c r="J327" t="n">
        <v>250</v>
      </c>
      <c r="K327" t="inlineStr">
        <is>
          <t>Mr Christos Tombras</t>
        </is>
      </c>
      <c r="L327" s="869" t="n">
        <v>44750</v>
      </c>
      <c r="M327" s="869" t="n">
        <v>46575</v>
      </c>
      <c r="Q327" t="n">
        <v>9400</v>
      </c>
      <c r="R327">
        <f>R229</f>
        <v/>
      </c>
      <c r="T327" t="n">
        <v>9460</v>
      </c>
      <c r="U327">
        <f>U229</f>
        <v/>
      </c>
      <c r="V327" t="n">
        <v>11180</v>
      </c>
      <c r="W327">
        <f>W229</f>
        <v/>
      </c>
      <c r="X327">
        <f>W229/I229</f>
        <v/>
      </c>
      <c r="Y327">
        <f>SUM(W229-U229)/U229</f>
        <v/>
      </c>
      <c r="Z327" t="inlineStr">
        <is>
          <t>E</t>
        </is>
      </c>
      <c r="AC327" t="inlineStr">
        <is>
          <t>No</t>
        </is>
      </c>
      <c r="AI327" t="inlineStr">
        <is>
          <t>Let</t>
        </is>
      </c>
    </row>
    <row r="328">
      <c r="A328" t="inlineStr">
        <is>
          <t xml:space="preserve">  Office</t>
        </is>
      </c>
      <c r="B328" t="inlineStr">
        <is>
          <t>CM</t>
        </is>
      </c>
      <c r="C328" t="inlineStr">
        <is>
          <t>MEL</t>
        </is>
      </c>
      <c r="D328" t="n">
        <v>550800</v>
      </c>
      <c r="E328" t="inlineStr">
        <is>
          <t>25 Margaret Street</t>
        </is>
      </c>
      <c r="F328" t="inlineStr">
        <is>
          <t>First Floor (R)</t>
        </is>
      </c>
      <c r="G328" t="inlineStr">
        <is>
          <t>Office</t>
        </is>
      </c>
      <c r="H328" t="n">
        <v>117</v>
      </c>
      <c r="I328">
        <f>I230</f>
        <v/>
      </c>
      <c r="J328" t="n">
        <v>250</v>
      </c>
      <c r="K328" t="inlineStr">
        <is>
          <t>Ms J. Hogan</t>
        </is>
      </c>
      <c r="L328" s="869" t="n">
        <v>45194</v>
      </c>
      <c r="M328" s="869" t="n">
        <v>47020</v>
      </c>
      <c r="P328" s="869" t="n">
        <v>46289</v>
      </c>
      <c r="Q328" t="n">
        <v>7100</v>
      </c>
      <c r="R328">
        <f>R230</f>
        <v/>
      </c>
      <c r="T328" t="n">
        <v>7000</v>
      </c>
      <c r="U328">
        <f>U230</f>
        <v/>
      </c>
      <c r="V328" t="n">
        <v>7605</v>
      </c>
      <c r="W328">
        <f>W230</f>
        <v/>
      </c>
      <c r="X328">
        <f>W230/I230</f>
        <v/>
      </c>
      <c r="Y328">
        <f>SUM(W230-U230)/U230</f>
        <v/>
      </c>
      <c r="Z328" t="inlineStr">
        <is>
          <t>E</t>
        </is>
      </c>
      <c r="AC328" t="inlineStr">
        <is>
          <t>No</t>
        </is>
      </c>
      <c r="AD328" t="inlineStr">
        <is>
          <t>Tenant break on 6 months notice.</t>
        </is>
      </c>
      <c r="AI328" t="inlineStr">
        <is>
          <t>Let</t>
        </is>
      </c>
    </row>
    <row r="329">
      <c r="A329" t="inlineStr">
        <is>
          <t xml:space="preserve">  Office</t>
        </is>
      </c>
      <c r="B329" t="inlineStr">
        <is>
          <t>CM</t>
        </is>
      </c>
      <c r="C329" t="inlineStr">
        <is>
          <t>MEL</t>
        </is>
      </c>
      <c r="D329" t="n">
        <v>550800</v>
      </c>
      <c r="E329" t="inlineStr">
        <is>
          <t>25 Margaret Street</t>
        </is>
      </c>
      <c r="F329" t="inlineStr">
        <is>
          <t>Second Floor (F)</t>
        </is>
      </c>
      <c r="G329" t="inlineStr">
        <is>
          <t>Office</t>
        </is>
      </c>
      <c r="H329" t="n">
        <v>170</v>
      </c>
      <c r="I329">
        <f>I231</f>
        <v/>
      </c>
      <c r="J329" t="n">
        <v>250</v>
      </c>
      <c r="K329" t="inlineStr">
        <is>
          <t>Ms Tara Harrison</t>
        </is>
      </c>
      <c r="L329" s="869" t="n">
        <v>45632</v>
      </c>
      <c r="M329" s="869" t="n">
        <v>47457</v>
      </c>
      <c r="P329" s="869" t="n">
        <v>46519</v>
      </c>
      <c r="Q329" t="n">
        <v>9400</v>
      </c>
      <c r="R329">
        <f>R231</f>
        <v/>
      </c>
      <c r="T329" t="n">
        <v>8925</v>
      </c>
      <c r="U329">
        <f>U231</f>
        <v/>
      </c>
      <c r="V329" t="n">
        <v>11050</v>
      </c>
      <c r="W329">
        <f>W231</f>
        <v/>
      </c>
      <c r="X329">
        <f>W231/I231</f>
        <v/>
      </c>
      <c r="Y329">
        <f>SUM(W231-U231)/U231</f>
        <v/>
      </c>
      <c r="Z329" t="inlineStr">
        <is>
          <t>E</t>
        </is>
      </c>
      <c r="AC329" t="inlineStr">
        <is>
          <t>No</t>
        </is>
      </c>
      <c r="AD329" t="inlineStr">
        <is>
          <t>Tenant break 12/05/27 on 6 months notice.</t>
        </is>
      </c>
      <c r="AI329" t="inlineStr">
        <is>
          <t>Let</t>
        </is>
      </c>
    </row>
    <row r="330">
      <c r="A330" t="inlineStr">
        <is>
          <t xml:space="preserve">  Office</t>
        </is>
      </c>
      <c r="B330" t="inlineStr">
        <is>
          <t>CM</t>
        </is>
      </c>
      <c r="C330" t="inlineStr">
        <is>
          <t>MEL</t>
        </is>
      </c>
      <c r="D330" t="n">
        <v>550800</v>
      </c>
      <c r="E330" t="inlineStr">
        <is>
          <t>25 Margaret Street</t>
        </is>
      </c>
      <c r="F330" t="inlineStr">
        <is>
          <t>Second Floor (R)</t>
        </is>
      </c>
      <c r="G330" t="inlineStr">
        <is>
          <t>Office</t>
        </is>
      </c>
      <c r="H330" t="n">
        <v>130</v>
      </c>
      <c r="I330">
        <f>I232</f>
        <v/>
      </c>
      <c r="J330" t="n">
        <v>250</v>
      </c>
      <c r="K330" t="inlineStr">
        <is>
          <t>Mr R Backes</t>
        </is>
      </c>
      <c r="L330" s="869" t="n">
        <v>44762</v>
      </c>
      <c r="M330" s="869" t="n">
        <v>46587</v>
      </c>
      <c r="P330" s="869" t="n">
        <v>45857</v>
      </c>
      <c r="Q330" t="n">
        <v>7605</v>
      </c>
      <c r="R330">
        <f>R232</f>
        <v/>
      </c>
      <c r="T330" t="n">
        <v>7605</v>
      </c>
      <c r="U330">
        <f>U232</f>
        <v/>
      </c>
      <c r="V330" t="n">
        <v>8450</v>
      </c>
      <c r="W330">
        <f>W232</f>
        <v/>
      </c>
      <c r="X330">
        <f>W232/I232</f>
        <v/>
      </c>
      <c r="Y330">
        <f>SUM(W232-U232)/U232</f>
        <v/>
      </c>
      <c r="Z330" t="inlineStr">
        <is>
          <t>E</t>
        </is>
      </c>
      <c r="AC330" t="inlineStr">
        <is>
          <t>No</t>
        </is>
      </c>
      <c r="AI330" t="inlineStr">
        <is>
          <t>Let</t>
        </is>
      </c>
    </row>
    <row r="331">
      <c r="A331" t="inlineStr">
        <is>
          <t xml:space="preserve">  Residential</t>
        </is>
      </c>
      <c r="B331" t="inlineStr">
        <is>
          <t>CM</t>
        </is>
      </c>
      <c r="C331" t="inlineStr">
        <is>
          <t>MEL</t>
        </is>
      </c>
      <c r="D331" t="n">
        <v>550800</v>
      </c>
      <c r="E331" t="inlineStr">
        <is>
          <t>25 Margaret Street</t>
        </is>
      </c>
      <c r="F331" t="inlineStr">
        <is>
          <t>Third &amp; Fourth Floors</t>
        </is>
      </c>
      <c r="G331" t="inlineStr">
        <is>
          <t>Residential</t>
        </is>
      </c>
      <c r="H331" t="n">
        <v>600</v>
      </c>
      <c r="I331">
        <f>I233</f>
        <v/>
      </c>
      <c r="J331" t="n">
        <v>500</v>
      </c>
      <c r="K331" t="inlineStr">
        <is>
          <t>Mr Bick Ole &amp; Miss Ana Roomas Ledo</t>
        </is>
      </c>
      <c r="L331" s="869" t="n">
        <v>45135</v>
      </c>
      <c r="M331" s="869" t="n">
        <v>45865</v>
      </c>
      <c r="Q331" t="n">
        <v>40950</v>
      </c>
      <c r="R331">
        <f>R233</f>
        <v/>
      </c>
      <c r="T331" t="n">
        <v>36140</v>
      </c>
      <c r="U331">
        <f>U233</f>
        <v/>
      </c>
      <c r="V331" t="n">
        <v>39000</v>
      </c>
      <c r="W331">
        <f>W233</f>
        <v/>
      </c>
      <c r="X331">
        <f>W233/I233</f>
        <v/>
      </c>
      <c r="Y331">
        <f>SUM(W233-U233)/U233</f>
        <v/>
      </c>
      <c r="Z331" t="inlineStr">
        <is>
          <t>E</t>
        </is>
      </c>
      <c r="AC331" t="inlineStr">
        <is>
          <t>No</t>
        </is>
      </c>
      <c r="AD331" t="inlineStr">
        <is>
          <t>1 year lease renewal completed @ £41,600 from 28/07/25</t>
        </is>
      </c>
      <c r="AI331" t="inlineStr">
        <is>
          <t>Let</t>
        </is>
      </c>
    </row>
    <row r="332"/>
    <row r="333">
      <c r="A333" s="868" t="inlineStr">
        <is>
          <t>47,48 &amp; 50 Margaret Street</t>
        </is>
      </c>
    </row>
    <row r="334">
      <c r="A334" t="inlineStr">
        <is>
          <t xml:space="preserve">  Nightclub</t>
        </is>
      </c>
      <c r="B334" t="inlineStr">
        <is>
          <t>SH</t>
        </is>
      </c>
      <c r="C334" t="inlineStr">
        <is>
          <t>MEL</t>
        </is>
      </c>
      <c r="D334" t="n">
        <v>550550</v>
      </c>
      <c r="E334" t="inlineStr">
        <is>
          <t>47,48 &amp; 50 Margaret Street</t>
        </is>
      </c>
      <c r="F334" t="inlineStr">
        <is>
          <t>Basement (48-50)</t>
        </is>
      </c>
      <c r="G334" t="inlineStr">
        <is>
          <t>Nightclub</t>
        </is>
      </c>
      <c r="H334" t="n">
        <v>3664</v>
      </c>
      <c r="I334">
        <f>I234</f>
        <v/>
      </c>
      <c r="J334" t="n">
        <v>3500</v>
      </c>
      <c r="K334" t="inlineStr">
        <is>
          <t>Masterbet Ltd.</t>
        </is>
      </c>
      <c r="L334" s="869" t="n">
        <v>40946</v>
      </c>
      <c r="M334" s="869" t="n">
        <v>46424</v>
      </c>
      <c r="Q334" t="n">
        <v>230000</v>
      </c>
      <c r="R334">
        <f>R234</f>
        <v/>
      </c>
      <c r="T334" t="n">
        <v>225000</v>
      </c>
      <c r="U334">
        <f>U234</f>
        <v/>
      </c>
      <c r="V334" t="n">
        <v>200000</v>
      </c>
      <c r="W334">
        <f>W234</f>
        <v/>
      </c>
      <c r="X334">
        <f>W234/I234</f>
        <v/>
      </c>
      <c r="Y334">
        <f>SUM(W234-U234)/U234</f>
        <v/>
      </c>
      <c r="Z334" t="inlineStr">
        <is>
          <t>B</t>
        </is>
      </c>
      <c r="AC334" t="inlineStr">
        <is>
          <t>No</t>
        </is>
      </c>
      <c r="AD334" t="inlineStr">
        <is>
          <t>Rent rises to £232,500 @ 07/02/26.</t>
        </is>
      </c>
      <c r="AI334" t="inlineStr">
        <is>
          <t>Let</t>
        </is>
      </c>
    </row>
    <row r="335">
      <c r="A335" t="inlineStr">
        <is>
          <t xml:space="preserve">  Retail</t>
        </is>
      </c>
      <c r="B335" t="inlineStr">
        <is>
          <t>SH</t>
        </is>
      </c>
      <c r="C335" t="inlineStr">
        <is>
          <t>MEL</t>
        </is>
      </c>
      <c r="D335" t="n">
        <v>550550</v>
      </c>
      <c r="E335" t="inlineStr">
        <is>
          <t>47,48 &amp; 50 Margaret Street</t>
        </is>
      </c>
      <c r="F335" t="inlineStr">
        <is>
          <t>Ground Floor &amp; Basement (47)</t>
        </is>
      </c>
      <c r="G335" t="inlineStr">
        <is>
          <t>Retail</t>
        </is>
      </c>
      <c r="H335" t="n">
        <v>1496</v>
      </c>
      <c r="I335">
        <f>I235</f>
        <v/>
      </c>
      <c r="J335" t="n">
        <v>1500</v>
      </c>
      <c r="K335" t="inlineStr">
        <is>
          <t>MSBB Ltd.</t>
        </is>
      </c>
      <c r="L335" s="869" t="n">
        <v>45178</v>
      </c>
      <c r="M335" s="869" t="n">
        <v>47004</v>
      </c>
      <c r="Q335" t="n">
        <v>53200</v>
      </c>
      <c r="R335">
        <f>R235</f>
        <v/>
      </c>
      <c r="T335" t="n">
        <v>53200</v>
      </c>
      <c r="U335">
        <f>U235</f>
        <v/>
      </c>
      <c r="V335" t="n">
        <v>58000</v>
      </c>
      <c r="W335">
        <f>W235</f>
        <v/>
      </c>
      <c r="X335">
        <f>W235/I235</f>
        <v/>
      </c>
      <c r="Y335">
        <f>SUM(W235-U235)/U235</f>
        <v/>
      </c>
      <c r="Z335" t="inlineStr">
        <is>
          <t>B</t>
        </is>
      </c>
      <c r="AC335" t="inlineStr">
        <is>
          <t>No</t>
        </is>
      </c>
      <c r="AD335" t="inlineStr">
        <is>
          <t>Landlord break @ 08/09/26 on 6 months notice</t>
        </is>
      </c>
      <c r="AI335" t="inlineStr">
        <is>
          <t>Let</t>
        </is>
      </c>
    </row>
    <row r="336">
      <c r="A336" t="inlineStr">
        <is>
          <t xml:space="preserve">  Restaurant</t>
        </is>
      </c>
      <c r="B336" t="inlineStr">
        <is>
          <t>SH</t>
        </is>
      </c>
      <c r="C336" t="inlineStr">
        <is>
          <t>MEL</t>
        </is>
      </c>
      <c r="D336" t="n">
        <v>550550</v>
      </c>
      <c r="E336" t="inlineStr">
        <is>
          <t>47,48 &amp; 50 Margaret Street</t>
        </is>
      </c>
      <c r="F336" t="inlineStr">
        <is>
          <t>Ground Floor (50)</t>
        </is>
      </c>
      <c r="G336" t="inlineStr">
        <is>
          <t>Restaurant</t>
        </is>
      </c>
      <c r="H336" t="n">
        <v>1592</v>
      </c>
      <c r="I336">
        <f>I236</f>
        <v/>
      </c>
      <c r="J336" t="n">
        <v>1500</v>
      </c>
      <c r="K336" t="inlineStr">
        <is>
          <t>Oreno Ramen Limited</t>
        </is>
      </c>
      <c r="L336" s="869" t="n">
        <v>44663</v>
      </c>
      <c r="M336" s="869" t="n">
        <v>50141</v>
      </c>
      <c r="O336" s="869" t="n">
        <v>46489</v>
      </c>
      <c r="P336" s="869" t="n">
        <v>48315</v>
      </c>
      <c r="Q336" t="n">
        <v>95000</v>
      </c>
      <c r="R336">
        <f>R236</f>
        <v/>
      </c>
      <c r="T336" t="n">
        <v>100500</v>
      </c>
      <c r="U336">
        <f>U236</f>
        <v/>
      </c>
      <c r="V336" t="n">
        <v>100000</v>
      </c>
      <c r="W336">
        <f>W236</f>
        <v/>
      </c>
      <c r="X336">
        <f>W236/I236</f>
        <v/>
      </c>
      <c r="Y336">
        <f>SUM(W236-U236)/U236</f>
        <v/>
      </c>
      <c r="Z336" t="inlineStr">
        <is>
          <t>B</t>
        </is>
      </c>
      <c r="AC336" t="inlineStr">
        <is>
          <t>No</t>
        </is>
      </c>
      <c r="AD336" t="inlineStr">
        <is>
          <t>Stepped rent. £100,000 wef 12/04/26. Mutual break on 9 months notice.</t>
        </is>
      </c>
      <c r="AI336" t="inlineStr">
        <is>
          <t>Let</t>
        </is>
      </c>
    </row>
    <row r="337">
      <c r="A337" t="inlineStr">
        <is>
          <t xml:space="preserve">  Retail</t>
        </is>
      </c>
      <c r="B337" t="inlineStr">
        <is>
          <t>SH</t>
        </is>
      </c>
      <c r="C337" t="inlineStr">
        <is>
          <t>MEL</t>
        </is>
      </c>
      <c r="D337" t="n">
        <v>550550</v>
      </c>
      <c r="E337" t="inlineStr">
        <is>
          <t>47,48 &amp; 50 Margaret Street</t>
        </is>
      </c>
      <c r="F337" t="inlineStr">
        <is>
          <t xml:space="preserve">Ground Floor (48) </t>
        </is>
      </c>
      <c r="G337" t="inlineStr">
        <is>
          <t>Retail</t>
        </is>
      </c>
      <c r="H337" t="n">
        <v>1704</v>
      </c>
      <c r="I337">
        <f>I237</f>
        <v/>
      </c>
      <c r="J337" t="n">
        <v>1750</v>
      </c>
      <c r="K337" t="inlineStr">
        <is>
          <t>48 Margaret Street Trading Ltd</t>
        </is>
      </c>
      <c r="L337" s="869" t="n">
        <v>45111</v>
      </c>
      <c r="M337" s="869" t="n">
        <v>48763</v>
      </c>
      <c r="O337" s="869" t="n">
        <v>46938</v>
      </c>
      <c r="Q337" t="n">
        <v>105000</v>
      </c>
      <c r="R337">
        <f>R237</f>
        <v/>
      </c>
      <c r="T337" t="n">
        <v>96300</v>
      </c>
      <c r="U337">
        <f>U237</f>
        <v/>
      </c>
      <c r="V337" t="n">
        <v>105000</v>
      </c>
      <c r="W337">
        <f>W237</f>
        <v/>
      </c>
      <c r="X337">
        <f>W237/I237</f>
        <v/>
      </c>
      <c r="Y337">
        <f>SUM(W237-U237)/U237</f>
        <v/>
      </c>
      <c r="Z337" t="inlineStr">
        <is>
          <t>B</t>
        </is>
      </c>
      <c r="AC337" t="inlineStr">
        <is>
          <t>No</t>
        </is>
      </c>
      <c r="AI337" t="inlineStr">
        <is>
          <t>Let</t>
        </is>
      </c>
    </row>
    <row r="338">
      <c r="A338" t="inlineStr">
        <is>
          <t xml:space="preserve">  D1</t>
        </is>
      </c>
      <c r="B338" t="inlineStr">
        <is>
          <t>SH</t>
        </is>
      </c>
      <c r="C338" t="inlineStr">
        <is>
          <t>MEL</t>
        </is>
      </c>
      <c r="D338" t="n">
        <v>550550</v>
      </c>
      <c r="E338" t="inlineStr">
        <is>
          <t>47,48 &amp; 50 Margaret Street</t>
        </is>
      </c>
      <c r="F338" t="inlineStr">
        <is>
          <t>First Floor (East)</t>
        </is>
      </c>
      <c r="G338" t="inlineStr">
        <is>
          <t>D1</t>
        </is>
      </c>
      <c r="H338" t="n">
        <v>2955</v>
      </c>
      <c r="I338">
        <f>I238</f>
        <v/>
      </c>
      <c r="J338" t="n">
        <v>3000</v>
      </c>
      <c r="K338" t="inlineStr">
        <is>
          <t>Sun Kyeong Qi</t>
        </is>
      </c>
      <c r="L338" s="869" t="n">
        <v>45329</v>
      </c>
      <c r="M338" s="869" t="n">
        <v>46059</v>
      </c>
      <c r="Q338" t="n">
        <v>150000</v>
      </c>
      <c r="R338">
        <f>R238</f>
        <v/>
      </c>
      <c r="T338" t="n">
        <v>180000</v>
      </c>
      <c r="U338">
        <f>U238</f>
        <v/>
      </c>
      <c r="V338" t="n">
        <v>177300</v>
      </c>
      <c r="W338">
        <f>W238</f>
        <v/>
      </c>
      <c r="X338">
        <f>W238/I238</f>
        <v/>
      </c>
      <c r="Y338">
        <f>SUM(W238-U238)/U238</f>
        <v/>
      </c>
      <c r="Z338" t="inlineStr">
        <is>
          <t>C</t>
        </is>
      </c>
      <c r="AC338" t="inlineStr">
        <is>
          <t>No</t>
        </is>
      </c>
      <c r="AI338" t="inlineStr">
        <is>
          <t>Let</t>
        </is>
      </c>
    </row>
    <row r="339">
      <c r="A339" t="inlineStr">
        <is>
          <t xml:space="preserve">  Office</t>
        </is>
      </c>
      <c r="B339" t="inlineStr">
        <is>
          <t>SH</t>
        </is>
      </c>
      <c r="C339" t="inlineStr">
        <is>
          <t>MEL</t>
        </is>
      </c>
      <c r="D339" t="n">
        <v>550550</v>
      </c>
      <c r="E339" t="inlineStr">
        <is>
          <t>47,48 &amp; 50 Margaret Street</t>
        </is>
      </c>
      <c r="F339" t="inlineStr">
        <is>
          <t>First Floor (West)</t>
        </is>
      </c>
      <c r="G339" t="inlineStr">
        <is>
          <t>Office</t>
        </is>
      </c>
      <c r="H339" t="n">
        <v>388</v>
      </c>
      <c r="I339">
        <f>I239</f>
        <v/>
      </c>
      <c r="J339" t="n">
        <v>500</v>
      </c>
      <c r="K339" t="inlineStr">
        <is>
          <t>Hypecore Limited</t>
        </is>
      </c>
      <c r="L339" s="869" t="n">
        <v>45429</v>
      </c>
      <c r="M339" s="869" t="n">
        <v>47254</v>
      </c>
      <c r="P339" s="869" t="n">
        <v>46158</v>
      </c>
      <c r="Q339" t="n">
        <v>20520</v>
      </c>
      <c r="R339">
        <f>R239</f>
        <v/>
      </c>
      <c r="T339" t="n">
        <v>19000</v>
      </c>
      <c r="U339">
        <f>U239</f>
        <v/>
      </c>
      <c r="V339" t="n">
        <v>21000</v>
      </c>
      <c r="W339">
        <f>W239</f>
        <v/>
      </c>
      <c r="X339">
        <f>W239/I239</f>
        <v/>
      </c>
      <c r="Y339">
        <f>SUM(W239-U239)/U239</f>
        <v/>
      </c>
      <c r="Z339" t="inlineStr">
        <is>
          <t>C</t>
        </is>
      </c>
      <c r="AC339" t="inlineStr">
        <is>
          <t>No</t>
        </is>
      </c>
      <c r="AD339" t="inlineStr">
        <is>
          <t>Tenant break on 6 months notice.</t>
        </is>
      </c>
      <c r="AI339" t="inlineStr">
        <is>
          <t>Let</t>
        </is>
      </c>
    </row>
    <row r="340">
      <c r="A340" t="inlineStr">
        <is>
          <t xml:space="preserve">  Office</t>
        </is>
      </c>
      <c r="B340" t="inlineStr">
        <is>
          <t>SH</t>
        </is>
      </c>
      <c r="C340" t="inlineStr">
        <is>
          <t>MEL</t>
        </is>
      </c>
      <c r="D340" t="n">
        <v>550550</v>
      </c>
      <c r="E340" t="inlineStr">
        <is>
          <t>47,48 &amp; 50 Margaret Street</t>
        </is>
      </c>
      <c r="F340" t="inlineStr">
        <is>
          <t xml:space="preserve">Second Floor (West) </t>
        </is>
      </c>
      <c r="G340" t="inlineStr">
        <is>
          <t>Office</t>
        </is>
      </c>
      <c r="H340" t="n">
        <v>395</v>
      </c>
      <c r="I340">
        <f>I240</f>
        <v/>
      </c>
      <c r="J340" t="n">
        <v>500</v>
      </c>
      <c r="K340" t="inlineStr">
        <is>
          <t>Gnosco Ltd &amp; Fortis Block Management Ltd</t>
        </is>
      </c>
      <c r="L340" s="869" t="n">
        <v>45450</v>
      </c>
      <c r="M340" s="869" t="n">
        <v>47275</v>
      </c>
      <c r="P340" s="869" t="n">
        <v>46574</v>
      </c>
      <c r="Q340" t="n">
        <v>21850</v>
      </c>
      <c r="R340">
        <f>R240</f>
        <v/>
      </c>
      <c r="T340" t="n">
        <v>18900</v>
      </c>
      <c r="U340">
        <f>U240</f>
        <v/>
      </c>
      <c r="V340" t="n">
        <v>21850</v>
      </c>
      <c r="W340">
        <f>W240</f>
        <v/>
      </c>
      <c r="X340">
        <f>W240/I240</f>
        <v/>
      </c>
      <c r="Y340">
        <f>SUM(W240-U240)/U240</f>
        <v/>
      </c>
      <c r="Z340" t="inlineStr">
        <is>
          <t>C</t>
        </is>
      </c>
      <c r="AC340" t="inlineStr">
        <is>
          <t>No</t>
        </is>
      </c>
      <c r="AD340" t="inlineStr">
        <is>
          <t>Tenant break on 6 months notice. One mnth rent free from 07/06/27 if break not exercised.</t>
        </is>
      </c>
      <c r="AI340" t="inlineStr">
        <is>
          <t>Let</t>
        </is>
      </c>
    </row>
    <row r="341">
      <c r="A341" t="inlineStr">
        <is>
          <t xml:space="preserve">  Office</t>
        </is>
      </c>
      <c r="B341" t="inlineStr">
        <is>
          <t>SH</t>
        </is>
      </c>
      <c r="C341" t="inlineStr">
        <is>
          <t>MEL</t>
        </is>
      </c>
      <c r="D341" t="n">
        <v>550550</v>
      </c>
      <c r="E341" t="inlineStr">
        <is>
          <t>47,48 &amp; 50 Margaret Street</t>
        </is>
      </c>
      <c r="F341" t="inlineStr">
        <is>
          <t>Second Floor (East)</t>
        </is>
      </c>
      <c r="G341" t="inlineStr">
        <is>
          <t>Office</t>
        </is>
      </c>
      <c r="H341" t="n">
        <v>2610</v>
      </c>
      <c r="I341">
        <f>I241</f>
        <v/>
      </c>
      <c r="J341" t="n">
        <v>2500</v>
      </c>
      <c r="K341" t="inlineStr">
        <is>
          <t>Vacant</t>
        </is>
      </c>
      <c r="N341" s="869" t="n">
        <v>43783</v>
      </c>
      <c r="Q341" t="n">
        <v>0</v>
      </c>
      <c r="R341">
        <f>R241</f>
        <v/>
      </c>
      <c r="T341" t="n">
        <v>182500</v>
      </c>
      <c r="U341">
        <f>U241</f>
        <v/>
      </c>
      <c r="V341" t="n">
        <v>169700</v>
      </c>
      <c r="W341">
        <f>W241</f>
        <v/>
      </c>
      <c r="X341">
        <f>W241/I241</f>
        <v/>
      </c>
      <c r="Y341">
        <f>SUM(W241-U241)/U241</f>
        <v/>
      </c>
      <c r="Z341" t="inlineStr">
        <is>
          <t>C</t>
        </is>
      </c>
      <c r="AC341" t="inlineStr">
        <is>
          <t>No</t>
        </is>
      </c>
      <c r="AD341" t="inlineStr">
        <is>
          <t>Under offer</t>
        </is>
      </c>
      <c r="AE341" t="n">
        <v>72.5</v>
      </c>
      <c r="AF341" t="n">
        <v>3</v>
      </c>
      <c r="AG341" t="n">
        <v>6</v>
      </c>
      <c r="AI341" t="inlineStr">
        <is>
          <t>Void</t>
        </is>
      </c>
    </row>
    <row r="342">
      <c r="A342" t="inlineStr">
        <is>
          <t xml:space="preserve">  Office</t>
        </is>
      </c>
      <c r="B342" t="inlineStr">
        <is>
          <t>SH</t>
        </is>
      </c>
      <c r="C342" t="inlineStr">
        <is>
          <t>MEL</t>
        </is>
      </c>
      <c r="D342" t="n">
        <v>550550</v>
      </c>
      <c r="E342" t="inlineStr">
        <is>
          <t>47,48 &amp; 50 Margaret Street</t>
        </is>
      </c>
      <c r="F342" t="inlineStr">
        <is>
          <t>Third Floor (East)</t>
        </is>
      </c>
      <c r="G342" t="inlineStr">
        <is>
          <t>Office</t>
        </is>
      </c>
      <c r="H342" t="n">
        <v>2508</v>
      </c>
      <c r="I342">
        <f>I242</f>
        <v/>
      </c>
      <c r="J342" t="n">
        <v>2500</v>
      </c>
      <c r="K342" t="inlineStr">
        <is>
          <t>Vacant</t>
        </is>
      </c>
      <c r="N342" s="869" t="n">
        <v>45504</v>
      </c>
      <c r="Q342" t="n">
        <v>0</v>
      </c>
      <c r="R342">
        <f>R242</f>
        <v/>
      </c>
      <c r="T342" t="n">
        <v>138800</v>
      </c>
      <c r="U342">
        <f>U242</f>
        <v/>
      </c>
      <c r="V342" t="n">
        <v>141700</v>
      </c>
      <c r="W342">
        <f>W242</f>
        <v/>
      </c>
      <c r="X342">
        <f>W242/I242</f>
        <v/>
      </c>
      <c r="Y342">
        <f>SUM(W242-U242)/U242</f>
        <v/>
      </c>
      <c r="Z342" t="inlineStr">
        <is>
          <t>C</t>
        </is>
      </c>
      <c r="AC342" t="inlineStr">
        <is>
          <t>No</t>
        </is>
      </c>
      <c r="AD342" t="inlineStr">
        <is>
          <t>To be refurbished.</t>
        </is>
      </c>
      <c r="AE342" t="n">
        <v>72.5</v>
      </c>
      <c r="AF342" t="n">
        <v>3</v>
      </c>
      <c r="AG342" t="n">
        <v>7</v>
      </c>
      <c r="AH342" t="inlineStr">
        <is>
          <t>LDG</t>
        </is>
      </c>
      <c r="AI342" t="inlineStr">
        <is>
          <t>Void</t>
        </is>
      </c>
    </row>
    <row r="343">
      <c r="A343" t="inlineStr">
        <is>
          <t xml:space="preserve">  Office</t>
        </is>
      </c>
      <c r="B343" t="inlineStr">
        <is>
          <t>SH</t>
        </is>
      </c>
      <c r="C343" t="inlineStr">
        <is>
          <t>MEL</t>
        </is>
      </c>
      <c r="D343" t="n">
        <v>550550</v>
      </c>
      <c r="E343" t="inlineStr">
        <is>
          <t>47,48 &amp; 50 Margaret Street</t>
        </is>
      </c>
      <c r="F343" t="inlineStr">
        <is>
          <t>Third Floor (West)</t>
        </is>
      </c>
      <c r="G343" t="inlineStr">
        <is>
          <t>Office</t>
        </is>
      </c>
      <c r="H343" t="n">
        <v>389</v>
      </c>
      <c r="I343">
        <f>I243</f>
        <v/>
      </c>
      <c r="J343" t="n">
        <v>500</v>
      </c>
      <c r="K343" t="inlineStr">
        <is>
          <t>Vacant</t>
        </is>
      </c>
      <c r="N343" s="869" t="n">
        <v>45635</v>
      </c>
      <c r="Q343" t="n">
        <v>0</v>
      </c>
      <c r="R343">
        <f>R243</f>
        <v/>
      </c>
      <c r="T343" t="n">
        <v>19500</v>
      </c>
      <c r="U343">
        <f>U243</f>
        <v/>
      </c>
      <c r="V343" t="n">
        <v>19500</v>
      </c>
      <c r="W343">
        <f>W243</f>
        <v/>
      </c>
      <c r="X343">
        <f>W243/I243</f>
        <v/>
      </c>
      <c r="Y343">
        <f>SUM(W243-U243)/U243</f>
        <v/>
      </c>
      <c r="Z343" t="inlineStr">
        <is>
          <t>C</t>
        </is>
      </c>
      <c r="AC343" t="inlineStr">
        <is>
          <t>No</t>
        </is>
      </c>
      <c r="AD343" t="inlineStr">
        <is>
          <t>LEM marketing.</t>
        </is>
      </c>
      <c r="AI343" t="inlineStr">
        <is>
          <t>Void</t>
        </is>
      </c>
    </row>
    <row r="344">
      <c r="A344" t="inlineStr">
        <is>
          <t xml:space="preserve">  Office</t>
        </is>
      </c>
      <c r="B344" t="inlineStr">
        <is>
          <t>SH</t>
        </is>
      </c>
      <c r="C344" t="inlineStr">
        <is>
          <t>MEL</t>
        </is>
      </c>
      <c r="D344" t="n">
        <v>550550</v>
      </c>
      <c r="E344" t="inlineStr">
        <is>
          <t>47,48 &amp; 50 Margaret Street</t>
        </is>
      </c>
      <c r="F344" t="inlineStr">
        <is>
          <t>Fourth Floor (West)</t>
        </is>
      </c>
      <c r="G344" t="inlineStr">
        <is>
          <t>Office</t>
        </is>
      </c>
      <c r="H344" t="n">
        <v>390</v>
      </c>
      <c r="I344">
        <f>I244</f>
        <v/>
      </c>
      <c r="J344" t="n">
        <v>500</v>
      </c>
      <c r="K344" t="inlineStr">
        <is>
          <t>Sen Yoga Limited</t>
        </is>
      </c>
      <c r="L344" s="869" t="n">
        <v>45680</v>
      </c>
      <c r="M344" s="869" t="n">
        <v>47505</v>
      </c>
      <c r="P344" s="869" t="n">
        <v>46774</v>
      </c>
      <c r="Q344" t="n">
        <v>21060</v>
      </c>
      <c r="R344">
        <f>R244</f>
        <v/>
      </c>
      <c r="T344" t="n">
        <v>0</v>
      </c>
      <c r="U344">
        <f>U244</f>
        <v/>
      </c>
      <c r="V344" t="n">
        <v>19500</v>
      </c>
      <c r="W344">
        <f>W244</f>
        <v/>
      </c>
      <c r="X344">
        <f>W244/I244</f>
        <v/>
      </c>
      <c r="Z344" t="inlineStr">
        <is>
          <t>C</t>
        </is>
      </c>
      <c r="AC344" t="inlineStr">
        <is>
          <t>No</t>
        </is>
      </c>
      <c r="AD344" t="inlineStr">
        <is>
          <t>Tenant break on 6 months notice.</t>
        </is>
      </c>
      <c r="AI344" t="inlineStr">
        <is>
          <t>Let</t>
        </is>
      </c>
    </row>
    <row r="345">
      <c r="A345" t="inlineStr">
        <is>
          <t xml:space="preserve">  D1</t>
        </is>
      </c>
      <c r="B345" t="inlineStr">
        <is>
          <t>SH</t>
        </is>
      </c>
      <c r="C345" t="inlineStr">
        <is>
          <t>MEL</t>
        </is>
      </c>
      <c r="D345" t="n">
        <v>550550</v>
      </c>
      <c r="E345" t="inlineStr">
        <is>
          <t>47,48 &amp; 50 Margaret Street</t>
        </is>
      </c>
      <c r="F345" t="inlineStr">
        <is>
          <t>Fourth Floor (East)</t>
        </is>
      </c>
      <c r="G345" t="inlineStr">
        <is>
          <t>D1</t>
        </is>
      </c>
      <c r="H345" t="n">
        <v>691</v>
      </c>
      <c r="I345">
        <f>I245</f>
        <v/>
      </c>
      <c r="J345" t="n">
        <v>750</v>
      </c>
      <c r="K345" t="inlineStr">
        <is>
          <t>Vacant</t>
        </is>
      </c>
      <c r="N345" s="869" t="n">
        <v>45434</v>
      </c>
      <c r="Q345" t="n">
        <v>0</v>
      </c>
      <c r="R345">
        <f>R245</f>
        <v/>
      </c>
      <c r="T345" t="n">
        <v>42000</v>
      </c>
      <c r="U345">
        <f>U245</f>
        <v/>
      </c>
      <c r="V345" t="n">
        <v>41500</v>
      </c>
      <c r="W345">
        <f>W245</f>
        <v/>
      </c>
      <c r="X345">
        <f>W245/I245</f>
        <v/>
      </c>
      <c r="Y345">
        <f>SUM(W245-U245)/U245</f>
        <v/>
      </c>
      <c r="Z345" t="inlineStr">
        <is>
          <t>C</t>
        </is>
      </c>
      <c r="AC345" t="inlineStr">
        <is>
          <t>No</t>
        </is>
      </c>
      <c r="AD345" t="inlineStr">
        <is>
          <t>Under offer</t>
        </is>
      </c>
      <c r="AE345" t="n">
        <v>62.5</v>
      </c>
      <c r="AF345" t="n">
        <v>1</v>
      </c>
      <c r="AG345" t="n">
        <v>5</v>
      </c>
      <c r="AI345" t="inlineStr">
        <is>
          <t>Void</t>
        </is>
      </c>
    </row>
    <row r="346"/>
    <row r="347">
      <c r="A347" s="868" t="inlineStr">
        <is>
          <t>51-53 Margaret Street</t>
        </is>
      </c>
    </row>
    <row r="348">
      <c r="A348" t="inlineStr">
        <is>
          <t xml:space="preserve">  Storage</t>
        </is>
      </c>
      <c r="B348" t="inlineStr">
        <is>
          <t>SH</t>
        </is>
      </c>
      <c r="C348" t="inlineStr">
        <is>
          <t>MEL</t>
        </is>
      </c>
      <c r="D348" t="n">
        <v>550510</v>
      </c>
      <c r="E348" t="inlineStr">
        <is>
          <t>51-53 Margaret Street</t>
        </is>
      </c>
      <c r="F348" t="inlineStr">
        <is>
          <t>Basement Vault</t>
        </is>
      </c>
      <c r="G348" t="inlineStr">
        <is>
          <t>Storage</t>
        </is>
      </c>
      <c r="H348" t="n">
        <v>120</v>
      </c>
      <c r="I348">
        <f>I246</f>
        <v/>
      </c>
      <c r="J348" t="n">
        <v>250</v>
      </c>
      <c r="K348" t="inlineStr">
        <is>
          <t>Kiss The Hippo Fritzrovia Ltd.</t>
        </is>
      </c>
      <c r="L348" s="869" t="n">
        <v>43881</v>
      </c>
      <c r="M348" s="869" t="n">
        <v>47240</v>
      </c>
      <c r="Q348" t="n">
        <v>0</v>
      </c>
      <c r="R348">
        <f>R246</f>
        <v/>
      </c>
      <c r="T348" t="n">
        <v>0</v>
      </c>
      <c r="U348">
        <f>U246</f>
        <v/>
      </c>
      <c r="V348" t="n">
        <v>0</v>
      </c>
      <c r="W348">
        <f>W246</f>
        <v/>
      </c>
      <c r="X348">
        <f>W246/I246</f>
        <v/>
      </c>
      <c r="AA348" t="inlineStr">
        <is>
          <t>*</t>
        </is>
      </c>
      <c r="AC348" t="inlineStr">
        <is>
          <t>No</t>
        </is>
      </c>
      <c r="AD348" t="inlineStr">
        <is>
          <t>The rent is a peppercorn.</t>
        </is>
      </c>
      <c r="AI348" t="inlineStr">
        <is>
          <t>Let</t>
        </is>
      </c>
    </row>
    <row r="349">
      <c r="A349" t="inlineStr">
        <is>
          <t xml:space="preserve">  Shop</t>
        </is>
      </c>
      <c r="B349" t="inlineStr">
        <is>
          <t>SH</t>
        </is>
      </c>
      <c r="C349" t="inlineStr">
        <is>
          <t>MEL</t>
        </is>
      </c>
      <c r="D349" t="n">
        <v>550510</v>
      </c>
      <c r="E349" t="inlineStr">
        <is>
          <t>51-53 Margaret Street</t>
        </is>
      </c>
      <c r="F349" t="inlineStr">
        <is>
          <t>Basement &amp; Ground Floor (West)</t>
        </is>
      </c>
      <c r="G349" t="inlineStr">
        <is>
          <t>Shop</t>
        </is>
      </c>
      <c r="H349" t="n">
        <v>1032</v>
      </c>
      <c r="I349">
        <f>I247</f>
        <v/>
      </c>
      <c r="J349" t="n">
        <v>1000</v>
      </c>
      <c r="K349" t="inlineStr">
        <is>
          <t>Kiss The Hippo Fritzrovia Ltd.</t>
        </is>
      </c>
      <c r="L349" s="869" t="n">
        <v>43588</v>
      </c>
      <c r="M349" s="869" t="n">
        <v>47240</v>
      </c>
      <c r="Q349" t="n">
        <v>70000</v>
      </c>
      <c r="R349">
        <f>R247</f>
        <v/>
      </c>
      <c r="T349" t="n">
        <v>57500</v>
      </c>
      <c r="U349">
        <f>U247</f>
        <v/>
      </c>
      <c r="V349" t="n">
        <v>57500</v>
      </c>
      <c r="W349">
        <f>W247</f>
        <v/>
      </c>
      <c r="X349">
        <f>W247/I247</f>
        <v/>
      </c>
      <c r="Y349">
        <f>SUM(W247-U247)/U247</f>
        <v/>
      </c>
      <c r="Z349" t="inlineStr">
        <is>
          <t>A</t>
        </is>
      </c>
      <c r="AC349" t="inlineStr">
        <is>
          <t>No</t>
        </is>
      </c>
      <c r="AD349" t="inlineStr">
        <is>
          <t>Rent review completed wef 03/05/24. Rent increase from £67,500 to £70,000</t>
        </is>
      </c>
      <c r="AI349" t="inlineStr">
        <is>
          <t>Let</t>
        </is>
      </c>
    </row>
    <row r="350">
      <c r="A350" t="inlineStr">
        <is>
          <t xml:space="preserve">  Showroom</t>
        </is>
      </c>
      <c r="B350" t="inlineStr">
        <is>
          <t>SH</t>
        </is>
      </c>
      <c r="C350" t="inlineStr">
        <is>
          <t>MEL</t>
        </is>
      </c>
      <c r="D350" t="n">
        <v>550510</v>
      </c>
      <c r="E350" t="inlineStr">
        <is>
          <t>51-53 Margaret Street</t>
        </is>
      </c>
      <c r="F350" t="inlineStr">
        <is>
          <t>Basement (East)</t>
        </is>
      </c>
      <c r="G350" t="inlineStr">
        <is>
          <t>Showroom</t>
        </is>
      </c>
      <c r="H350" t="n">
        <v>1028</v>
      </c>
      <c r="I350">
        <f>I248</f>
        <v/>
      </c>
      <c r="J350" t="n">
        <v>1000</v>
      </c>
      <c r="K350" t="inlineStr">
        <is>
          <t>Shtager &amp; Schch Limited</t>
        </is>
      </c>
      <c r="L350" s="869" t="n">
        <v>44966</v>
      </c>
      <c r="M350" s="869" t="n">
        <v>46791</v>
      </c>
      <c r="Q350" t="n">
        <v>35000</v>
      </c>
      <c r="R350">
        <f>R248</f>
        <v/>
      </c>
      <c r="T350" t="n">
        <v>36000</v>
      </c>
      <c r="U350">
        <f>U248</f>
        <v/>
      </c>
      <c r="V350" t="n">
        <v>35000</v>
      </c>
      <c r="W350">
        <f>W248</f>
        <v/>
      </c>
      <c r="X350">
        <f>W248/I248</f>
        <v/>
      </c>
      <c r="Y350">
        <f>SUM(W248-U248)/U248</f>
        <v/>
      </c>
      <c r="Z350" t="inlineStr">
        <is>
          <t>D</t>
        </is>
      </c>
      <c r="AC350" t="inlineStr">
        <is>
          <t>No</t>
        </is>
      </c>
      <c r="AD350" t="inlineStr">
        <is>
          <t>Struggling tenant. Unit Under offer.</t>
        </is>
      </c>
      <c r="AG350" t="n">
        <v>2</v>
      </c>
      <c r="AH350" t="inlineStr">
        <is>
          <t>LEM</t>
        </is>
      </c>
      <c r="AI350" t="inlineStr">
        <is>
          <t>Let</t>
        </is>
      </c>
    </row>
    <row r="351">
      <c r="A351" t="inlineStr">
        <is>
          <t xml:space="preserve">  Storage</t>
        </is>
      </c>
      <c r="B351" t="inlineStr">
        <is>
          <t>SH</t>
        </is>
      </c>
      <c r="C351" t="inlineStr">
        <is>
          <t>MEL</t>
        </is>
      </c>
      <c r="D351" t="n">
        <v>550510</v>
      </c>
      <c r="E351" t="inlineStr">
        <is>
          <t>51-53 Margaret Street</t>
        </is>
      </c>
      <c r="F351" t="inlineStr">
        <is>
          <t>Basement Vault</t>
        </is>
      </c>
      <c r="G351" t="inlineStr">
        <is>
          <t>Storage</t>
        </is>
      </c>
      <c r="H351" t="n">
        <v>90</v>
      </c>
      <c r="I351">
        <f>I249</f>
        <v/>
      </c>
      <c r="K351" t="inlineStr">
        <is>
          <t>Vacant / Landlord</t>
        </is>
      </c>
      <c r="N351" s="869" t="n">
        <v>44681</v>
      </c>
      <c r="Q351" t="n">
        <v>0</v>
      </c>
      <c r="R351">
        <f>R249</f>
        <v/>
      </c>
      <c r="T351" t="n">
        <v>5665</v>
      </c>
      <c r="U351">
        <f>U249</f>
        <v/>
      </c>
      <c r="V351" t="n">
        <v>900</v>
      </c>
      <c r="W351">
        <f>W249</f>
        <v/>
      </c>
      <c r="X351">
        <f>W249/I249</f>
        <v/>
      </c>
      <c r="Y351">
        <f>SUM(W249-U249)/U249</f>
        <v/>
      </c>
      <c r="AC351" t="inlineStr">
        <is>
          <t>No</t>
        </is>
      </c>
      <c r="AI351" t="inlineStr">
        <is>
          <t>Void</t>
        </is>
      </c>
    </row>
    <row r="352">
      <c r="A352" t="inlineStr">
        <is>
          <t xml:space="preserve">  Shop</t>
        </is>
      </c>
      <c r="B352" t="inlineStr">
        <is>
          <t>SH</t>
        </is>
      </c>
      <c r="C352" t="inlineStr">
        <is>
          <t>MEL</t>
        </is>
      </c>
      <c r="D352" t="n">
        <v>550510</v>
      </c>
      <c r="E352" t="inlineStr">
        <is>
          <t>51-53 Margaret Street</t>
        </is>
      </c>
      <c r="F352" t="inlineStr">
        <is>
          <t>Ground Floor (East)</t>
        </is>
      </c>
      <c r="G352" t="inlineStr">
        <is>
          <t>Shop</t>
        </is>
      </c>
      <c r="H352" t="n">
        <v>894</v>
      </c>
      <c r="I352">
        <f>I250</f>
        <v/>
      </c>
      <c r="J352" t="n">
        <v>1000</v>
      </c>
      <c r="K352" t="inlineStr">
        <is>
          <t>Phyto Nourishment Limited</t>
        </is>
      </c>
      <c r="L352" s="869" t="n">
        <v>45413</v>
      </c>
      <c r="M352" s="869" t="n">
        <v>49064</v>
      </c>
      <c r="O352" s="869" t="n">
        <v>47239</v>
      </c>
      <c r="P352" s="869" t="n">
        <v>46507</v>
      </c>
      <c r="Q352" t="n">
        <v>100000</v>
      </c>
      <c r="R352">
        <f>R250</f>
        <v/>
      </c>
      <c r="T352" t="n">
        <v>90000</v>
      </c>
      <c r="U352">
        <f>U250</f>
        <v/>
      </c>
      <c r="V352" t="n">
        <v>100000</v>
      </c>
      <c r="W352">
        <f>W250</f>
        <v/>
      </c>
      <c r="X352">
        <f>W250/I250</f>
        <v/>
      </c>
      <c r="Y352">
        <f>SUM(W250-U250)/U250</f>
        <v/>
      </c>
      <c r="Z352" t="inlineStr">
        <is>
          <t>D</t>
        </is>
      </c>
      <c r="AC352" t="inlineStr">
        <is>
          <t>No</t>
        </is>
      </c>
      <c r="AD352" t="inlineStr">
        <is>
          <t>Tenant break on 6 months notice with a penalty clause if exercised. Tenant in Administration. Under offer</t>
        </is>
      </c>
      <c r="AI352" t="inlineStr">
        <is>
          <t>Let</t>
        </is>
      </c>
    </row>
    <row r="353">
      <c r="A353" t="inlineStr">
        <is>
          <t xml:space="preserve">  Office</t>
        </is>
      </c>
      <c r="B353" t="inlineStr">
        <is>
          <t>SH</t>
        </is>
      </c>
      <c r="C353" t="inlineStr">
        <is>
          <t>MEL</t>
        </is>
      </c>
      <c r="D353" t="n">
        <v>550510</v>
      </c>
      <c r="E353" t="inlineStr">
        <is>
          <t>51-53 Margaret Street</t>
        </is>
      </c>
      <c r="F353" t="inlineStr">
        <is>
          <t>First Floor (East)</t>
        </is>
      </c>
      <c r="G353" t="inlineStr">
        <is>
          <t>Office</t>
        </is>
      </c>
      <c r="H353" t="n">
        <v>635</v>
      </c>
      <c r="I353">
        <f>I251</f>
        <v/>
      </c>
      <c r="J353" t="n">
        <v>750</v>
      </c>
      <c r="K353" t="inlineStr">
        <is>
          <t>More &amp; More Studio Limited</t>
        </is>
      </c>
      <c r="L353" s="869" t="n">
        <v>45431</v>
      </c>
      <c r="M353" s="869" t="n">
        <v>46525</v>
      </c>
      <c r="Q353" t="n">
        <v>36500</v>
      </c>
      <c r="R353">
        <f>R251</f>
        <v/>
      </c>
      <c r="T353" t="n">
        <v>36500</v>
      </c>
      <c r="U353">
        <f>U251</f>
        <v/>
      </c>
      <c r="V353" t="n">
        <v>36500</v>
      </c>
      <c r="W353">
        <f>W251</f>
        <v/>
      </c>
      <c r="X353">
        <f>W251/I251</f>
        <v/>
      </c>
      <c r="Y353">
        <f>SUM(W251-U251)/U251</f>
        <v/>
      </c>
      <c r="Z353" t="inlineStr">
        <is>
          <t>E</t>
        </is>
      </c>
      <c r="AC353" t="inlineStr">
        <is>
          <t>No</t>
        </is>
      </c>
      <c r="AD353" t="inlineStr">
        <is>
          <t>Tenant break passed.</t>
        </is>
      </c>
      <c r="AI353" t="inlineStr">
        <is>
          <t>Let</t>
        </is>
      </c>
    </row>
    <row r="354">
      <c r="A354" t="inlineStr">
        <is>
          <t xml:space="preserve">  Office</t>
        </is>
      </c>
      <c r="B354" t="inlineStr">
        <is>
          <t>SH</t>
        </is>
      </c>
      <c r="C354" t="inlineStr">
        <is>
          <t>MEL</t>
        </is>
      </c>
      <c r="D354" t="n">
        <v>550510</v>
      </c>
      <c r="E354" t="inlineStr">
        <is>
          <t>51-53 Margaret Street</t>
        </is>
      </c>
      <c r="F354" t="inlineStr">
        <is>
          <t>First Floor (West)</t>
        </is>
      </c>
      <c r="G354" t="inlineStr">
        <is>
          <t>Office</t>
        </is>
      </c>
      <c r="H354" t="n">
        <v>450</v>
      </c>
      <c r="I354">
        <f>I252</f>
        <v/>
      </c>
      <c r="J354" t="n">
        <v>500</v>
      </c>
      <c r="K354" t="inlineStr">
        <is>
          <t>Vacant</t>
        </is>
      </c>
      <c r="N354" s="869" t="n">
        <v>42943</v>
      </c>
      <c r="Q354" t="n">
        <v>0</v>
      </c>
      <c r="R354">
        <f>R252</f>
        <v/>
      </c>
      <c r="T354" t="n">
        <v>23600</v>
      </c>
      <c r="U354">
        <f>U252</f>
        <v/>
      </c>
      <c r="V354" t="n">
        <v>24800</v>
      </c>
      <c r="W354">
        <f>W252</f>
        <v/>
      </c>
      <c r="X354">
        <f>W252/I252</f>
        <v/>
      </c>
      <c r="Y354">
        <f>SUM(W252-U252)/U252</f>
        <v/>
      </c>
      <c r="Z354" t="inlineStr">
        <is>
          <t>B</t>
        </is>
      </c>
      <c r="AC354" t="inlineStr">
        <is>
          <t>No</t>
        </is>
      </c>
      <c r="AD354" t="inlineStr">
        <is>
          <t>To be refurbished.</t>
        </is>
      </c>
      <c r="AF354" t="n">
        <v>1</v>
      </c>
      <c r="AG354" t="n">
        <v>3</v>
      </c>
      <c r="AH354" t="inlineStr">
        <is>
          <t>LEM / RIB</t>
        </is>
      </c>
      <c r="AI354" t="inlineStr">
        <is>
          <t>Void</t>
        </is>
      </c>
    </row>
    <row r="355">
      <c r="A355" t="inlineStr">
        <is>
          <t xml:space="preserve">  Office</t>
        </is>
      </c>
      <c r="B355" t="inlineStr">
        <is>
          <t>SH</t>
        </is>
      </c>
      <c r="C355" t="inlineStr">
        <is>
          <t>MEL</t>
        </is>
      </c>
      <c r="D355" t="n">
        <v>550510</v>
      </c>
      <c r="E355" t="inlineStr">
        <is>
          <t>51-53 Margaret Street</t>
        </is>
      </c>
      <c r="F355" t="inlineStr">
        <is>
          <t>Second Floor (East)</t>
        </is>
      </c>
      <c r="G355" t="inlineStr">
        <is>
          <t>Office</t>
        </is>
      </c>
      <c r="H355" t="n">
        <v>615</v>
      </c>
      <c r="I355">
        <f>I253</f>
        <v/>
      </c>
      <c r="J355" t="n">
        <v>500</v>
      </c>
      <c r="K355" t="inlineStr">
        <is>
          <t>G. McGonagle &amp; I. Robertson</t>
        </is>
      </c>
      <c r="L355" s="869" t="n">
        <v>45092</v>
      </c>
      <c r="M355" s="869" t="n">
        <v>46918</v>
      </c>
      <c r="P355" s="869" t="n">
        <v>46187</v>
      </c>
      <c r="Q355" t="n">
        <v>35363</v>
      </c>
      <c r="R355">
        <f>R253</f>
        <v/>
      </c>
      <c r="T355" t="n">
        <v>32300</v>
      </c>
      <c r="U355">
        <f>U253</f>
        <v/>
      </c>
      <c r="V355" t="n">
        <v>35363</v>
      </c>
      <c r="W355">
        <f>W253</f>
        <v/>
      </c>
      <c r="X355">
        <f>W253/I253</f>
        <v/>
      </c>
      <c r="Y355">
        <f>SUM(W253-U253)/U253</f>
        <v/>
      </c>
      <c r="AC355" t="inlineStr">
        <is>
          <t>No</t>
        </is>
      </c>
      <c r="AD355" t="inlineStr">
        <is>
          <t>Tenant break on 6 months notice. 2 months rent free if not exercised.</t>
        </is>
      </c>
      <c r="AI355" t="inlineStr">
        <is>
          <t>Let</t>
        </is>
      </c>
    </row>
    <row r="356">
      <c r="A356" t="inlineStr">
        <is>
          <t xml:space="preserve">  Office</t>
        </is>
      </c>
      <c r="B356" t="inlineStr">
        <is>
          <t>SH</t>
        </is>
      </c>
      <c r="C356" t="inlineStr">
        <is>
          <t>MEL</t>
        </is>
      </c>
      <c r="D356" t="n">
        <v>550510</v>
      </c>
      <c r="E356" t="inlineStr">
        <is>
          <t>51-53 Margaret Street</t>
        </is>
      </c>
      <c r="F356" t="inlineStr">
        <is>
          <t>Second Floor (West)</t>
        </is>
      </c>
      <c r="G356" t="inlineStr">
        <is>
          <t>Office</t>
        </is>
      </c>
      <c r="H356" t="n">
        <v>500</v>
      </c>
      <c r="I356">
        <f>I254</f>
        <v/>
      </c>
      <c r="J356" t="n">
        <v>500</v>
      </c>
      <c r="K356" t="inlineStr">
        <is>
          <t>Vacant</t>
        </is>
      </c>
      <c r="N356" s="869" t="n">
        <v>43820</v>
      </c>
      <c r="Q356" t="n">
        <v>0</v>
      </c>
      <c r="R356">
        <f>R254</f>
        <v/>
      </c>
      <c r="T356" t="n">
        <v>26300</v>
      </c>
      <c r="U356">
        <f>U254</f>
        <v/>
      </c>
      <c r="V356" t="n">
        <v>27500</v>
      </c>
      <c r="W356">
        <f>W254</f>
        <v/>
      </c>
      <c r="X356">
        <f>W254/I254</f>
        <v/>
      </c>
      <c r="Y356">
        <f>SUM(W254-U254)/U254</f>
        <v/>
      </c>
      <c r="Z356" t="inlineStr">
        <is>
          <t>E</t>
        </is>
      </c>
      <c r="AC356" t="inlineStr">
        <is>
          <t>No</t>
        </is>
      </c>
      <c r="AD356" t="inlineStr">
        <is>
          <t>LEM marketing.</t>
        </is>
      </c>
      <c r="AE356" t="n">
        <v>58.5</v>
      </c>
      <c r="AF356" t="n">
        <v>1</v>
      </c>
      <c r="AG356" t="n">
        <v>4</v>
      </c>
      <c r="AH356" t="inlineStr">
        <is>
          <t>LEM / RIB</t>
        </is>
      </c>
      <c r="AI356" t="inlineStr">
        <is>
          <t>Void</t>
        </is>
      </c>
    </row>
    <row r="357">
      <c r="A357" t="inlineStr">
        <is>
          <t xml:space="preserve">  Office</t>
        </is>
      </c>
      <c r="B357" t="inlineStr">
        <is>
          <t>SH</t>
        </is>
      </c>
      <c r="C357" t="inlineStr">
        <is>
          <t>MEL</t>
        </is>
      </c>
      <c r="D357" t="n">
        <v>550510</v>
      </c>
      <c r="E357" t="inlineStr">
        <is>
          <t>51-53 Margaret Street</t>
        </is>
      </c>
      <c r="F357" t="inlineStr">
        <is>
          <t>Third Floor (West)</t>
        </is>
      </c>
      <c r="G357" t="inlineStr">
        <is>
          <t>Office</t>
        </is>
      </c>
      <c r="H357" t="n">
        <v>504</v>
      </c>
      <c r="I357">
        <f>I255</f>
        <v/>
      </c>
      <c r="J357" t="n">
        <v>500</v>
      </c>
      <c r="K357" t="inlineStr">
        <is>
          <t>Reishi Clinic Ltd</t>
        </is>
      </c>
      <c r="L357" s="869" t="n">
        <v>45601</v>
      </c>
      <c r="M357" s="869" t="n">
        <v>47426</v>
      </c>
      <c r="P357" s="869" t="n">
        <v>46330</v>
      </c>
      <c r="Q357" t="n">
        <v>28050</v>
      </c>
      <c r="R357">
        <f>R255</f>
        <v/>
      </c>
      <c r="T357" t="n">
        <v>26500</v>
      </c>
      <c r="U357">
        <f>U255</f>
        <v/>
      </c>
      <c r="V357" t="n">
        <v>27700</v>
      </c>
      <c r="W357">
        <f>W255</f>
        <v/>
      </c>
      <c r="X357">
        <f>W255/I255</f>
        <v/>
      </c>
      <c r="Y357">
        <f>SUM(W255-U255)/U255</f>
        <v/>
      </c>
      <c r="Z357" t="inlineStr">
        <is>
          <t>E</t>
        </is>
      </c>
      <c r="AC357" t="inlineStr">
        <is>
          <t>No</t>
        </is>
      </c>
      <c r="AD357" t="inlineStr">
        <is>
          <t>Tenant break on 6 months notice.</t>
        </is>
      </c>
      <c r="AI357" t="inlineStr">
        <is>
          <t>Let</t>
        </is>
      </c>
    </row>
    <row r="358">
      <c r="A358" t="inlineStr">
        <is>
          <t xml:space="preserve">  Office</t>
        </is>
      </c>
      <c r="B358" t="inlineStr">
        <is>
          <t>SH</t>
        </is>
      </c>
      <c r="C358" t="inlineStr">
        <is>
          <t>MEL</t>
        </is>
      </c>
      <c r="D358" t="n">
        <v>550510</v>
      </c>
      <c r="E358" t="inlineStr">
        <is>
          <t>51-53 Margaret Street</t>
        </is>
      </c>
      <c r="F358" t="inlineStr">
        <is>
          <t>Third Floor (East)</t>
        </is>
      </c>
      <c r="G358" t="inlineStr">
        <is>
          <t>Office</t>
        </is>
      </c>
      <c r="H358" t="n">
        <v>591</v>
      </c>
      <c r="I358">
        <f>I256</f>
        <v/>
      </c>
      <c r="J358" t="n">
        <v>500</v>
      </c>
      <c r="K358" t="inlineStr">
        <is>
          <t>Vacant</t>
        </is>
      </c>
      <c r="N358" s="869" t="n">
        <v>44119</v>
      </c>
      <c r="Q358" t="n">
        <v>0</v>
      </c>
      <c r="R358">
        <f>R256</f>
        <v/>
      </c>
      <c r="T358" t="n">
        <v>31000</v>
      </c>
      <c r="U358">
        <f>U256</f>
        <v/>
      </c>
      <c r="V358" t="n">
        <v>32500</v>
      </c>
      <c r="W358">
        <f>W256</f>
        <v/>
      </c>
      <c r="X358">
        <f>W256/I256</f>
        <v/>
      </c>
      <c r="Y358">
        <f>SUM(W256-U256)/U256</f>
        <v/>
      </c>
      <c r="Z358" t="inlineStr">
        <is>
          <t>E</t>
        </is>
      </c>
      <c r="AC358" t="inlineStr">
        <is>
          <t>No</t>
        </is>
      </c>
      <c r="AD358" t="inlineStr">
        <is>
          <t>LEM marketing.</t>
        </is>
      </c>
      <c r="AE358" t="n">
        <v>58.5</v>
      </c>
      <c r="AF358" t="n">
        <v>2</v>
      </c>
      <c r="AG358" t="n">
        <v>2</v>
      </c>
      <c r="AH358" t="inlineStr">
        <is>
          <t>LEM/LDG</t>
        </is>
      </c>
      <c r="AI358" t="inlineStr">
        <is>
          <t>Void</t>
        </is>
      </c>
    </row>
    <row r="359">
      <c r="A359" t="inlineStr">
        <is>
          <t xml:space="preserve">  Office</t>
        </is>
      </c>
      <c r="B359" t="inlineStr">
        <is>
          <t>SH</t>
        </is>
      </c>
      <c r="C359" t="inlineStr">
        <is>
          <t>MEL</t>
        </is>
      </c>
      <c r="D359" t="n">
        <v>550510</v>
      </c>
      <c r="E359" t="inlineStr">
        <is>
          <t>51-53 Margaret Street</t>
        </is>
      </c>
      <c r="F359" t="inlineStr">
        <is>
          <t>Fourth Floor (West)</t>
        </is>
      </c>
      <c r="G359" t="inlineStr">
        <is>
          <t>Office</t>
        </is>
      </c>
      <c r="H359" t="n">
        <v>450</v>
      </c>
      <c r="I359">
        <f>I257</f>
        <v/>
      </c>
      <c r="J359" t="n">
        <v>500</v>
      </c>
      <c r="K359" t="inlineStr">
        <is>
          <t>Vacant</t>
        </is>
      </c>
      <c r="N359" s="869" t="n">
        <v>43389</v>
      </c>
      <c r="Q359" t="n">
        <v>0</v>
      </c>
      <c r="R359">
        <f>R257</f>
        <v/>
      </c>
      <c r="T359" t="n">
        <v>23600</v>
      </c>
      <c r="U359">
        <f>U257</f>
        <v/>
      </c>
      <c r="V359" t="n">
        <v>24800</v>
      </c>
      <c r="W359">
        <f>W257</f>
        <v/>
      </c>
      <c r="X359">
        <f>W257/I257</f>
        <v/>
      </c>
      <c r="Y359">
        <f>SUM(W257-U257)/U257</f>
        <v/>
      </c>
      <c r="Z359" t="inlineStr">
        <is>
          <t>E</t>
        </is>
      </c>
      <c r="AC359" t="inlineStr">
        <is>
          <t>No</t>
        </is>
      </c>
      <c r="AD359" t="inlineStr">
        <is>
          <t>LEM marketing.</t>
        </is>
      </c>
      <c r="AE359" t="n">
        <v>58.5</v>
      </c>
      <c r="AF359" t="n">
        <v>1</v>
      </c>
      <c r="AG359" t="n">
        <v>1</v>
      </c>
      <c r="AI359" t="inlineStr">
        <is>
          <t>Void</t>
        </is>
      </c>
    </row>
    <row r="360">
      <c r="A360" t="inlineStr">
        <is>
          <t xml:space="preserve">  Office</t>
        </is>
      </c>
      <c r="B360" t="inlineStr">
        <is>
          <t>SH</t>
        </is>
      </c>
      <c r="C360" t="inlineStr">
        <is>
          <t>MEL</t>
        </is>
      </c>
      <c r="D360" t="n">
        <v>550510</v>
      </c>
      <c r="E360" t="inlineStr">
        <is>
          <t>51-53 Margaret Street</t>
        </is>
      </c>
      <c r="F360" t="inlineStr">
        <is>
          <t>Fourth Floor (East)</t>
        </is>
      </c>
      <c r="G360" t="inlineStr">
        <is>
          <t>Office</t>
        </is>
      </c>
      <c r="H360" t="n">
        <v>582</v>
      </c>
      <c r="I360">
        <f>I258</f>
        <v/>
      </c>
      <c r="J360" t="n">
        <v>500</v>
      </c>
      <c r="K360" t="inlineStr">
        <is>
          <t>MDB Sarl</t>
        </is>
      </c>
      <c r="L360" s="869" t="n">
        <v>45614</v>
      </c>
      <c r="M360" s="869" t="n">
        <v>46343</v>
      </c>
      <c r="Q360" t="n">
        <v>42282</v>
      </c>
      <c r="R360">
        <f>R258</f>
        <v/>
      </c>
      <c r="T360" t="n">
        <v>34000</v>
      </c>
      <c r="U360">
        <f>U258</f>
        <v/>
      </c>
      <c r="V360" t="n">
        <v>34000</v>
      </c>
      <c r="W360">
        <f>W258</f>
        <v/>
      </c>
      <c r="X360">
        <f>W258/I258</f>
        <v/>
      </c>
      <c r="Y360">
        <f>SUM(W258-U258)/U258</f>
        <v/>
      </c>
      <c r="Z360" t="inlineStr">
        <is>
          <t>E</t>
        </is>
      </c>
      <c r="AC360" t="inlineStr">
        <is>
          <t>No</t>
        </is>
      </c>
      <c r="AD360" t="inlineStr">
        <is>
          <t>All inclusive Service charge &amp; Insurance.</t>
        </is>
      </c>
      <c r="AI360" t="inlineStr">
        <is>
          <t>Let</t>
        </is>
      </c>
    </row>
    <row r="361"/>
    <row r="362">
      <c r="A362" s="868" t="inlineStr">
        <is>
          <t>63-64 Margaret Street</t>
        </is>
      </c>
    </row>
    <row r="363">
      <c r="A363" t="inlineStr">
        <is>
          <t xml:space="preserve">  Showroom/ Educational</t>
        </is>
      </c>
      <c r="B363" t="inlineStr">
        <is>
          <t>CM</t>
        </is>
      </c>
      <c r="C363" t="inlineStr">
        <is>
          <t>MEL</t>
        </is>
      </c>
      <c r="D363" t="n">
        <v>550610</v>
      </c>
      <c r="E363" t="inlineStr">
        <is>
          <t>63-64 Margaret Street</t>
        </is>
      </c>
      <c r="F363" t="inlineStr">
        <is>
          <t>Ground Floor &amp; Basement (East)</t>
        </is>
      </c>
      <c r="G363" t="inlineStr">
        <is>
          <t>Showroom/ Educational</t>
        </is>
      </c>
      <c r="H363" t="n">
        <v>2047</v>
      </c>
      <c r="I363">
        <f>I259</f>
        <v/>
      </c>
      <c r="J363" t="n">
        <v>2000</v>
      </c>
      <c r="K363" t="inlineStr">
        <is>
          <t>Apollo Galleries Limited</t>
        </is>
      </c>
      <c r="L363" s="869" t="n">
        <v>45100</v>
      </c>
      <c r="M363" s="869" t="n">
        <v>48752</v>
      </c>
      <c r="O363" s="869" t="n">
        <v>46926</v>
      </c>
      <c r="P363" s="869" t="n">
        <v>46195</v>
      </c>
      <c r="Q363" t="n">
        <v>105000</v>
      </c>
      <c r="R363">
        <f>R259</f>
        <v/>
      </c>
      <c r="T363" t="n">
        <v>100000</v>
      </c>
      <c r="U363">
        <f>U259</f>
        <v/>
      </c>
      <c r="V363" t="n">
        <v>105000</v>
      </c>
      <c r="W363">
        <f>W259</f>
        <v/>
      </c>
      <c r="X363">
        <f>W259/I259</f>
        <v/>
      </c>
      <c r="Y363">
        <f>SUM(W259-U259)/U259</f>
        <v/>
      </c>
      <c r="Z363" t="inlineStr">
        <is>
          <t>E</t>
        </is>
      </c>
      <c r="AC363" t="inlineStr">
        <is>
          <t>No</t>
        </is>
      </c>
      <c r="AD363" t="inlineStr">
        <is>
          <t>Tenant break on 6 months notice.</t>
        </is>
      </c>
      <c r="AI363" t="inlineStr">
        <is>
          <t>Let</t>
        </is>
      </c>
    </row>
    <row r="364">
      <c r="A364" t="inlineStr">
        <is>
          <t xml:space="preserve">  Retail</t>
        </is>
      </c>
      <c r="B364" t="inlineStr">
        <is>
          <t>CM</t>
        </is>
      </c>
      <c r="C364" t="inlineStr">
        <is>
          <t>MEL</t>
        </is>
      </c>
      <c r="D364" t="n">
        <v>550610</v>
      </c>
      <c r="E364" t="inlineStr">
        <is>
          <t>63-64 Margaret Street</t>
        </is>
      </c>
      <c r="F364" t="inlineStr">
        <is>
          <t>Ground  &amp; Basement (West) &amp; Rear Block</t>
        </is>
      </c>
      <c r="G364" t="inlineStr">
        <is>
          <t>Retail</t>
        </is>
      </c>
      <c r="H364" t="n">
        <v>2185</v>
      </c>
      <c r="I364">
        <f>I260</f>
        <v/>
      </c>
      <c r="J364" t="n">
        <v>2000</v>
      </c>
      <c r="K364" t="inlineStr">
        <is>
          <t>Margaret Howell Ltd</t>
        </is>
      </c>
      <c r="L364" s="869" t="n">
        <v>42655</v>
      </c>
      <c r="M364" s="869" t="n">
        <v>46306</v>
      </c>
      <c r="Q364" t="n">
        <v>100000</v>
      </c>
      <c r="R364">
        <f>R260</f>
        <v/>
      </c>
      <c r="T364" t="n">
        <v>90000</v>
      </c>
      <c r="U364">
        <f>U260</f>
        <v/>
      </c>
      <c r="V364" t="n">
        <v>100000</v>
      </c>
      <c r="W364">
        <f>W260</f>
        <v/>
      </c>
      <c r="X364">
        <f>W260/I260</f>
        <v/>
      </c>
      <c r="Y364">
        <f>SUM(W260-U260)/U260</f>
        <v/>
      </c>
      <c r="Z364" t="inlineStr">
        <is>
          <t>C</t>
        </is>
      </c>
      <c r="AC364" t="inlineStr">
        <is>
          <t>No</t>
        </is>
      </c>
      <c r="AD364" t="inlineStr">
        <is>
          <t xml:space="preserve">Tenant break on 6 months notice and a Landlord Redevelopment Break @ 01/09/22 on 6 months notice. Break not exercised. </t>
        </is>
      </c>
      <c r="AI364" t="inlineStr">
        <is>
          <t>Let</t>
        </is>
      </c>
    </row>
    <row r="365">
      <c r="A365" t="inlineStr">
        <is>
          <t xml:space="preserve">  Office</t>
        </is>
      </c>
      <c r="B365" t="inlineStr">
        <is>
          <t>CM</t>
        </is>
      </c>
      <c r="C365" t="inlineStr">
        <is>
          <t>MEL</t>
        </is>
      </c>
      <c r="D365" t="n">
        <v>550610</v>
      </c>
      <c r="E365" t="inlineStr">
        <is>
          <t>63-64 Margaret Street</t>
        </is>
      </c>
      <c r="F365" t="inlineStr">
        <is>
          <t>First Floor (East)</t>
        </is>
      </c>
      <c r="G365" t="inlineStr">
        <is>
          <t>Office</t>
        </is>
      </c>
      <c r="H365" t="n">
        <v>727</v>
      </c>
      <c r="I365">
        <f>I261</f>
        <v/>
      </c>
      <c r="J365" t="n">
        <v>250</v>
      </c>
      <c r="K365" t="inlineStr">
        <is>
          <t>Kipas London Ltd</t>
        </is>
      </c>
      <c r="L365" s="869" t="n">
        <v>44703</v>
      </c>
      <c r="M365" s="869" t="n">
        <v>46528</v>
      </c>
      <c r="Q365" t="n">
        <v>42350</v>
      </c>
      <c r="R365">
        <f>R261</f>
        <v/>
      </c>
      <c r="T365" t="n">
        <v>40000</v>
      </c>
      <c r="U365">
        <f>U261</f>
        <v/>
      </c>
      <c r="V365" t="n">
        <v>41800</v>
      </c>
      <c r="W365">
        <f>W261</f>
        <v/>
      </c>
      <c r="X365">
        <f>W261/I261</f>
        <v/>
      </c>
      <c r="Y365">
        <f>SUM(W261-U261)/U261</f>
        <v/>
      </c>
      <c r="Z365" t="inlineStr">
        <is>
          <t>D</t>
        </is>
      </c>
      <c r="AC365" t="inlineStr">
        <is>
          <t>No</t>
        </is>
      </c>
      <c r="AD365" t="inlineStr">
        <is>
          <t>Tenant break passed.</t>
        </is>
      </c>
      <c r="AI365" t="inlineStr">
        <is>
          <t>Let</t>
        </is>
      </c>
    </row>
    <row r="366">
      <c r="A366" t="inlineStr">
        <is>
          <t xml:space="preserve">  Office</t>
        </is>
      </c>
      <c r="B366" t="inlineStr">
        <is>
          <t>CM</t>
        </is>
      </c>
      <c r="C366" t="inlineStr">
        <is>
          <t>MEL</t>
        </is>
      </c>
      <c r="D366" t="n">
        <v>550610</v>
      </c>
      <c r="E366" t="inlineStr">
        <is>
          <t>63-64 Margaret Street</t>
        </is>
      </c>
      <c r="F366" t="inlineStr">
        <is>
          <t>First Floor (West) (Front)</t>
        </is>
      </c>
      <c r="G366" t="inlineStr">
        <is>
          <t>Office</t>
        </is>
      </c>
      <c r="H366" t="n">
        <v>710</v>
      </c>
      <c r="I366">
        <f>I262</f>
        <v/>
      </c>
      <c r="J366" t="n">
        <v>750</v>
      </c>
      <c r="K366" t="inlineStr">
        <is>
          <t>Staybrook Asset Management Ltd</t>
        </is>
      </c>
      <c r="L366" s="869" t="n">
        <v>45551</v>
      </c>
      <c r="M366" s="869" t="n">
        <v>46645</v>
      </c>
      <c r="P366" s="869" t="n">
        <v>46280</v>
      </c>
      <c r="Q366" t="n">
        <v>47250</v>
      </c>
      <c r="R366">
        <f>R262</f>
        <v/>
      </c>
      <c r="T366" t="n">
        <v>35000</v>
      </c>
      <c r="U366">
        <f>U262</f>
        <v/>
      </c>
      <c r="V366" t="n">
        <v>40800</v>
      </c>
      <c r="W366">
        <f>W262</f>
        <v/>
      </c>
      <c r="X366">
        <f>W262/I262</f>
        <v/>
      </c>
      <c r="Y366">
        <f>SUM(W262-U262)/U262</f>
        <v/>
      </c>
      <c r="Z366" t="inlineStr">
        <is>
          <t>D</t>
        </is>
      </c>
      <c r="AC366" t="inlineStr">
        <is>
          <t>No</t>
        </is>
      </c>
      <c r="AD366" t="inlineStr">
        <is>
          <t>Tenant break on 6 months notice. 1 month rent free if not exercised.</t>
        </is>
      </c>
      <c r="AI366" t="inlineStr">
        <is>
          <t>Let</t>
        </is>
      </c>
    </row>
    <row r="367">
      <c r="A367" t="inlineStr">
        <is>
          <t xml:space="preserve">  Office</t>
        </is>
      </c>
      <c r="B367" t="inlineStr">
        <is>
          <t>CM</t>
        </is>
      </c>
      <c r="C367" t="inlineStr">
        <is>
          <t>MEL</t>
        </is>
      </c>
      <c r="D367" t="n">
        <v>550610</v>
      </c>
      <c r="E367" t="inlineStr">
        <is>
          <t>63-64 Margaret Street</t>
        </is>
      </c>
      <c r="F367" t="inlineStr">
        <is>
          <t>First Floor (West) (Rear)</t>
        </is>
      </c>
      <c r="G367" t="inlineStr">
        <is>
          <t>Office</t>
        </is>
      </c>
      <c r="H367" t="n">
        <v>130</v>
      </c>
      <c r="I367">
        <f>I263</f>
        <v/>
      </c>
      <c r="J367" t="n">
        <v>250</v>
      </c>
      <c r="K367" t="inlineStr">
        <is>
          <t>Face2Face Counselling Services Ltd</t>
        </is>
      </c>
      <c r="L367" s="869" t="n">
        <v>45456</v>
      </c>
      <c r="M367" s="869" t="n">
        <v>47085</v>
      </c>
      <c r="P367" s="869" t="n">
        <v>46354</v>
      </c>
      <c r="Q367" t="n">
        <v>7320</v>
      </c>
      <c r="R367">
        <f>R263</f>
        <v/>
      </c>
      <c r="T367" t="n">
        <v>7000</v>
      </c>
      <c r="U367">
        <f>U263</f>
        <v/>
      </c>
      <c r="V367" t="n">
        <v>7360</v>
      </c>
      <c r="W367">
        <f>W263</f>
        <v/>
      </c>
      <c r="X367">
        <f>W263/I263</f>
        <v/>
      </c>
      <c r="Y367">
        <f>SUM(W263-U263)/U263</f>
        <v/>
      </c>
      <c r="Z367" t="inlineStr">
        <is>
          <t>D</t>
        </is>
      </c>
      <c r="AC367" t="inlineStr">
        <is>
          <t>No</t>
        </is>
      </c>
      <c r="AD367" t="inlineStr">
        <is>
          <t>Tenant break on 6 months notice.</t>
        </is>
      </c>
      <c r="AI367" t="inlineStr">
        <is>
          <t>Let</t>
        </is>
      </c>
    </row>
    <row r="368">
      <c r="A368" t="inlineStr">
        <is>
          <t xml:space="preserve">  Office</t>
        </is>
      </c>
      <c r="B368" t="inlineStr">
        <is>
          <t>CM</t>
        </is>
      </c>
      <c r="C368" t="inlineStr">
        <is>
          <t>MEL</t>
        </is>
      </c>
      <c r="D368" t="n">
        <v>550610</v>
      </c>
      <c r="E368" t="inlineStr">
        <is>
          <t>63-64 Margaret Street</t>
        </is>
      </c>
      <c r="F368" t="inlineStr">
        <is>
          <t>Second Floor (East)</t>
        </is>
      </c>
      <c r="G368" t="inlineStr">
        <is>
          <t>Office</t>
        </is>
      </c>
      <c r="H368" t="n">
        <v>710</v>
      </c>
      <c r="I368">
        <f>I264</f>
        <v/>
      </c>
      <c r="J368" t="n">
        <v>750</v>
      </c>
      <c r="K368" t="inlineStr">
        <is>
          <t>Cihangir Group Limited.</t>
        </is>
      </c>
      <c r="L368" s="869" t="n">
        <v>45253</v>
      </c>
      <c r="M368" s="869" t="n">
        <v>46348</v>
      </c>
      <c r="Q368" t="n">
        <v>42350</v>
      </c>
      <c r="R368">
        <f>R264</f>
        <v/>
      </c>
      <c r="T368" t="n">
        <v>38700</v>
      </c>
      <c r="U368">
        <f>U264</f>
        <v/>
      </c>
      <c r="V368" t="n">
        <v>40800</v>
      </c>
      <c r="W368">
        <f>W264</f>
        <v/>
      </c>
      <c r="X368">
        <f>W264/I264</f>
        <v/>
      </c>
      <c r="Y368">
        <f>SUM(W264-U264)/U264</f>
        <v/>
      </c>
      <c r="Z368" t="inlineStr">
        <is>
          <t>D</t>
        </is>
      </c>
      <c r="AC368" t="inlineStr">
        <is>
          <t>No</t>
        </is>
      </c>
      <c r="AF368" t="n">
        <v>1</v>
      </c>
      <c r="AG368" t="n">
        <v>1</v>
      </c>
      <c r="AI368" t="inlineStr">
        <is>
          <t>Let</t>
        </is>
      </c>
    </row>
    <row r="369">
      <c r="A369" t="inlineStr">
        <is>
          <t xml:space="preserve">  Office</t>
        </is>
      </c>
      <c r="B369" t="inlineStr">
        <is>
          <t>CM</t>
        </is>
      </c>
      <c r="C369" t="inlineStr">
        <is>
          <t>MEL</t>
        </is>
      </c>
      <c r="D369" t="n">
        <v>550610</v>
      </c>
      <c r="E369" t="inlineStr">
        <is>
          <t>63-64 Margaret Street</t>
        </is>
      </c>
      <c r="F369" t="inlineStr">
        <is>
          <t>Second Floor (Rear)</t>
        </is>
      </c>
      <c r="G369" t="inlineStr">
        <is>
          <t>Office</t>
        </is>
      </c>
      <c r="H369" t="n">
        <v>130</v>
      </c>
      <c r="I369">
        <f>I265</f>
        <v/>
      </c>
      <c r="J369" t="n">
        <v>250</v>
      </c>
      <c r="K369" t="inlineStr">
        <is>
          <t>Face2Face Counselling Services Ltd</t>
        </is>
      </c>
      <c r="L369" s="869" t="n">
        <v>45259</v>
      </c>
      <c r="M369" s="869" t="n">
        <v>47085</v>
      </c>
      <c r="P369" s="869" t="n">
        <v>46354</v>
      </c>
      <c r="Q369" t="n">
        <v>7320</v>
      </c>
      <c r="R369">
        <f>R265</f>
        <v/>
      </c>
      <c r="T369" t="n">
        <v>6300</v>
      </c>
      <c r="U369">
        <f>U265</f>
        <v/>
      </c>
      <c r="V369" t="n">
        <v>7500</v>
      </c>
      <c r="W369">
        <f>W265</f>
        <v/>
      </c>
      <c r="X369">
        <f>W265/I265</f>
        <v/>
      </c>
      <c r="Y369">
        <f>SUM(W265-U265)/U265</f>
        <v/>
      </c>
      <c r="Z369" t="inlineStr">
        <is>
          <t>D</t>
        </is>
      </c>
      <c r="AC369" t="inlineStr">
        <is>
          <t>No</t>
        </is>
      </c>
      <c r="AD369" t="inlineStr">
        <is>
          <t>Tenant break on 6 months notice.</t>
        </is>
      </c>
      <c r="AI369" t="inlineStr">
        <is>
          <t>Let</t>
        </is>
      </c>
    </row>
    <row r="370">
      <c r="A370" t="inlineStr">
        <is>
          <t xml:space="preserve">  Office</t>
        </is>
      </c>
      <c r="B370" t="inlineStr">
        <is>
          <t>CM</t>
        </is>
      </c>
      <c r="C370" t="inlineStr">
        <is>
          <t>MEL</t>
        </is>
      </c>
      <c r="D370" t="n">
        <v>550610</v>
      </c>
      <c r="E370" t="inlineStr">
        <is>
          <t>63-64 Margaret Street</t>
        </is>
      </c>
      <c r="F370" t="inlineStr">
        <is>
          <t>Second Floor (West)</t>
        </is>
      </c>
      <c r="G370" t="inlineStr">
        <is>
          <t>Office</t>
        </is>
      </c>
      <c r="H370" t="n">
        <v>727</v>
      </c>
      <c r="I370">
        <f>I266</f>
        <v/>
      </c>
      <c r="J370" t="n">
        <v>750</v>
      </c>
      <c r="K370" t="inlineStr">
        <is>
          <t>Vacant</t>
        </is>
      </c>
      <c r="N370" s="869" t="n">
        <v>43080</v>
      </c>
      <c r="Q370" t="n">
        <v>0</v>
      </c>
      <c r="R370">
        <f>R266</f>
        <v/>
      </c>
      <c r="T370" t="n">
        <v>35000</v>
      </c>
      <c r="U370">
        <f>U266</f>
        <v/>
      </c>
      <c r="V370" t="n">
        <v>41800</v>
      </c>
      <c r="W370">
        <f>W266</f>
        <v/>
      </c>
      <c r="X370">
        <f>W266/I266</f>
        <v/>
      </c>
      <c r="Y370">
        <f>SUM(W266-U266)/U266</f>
        <v/>
      </c>
      <c r="Z370" t="inlineStr">
        <is>
          <t>D</t>
        </is>
      </c>
      <c r="AC370" t="inlineStr">
        <is>
          <t>No</t>
        </is>
      </c>
      <c r="AD370" t="inlineStr">
        <is>
          <t>To be refurbished.</t>
        </is>
      </c>
      <c r="AE370" t="n">
        <v>62.5</v>
      </c>
      <c r="AF370" t="n">
        <v>1</v>
      </c>
      <c r="AG370" t="n">
        <v>1</v>
      </c>
      <c r="AI370" t="inlineStr">
        <is>
          <t>Void</t>
        </is>
      </c>
    </row>
    <row r="371">
      <c r="A371" t="inlineStr">
        <is>
          <t xml:space="preserve">  Office</t>
        </is>
      </c>
      <c r="B371" t="inlineStr">
        <is>
          <t>CM</t>
        </is>
      </c>
      <c r="C371" t="inlineStr">
        <is>
          <t>MEL</t>
        </is>
      </c>
      <c r="D371" t="n">
        <v>550610</v>
      </c>
      <c r="E371" t="inlineStr">
        <is>
          <t>63-64 Margaret Street</t>
        </is>
      </c>
      <c r="F371" t="inlineStr">
        <is>
          <t>Third Floor (East)</t>
        </is>
      </c>
      <c r="G371" t="inlineStr">
        <is>
          <t>Office</t>
        </is>
      </c>
      <c r="H371" t="n">
        <v>760</v>
      </c>
      <c r="I371">
        <f>I267</f>
        <v/>
      </c>
      <c r="J371" t="n">
        <v>750</v>
      </c>
      <c r="K371" t="inlineStr">
        <is>
          <t>Vacant</t>
        </is>
      </c>
      <c r="N371" s="869" t="n">
        <v>43593</v>
      </c>
      <c r="Q371" t="n">
        <v>0</v>
      </c>
      <c r="R371">
        <f>R267</f>
        <v/>
      </c>
      <c r="T371" t="n">
        <v>40000</v>
      </c>
      <c r="U371">
        <f>U267</f>
        <v/>
      </c>
      <c r="V371" t="n">
        <v>43700</v>
      </c>
      <c r="W371">
        <f>W267</f>
        <v/>
      </c>
      <c r="X371">
        <f>W267/I267</f>
        <v/>
      </c>
      <c r="Y371">
        <f>SUM(W267-U267)/U267</f>
        <v/>
      </c>
      <c r="Z371" t="inlineStr">
        <is>
          <t>D</t>
        </is>
      </c>
      <c r="AC371" t="inlineStr">
        <is>
          <t>No</t>
        </is>
      </c>
      <c r="AD371" t="inlineStr">
        <is>
          <t>To be refurbished.</t>
        </is>
      </c>
      <c r="AE371" t="n">
        <v>62.5</v>
      </c>
      <c r="AF371" t="n">
        <v>4</v>
      </c>
      <c r="AG371" t="n">
        <v>5</v>
      </c>
      <c r="AH371" t="inlineStr">
        <is>
          <t>LEM</t>
        </is>
      </c>
      <c r="AI371" t="inlineStr">
        <is>
          <t>Void</t>
        </is>
      </c>
    </row>
    <row r="372">
      <c r="A372" t="inlineStr">
        <is>
          <t xml:space="preserve">  Office</t>
        </is>
      </c>
      <c r="B372" t="inlineStr">
        <is>
          <t>CM</t>
        </is>
      </c>
      <c r="C372" t="inlineStr">
        <is>
          <t>MEL</t>
        </is>
      </c>
      <c r="D372" t="n">
        <v>550610</v>
      </c>
      <c r="E372" t="inlineStr">
        <is>
          <t>63-64 Margaret Street</t>
        </is>
      </c>
      <c r="F372" t="inlineStr">
        <is>
          <t>Third Floor (West)</t>
        </is>
      </c>
      <c r="G372" t="inlineStr">
        <is>
          <t>Office</t>
        </is>
      </c>
      <c r="H372" t="n">
        <v>666</v>
      </c>
      <c r="I372">
        <f>I268</f>
        <v/>
      </c>
      <c r="J372" t="n">
        <v>750</v>
      </c>
      <c r="K372" t="inlineStr">
        <is>
          <t>Vacant</t>
        </is>
      </c>
      <c r="N372" s="869" t="n">
        <v>42905</v>
      </c>
      <c r="Q372" t="n">
        <v>0</v>
      </c>
      <c r="R372">
        <f>R268</f>
        <v/>
      </c>
      <c r="T372" t="n">
        <v>35000</v>
      </c>
      <c r="U372">
        <f>U268</f>
        <v/>
      </c>
      <c r="V372" t="n">
        <v>38300</v>
      </c>
      <c r="W372">
        <f>W268</f>
        <v/>
      </c>
      <c r="X372">
        <f>W268/I268</f>
        <v/>
      </c>
      <c r="Y372">
        <f>SUM(W268-U268)/U268</f>
        <v/>
      </c>
      <c r="Z372" t="inlineStr">
        <is>
          <t>D</t>
        </is>
      </c>
      <c r="AC372" t="inlineStr">
        <is>
          <t>No</t>
        </is>
      </c>
      <c r="AD372" t="inlineStr">
        <is>
          <t>To be refurbished.</t>
        </is>
      </c>
      <c r="AE372" t="n">
        <v>62.5</v>
      </c>
      <c r="AF372" t="n">
        <v>0</v>
      </c>
      <c r="AG372" t="n">
        <v>1</v>
      </c>
      <c r="AH372" t="inlineStr">
        <is>
          <t>LEM</t>
        </is>
      </c>
      <c r="AI372" t="inlineStr">
        <is>
          <t>Void</t>
        </is>
      </c>
    </row>
    <row r="373">
      <c r="A373" t="inlineStr">
        <is>
          <t xml:space="preserve">  Office</t>
        </is>
      </c>
      <c r="B373" t="inlineStr">
        <is>
          <t>CM</t>
        </is>
      </c>
      <c r="C373" t="inlineStr">
        <is>
          <t>MEL</t>
        </is>
      </c>
      <c r="D373" t="n">
        <v>550610</v>
      </c>
      <c r="E373" t="inlineStr">
        <is>
          <t>63-64 Margaret Street</t>
        </is>
      </c>
      <c r="F373" t="inlineStr">
        <is>
          <t>Fourth Floor (East)</t>
        </is>
      </c>
      <c r="G373" t="inlineStr">
        <is>
          <t>Office</t>
        </is>
      </c>
      <c r="H373" t="n">
        <v>767</v>
      </c>
      <c r="I373">
        <f>I269</f>
        <v/>
      </c>
      <c r="J373" t="n">
        <v>750</v>
      </c>
      <c r="K373" t="inlineStr">
        <is>
          <t>Vacant</t>
        </is>
      </c>
      <c r="N373" s="869" t="n">
        <v>45719</v>
      </c>
      <c r="Q373" t="n">
        <v>0</v>
      </c>
      <c r="R373">
        <f>R269</f>
        <v/>
      </c>
      <c r="T373" t="n">
        <v>40000</v>
      </c>
      <c r="U373">
        <f>U269</f>
        <v/>
      </c>
      <c r="V373" t="n">
        <v>44100</v>
      </c>
      <c r="W373">
        <f>W269</f>
        <v/>
      </c>
      <c r="X373">
        <f>W269/I269</f>
        <v/>
      </c>
      <c r="Y373">
        <f>SUM(W269-U269)/U269</f>
        <v/>
      </c>
      <c r="Z373" t="inlineStr">
        <is>
          <t>D</t>
        </is>
      </c>
      <c r="AC373" t="inlineStr">
        <is>
          <t>No</t>
        </is>
      </c>
      <c r="AD373" t="inlineStr">
        <is>
          <t>To be refurbished.</t>
        </is>
      </c>
      <c r="AG373" t="n">
        <v>1</v>
      </c>
      <c r="AI373" t="inlineStr">
        <is>
          <t>Void</t>
        </is>
      </c>
    </row>
    <row r="374">
      <c r="A374" t="inlineStr">
        <is>
          <t xml:space="preserve">  Office</t>
        </is>
      </c>
      <c r="B374" t="inlineStr">
        <is>
          <t>CM</t>
        </is>
      </c>
      <c r="C374" t="inlineStr">
        <is>
          <t>MEL</t>
        </is>
      </c>
      <c r="D374" t="n">
        <v>550610</v>
      </c>
      <c r="E374" t="inlineStr">
        <is>
          <t>63-64 Margaret Street</t>
        </is>
      </c>
      <c r="F374" t="inlineStr">
        <is>
          <t>Fourth Floor (West)</t>
        </is>
      </c>
      <c r="G374" t="inlineStr">
        <is>
          <t>Office</t>
        </is>
      </c>
      <c r="H374" t="n">
        <v>645</v>
      </c>
      <c r="I374">
        <f>I270</f>
        <v/>
      </c>
      <c r="J374" t="n">
        <v>750</v>
      </c>
      <c r="K374" t="inlineStr">
        <is>
          <t>Vacant</t>
        </is>
      </c>
      <c r="N374" s="869" t="n">
        <v>44263</v>
      </c>
      <c r="Q374" t="n">
        <v>0</v>
      </c>
      <c r="R374">
        <f>R270</f>
        <v/>
      </c>
      <c r="T374" t="n">
        <v>35000</v>
      </c>
      <c r="U374">
        <f>U270</f>
        <v/>
      </c>
      <c r="V374" t="n">
        <v>37100</v>
      </c>
      <c r="W374">
        <f>W270</f>
        <v/>
      </c>
      <c r="X374">
        <f>W270/I270</f>
        <v/>
      </c>
      <c r="Y374">
        <f>SUM(W270-U270)/U270</f>
        <v/>
      </c>
      <c r="Z374" t="inlineStr">
        <is>
          <t>D</t>
        </is>
      </c>
      <c r="AC374" t="inlineStr">
        <is>
          <t>No</t>
        </is>
      </c>
      <c r="AD374" t="inlineStr">
        <is>
          <t>To be refurbished.</t>
        </is>
      </c>
      <c r="AE374" t="n">
        <v>60</v>
      </c>
      <c r="AI374" t="inlineStr">
        <is>
          <t>Void</t>
        </is>
      </c>
    </row>
    <row r="375">
      <c r="A375" t="inlineStr">
        <is>
          <t xml:space="preserve">  Office</t>
        </is>
      </c>
      <c r="B375" t="inlineStr">
        <is>
          <t>CM</t>
        </is>
      </c>
      <c r="C375" t="inlineStr">
        <is>
          <t>MEL</t>
        </is>
      </c>
      <c r="D375" t="n">
        <v>550610</v>
      </c>
      <c r="E375" t="inlineStr">
        <is>
          <t>63-64 Margaret Street</t>
        </is>
      </c>
      <c r="F375" t="inlineStr">
        <is>
          <t>Fifth Floor (East)</t>
        </is>
      </c>
      <c r="G375" t="inlineStr">
        <is>
          <t>Office</t>
        </is>
      </c>
      <c r="H375" t="n">
        <v>767</v>
      </c>
      <c r="I375">
        <f>I271</f>
        <v/>
      </c>
      <c r="J375" t="n">
        <v>750</v>
      </c>
      <c r="K375" t="inlineStr">
        <is>
          <t>Vacant</t>
        </is>
      </c>
      <c r="N375" s="869" t="n">
        <v>44263</v>
      </c>
      <c r="Q375" t="n">
        <v>0</v>
      </c>
      <c r="R375">
        <f>R271</f>
        <v/>
      </c>
      <c r="T375" t="n">
        <v>40000</v>
      </c>
      <c r="U375">
        <f>U271</f>
        <v/>
      </c>
      <c r="V375" t="n">
        <v>44100</v>
      </c>
      <c r="W375">
        <f>W271</f>
        <v/>
      </c>
      <c r="X375">
        <f>W271/I271</f>
        <v/>
      </c>
      <c r="Y375">
        <f>SUM(W271-U271)/U271</f>
        <v/>
      </c>
      <c r="Z375" t="inlineStr">
        <is>
          <t>D</t>
        </is>
      </c>
      <c r="AC375" t="inlineStr">
        <is>
          <t>No</t>
        </is>
      </c>
      <c r="AD375" t="inlineStr">
        <is>
          <t>To be refurbished.</t>
        </is>
      </c>
      <c r="AE375" t="n">
        <v>60</v>
      </c>
      <c r="AI375" t="inlineStr">
        <is>
          <t>Void</t>
        </is>
      </c>
    </row>
    <row r="376">
      <c r="A376" t="inlineStr">
        <is>
          <t xml:space="preserve">  Office</t>
        </is>
      </c>
      <c r="B376" t="inlineStr">
        <is>
          <t>CM</t>
        </is>
      </c>
      <c r="C376" t="inlineStr">
        <is>
          <t>MEL</t>
        </is>
      </c>
      <c r="D376" t="n">
        <v>550610</v>
      </c>
      <c r="E376" t="inlineStr">
        <is>
          <t>63-64 Margaret Street</t>
        </is>
      </c>
      <c r="F376" t="inlineStr">
        <is>
          <t>Fifth Floor (West)</t>
        </is>
      </c>
      <c r="G376" t="inlineStr">
        <is>
          <t>Office</t>
        </is>
      </c>
      <c r="H376" t="n">
        <v>534</v>
      </c>
      <c r="I376">
        <f>I272</f>
        <v/>
      </c>
      <c r="J376" t="n">
        <v>500</v>
      </c>
      <c r="K376" t="inlineStr">
        <is>
          <t>Vacant</t>
        </is>
      </c>
      <c r="N376" s="869" t="n">
        <v>43061</v>
      </c>
      <c r="Q376" t="n">
        <v>0</v>
      </c>
      <c r="R376">
        <f>R272</f>
        <v/>
      </c>
      <c r="T376" t="n">
        <v>30500</v>
      </c>
      <c r="U376">
        <f>U272</f>
        <v/>
      </c>
      <c r="V376" t="n">
        <v>30700</v>
      </c>
      <c r="W376">
        <f>W272</f>
        <v/>
      </c>
      <c r="X376">
        <f>W272/I272</f>
        <v/>
      </c>
      <c r="Y376">
        <f>SUM(W272-U272)/U272</f>
        <v/>
      </c>
      <c r="Z376" t="inlineStr">
        <is>
          <t>D</t>
        </is>
      </c>
      <c r="AC376" t="inlineStr">
        <is>
          <t>No</t>
        </is>
      </c>
      <c r="AD376" t="inlineStr">
        <is>
          <t>To be refurbished.</t>
        </is>
      </c>
      <c r="AE376" t="n">
        <v>60</v>
      </c>
      <c r="AI376" t="inlineStr">
        <is>
          <t>Void</t>
        </is>
      </c>
    </row>
    <row r="377"/>
    <row r="378">
      <c r="A378" s="868" t="inlineStr">
        <is>
          <t>65 Margaret Street</t>
        </is>
      </c>
    </row>
    <row r="379">
      <c r="A379" t="inlineStr">
        <is>
          <t xml:space="preserve">  A1/D1</t>
        </is>
      </c>
      <c r="B379" t="inlineStr">
        <is>
          <t>CM</t>
        </is>
      </c>
      <c r="C379" t="inlineStr">
        <is>
          <t>MEL</t>
        </is>
      </c>
      <c r="D379" t="n">
        <v>550620</v>
      </c>
      <c r="E379" t="inlineStr">
        <is>
          <t>65 Margaret Street</t>
        </is>
      </c>
      <c r="F379" t="inlineStr">
        <is>
          <t>Ground Floor &amp; Basement</t>
        </is>
      </c>
      <c r="G379" t="inlineStr">
        <is>
          <t>A1/D1</t>
        </is>
      </c>
      <c r="H379" t="n">
        <v>930</v>
      </c>
      <c r="I379">
        <f>I273</f>
        <v/>
      </c>
      <c r="J379" t="n">
        <v>1000</v>
      </c>
      <c r="K379" t="inlineStr">
        <is>
          <t>Advanced Beauty Medical Clinics Ltd</t>
        </is>
      </c>
      <c r="L379" s="869" t="n">
        <v>45588</v>
      </c>
      <c r="M379" s="869" t="n">
        <v>46132</v>
      </c>
      <c r="Q379" t="n">
        <v>46500</v>
      </c>
      <c r="R379">
        <f>R273</f>
        <v/>
      </c>
      <c r="T379" t="n">
        <v>45350</v>
      </c>
      <c r="U379">
        <f>U273</f>
        <v/>
      </c>
      <c r="V379" t="n">
        <v>45350</v>
      </c>
      <c r="W379">
        <f>W273</f>
        <v/>
      </c>
      <c r="X379">
        <f>W273/I273</f>
        <v/>
      </c>
      <c r="Y379">
        <f>SUM(W273-U273)/U273</f>
        <v/>
      </c>
      <c r="Z379" t="inlineStr">
        <is>
          <t>B</t>
        </is>
      </c>
      <c r="AC379" t="inlineStr">
        <is>
          <t>No</t>
        </is>
      </c>
      <c r="AI379" t="inlineStr">
        <is>
          <t>Let</t>
        </is>
      </c>
    </row>
    <row r="380">
      <c r="A380" t="inlineStr">
        <is>
          <t xml:space="preserve">  Office</t>
        </is>
      </c>
      <c r="B380" t="inlineStr">
        <is>
          <t>CM</t>
        </is>
      </c>
      <c r="C380" t="inlineStr">
        <is>
          <t>MEL</t>
        </is>
      </c>
      <c r="D380" t="n">
        <v>550620</v>
      </c>
      <c r="E380" t="inlineStr">
        <is>
          <t>65 Margaret Street</t>
        </is>
      </c>
      <c r="F380" t="inlineStr">
        <is>
          <t>First Floor</t>
        </is>
      </c>
      <c r="G380" t="inlineStr">
        <is>
          <t>Office</t>
        </is>
      </c>
      <c r="H380" t="n">
        <v>360</v>
      </c>
      <c r="I380">
        <f>I274</f>
        <v/>
      </c>
      <c r="J380" t="n">
        <v>250</v>
      </c>
      <c r="K380" t="inlineStr">
        <is>
          <t>Advanced Beauty Medical Clinics Ltd</t>
        </is>
      </c>
      <c r="L380" s="869" t="n">
        <v>44307</v>
      </c>
      <c r="M380" s="869" t="n">
        <v>46132</v>
      </c>
      <c r="Q380" t="n">
        <v>18500</v>
      </c>
      <c r="R380">
        <f>R274</f>
        <v/>
      </c>
      <c r="T380" t="n">
        <v>20200</v>
      </c>
      <c r="U380">
        <f>U274</f>
        <v/>
      </c>
      <c r="V380" t="n">
        <v>20700</v>
      </c>
      <c r="W380">
        <f>W274</f>
        <v/>
      </c>
      <c r="X380">
        <f>W274/I274</f>
        <v/>
      </c>
      <c r="Y380">
        <f>SUM(W274-U274)/U274</f>
        <v/>
      </c>
      <c r="Z380" t="inlineStr">
        <is>
          <t>D</t>
        </is>
      </c>
      <c r="AC380" t="inlineStr">
        <is>
          <t>No</t>
        </is>
      </c>
      <c r="AI380" t="inlineStr">
        <is>
          <t>Let</t>
        </is>
      </c>
    </row>
    <row r="381">
      <c r="A381" t="inlineStr">
        <is>
          <t xml:space="preserve">  Office</t>
        </is>
      </c>
      <c r="B381" t="inlineStr">
        <is>
          <t>CM</t>
        </is>
      </c>
      <c r="C381" t="inlineStr">
        <is>
          <t>MEL</t>
        </is>
      </c>
      <c r="D381" t="n">
        <v>550620</v>
      </c>
      <c r="E381" t="inlineStr">
        <is>
          <t>65 Margaret Street</t>
        </is>
      </c>
      <c r="F381" t="inlineStr">
        <is>
          <t>Second Floor</t>
        </is>
      </c>
      <c r="G381" t="inlineStr">
        <is>
          <t>Office</t>
        </is>
      </c>
      <c r="H381" t="n">
        <v>375</v>
      </c>
      <c r="I381">
        <f>I275</f>
        <v/>
      </c>
      <c r="J381" t="n">
        <v>500</v>
      </c>
      <c r="K381" t="inlineStr">
        <is>
          <t>Vacant</t>
        </is>
      </c>
      <c r="N381" s="869" t="n">
        <v>45407</v>
      </c>
      <c r="Q381" t="n">
        <v>0</v>
      </c>
      <c r="R381">
        <f>R275</f>
        <v/>
      </c>
      <c r="T381" t="n">
        <v>21000</v>
      </c>
      <c r="U381">
        <f>U275</f>
        <v/>
      </c>
      <c r="V381" t="n">
        <v>21600</v>
      </c>
      <c r="W381">
        <f>W275</f>
        <v/>
      </c>
      <c r="X381">
        <f>W275/I275</f>
        <v/>
      </c>
      <c r="Y381">
        <f>SUM(W275-U275)/U275</f>
        <v/>
      </c>
      <c r="Z381" t="inlineStr">
        <is>
          <t>D</t>
        </is>
      </c>
      <c r="AC381" t="inlineStr">
        <is>
          <t>No</t>
        </is>
      </c>
      <c r="AD381" t="inlineStr">
        <is>
          <t>To be refurbished.</t>
        </is>
      </c>
      <c r="AF381" t="n">
        <v>4</v>
      </c>
      <c r="AG381" t="n">
        <v>8</v>
      </c>
      <c r="AI381" t="inlineStr">
        <is>
          <t>Void</t>
        </is>
      </c>
    </row>
    <row r="382">
      <c r="A382" t="inlineStr">
        <is>
          <t xml:space="preserve">  Office</t>
        </is>
      </c>
      <c r="B382" t="inlineStr">
        <is>
          <t>CM</t>
        </is>
      </c>
      <c r="C382" t="inlineStr">
        <is>
          <t>MEL</t>
        </is>
      </c>
      <c r="D382" t="n">
        <v>550620</v>
      </c>
      <c r="E382" t="inlineStr">
        <is>
          <t>65 Margaret Street</t>
        </is>
      </c>
      <c r="F382" t="inlineStr">
        <is>
          <t>Third Floor</t>
        </is>
      </c>
      <c r="G382" t="inlineStr">
        <is>
          <t>Office</t>
        </is>
      </c>
      <c r="H382" t="n">
        <v>350</v>
      </c>
      <c r="I382">
        <f>I276</f>
        <v/>
      </c>
      <c r="J382" t="n">
        <v>500</v>
      </c>
      <c r="K382" t="inlineStr">
        <is>
          <t>Leap Productions Limited</t>
        </is>
      </c>
      <c r="L382" s="869" t="n">
        <v>44974</v>
      </c>
      <c r="M382" s="869" t="n">
        <v>46799</v>
      </c>
      <c r="P382" s="869" t="n">
        <v>46069</v>
      </c>
      <c r="Q382" t="n">
        <v>19600</v>
      </c>
      <c r="R382">
        <f>R276</f>
        <v/>
      </c>
      <c r="T382" t="n">
        <v>19600</v>
      </c>
      <c r="U382">
        <f>U276</f>
        <v/>
      </c>
      <c r="V382" t="n">
        <v>20100</v>
      </c>
      <c r="W382">
        <f>W276</f>
        <v/>
      </c>
      <c r="X382">
        <f>W276/I276</f>
        <v/>
      </c>
      <c r="Y382">
        <f>SUM(W276-U276)/U276</f>
        <v/>
      </c>
      <c r="Z382" t="inlineStr">
        <is>
          <t>D</t>
        </is>
      </c>
      <c r="AC382" t="inlineStr">
        <is>
          <t>No</t>
        </is>
      </c>
      <c r="AD382" t="inlineStr">
        <is>
          <t>Tenant break on 6 months notice.</t>
        </is>
      </c>
      <c r="AI382" t="inlineStr">
        <is>
          <t>Let</t>
        </is>
      </c>
    </row>
    <row r="383">
      <c r="A383" t="inlineStr">
        <is>
          <t xml:space="preserve">  Office</t>
        </is>
      </c>
      <c r="B383" t="inlineStr">
        <is>
          <t>CM</t>
        </is>
      </c>
      <c r="C383" t="inlineStr">
        <is>
          <t>MEL</t>
        </is>
      </c>
      <c r="D383" t="n">
        <v>550620</v>
      </c>
      <c r="E383" t="inlineStr">
        <is>
          <t>65 Margaret Street</t>
        </is>
      </c>
      <c r="F383" t="inlineStr">
        <is>
          <t>Fourth Floor</t>
        </is>
      </c>
      <c r="G383" t="inlineStr">
        <is>
          <t>Office</t>
        </is>
      </c>
      <c r="H383" t="n">
        <v>350</v>
      </c>
      <c r="I383">
        <f>I277</f>
        <v/>
      </c>
      <c r="J383" t="n">
        <v>500</v>
      </c>
      <c r="K383" t="inlineStr">
        <is>
          <t>Philips Lockhart Ltd.</t>
        </is>
      </c>
      <c r="L383" s="869" t="n">
        <v>45359</v>
      </c>
      <c r="M383" s="869" t="n">
        <v>46453</v>
      </c>
      <c r="P383" s="869" t="n">
        <v>45907</v>
      </c>
      <c r="Q383" t="n">
        <v>19600</v>
      </c>
      <c r="R383">
        <f>R277</f>
        <v/>
      </c>
      <c r="T383" t="n">
        <v>17500</v>
      </c>
      <c r="U383">
        <f>U277</f>
        <v/>
      </c>
      <c r="V383" t="n">
        <v>19600</v>
      </c>
      <c r="W383">
        <f>W277</f>
        <v/>
      </c>
      <c r="X383">
        <f>W277/I277</f>
        <v/>
      </c>
      <c r="Y383">
        <f>SUM(W277-U277)/U277</f>
        <v/>
      </c>
      <c r="Z383" t="inlineStr">
        <is>
          <t>D</t>
        </is>
      </c>
      <c r="AC383" t="inlineStr">
        <is>
          <t>No</t>
        </is>
      </c>
      <c r="AD383" t="inlineStr">
        <is>
          <t>Tenant break on 6 months notice. 2 months rent free at 08/09/25 if break not exercised.</t>
        </is>
      </c>
      <c r="AI383" t="inlineStr">
        <is>
          <t>Let</t>
        </is>
      </c>
    </row>
    <row r="384">
      <c r="A384" t="inlineStr">
        <is>
          <t xml:space="preserve">  Office</t>
        </is>
      </c>
      <c r="B384" t="inlineStr">
        <is>
          <t>CM</t>
        </is>
      </c>
      <c r="C384" t="inlineStr">
        <is>
          <t>MEL</t>
        </is>
      </c>
      <c r="D384" t="n">
        <v>550620</v>
      </c>
      <c r="E384" t="inlineStr">
        <is>
          <t>65 Margaret Street</t>
        </is>
      </c>
      <c r="F384" t="inlineStr">
        <is>
          <t>Fifth Floor</t>
        </is>
      </c>
      <c r="G384" t="inlineStr">
        <is>
          <t>Office</t>
        </is>
      </c>
      <c r="H384" t="n">
        <v>350</v>
      </c>
      <c r="I384">
        <f>I278</f>
        <v/>
      </c>
      <c r="J384" t="n">
        <v>500</v>
      </c>
      <c r="K384" t="inlineStr">
        <is>
          <t>Mercury Creations Limited</t>
        </is>
      </c>
      <c r="L384" s="869" t="n">
        <v>45744</v>
      </c>
      <c r="M384" s="869" t="n">
        <v>47569</v>
      </c>
      <c r="P384" s="869" t="n">
        <v>46839</v>
      </c>
      <c r="Q384" t="n">
        <v>0</v>
      </c>
      <c r="R384">
        <f>R278</f>
        <v/>
      </c>
      <c r="T384" t="n">
        <v>17500</v>
      </c>
      <c r="U384">
        <f>U278</f>
        <v/>
      </c>
      <c r="V384" t="n">
        <v>19600</v>
      </c>
      <c r="W384">
        <f>W278</f>
        <v/>
      </c>
      <c r="X384">
        <f>W278/I278</f>
        <v/>
      </c>
      <c r="Y384">
        <f>SUM(W278-U278)/U278</f>
        <v/>
      </c>
      <c r="Z384" t="inlineStr">
        <is>
          <t>D</t>
        </is>
      </c>
      <c r="AC384" t="inlineStr">
        <is>
          <t>No</t>
        </is>
      </c>
      <c r="AD384" t="inlineStr">
        <is>
          <t>Rent £19,950 wef 28/07/25. Tenant break on 6 months notice. 2 months rent free if not exercised. Tenant name corrected.</t>
        </is>
      </c>
      <c r="AF384" t="n">
        <v>1</v>
      </c>
      <c r="AG384" t="n">
        <v>3</v>
      </c>
      <c r="AH384" t="inlineStr">
        <is>
          <t>LEM</t>
        </is>
      </c>
      <c r="AI384" t="inlineStr">
        <is>
          <t>Let</t>
        </is>
      </c>
    </row>
    <row r="385"/>
    <row r="386">
      <c r="A386" s="868" t="inlineStr">
        <is>
          <t>75-77 Margaret Street</t>
        </is>
      </c>
    </row>
    <row r="387">
      <c r="A387" t="inlineStr">
        <is>
          <t xml:space="preserve">  Office</t>
        </is>
      </c>
      <c r="B387" t="inlineStr">
        <is>
          <t>CD</t>
        </is>
      </c>
      <c r="C387" t="inlineStr">
        <is>
          <t>MEL</t>
        </is>
      </c>
      <c r="D387" t="n">
        <v>550640</v>
      </c>
      <c r="E387" t="inlineStr">
        <is>
          <t>75-77 Margaret Street</t>
        </is>
      </c>
      <c r="F387" t="inlineStr">
        <is>
          <t>Sub-Basement</t>
        </is>
      </c>
      <c r="G387" t="inlineStr">
        <is>
          <t>Office</t>
        </is>
      </c>
      <c r="H387" t="n">
        <v>3760</v>
      </c>
      <c r="I387">
        <f>I279</f>
        <v/>
      </c>
      <c r="J387" t="n">
        <v>2750</v>
      </c>
      <c r="K387" t="inlineStr">
        <is>
          <t>M&amp;C Saatchi World Services Ltd.</t>
        </is>
      </c>
      <c r="L387" s="869" t="n">
        <v>44769</v>
      </c>
      <c r="M387" s="869" t="n">
        <v>46594</v>
      </c>
      <c r="P387" s="869" t="n">
        <v>45864</v>
      </c>
      <c r="Q387" t="n">
        <v>95000</v>
      </c>
      <c r="R387">
        <f>R279</f>
        <v/>
      </c>
      <c r="T387" t="n">
        <v>95000</v>
      </c>
      <c r="U387">
        <f>U279</f>
        <v/>
      </c>
      <c r="V387" t="n">
        <v>95000</v>
      </c>
      <c r="W387">
        <f>W279</f>
        <v/>
      </c>
      <c r="X387">
        <f>W279/I279</f>
        <v/>
      </c>
      <c r="Y387">
        <f>SUM(W279-U279)/U279</f>
        <v/>
      </c>
      <c r="Z387" t="inlineStr">
        <is>
          <t>E</t>
        </is>
      </c>
      <c r="AC387" t="inlineStr">
        <is>
          <t>No</t>
        </is>
      </c>
      <c r="AD387" t="inlineStr">
        <is>
          <t>Tenant break on 6 months notice.</t>
        </is>
      </c>
      <c r="AI387" t="inlineStr">
        <is>
          <t>Let</t>
        </is>
      </c>
    </row>
    <row r="388">
      <c r="A388" t="inlineStr">
        <is>
          <t xml:space="preserve">  Retail / Showroom</t>
        </is>
      </c>
      <c r="B388" t="inlineStr">
        <is>
          <t>CD</t>
        </is>
      </c>
      <c r="C388" t="inlineStr">
        <is>
          <t>MEL</t>
        </is>
      </c>
      <c r="D388" t="n">
        <v>550640</v>
      </c>
      <c r="E388" t="inlineStr">
        <is>
          <t>75-77 Margaret Street</t>
        </is>
      </c>
      <c r="F388" t="inlineStr">
        <is>
          <t>Lower Ground Floor</t>
        </is>
      </c>
      <c r="G388" t="inlineStr">
        <is>
          <t>Retail / Showroom</t>
        </is>
      </c>
      <c r="H388" t="n">
        <v>7994</v>
      </c>
      <c r="I388">
        <f>I280</f>
        <v/>
      </c>
      <c r="J388" t="n">
        <v>8000</v>
      </c>
      <c r="K388" t="inlineStr">
        <is>
          <t>EDC2 Ltd.</t>
        </is>
      </c>
      <c r="L388" s="869" t="n">
        <v>45417</v>
      </c>
      <c r="M388" s="869" t="n">
        <v>49068</v>
      </c>
      <c r="O388" s="869" t="n">
        <v>47243</v>
      </c>
      <c r="P388" s="869" t="n">
        <v>47242</v>
      </c>
      <c r="Q388" t="n">
        <v>424275</v>
      </c>
      <c r="R388">
        <f>R280</f>
        <v/>
      </c>
      <c r="T388" t="n">
        <v>379100</v>
      </c>
      <c r="U388">
        <f>U280</f>
        <v/>
      </c>
      <c r="V388" t="n">
        <v>424275</v>
      </c>
      <c r="W388">
        <f>W280</f>
        <v/>
      </c>
      <c r="X388">
        <f>W280/I280</f>
        <v/>
      </c>
      <c r="Y388">
        <f>SUM(W280-U280)/U280</f>
        <v/>
      </c>
      <c r="Z388" t="inlineStr">
        <is>
          <t>B</t>
        </is>
      </c>
      <c r="AC388" t="inlineStr">
        <is>
          <t>No</t>
        </is>
      </c>
      <c r="AD388" t="inlineStr">
        <is>
          <t>Tenant break on 6 months notice. Half rent for 1year from 05/05/29 if break not exercised. Penalty clause of £106k if exercised.</t>
        </is>
      </c>
      <c r="AI388" t="inlineStr">
        <is>
          <t>Let</t>
        </is>
      </c>
    </row>
    <row r="389">
      <c r="A389" t="inlineStr">
        <is>
          <t xml:space="preserve">  Office</t>
        </is>
      </c>
      <c r="B389" t="inlineStr">
        <is>
          <t>CD</t>
        </is>
      </c>
      <c r="C389" t="inlineStr">
        <is>
          <t>MEL</t>
        </is>
      </c>
      <c r="D389" t="n">
        <v>550640</v>
      </c>
      <c r="E389" t="inlineStr">
        <is>
          <t>75-77 Margaret Street</t>
        </is>
      </c>
      <c r="F389" t="inlineStr">
        <is>
          <t>First Floor (Front)</t>
        </is>
      </c>
      <c r="G389" t="inlineStr">
        <is>
          <t>Office</t>
        </is>
      </c>
      <c r="H389" t="n">
        <v>2106</v>
      </c>
      <c r="I389">
        <f>I281</f>
        <v/>
      </c>
      <c r="J389" t="n">
        <v>2000</v>
      </c>
      <c r="K389" t="inlineStr">
        <is>
          <t>Maxguard Limited</t>
        </is>
      </c>
      <c r="L389" s="869" t="n">
        <v>44317</v>
      </c>
      <c r="M389" s="869" t="n">
        <v>46142</v>
      </c>
      <c r="Q389" t="n">
        <v>115500</v>
      </c>
      <c r="R389">
        <f>R281</f>
        <v/>
      </c>
      <c r="T389" t="n">
        <v>120700</v>
      </c>
      <c r="U389">
        <f>U281</f>
        <v/>
      </c>
      <c r="V389" t="n">
        <v>121100</v>
      </c>
      <c r="W389">
        <f>W281</f>
        <v/>
      </c>
      <c r="X389">
        <f>W281/I281</f>
        <v/>
      </c>
      <c r="Y389">
        <f>SUM(W281-U281)/U281</f>
        <v/>
      </c>
      <c r="Z389" t="inlineStr">
        <is>
          <t>D</t>
        </is>
      </c>
      <c r="AC389" t="inlineStr">
        <is>
          <t>No</t>
        </is>
      </c>
      <c r="AI389" t="inlineStr">
        <is>
          <t>Let</t>
        </is>
      </c>
    </row>
    <row r="390">
      <c r="A390" t="inlineStr">
        <is>
          <t xml:space="preserve">  Office</t>
        </is>
      </c>
      <c r="B390" t="inlineStr">
        <is>
          <t>CD</t>
        </is>
      </c>
      <c r="C390" t="inlineStr">
        <is>
          <t>MEL</t>
        </is>
      </c>
      <c r="D390" t="n">
        <v>550640</v>
      </c>
      <c r="E390" t="inlineStr">
        <is>
          <t>75-77 Margaret Street</t>
        </is>
      </c>
      <c r="F390" t="inlineStr">
        <is>
          <t>First Floor (Rear)</t>
        </is>
      </c>
      <c r="G390" t="inlineStr">
        <is>
          <t>Office</t>
        </is>
      </c>
      <c r="H390" t="n">
        <v>1218</v>
      </c>
      <c r="I390">
        <f>I282</f>
        <v/>
      </c>
      <c r="J390" t="n">
        <v>1250</v>
      </c>
      <c r="K390" t="inlineStr">
        <is>
          <t>Vacant</t>
        </is>
      </c>
      <c r="N390" s="869" t="n">
        <v>42705</v>
      </c>
      <c r="Q390" t="n">
        <v>0</v>
      </c>
      <c r="R390">
        <f>R282</f>
        <v/>
      </c>
      <c r="T390" t="n">
        <v>61500</v>
      </c>
      <c r="U390">
        <f>U282</f>
        <v/>
      </c>
      <c r="V390" t="n">
        <v>63900</v>
      </c>
      <c r="W390">
        <f>W282</f>
        <v/>
      </c>
      <c r="X390">
        <f>W282/I282</f>
        <v/>
      </c>
      <c r="Y390">
        <f>SUM(W282-U282)/U282</f>
        <v/>
      </c>
      <c r="Z390" t="inlineStr">
        <is>
          <t>D</t>
        </is>
      </c>
      <c r="AC390" t="inlineStr">
        <is>
          <t>No</t>
        </is>
      </c>
      <c r="AD390" t="inlineStr">
        <is>
          <t>To be refurbished.</t>
        </is>
      </c>
      <c r="AE390" t="n">
        <v>62.5</v>
      </c>
      <c r="AI390" t="inlineStr">
        <is>
          <t>Void</t>
        </is>
      </c>
    </row>
    <row r="391">
      <c r="A391" t="inlineStr">
        <is>
          <t xml:space="preserve">  Office</t>
        </is>
      </c>
      <c r="B391" t="inlineStr">
        <is>
          <t>CD</t>
        </is>
      </c>
      <c r="C391" t="inlineStr">
        <is>
          <t>MEL</t>
        </is>
      </c>
      <c r="D391" t="n">
        <v>550640</v>
      </c>
      <c r="E391" t="inlineStr">
        <is>
          <t>75-77 Margaret Street</t>
        </is>
      </c>
      <c r="F391" t="inlineStr">
        <is>
          <t>Second Floor (Front)</t>
        </is>
      </c>
      <c r="G391" t="inlineStr">
        <is>
          <t>Office</t>
        </is>
      </c>
      <c r="H391" t="n">
        <v>2256</v>
      </c>
      <c r="I391">
        <f>I283</f>
        <v/>
      </c>
      <c r="J391" t="n">
        <v>2250</v>
      </c>
      <c r="K391" t="inlineStr">
        <is>
          <t>Vacant</t>
        </is>
      </c>
      <c r="N391" s="869" t="n">
        <v>44782</v>
      </c>
      <c r="Q391" t="n">
        <v>0</v>
      </c>
      <c r="R391">
        <f>R283</f>
        <v/>
      </c>
      <c r="T391" t="n">
        <v>129200</v>
      </c>
      <c r="U391">
        <f>U283</f>
        <v/>
      </c>
      <c r="V391" t="n">
        <v>129700</v>
      </c>
      <c r="W391">
        <f>W283</f>
        <v/>
      </c>
      <c r="X391">
        <f>W283/I283</f>
        <v/>
      </c>
      <c r="Y391">
        <f>SUM(W283-U283)/U283</f>
        <v/>
      </c>
      <c r="Z391" t="inlineStr">
        <is>
          <t>D</t>
        </is>
      </c>
      <c r="AC391" t="inlineStr">
        <is>
          <t>No</t>
        </is>
      </c>
      <c r="AD391" t="inlineStr">
        <is>
          <t>To be refurbished.</t>
        </is>
      </c>
      <c r="AE391" t="n">
        <v>62.5</v>
      </c>
      <c r="AF391" t="n">
        <v>1</v>
      </c>
      <c r="AG391" t="n">
        <v>1</v>
      </c>
      <c r="AI391" t="inlineStr">
        <is>
          <t>Void</t>
        </is>
      </c>
    </row>
    <row r="392">
      <c r="A392" t="inlineStr">
        <is>
          <t xml:space="preserve">  Office</t>
        </is>
      </c>
      <c r="B392" t="inlineStr">
        <is>
          <t>CD</t>
        </is>
      </c>
      <c r="C392" t="inlineStr">
        <is>
          <t>MEL</t>
        </is>
      </c>
      <c r="D392" t="n">
        <v>550640</v>
      </c>
      <c r="E392" t="inlineStr">
        <is>
          <t>75-77 Margaret Street</t>
        </is>
      </c>
      <c r="F392" t="inlineStr">
        <is>
          <t>Second Floor (Rear)</t>
        </is>
      </c>
      <c r="G392" t="inlineStr">
        <is>
          <t>Office</t>
        </is>
      </c>
      <c r="H392" t="n">
        <v>1218</v>
      </c>
      <c r="I392">
        <f>I284</f>
        <v/>
      </c>
      <c r="J392" t="n">
        <v>1250</v>
      </c>
      <c r="K392" t="inlineStr">
        <is>
          <t>Vacant</t>
        </is>
      </c>
      <c r="N392" s="869" t="n">
        <v>42513</v>
      </c>
      <c r="Q392" t="n">
        <v>0</v>
      </c>
      <c r="R392">
        <f>R284</f>
        <v/>
      </c>
      <c r="T392" t="n">
        <v>59700</v>
      </c>
      <c r="U392">
        <f>U284</f>
        <v/>
      </c>
      <c r="V392" t="n">
        <v>63900</v>
      </c>
      <c r="W392">
        <f>W284</f>
        <v/>
      </c>
      <c r="X392">
        <f>W284/I284</f>
        <v/>
      </c>
      <c r="Y392">
        <f>SUM(W284-U284)/U284</f>
        <v/>
      </c>
      <c r="Z392" t="inlineStr">
        <is>
          <t>E</t>
        </is>
      </c>
      <c r="AC392" t="inlineStr">
        <is>
          <t>No</t>
        </is>
      </c>
      <c r="AD392" t="inlineStr">
        <is>
          <t>To be refurbished.</t>
        </is>
      </c>
      <c r="AE392" t="n">
        <v>62.5</v>
      </c>
      <c r="AI392" t="inlineStr">
        <is>
          <t>Void</t>
        </is>
      </c>
    </row>
    <row r="393">
      <c r="A393" t="inlineStr">
        <is>
          <t xml:space="preserve">  Office</t>
        </is>
      </c>
      <c r="B393" t="inlineStr">
        <is>
          <t>CD</t>
        </is>
      </c>
      <c r="C393" t="inlineStr">
        <is>
          <t>MEL</t>
        </is>
      </c>
      <c r="D393" t="n">
        <v>550640</v>
      </c>
      <c r="E393" t="inlineStr">
        <is>
          <t>75-77 Margaret Street</t>
        </is>
      </c>
      <c r="F393" t="inlineStr">
        <is>
          <t>Third Floor</t>
        </is>
      </c>
      <c r="G393" t="inlineStr">
        <is>
          <t>Office</t>
        </is>
      </c>
      <c r="H393" t="n">
        <v>2194</v>
      </c>
      <c r="I393">
        <f>I285</f>
        <v/>
      </c>
      <c r="J393" t="n">
        <v>2000</v>
      </c>
      <c r="K393" t="inlineStr">
        <is>
          <t>Major League Baseball Europe Ltd.</t>
        </is>
      </c>
      <c r="L393" s="869" t="n">
        <v>45082</v>
      </c>
      <c r="M393" s="869" t="n">
        <v>46908</v>
      </c>
      <c r="P393" s="869" t="n">
        <v>46177</v>
      </c>
      <c r="Q393" t="n">
        <v>130980</v>
      </c>
      <c r="R393">
        <f>R285</f>
        <v/>
      </c>
      <c r="T393" t="n">
        <v>122200</v>
      </c>
      <c r="U393">
        <f>U285</f>
        <v/>
      </c>
      <c r="V393" t="n">
        <v>126200</v>
      </c>
      <c r="W393">
        <f>W285</f>
        <v/>
      </c>
      <c r="X393">
        <f>W285/I285</f>
        <v/>
      </c>
      <c r="Y393">
        <f>SUM(W285-U285)/U285</f>
        <v/>
      </c>
      <c r="Z393" t="inlineStr">
        <is>
          <t>C</t>
        </is>
      </c>
      <c r="AC393" t="inlineStr">
        <is>
          <t>No</t>
        </is>
      </c>
      <c r="AD393" t="inlineStr">
        <is>
          <t>Tenant break on 6 months notice.</t>
        </is>
      </c>
      <c r="AI393" t="inlineStr">
        <is>
          <t>Let</t>
        </is>
      </c>
    </row>
    <row r="394">
      <c r="A394" t="inlineStr">
        <is>
          <t xml:space="preserve">  Office</t>
        </is>
      </c>
      <c r="B394" t="inlineStr">
        <is>
          <t>CD</t>
        </is>
      </c>
      <c r="C394" t="inlineStr">
        <is>
          <t>MEL</t>
        </is>
      </c>
      <c r="D394" t="n">
        <v>550640</v>
      </c>
      <c r="E394" t="inlineStr">
        <is>
          <t>75-77 Margaret Street</t>
        </is>
      </c>
      <c r="F394" t="inlineStr">
        <is>
          <t>Fourth Floor</t>
        </is>
      </c>
      <c r="G394" t="inlineStr">
        <is>
          <t>Office</t>
        </is>
      </c>
      <c r="H394" t="n">
        <v>2080</v>
      </c>
      <c r="I394">
        <f>I286</f>
        <v/>
      </c>
      <c r="J394" t="n">
        <v>2000</v>
      </c>
      <c r="K394" t="inlineStr">
        <is>
          <t>Vacant</t>
        </is>
      </c>
      <c r="N394" s="869" t="n">
        <v>44647</v>
      </c>
      <c r="Q394" t="n">
        <v>0</v>
      </c>
      <c r="R394">
        <f>R286</f>
        <v/>
      </c>
      <c r="T394" t="n">
        <v>117900</v>
      </c>
      <c r="U394">
        <f>U286</f>
        <v/>
      </c>
      <c r="V394" t="n">
        <v>119600</v>
      </c>
      <c r="W394">
        <f>W286</f>
        <v/>
      </c>
      <c r="X394">
        <f>W286/I286</f>
        <v/>
      </c>
      <c r="Y394">
        <f>SUM(W286-U286)/U286</f>
        <v/>
      </c>
      <c r="Z394" t="inlineStr">
        <is>
          <t>D</t>
        </is>
      </c>
      <c r="AC394" t="inlineStr">
        <is>
          <t>No</t>
        </is>
      </c>
      <c r="AD394" t="inlineStr">
        <is>
          <t>To be refurbished.</t>
        </is>
      </c>
      <c r="AE394" t="n">
        <v>63</v>
      </c>
      <c r="AF394" t="n">
        <v>1</v>
      </c>
      <c r="AG394" t="n">
        <v>4</v>
      </c>
      <c r="AH394" t="inlineStr">
        <is>
          <t>LEM / LDG</t>
        </is>
      </c>
      <c r="AI394" t="inlineStr">
        <is>
          <t>Void</t>
        </is>
      </c>
    </row>
    <row r="395">
      <c r="A395" t="inlineStr">
        <is>
          <t xml:space="preserve">  Office</t>
        </is>
      </c>
      <c r="B395" t="inlineStr">
        <is>
          <t>CD</t>
        </is>
      </c>
      <c r="C395" t="inlineStr">
        <is>
          <t>MEL</t>
        </is>
      </c>
      <c r="D395" t="n">
        <v>550640</v>
      </c>
      <c r="E395" t="inlineStr">
        <is>
          <t>75-77 Margaret Street</t>
        </is>
      </c>
      <c r="F395" t="inlineStr">
        <is>
          <t>Fifth Floor</t>
        </is>
      </c>
      <c r="G395" t="inlineStr">
        <is>
          <t>Office</t>
        </is>
      </c>
      <c r="H395" t="n">
        <v>1713</v>
      </c>
      <c r="I395">
        <f>I287</f>
        <v/>
      </c>
      <c r="J395" t="n">
        <v>1750</v>
      </c>
      <c r="K395" t="inlineStr">
        <is>
          <t>Vacant</t>
        </is>
      </c>
      <c r="N395" s="869" t="n">
        <v>45195</v>
      </c>
      <c r="Q395" t="n">
        <v>0</v>
      </c>
      <c r="R395">
        <f>R287</f>
        <v/>
      </c>
      <c r="T395" t="n">
        <v>94300</v>
      </c>
      <c r="U395">
        <f>U287</f>
        <v/>
      </c>
      <c r="V395" t="n">
        <v>98500</v>
      </c>
      <c r="W395">
        <f>W287</f>
        <v/>
      </c>
      <c r="X395">
        <f>W287/I287</f>
        <v/>
      </c>
      <c r="Y395">
        <f>SUM(W287-U287)/U287</f>
        <v/>
      </c>
      <c r="Z395" t="inlineStr">
        <is>
          <t>E</t>
        </is>
      </c>
      <c r="AC395" t="inlineStr">
        <is>
          <t>No</t>
        </is>
      </c>
      <c r="AD395" t="inlineStr">
        <is>
          <t>To be refurbished.</t>
        </is>
      </c>
      <c r="AE395" t="n">
        <v>65</v>
      </c>
      <c r="AF395" t="n">
        <v>1</v>
      </c>
      <c r="AG395" t="n">
        <v>1</v>
      </c>
      <c r="AI395" t="inlineStr">
        <is>
          <t>Void</t>
        </is>
      </c>
    </row>
    <row r="396"/>
    <row r="397">
      <c r="A397" s="868" t="inlineStr">
        <is>
          <t>Sackville House - 78 Margaret Street</t>
        </is>
      </c>
    </row>
    <row r="398">
      <c r="A398" t="inlineStr">
        <is>
          <t xml:space="preserve">  Storage</t>
        </is>
      </c>
      <c r="B398" t="inlineStr">
        <is>
          <t>JM</t>
        </is>
      </c>
      <c r="C398" t="inlineStr">
        <is>
          <t>MEL</t>
        </is>
      </c>
      <c r="D398" t="n">
        <v>550630</v>
      </c>
      <c r="E398" t="inlineStr">
        <is>
          <t>Sackville House - 78 Margaret Street</t>
        </is>
      </c>
      <c r="F398" t="inlineStr">
        <is>
          <t>Basement</t>
        </is>
      </c>
      <c r="G398" t="inlineStr">
        <is>
          <t>Storage</t>
        </is>
      </c>
      <c r="H398" t="n">
        <v>927</v>
      </c>
      <c r="I398">
        <f>I288</f>
        <v/>
      </c>
      <c r="J398" t="n">
        <v>1000</v>
      </c>
      <c r="K398" t="inlineStr">
        <is>
          <t>Langham Estate Management Ltd</t>
        </is>
      </c>
      <c r="L398" s="869" t="n">
        <v>43184</v>
      </c>
      <c r="M398" s="869" t="n">
        <v>46836</v>
      </c>
      <c r="O398" s="869" t="n">
        <v>45010</v>
      </c>
      <c r="Q398" t="n">
        <v>13900</v>
      </c>
      <c r="R398">
        <f>R288</f>
        <v/>
      </c>
      <c r="T398" t="n">
        <v>13900</v>
      </c>
      <c r="U398">
        <f>U288</f>
        <v/>
      </c>
      <c r="V398" t="n">
        <v>13900</v>
      </c>
      <c r="W398">
        <f>W288</f>
        <v/>
      </c>
      <c r="X398">
        <f>W288/I288</f>
        <v/>
      </c>
      <c r="Y398">
        <f>SUM(W288-U288)/U288</f>
        <v/>
      </c>
      <c r="Z398" t="inlineStr">
        <is>
          <t>D</t>
        </is>
      </c>
      <c r="AC398" t="inlineStr">
        <is>
          <t>No</t>
        </is>
      </c>
      <c r="AD398" t="inlineStr">
        <is>
          <t>Mothballed.</t>
        </is>
      </c>
      <c r="AI398" t="inlineStr">
        <is>
          <t>Let</t>
        </is>
      </c>
    </row>
    <row r="399">
      <c r="A399" t="inlineStr">
        <is>
          <t xml:space="preserve">  Office</t>
        </is>
      </c>
      <c r="B399" t="inlineStr">
        <is>
          <t>JM</t>
        </is>
      </c>
      <c r="C399" t="inlineStr">
        <is>
          <t>MEL</t>
        </is>
      </c>
      <c r="D399" t="n">
        <v>550630</v>
      </c>
      <c r="E399" t="inlineStr">
        <is>
          <t>Sackville House - 78 Margaret Street</t>
        </is>
      </c>
      <c r="F399" t="inlineStr">
        <is>
          <t>Ground</t>
        </is>
      </c>
      <c r="G399" t="inlineStr">
        <is>
          <t>Office</t>
        </is>
      </c>
      <c r="H399" t="n">
        <v>1010</v>
      </c>
      <c r="I399">
        <f>I289</f>
        <v/>
      </c>
      <c r="J399" t="n">
        <v>1000</v>
      </c>
      <c r="K399" t="inlineStr">
        <is>
          <t>Vacant</t>
        </is>
      </c>
      <c r="N399" s="869" t="n">
        <v>42794</v>
      </c>
      <c r="Q399" t="n">
        <v>0</v>
      </c>
      <c r="R399">
        <f>R289</f>
        <v/>
      </c>
      <c r="T399" t="n">
        <v>55600</v>
      </c>
      <c r="U399">
        <f>U289</f>
        <v/>
      </c>
      <c r="V399" t="n">
        <v>58100</v>
      </c>
      <c r="W399">
        <f>W289</f>
        <v/>
      </c>
      <c r="X399">
        <f>W289/I289</f>
        <v/>
      </c>
      <c r="Y399">
        <f>SUM(W289-U289)/U289</f>
        <v/>
      </c>
      <c r="Z399" t="inlineStr">
        <is>
          <t>D</t>
        </is>
      </c>
      <c r="AC399" t="inlineStr">
        <is>
          <t>No</t>
        </is>
      </c>
      <c r="AD399" t="inlineStr">
        <is>
          <t>Mothballed.</t>
        </is>
      </c>
      <c r="AI399" t="inlineStr">
        <is>
          <t>Void</t>
        </is>
      </c>
    </row>
    <row r="400">
      <c r="A400" t="inlineStr">
        <is>
          <t xml:space="preserve">  Office</t>
        </is>
      </c>
      <c r="B400" t="inlineStr">
        <is>
          <t>JM</t>
        </is>
      </c>
      <c r="C400" t="inlineStr">
        <is>
          <t>MEL</t>
        </is>
      </c>
      <c r="D400" t="n">
        <v>550630</v>
      </c>
      <c r="E400" t="inlineStr">
        <is>
          <t>Sackville House - 78 Margaret Street</t>
        </is>
      </c>
      <c r="F400" t="inlineStr">
        <is>
          <t>First Floor</t>
        </is>
      </c>
      <c r="G400" t="inlineStr">
        <is>
          <t>Office</t>
        </is>
      </c>
      <c r="H400" t="n">
        <v>971</v>
      </c>
      <c r="I400">
        <f>I290</f>
        <v/>
      </c>
      <c r="J400" t="n">
        <v>1000</v>
      </c>
      <c r="K400" t="inlineStr">
        <is>
          <t>Vacant</t>
        </is>
      </c>
      <c r="N400" s="869" t="n">
        <v>44071</v>
      </c>
      <c r="Q400" t="n">
        <v>0</v>
      </c>
      <c r="R400">
        <f>R290</f>
        <v/>
      </c>
      <c r="T400" t="n">
        <v>53400</v>
      </c>
      <c r="U400">
        <f>U290</f>
        <v/>
      </c>
      <c r="V400" t="n">
        <v>55800</v>
      </c>
      <c r="W400">
        <f>W290</f>
        <v/>
      </c>
      <c r="X400">
        <f>W290/I290</f>
        <v/>
      </c>
      <c r="Y400">
        <f>SUM(W290-U290)/U290</f>
        <v/>
      </c>
      <c r="Z400" t="inlineStr">
        <is>
          <t>D</t>
        </is>
      </c>
      <c r="AC400" t="inlineStr">
        <is>
          <t>No</t>
        </is>
      </c>
      <c r="AD400" t="inlineStr">
        <is>
          <t>Mothballed.</t>
        </is>
      </c>
      <c r="AI400" t="inlineStr">
        <is>
          <t>Void</t>
        </is>
      </c>
    </row>
    <row r="401">
      <c r="A401" t="inlineStr">
        <is>
          <t xml:space="preserve">  Office</t>
        </is>
      </c>
      <c r="B401" t="inlineStr">
        <is>
          <t>JM</t>
        </is>
      </c>
      <c r="C401" t="inlineStr">
        <is>
          <t>MEL</t>
        </is>
      </c>
      <c r="D401" t="n">
        <v>550630</v>
      </c>
      <c r="E401" t="inlineStr">
        <is>
          <t>Sackville House - 78 Margaret Street</t>
        </is>
      </c>
      <c r="F401" t="inlineStr">
        <is>
          <t>Second Floor</t>
        </is>
      </c>
      <c r="G401" t="inlineStr">
        <is>
          <t>Office</t>
        </is>
      </c>
      <c r="H401" t="n">
        <v>1000</v>
      </c>
      <c r="I401">
        <f>I291</f>
        <v/>
      </c>
      <c r="J401" t="n">
        <v>1000</v>
      </c>
      <c r="K401" t="inlineStr">
        <is>
          <t>Vacant</t>
        </is>
      </c>
      <c r="N401" s="869" t="n">
        <v>43261</v>
      </c>
      <c r="Q401" t="n">
        <v>0</v>
      </c>
      <c r="R401">
        <f>R291</f>
        <v/>
      </c>
      <c r="T401" t="n">
        <v>52500</v>
      </c>
      <c r="U401">
        <f>U291</f>
        <v/>
      </c>
      <c r="V401" t="n">
        <v>55000</v>
      </c>
      <c r="W401">
        <f>W291</f>
        <v/>
      </c>
      <c r="X401">
        <f>W291/I291</f>
        <v/>
      </c>
      <c r="Y401">
        <f>SUM(W291-U291)/U291</f>
        <v/>
      </c>
      <c r="Z401" t="inlineStr">
        <is>
          <t>D</t>
        </is>
      </c>
      <c r="AC401" t="inlineStr">
        <is>
          <t>No</t>
        </is>
      </c>
      <c r="AD401" t="inlineStr">
        <is>
          <t>Mothballed.</t>
        </is>
      </c>
      <c r="AI401" t="inlineStr">
        <is>
          <t>Void</t>
        </is>
      </c>
    </row>
    <row r="402"/>
    <row r="403">
      <c r="A403" s="868" t="inlineStr">
        <is>
          <t>Kenilworth House - 79-80 Margaret Street</t>
        </is>
      </c>
    </row>
    <row r="404">
      <c r="A404" t="inlineStr">
        <is>
          <t xml:space="preserve">  Educational</t>
        </is>
      </c>
      <c r="B404" t="inlineStr">
        <is>
          <t>JM</t>
        </is>
      </c>
      <c r="C404" t="inlineStr">
        <is>
          <t>MEL</t>
        </is>
      </c>
      <c r="D404" t="n">
        <v>550690</v>
      </c>
      <c r="E404" t="inlineStr">
        <is>
          <t>Kenilworth House - 79-80 Margaret Street</t>
        </is>
      </c>
      <c r="F404" t="inlineStr">
        <is>
          <t>Basement (E)</t>
        </is>
      </c>
      <c r="G404" t="inlineStr">
        <is>
          <t>Educational</t>
        </is>
      </c>
      <c r="H404" t="n">
        <v>1519</v>
      </c>
      <c r="I404">
        <f>I292</f>
        <v/>
      </c>
      <c r="J404" t="n">
        <v>1500</v>
      </c>
      <c r="K404" t="inlineStr">
        <is>
          <t>Jewells Retail Ltd</t>
        </is>
      </c>
      <c r="L404" s="869" t="n">
        <v>45824</v>
      </c>
      <c r="M404" s="869" t="n">
        <v>46188</v>
      </c>
      <c r="Q404" t="n">
        <v>61812</v>
      </c>
      <c r="R404">
        <f>R292</f>
        <v/>
      </c>
      <c r="T404" t="n">
        <v>53600</v>
      </c>
      <c r="U404">
        <f>U292</f>
        <v/>
      </c>
      <c r="V404" t="n">
        <v>54700</v>
      </c>
      <c r="W404">
        <f>W292</f>
        <v/>
      </c>
      <c r="X404">
        <f>W292/I292</f>
        <v/>
      </c>
      <c r="Y404">
        <f>SUM(W292-U292)/U292</f>
        <v/>
      </c>
      <c r="Z404" t="inlineStr">
        <is>
          <t>E</t>
        </is>
      </c>
      <c r="AA404" t="inlineStr">
        <is>
          <t>*</t>
        </is>
      </c>
      <c r="AC404" t="inlineStr">
        <is>
          <t>No</t>
        </is>
      </c>
      <c r="AD404" t="inlineStr">
        <is>
          <t>New letting completed. Rent all inclusive (excl rates).</t>
        </is>
      </c>
      <c r="AF404" t="n">
        <v>1</v>
      </c>
      <c r="AG404" t="n">
        <v>4</v>
      </c>
      <c r="AH404" t="inlineStr">
        <is>
          <t>LEM</t>
        </is>
      </c>
      <c r="AI404" t="inlineStr">
        <is>
          <t>Let</t>
        </is>
      </c>
    </row>
    <row r="405">
      <c r="A405" t="inlineStr">
        <is>
          <t xml:space="preserve">  Office</t>
        </is>
      </c>
      <c r="B405" t="inlineStr">
        <is>
          <t>JM</t>
        </is>
      </c>
      <c r="C405" t="inlineStr">
        <is>
          <t>MEL</t>
        </is>
      </c>
      <c r="D405" t="n">
        <v>550690</v>
      </c>
      <c r="E405" t="inlineStr">
        <is>
          <t>Kenilworth House - 79-80 Margaret Street</t>
        </is>
      </c>
      <c r="F405" t="inlineStr">
        <is>
          <t xml:space="preserve">Ground (East) </t>
        </is>
      </c>
      <c r="G405" t="inlineStr">
        <is>
          <t>Office</t>
        </is>
      </c>
      <c r="H405" t="n">
        <v>1525</v>
      </c>
      <c r="I405">
        <f>I293</f>
        <v/>
      </c>
      <c r="J405" t="n">
        <v>1500</v>
      </c>
      <c r="K405" t="inlineStr">
        <is>
          <t xml:space="preserve">Lualdi UK </t>
        </is>
      </c>
      <c r="L405" s="869" t="n">
        <v>45834</v>
      </c>
      <c r="M405" s="869" t="n">
        <v>47659</v>
      </c>
      <c r="Q405" t="n">
        <v>0</v>
      </c>
      <c r="R405">
        <f>R293</f>
        <v/>
      </c>
      <c r="T405" t="n">
        <v>90600</v>
      </c>
      <c r="U405">
        <f>U293</f>
        <v/>
      </c>
      <c r="V405" t="n">
        <v>91500</v>
      </c>
      <c r="W405">
        <f>W293</f>
        <v/>
      </c>
      <c r="X405">
        <f>W293/I293</f>
        <v/>
      </c>
      <c r="Y405">
        <f>SUM(W293-U293)/U293</f>
        <v/>
      </c>
      <c r="Z405" t="inlineStr">
        <is>
          <t>E</t>
        </is>
      </c>
      <c r="AC405" t="inlineStr">
        <is>
          <t>No</t>
        </is>
      </c>
      <c r="AD405" t="inlineStr">
        <is>
          <t>New letting completed. Stepped rent. Rent £62,500 wef 26/09/25. Fixed increases to £72,500 wef 26/06/26, £82,000 wef 26/06/27, £90,000 wef 26/06/28 and £93,000 wef 26/06/29.</t>
        </is>
      </c>
      <c r="AG405" t="n">
        <v>3</v>
      </c>
      <c r="AI405" t="inlineStr">
        <is>
          <t>Let</t>
        </is>
      </c>
    </row>
    <row r="406">
      <c r="A406" t="inlineStr">
        <is>
          <t xml:space="preserve">  Showroom</t>
        </is>
      </c>
      <c r="B406" t="inlineStr">
        <is>
          <t>JM</t>
        </is>
      </c>
      <c r="C406" t="inlineStr">
        <is>
          <t>MEL</t>
        </is>
      </c>
      <c r="D406" t="n">
        <v>550690</v>
      </c>
      <c r="E406" t="inlineStr">
        <is>
          <t>Kenilworth House - 79-80 Margaret Street</t>
        </is>
      </c>
      <c r="F406" t="inlineStr">
        <is>
          <t>Ground (West) &amp; Part Basement</t>
        </is>
      </c>
      <c r="G406" t="inlineStr">
        <is>
          <t>Showroom</t>
        </is>
      </c>
      <c r="H406" t="n">
        <v>1989</v>
      </c>
      <c r="I406">
        <f>I294</f>
        <v/>
      </c>
      <c r="J406" t="n">
        <v>2000</v>
      </c>
      <c r="K406" t="inlineStr">
        <is>
          <t>Edwards Cheshire Company Ltd.</t>
        </is>
      </c>
      <c r="L406" s="869" t="n">
        <v>42874</v>
      </c>
      <c r="M406" s="869" t="n">
        <v>46525</v>
      </c>
      <c r="O406" s="869" t="n">
        <v>44700</v>
      </c>
      <c r="Q406" t="n">
        <v>82575</v>
      </c>
      <c r="R406">
        <f>R294</f>
        <v/>
      </c>
      <c r="T406" t="n">
        <v>75000</v>
      </c>
      <c r="U406">
        <f>U294</f>
        <v/>
      </c>
      <c r="V406" t="n">
        <v>87300</v>
      </c>
      <c r="W406">
        <f>W294</f>
        <v/>
      </c>
      <c r="X406">
        <f>W294/I294</f>
        <v/>
      </c>
      <c r="Y406">
        <f>SUM(W294-U294)/U294</f>
        <v/>
      </c>
      <c r="Z406" t="inlineStr">
        <is>
          <t>C</t>
        </is>
      </c>
      <c r="AC406" t="inlineStr">
        <is>
          <t>No</t>
        </is>
      </c>
      <c r="AI406" t="inlineStr">
        <is>
          <t>Let</t>
        </is>
      </c>
    </row>
    <row r="407">
      <c r="A407" t="inlineStr">
        <is>
          <t xml:space="preserve">  Showroom/ Office</t>
        </is>
      </c>
      <c r="B407" t="inlineStr">
        <is>
          <t>JM</t>
        </is>
      </c>
      <c r="C407" t="inlineStr">
        <is>
          <t>MEL</t>
        </is>
      </c>
      <c r="D407" t="n">
        <v>550690</v>
      </c>
      <c r="E407" t="inlineStr">
        <is>
          <t>Kenilworth House - 79-80 Margaret Street</t>
        </is>
      </c>
      <c r="F407" t="inlineStr">
        <is>
          <t>First Floor (East)</t>
        </is>
      </c>
      <c r="G407" t="inlineStr">
        <is>
          <t>Showroom/ Office</t>
        </is>
      </c>
      <c r="H407" t="n">
        <v>1143</v>
      </c>
      <c r="I407">
        <f>I295</f>
        <v/>
      </c>
      <c r="J407" t="n">
        <v>1000</v>
      </c>
      <c r="K407" t="inlineStr">
        <is>
          <t>Vacant</t>
        </is>
      </c>
      <c r="N407" s="869" t="n">
        <v>44293</v>
      </c>
      <c r="Q407" t="n">
        <v>0</v>
      </c>
      <c r="R407">
        <f>R295</f>
        <v/>
      </c>
      <c r="T407" t="n">
        <v>73600</v>
      </c>
      <c r="U407">
        <f>U295</f>
        <v/>
      </c>
      <c r="V407" t="n">
        <v>74300</v>
      </c>
      <c r="W407">
        <f>W295</f>
        <v/>
      </c>
      <c r="X407">
        <f>W295/I295</f>
        <v/>
      </c>
      <c r="Y407">
        <f>SUM(W295-U295)/U295</f>
        <v/>
      </c>
      <c r="Z407" t="inlineStr">
        <is>
          <t>D</t>
        </is>
      </c>
      <c r="AC407" t="inlineStr">
        <is>
          <t>No</t>
        </is>
      </c>
      <c r="AD407" t="inlineStr">
        <is>
          <t>Mothballed.</t>
        </is>
      </c>
      <c r="AG407" t="n">
        <v>3</v>
      </c>
      <c r="AI407" t="inlineStr">
        <is>
          <t>Void</t>
        </is>
      </c>
    </row>
    <row r="408">
      <c r="A408" t="inlineStr">
        <is>
          <t xml:space="preserve">  Office</t>
        </is>
      </c>
      <c r="B408" t="inlineStr">
        <is>
          <t>JM</t>
        </is>
      </c>
      <c r="C408" t="inlineStr">
        <is>
          <t>MEL</t>
        </is>
      </c>
      <c r="D408" t="n">
        <v>550690</v>
      </c>
      <c r="E408" t="inlineStr">
        <is>
          <t>Kenilworth House - 79-80 Margaret Street</t>
        </is>
      </c>
      <c r="F408" t="inlineStr">
        <is>
          <t>First Floor (West)</t>
        </is>
      </c>
      <c r="G408" t="inlineStr">
        <is>
          <t>Office</t>
        </is>
      </c>
      <c r="H408" t="n">
        <v>805</v>
      </c>
      <c r="I408">
        <f>I296</f>
        <v/>
      </c>
      <c r="J408" t="n">
        <v>1000</v>
      </c>
      <c r="K408" t="inlineStr">
        <is>
          <t>Vacant</t>
        </is>
      </c>
      <c r="N408" s="869" t="n">
        <v>44336</v>
      </c>
      <c r="Q408" t="n">
        <v>0</v>
      </c>
      <c r="R408">
        <f>R296</f>
        <v/>
      </c>
      <c r="T408" t="n">
        <v>45600</v>
      </c>
      <c r="U408">
        <f>U296</f>
        <v/>
      </c>
      <c r="V408" t="n">
        <v>52300</v>
      </c>
      <c r="W408">
        <f>W296</f>
        <v/>
      </c>
      <c r="X408">
        <f>W296/I296</f>
        <v/>
      </c>
      <c r="Y408">
        <f>SUM(W296-U296)/U296</f>
        <v/>
      </c>
      <c r="Z408" t="inlineStr">
        <is>
          <t>D</t>
        </is>
      </c>
      <c r="AC408" t="inlineStr">
        <is>
          <t>No</t>
        </is>
      </c>
      <c r="AD408" t="inlineStr">
        <is>
          <t>Mothballed.</t>
        </is>
      </c>
      <c r="AI408" t="inlineStr">
        <is>
          <t>Void</t>
        </is>
      </c>
    </row>
    <row r="409">
      <c r="A409" t="inlineStr">
        <is>
          <t xml:space="preserve">  Office</t>
        </is>
      </c>
      <c r="B409" t="inlineStr">
        <is>
          <t>JM</t>
        </is>
      </c>
      <c r="C409" t="inlineStr">
        <is>
          <t>MEL</t>
        </is>
      </c>
      <c r="D409" t="n">
        <v>550690</v>
      </c>
      <c r="E409" t="inlineStr">
        <is>
          <t>Kenilworth House - 79-80 Margaret Street</t>
        </is>
      </c>
      <c r="F409" t="inlineStr">
        <is>
          <t>Second Floor (East)</t>
        </is>
      </c>
      <c r="G409" t="inlineStr">
        <is>
          <t>Office</t>
        </is>
      </c>
      <c r="H409" t="n">
        <v>1171</v>
      </c>
      <c r="I409">
        <f>I297</f>
        <v/>
      </c>
      <c r="J409" t="n">
        <v>1000</v>
      </c>
      <c r="K409" t="inlineStr">
        <is>
          <t>Vacant</t>
        </is>
      </c>
      <c r="N409" s="869" t="n">
        <v>44049</v>
      </c>
      <c r="Q409" t="n">
        <v>0</v>
      </c>
      <c r="R409">
        <f>R297</f>
        <v/>
      </c>
      <c r="T409" t="n">
        <v>72300</v>
      </c>
      <c r="U409">
        <f>U297</f>
        <v/>
      </c>
      <c r="V409" t="n">
        <v>76100</v>
      </c>
      <c r="W409">
        <f>W297</f>
        <v/>
      </c>
      <c r="X409">
        <f>W297/I297</f>
        <v/>
      </c>
      <c r="Y409">
        <f>SUM(W297-U297)/U297</f>
        <v/>
      </c>
      <c r="Z409" t="inlineStr">
        <is>
          <t>D</t>
        </is>
      </c>
      <c r="AC409" t="inlineStr">
        <is>
          <t>No</t>
        </is>
      </c>
      <c r="AD409" t="inlineStr">
        <is>
          <t>Mothballed.</t>
        </is>
      </c>
      <c r="AI409" t="inlineStr">
        <is>
          <t>Void</t>
        </is>
      </c>
    </row>
    <row r="410">
      <c r="A410" t="inlineStr">
        <is>
          <t xml:space="preserve">  Office</t>
        </is>
      </c>
      <c r="B410" t="inlineStr">
        <is>
          <t>JM</t>
        </is>
      </c>
      <c r="C410" t="inlineStr">
        <is>
          <t>MEL</t>
        </is>
      </c>
      <c r="D410" t="n">
        <v>550690</v>
      </c>
      <c r="E410" t="inlineStr">
        <is>
          <t>Kenilworth House - 79-80 Margaret Street</t>
        </is>
      </c>
      <c r="F410" t="inlineStr">
        <is>
          <t>Second Floor (West)</t>
        </is>
      </c>
      <c r="G410" t="inlineStr">
        <is>
          <t>Office</t>
        </is>
      </c>
      <c r="H410" t="n">
        <v>793</v>
      </c>
      <c r="I410">
        <f>I298</f>
        <v/>
      </c>
      <c r="J410" t="n">
        <v>750</v>
      </c>
      <c r="K410" t="inlineStr">
        <is>
          <t>Vacant</t>
        </is>
      </c>
      <c r="N410" s="869" t="n">
        <v>44805</v>
      </c>
      <c r="Q410" t="n">
        <v>0</v>
      </c>
      <c r="R410">
        <f>R298</f>
        <v/>
      </c>
      <c r="T410" t="n">
        <v>46300</v>
      </c>
      <c r="U410">
        <f>U298</f>
        <v/>
      </c>
      <c r="V410" t="n">
        <v>51500</v>
      </c>
      <c r="W410">
        <f>W298</f>
        <v/>
      </c>
      <c r="X410">
        <f>W298/I298</f>
        <v/>
      </c>
      <c r="Y410">
        <f>SUM(W298-U298)/U298</f>
        <v/>
      </c>
      <c r="Z410" t="inlineStr">
        <is>
          <t>D</t>
        </is>
      </c>
      <c r="AC410" t="inlineStr">
        <is>
          <t>No</t>
        </is>
      </c>
      <c r="AD410" t="inlineStr">
        <is>
          <t>Mothballed.</t>
        </is>
      </c>
      <c r="AI410" t="inlineStr">
        <is>
          <t>Void</t>
        </is>
      </c>
    </row>
    <row r="411">
      <c r="A411" t="inlineStr">
        <is>
          <t xml:space="preserve">  Office</t>
        </is>
      </c>
      <c r="B411" t="inlineStr">
        <is>
          <t>JM</t>
        </is>
      </c>
      <c r="C411" t="inlineStr">
        <is>
          <t>MEL</t>
        </is>
      </c>
      <c r="D411" t="n">
        <v>550690</v>
      </c>
      <c r="E411" t="inlineStr">
        <is>
          <t>Kenilworth House - 79-80 Margaret Street</t>
        </is>
      </c>
      <c r="F411" t="inlineStr">
        <is>
          <t>Third Floor (East)</t>
        </is>
      </c>
      <c r="G411" t="inlineStr">
        <is>
          <t>Office</t>
        </is>
      </c>
      <c r="H411" t="n">
        <v>1030</v>
      </c>
      <c r="I411">
        <f>I299</f>
        <v/>
      </c>
      <c r="J411" t="n">
        <v>1000</v>
      </c>
      <c r="K411" t="inlineStr">
        <is>
          <t>Vacant</t>
        </is>
      </c>
      <c r="N411" s="869" t="n">
        <v>43914</v>
      </c>
      <c r="Q411" t="n">
        <v>0</v>
      </c>
      <c r="R411">
        <f>R299</f>
        <v/>
      </c>
      <c r="T411" t="n">
        <v>63800</v>
      </c>
      <c r="U411">
        <f>U299</f>
        <v/>
      </c>
      <c r="V411" t="n">
        <v>67000</v>
      </c>
      <c r="W411">
        <f>W299</f>
        <v/>
      </c>
      <c r="X411">
        <f>W299/I299</f>
        <v/>
      </c>
      <c r="Y411">
        <f>SUM(W299-U299)/U299</f>
        <v/>
      </c>
      <c r="Z411" t="inlineStr">
        <is>
          <t>D</t>
        </is>
      </c>
      <c r="AC411" t="inlineStr">
        <is>
          <t>No</t>
        </is>
      </c>
      <c r="AD411" t="inlineStr">
        <is>
          <t>Mothballed.</t>
        </is>
      </c>
      <c r="AI411" t="inlineStr">
        <is>
          <t>Void</t>
        </is>
      </c>
    </row>
    <row r="412">
      <c r="A412" t="inlineStr">
        <is>
          <t xml:space="preserve">  Office</t>
        </is>
      </c>
      <c r="B412" t="inlineStr">
        <is>
          <t>JM</t>
        </is>
      </c>
      <c r="C412" t="inlineStr">
        <is>
          <t>MEL</t>
        </is>
      </c>
      <c r="D412" t="n">
        <v>550690</v>
      </c>
      <c r="E412" t="inlineStr">
        <is>
          <t>Kenilworth House - 79-80 Margaret Street</t>
        </is>
      </c>
      <c r="F412" t="inlineStr">
        <is>
          <t>Third Floor (West)</t>
        </is>
      </c>
      <c r="G412" t="inlineStr">
        <is>
          <t>Office</t>
        </is>
      </c>
      <c r="H412" t="n">
        <v>731</v>
      </c>
      <c r="I412">
        <f>I300</f>
        <v/>
      </c>
      <c r="J412" t="n">
        <v>750</v>
      </c>
      <c r="K412" t="inlineStr">
        <is>
          <t>Vacant</t>
        </is>
      </c>
      <c r="N412" s="869" t="n">
        <v>44321</v>
      </c>
      <c r="Q412" t="n">
        <v>0</v>
      </c>
      <c r="R412">
        <f>R300</f>
        <v/>
      </c>
      <c r="T412" t="n">
        <v>46100</v>
      </c>
      <c r="U412">
        <f>U300</f>
        <v/>
      </c>
      <c r="V412" t="n">
        <v>47500</v>
      </c>
      <c r="W412">
        <f>W300</f>
        <v/>
      </c>
      <c r="X412">
        <f>W300/I300</f>
        <v/>
      </c>
      <c r="Y412">
        <f>SUM(W300-U300)/U300</f>
        <v/>
      </c>
      <c r="Z412" t="inlineStr">
        <is>
          <t>D</t>
        </is>
      </c>
      <c r="AC412" t="inlineStr">
        <is>
          <t>No</t>
        </is>
      </c>
      <c r="AD412" t="inlineStr">
        <is>
          <t>Mothballed.</t>
        </is>
      </c>
      <c r="AI412" t="inlineStr">
        <is>
          <t>Void</t>
        </is>
      </c>
    </row>
    <row r="413">
      <c r="A413" t="inlineStr">
        <is>
          <t xml:space="preserve">  Office</t>
        </is>
      </c>
      <c r="B413" t="inlineStr">
        <is>
          <t>JM</t>
        </is>
      </c>
      <c r="C413" t="inlineStr">
        <is>
          <t>MEL</t>
        </is>
      </c>
      <c r="D413" t="n">
        <v>550690</v>
      </c>
      <c r="E413" t="inlineStr">
        <is>
          <t>Kenilworth House - 79-80 Margaret Street</t>
        </is>
      </c>
      <c r="F413" t="inlineStr">
        <is>
          <t>Fourth Floor (East)</t>
        </is>
      </c>
      <c r="G413" t="inlineStr">
        <is>
          <t>Office</t>
        </is>
      </c>
      <c r="H413" t="n">
        <v>949</v>
      </c>
      <c r="I413">
        <f>I301</f>
        <v/>
      </c>
      <c r="J413" t="n">
        <v>1000</v>
      </c>
      <c r="K413" t="inlineStr">
        <is>
          <t>Vacant</t>
        </is>
      </c>
      <c r="N413" s="869" t="n">
        <v>42550</v>
      </c>
      <c r="Q413" t="n">
        <v>0</v>
      </c>
      <c r="R413">
        <f>R301</f>
        <v/>
      </c>
      <c r="T413" t="n">
        <v>55600</v>
      </c>
      <c r="U413">
        <f>U301</f>
        <v/>
      </c>
      <c r="V413" t="n">
        <v>59300</v>
      </c>
      <c r="W413">
        <f>W301</f>
        <v/>
      </c>
      <c r="X413">
        <f>W301/I301</f>
        <v/>
      </c>
      <c r="Y413">
        <f>SUM(W301-U301)/U301</f>
        <v/>
      </c>
      <c r="Z413" t="inlineStr">
        <is>
          <t>D</t>
        </is>
      </c>
      <c r="AC413" t="inlineStr">
        <is>
          <t>No</t>
        </is>
      </c>
      <c r="AD413" t="inlineStr">
        <is>
          <t>Mothballed.</t>
        </is>
      </c>
      <c r="AI413" t="inlineStr">
        <is>
          <t>Void</t>
        </is>
      </c>
    </row>
    <row r="414">
      <c r="A414" t="inlineStr">
        <is>
          <t xml:space="preserve">  Office</t>
        </is>
      </c>
      <c r="B414" t="inlineStr">
        <is>
          <t>JM</t>
        </is>
      </c>
      <c r="C414" t="inlineStr">
        <is>
          <t>MEL</t>
        </is>
      </c>
      <c r="D414" t="n">
        <v>550690</v>
      </c>
      <c r="E414" t="inlineStr">
        <is>
          <t>Kenilworth House - 79-80 Margaret Street</t>
        </is>
      </c>
      <c r="F414" t="inlineStr">
        <is>
          <t>Fourth Floor (West)</t>
        </is>
      </c>
      <c r="G414" t="inlineStr">
        <is>
          <t>Office</t>
        </is>
      </c>
      <c r="H414" t="n">
        <v>601</v>
      </c>
      <c r="I414">
        <f>I302</f>
        <v/>
      </c>
      <c r="J414" t="n">
        <v>500</v>
      </c>
      <c r="K414" t="inlineStr">
        <is>
          <t>Vacant</t>
        </is>
      </c>
      <c r="N414" s="869" t="n">
        <v>44027</v>
      </c>
      <c r="Q414" t="n">
        <v>0</v>
      </c>
      <c r="R414">
        <f>R302</f>
        <v/>
      </c>
      <c r="T414" t="n">
        <v>36800</v>
      </c>
      <c r="U414">
        <f>U302</f>
        <v/>
      </c>
      <c r="V414" t="n">
        <v>37600</v>
      </c>
      <c r="W414">
        <f>W302</f>
        <v/>
      </c>
      <c r="X414">
        <f>W302/I302</f>
        <v/>
      </c>
      <c r="Y414">
        <f>SUM(W302-U302)/U302</f>
        <v/>
      </c>
      <c r="Z414" t="inlineStr">
        <is>
          <t>D</t>
        </is>
      </c>
      <c r="AC414" t="inlineStr">
        <is>
          <t>No</t>
        </is>
      </c>
      <c r="AD414" t="inlineStr">
        <is>
          <t>Mothballed.</t>
        </is>
      </c>
      <c r="AI414" t="inlineStr">
        <is>
          <t>Void</t>
        </is>
      </c>
    </row>
    <row r="415">
      <c r="A415" t="inlineStr">
        <is>
          <t xml:space="preserve">  Office</t>
        </is>
      </c>
      <c r="B415" t="inlineStr">
        <is>
          <t>JM</t>
        </is>
      </c>
      <c r="C415" t="inlineStr">
        <is>
          <t>MEL</t>
        </is>
      </c>
      <c r="D415" t="n">
        <v>550690</v>
      </c>
      <c r="E415" t="inlineStr">
        <is>
          <t>Kenilworth House - 79-80 Margaret Street</t>
        </is>
      </c>
      <c r="F415" t="inlineStr">
        <is>
          <t>Fifth Floor (East)</t>
        </is>
      </c>
      <c r="G415" t="inlineStr">
        <is>
          <t>Office</t>
        </is>
      </c>
      <c r="H415" t="n">
        <v>730</v>
      </c>
      <c r="I415">
        <f>I303</f>
        <v/>
      </c>
      <c r="J415" t="n">
        <v>750</v>
      </c>
      <c r="K415" t="inlineStr">
        <is>
          <t>Vacant</t>
        </is>
      </c>
      <c r="N415" s="869" t="n">
        <v>42723</v>
      </c>
      <c r="Q415" t="n">
        <v>0</v>
      </c>
      <c r="R415">
        <f>R303</f>
        <v/>
      </c>
      <c r="T415" t="n">
        <v>44700</v>
      </c>
      <c r="U415">
        <f>U303</f>
        <v/>
      </c>
      <c r="V415" t="n">
        <v>45600</v>
      </c>
      <c r="W415">
        <f>W303</f>
        <v/>
      </c>
      <c r="X415">
        <f>W303/I303</f>
        <v/>
      </c>
      <c r="Y415">
        <f>SUM(W303-U303)/U303</f>
        <v/>
      </c>
      <c r="Z415" t="inlineStr">
        <is>
          <t>D</t>
        </is>
      </c>
      <c r="AC415" t="inlineStr">
        <is>
          <t>No</t>
        </is>
      </c>
      <c r="AD415" t="inlineStr">
        <is>
          <t>Mothballed.</t>
        </is>
      </c>
      <c r="AI415" t="inlineStr">
        <is>
          <t>Void</t>
        </is>
      </c>
    </row>
    <row r="416">
      <c r="A416" t="inlineStr">
        <is>
          <t xml:space="preserve">  Office</t>
        </is>
      </c>
      <c r="B416" t="inlineStr">
        <is>
          <t>JM</t>
        </is>
      </c>
      <c r="C416" t="inlineStr">
        <is>
          <t>MEL</t>
        </is>
      </c>
      <c r="D416" t="n">
        <v>550690</v>
      </c>
      <c r="E416" t="inlineStr">
        <is>
          <t>Kenilworth House - 79-80 Margaret Street</t>
        </is>
      </c>
      <c r="F416" t="inlineStr">
        <is>
          <t>Fifth Floor (West)</t>
        </is>
      </c>
      <c r="G416" t="inlineStr">
        <is>
          <t>Office</t>
        </is>
      </c>
      <c r="H416" t="n">
        <v>462</v>
      </c>
      <c r="I416">
        <f>I304</f>
        <v/>
      </c>
      <c r="J416" t="n">
        <v>500</v>
      </c>
      <c r="K416" t="inlineStr">
        <is>
          <t>Vacant</t>
        </is>
      </c>
      <c r="N416" s="869" t="n">
        <v>43824</v>
      </c>
      <c r="Q416" t="n">
        <v>0</v>
      </c>
      <c r="R416">
        <f>R304</f>
        <v/>
      </c>
      <c r="T416" t="n">
        <v>27300</v>
      </c>
      <c r="U416">
        <f>U304</f>
        <v/>
      </c>
      <c r="V416" t="n">
        <v>28900</v>
      </c>
      <c r="W416">
        <f>W304</f>
        <v/>
      </c>
      <c r="X416">
        <f>W304/I304</f>
        <v/>
      </c>
      <c r="Y416">
        <f>SUM(W304-U304)/U304</f>
        <v/>
      </c>
      <c r="Z416" t="inlineStr">
        <is>
          <t>D</t>
        </is>
      </c>
      <c r="AC416" t="inlineStr">
        <is>
          <t>No</t>
        </is>
      </c>
      <c r="AD416" t="inlineStr">
        <is>
          <t>Mothballed.</t>
        </is>
      </c>
      <c r="AI416" t="inlineStr">
        <is>
          <t>Void</t>
        </is>
      </c>
    </row>
    <row r="417"/>
    <row r="418">
      <c r="A418" s="868" t="inlineStr">
        <is>
          <t>4 Market Place</t>
        </is>
      </c>
    </row>
    <row r="419">
      <c r="A419" t="inlineStr">
        <is>
          <t xml:space="preserve">  Restaurant</t>
        </is>
      </c>
      <c r="B419" t="inlineStr">
        <is>
          <t>WS</t>
        </is>
      </c>
      <c r="C419" t="inlineStr">
        <is>
          <t>MEL</t>
        </is>
      </c>
      <c r="D419" t="n">
        <v>550810</v>
      </c>
      <c r="E419" t="inlineStr">
        <is>
          <t>4 Market Place</t>
        </is>
      </c>
      <c r="F419" t="inlineStr">
        <is>
          <t>Ground, Basement &amp; Vaults</t>
        </is>
      </c>
      <c r="G419" t="inlineStr">
        <is>
          <t>Restaurant</t>
        </is>
      </c>
      <c r="H419" t="n">
        <v>1190</v>
      </c>
      <c r="I419">
        <f>I305</f>
        <v/>
      </c>
      <c r="J419" t="n">
        <v>1000</v>
      </c>
      <c r="K419" t="inlineStr">
        <is>
          <t>Honest Burgers Ltd</t>
        </is>
      </c>
      <c r="L419" s="869" t="n">
        <v>41673</v>
      </c>
      <c r="M419" s="869" t="n">
        <v>47151</v>
      </c>
      <c r="Q419" t="n">
        <v>115000</v>
      </c>
      <c r="R419">
        <f>R305</f>
        <v/>
      </c>
      <c r="T419" t="n">
        <v>106000</v>
      </c>
      <c r="U419">
        <f>U305</f>
        <v/>
      </c>
      <c r="V419" t="n">
        <v>106000</v>
      </c>
      <c r="W419">
        <f>W305</f>
        <v/>
      </c>
      <c r="X419">
        <f>W305/I305</f>
        <v/>
      </c>
      <c r="Y419">
        <f>SUM(W305-U305)/U305</f>
        <v/>
      </c>
      <c r="Z419" t="inlineStr">
        <is>
          <t>D</t>
        </is>
      </c>
      <c r="AC419" t="inlineStr">
        <is>
          <t>No</t>
        </is>
      </c>
      <c r="AD419" t="inlineStr">
        <is>
          <t xml:space="preserve">Landlords redevelopment break @ 02/02/24 on 6 months notice. </t>
        </is>
      </c>
      <c r="AI419" t="inlineStr">
        <is>
          <t>Let</t>
        </is>
      </c>
    </row>
    <row r="420">
      <c r="A420" t="inlineStr">
        <is>
          <t xml:space="preserve">  Office</t>
        </is>
      </c>
      <c r="B420" t="inlineStr">
        <is>
          <t>WS</t>
        </is>
      </c>
      <c r="C420" t="inlineStr">
        <is>
          <t>MEL</t>
        </is>
      </c>
      <c r="D420" t="n">
        <v>550810</v>
      </c>
      <c r="E420" t="inlineStr">
        <is>
          <t>4 Market Place</t>
        </is>
      </c>
      <c r="F420" t="inlineStr">
        <is>
          <t>First to Third Floors</t>
        </is>
      </c>
      <c r="G420" t="inlineStr">
        <is>
          <t>Office</t>
        </is>
      </c>
      <c r="H420" t="n">
        <v>1044</v>
      </c>
      <c r="I420">
        <f>I306</f>
        <v/>
      </c>
      <c r="J420" t="n">
        <v>1000</v>
      </c>
      <c r="K420" t="inlineStr">
        <is>
          <t>Feel Films Ltd.</t>
        </is>
      </c>
      <c r="L420" s="869" t="n">
        <v>45413</v>
      </c>
      <c r="M420" s="869" t="n">
        <v>47238</v>
      </c>
      <c r="P420" s="869" t="n">
        <v>46326</v>
      </c>
      <c r="Q420" t="n">
        <v>52500</v>
      </c>
      <c r="R420">
        <f>R306</f>
        <v/>
      </c>
      <c r="T420" t="n">
        <v>53800</v>
      </c>
      <c r="U420">
        <f>U306</f>
        <v/>
      </c>
      <c r="V420" t="n">
        <v>53800</v>
      </c>
      <c r="W420">
        <f>W306</f>
        <v/>
      </c>
      <c r="X420">
        <f>W306/I306</f>
        <v/>
      </c>
      <c r="Y420">
        <f>SUM(W306-U306)/U306</f>
        <v/>
      </c>
      <c r="Z420" t="inlineStr">
        <is>
          <t>D</t>
        </is>
      </c>
      <c r="AC420" t="inlineStr">
        <is>
          <t>No</t>
        </is>
      </c>
      <c r="AD420" t="inlineStr">
        <is>
          <t>Tenant break on 6 months notice.</t>
        </is>
      </c>
      <c r="AI420" t="inlineStr">
        <is>
          <t>Let</t>
        </is>
      </c>
    </row>
    <row r="421"/>
    <row r="422">
      <c r="A422" s="868" t="inlineStr">
        <is>
          <t>11-13 Market Place</t>
        </is>
      </c>
    </row>
    <row r="423">
      <c r="A423" t="inlineStr">
        <is>
          <t xml:space="preserve">  Bar &amp; Office</t>
        </is>
      </c>
      <c r="B423" t="inlineStr">
        <is>
          <t>WS</t>
        </is>
      </c>
      <c r="C423" t="inlineStr">
        <is>
          <t>MEL</t>
        </is>
      </c>
      <c r="D423" t="n">
        <v>550490</v>
      </c>
      <c r="E423" t="inlineStr">
        <is>
          <t>11-13 Market Place</t>
        </is>
      </c>
      <c r="F423" t="inlineStr">
        <is>
          <t>Whole Building</t>
        </is>
      </c>
      <c r="G423" t="inlineStr">
        <is>
          <t>Bar &amp; Office</t>
        </is>
      </c>
      <c r="H423" t="n">
        <v>6979</v>
      </c>
      <c r="I423">
        <f>I307</f>
        <v/>
      </c>
      <c r="J423" t="n">
        <v>7000</v>
      </c>
      <c r="K423" t="inlineStr">
        <is>
          <t>Market Place (London) Holdings Ltd</t>
        </is>
      </c>
      <c r="L423" s="869" t="n">
        <v>44185</v>
      </c>
      <c r="M423" s="869" t="n">
        <v>47836</v>
      </c>
      <c r="O423" s="869" t="n">
        <v>46011</v>
      </c>
      <c r="Q423" t="n">
        <v>420000</v>
      </c>
      <c r="R423">
        <f>R307</f>
        <v/>
      </c>
      <c r="S423">
        <f>S307</f>
        <v/>
      </c>
      <c r="T423" t="n">
        <v>364600</v>
      </c>
      <c r="U423">
        <f>U307</f>
        <v/>
      </c>
      <c r="V423" t="n">
        <v>414100</v>
      </c>
      <c r="W423">
        <f>W307</f>
        <v/>
      </c>
      <c r="X423">
        <f>W307/I307</f>
        <v/>
      </c>
      <c r="Y423">
        <f>SUM(W307-U307)/U307</f>
        <v/>
      </c>
      <c r="Z423" t="inlineStr">
        <is>
          <t>E</t>
        </is>
      </c>
      <c r="AB423" t="n">
        <v>7475000</v>
      </c>
      <c r="AC423" t="inlineStr">
        <is>
          <t>No</t>
        </is>
      </c>
      <c r="AD423" t="inlineStr">
        <is>
          <t>Upper floors sublet.</t>
        </is>
      </c>
      <c r="AI423" t="inlineStr">
        <is>
          <t>Let</t>
        </is>
      </c>
    </row>
    <row r="424"/>
    <row r="425">
      <c r="A425" s="868" t="inlineStr">
        <is>
          <t>Radiant House, 34-38 Mortimer Street &amp; 3-4 Bywell Place</t>
        </is>
      </c>
    </row>
    <row r="426">
      <c r="A426" t="inlineStr">
        <is>
          <t xml:space="preserve">  Showroom/Studio</t>
        </is>
      </c>
      <c r="B426" t="inlineStr">
        <is>
          <t>JM</t>
        </is>
      </c>
      <c r="C426" t="inlineStr">
        <is>
          <t>MEL</t>
        </is>
      </c>
      <c r="D426" t="n">
        <v>550940</v>
      </c>
      <c r="E426" t="inlineStr">
        <is>
          <t>Radiant House, 34-38 Mortimer Street &amp; 3-4 Bywell Place</t>
        </is>
      </c>
      <c r="F426" t="inlineStr">
        <is>
          <t>Ground &amp; Basement (34)</t>
        </is>
      </c>
      <c r="G426" t="inlineStr">
        <is>
          <t>Showroom/Studio</t>
        </is>
      </c>
      <c r="H426" t="n">
        <v>2662</v>
      </c>
      <c r="I426">
        <f>I308</f>
        <v/>
      </c>
      <c r="J426" t="n">
        <v>2500</v>
      </c>
      <c r="K426" t="inlineStr">
        <is>
          <t>Ab-Anbar Limited</t>
        </is>
      </c>
      <c r="L426" s="869" t="n">
        <v>44942</v>
      </c>
      <c r="M426" s="869" t="n">
        <v>46767</v>
      </c>
      <c r="P426" s="869" t="n">
        <v>46037</v>
      </c>
      <c r="Q426" t="n">
        <v>100000</v>
      </c>
      <c r="R426">
        <f>R308</f>
        <v/>
      </c>
      <c r="T426" t="n">
        <v>100000</v>
      </c>
      <c r="U426">
        <f>U308</f>
        <v/>
      </c>
      <c r="V426" t="n">
        <v>100000</v>
      </c>
      <c r="W426">
        <f>W308</f>
        <v/>
      </c>
      <c r="X426">
        <f>W308/I308</f>
        <v/>
      </c>
      <c r="Y426">
        <f>SUM(W308-U308)/U308</f>
        <v/>
      </c>
      <c r="Z426" t="inlineStr">
        <is>
          <t>E</t>
        </is>
      </c>
      <c r="AC426" t="inlineStr">
        <is>
          <t>No</t>
        </is>
      </c>
      <c r="AD426" t="inlineStr">
        <is>
          <t>Tenant break on 6 months notice. 3 months rent free if not exercised.</t>
        </is>
      </c>
      <c r="AI426" t="inlineStr">
        <is>
          <t>Let</t>
        </is>
      </c>
    </row>
    <row r="427">
      <c r="A427" t="inlineStr">
        <is>
          <t xml:space="preserve">  Office</t>
        </is>
      </c>
      <c r="B427" t="inlineStr">
        <is>
          <t>JM</t>
        </is>
      </c>
      <c r="C427" t="inlineStr">
        <is>
          <t>MEL</t>
        </is>
      </c>
      <c r="D427" t="n">
        <v>550940</v>
      </c>
      <c r="E427" t="inlineStr">
        <is>
          <t>Radiant House, 34-38 Mortimer Street &amp; 3-4 Bywell Place</t>
        </is>
      </c>
      <c r="F427" t="inlineStr">
        <is>
          <t>Ground &amp; Basement (36-38)</t>
        </is>
      </c>
      <c r="G427" t="inlineStr">
        <is>
          <t>Office</t>
        </is>
      </c>
      <c r="H427" t="n">
        <v>3452</v>
      </c>
      <c r="I427">
        <f>I309</f>
        <v/>
      </c>
      <c r="J427" t="n">
        <v>3500</v>
      </c>
      <c r="K427" t="inlineStr">
        <is>
          <t>Europride Ltd.</t>
        </is>
      </c>
      <c r="L427" s="869" t="n">
        <v>45707</v>
      </c>
      <c r="M427" s="869" t="n">
        <v>46071</v>
      </c>
      <c r="P427" s="869" t="n">
        <v>45887</v>
      </c>
      <c r="Q427" t="n">
        <v>138440</v>
      </c>
      <c r="R427">
        <f>R309</f>
        <v/>
      </c>
      <c r="T427" t="n">
        <v>109600</v>
      </c>
      <c r="U427">
        <f>U309</f>
        <v/>
      </c>
      <c r="V427" t="n">
        <v>112000</v>
      </c>
      <c r="W427">
        <f>W309</f>
        <v/>
      </c>
      <c r="X427">
        <f>W309/I309</f>
        <v/>
      </c>
      <c r="Y427">
        <f>SUM(W309-U309)/U309</f>
        <v/>
      </c>
      <c r="Z427" t="inlineStr">
        <is>
          <t>E</t>
        </is>
      </c>
      <c r="AC427" t="inlineStr">
        <is>
          <t>No</t>
        </is>
      </c>
      <c r="AD427" t="inlineStr">
        <is>
          <t>Tenant break on 6 months notice.</t>
        </is>
      </c>
      <c r="AI427" t="inlineStr">
        <is>
          <t>Let</t>
        </is>
      </c>
    </row>
    <row r="428">
      <c r="A428" t="inlineStr">
        <is>
          <t xml:space="preserve">  Office</t>
        </is>
      </c>
      <c r="B428" t="inlineStr">
        <is>
          <t>JM</t>
        </is>
      </c>
      <c r="C428" t="inlineStr">
        <is>
          <t>MEL</t>
        </is>
      </c>
      <c r="D428" t="n">
        <v>550940</v>
      </c>
      <c r="E428" t="inlineStr">
        <is>
          <t>Radiant House, 34-38 Mortimer Street &amp; 3-4 Bywell Place</t>
        </is>
      </c>
      <c r="F428" t="inlineStr">
        <is>
          <t>Part Ground, First to Fourth Floor (34)</t>
        </is>
      </c>
      <c r="G428" t="inlineStr">
        <is>
          <t>Office</t>
        </is>
      </c>
      <c r="H428" t="n">
        <v>2274</v>
      </c>
      <c r="I428">
        <f>I310</f>
        <v/>
      </c>
      <c r="J428" t="n">
        <v>2250</v>
      </c>
      <c r="K428" t="inlineStr">
        <is>
          <t>Vacant</t>
        </is>
      </c>
      <c r="N428" s="869" t="n">
        <v>44280</v>
      </c>
      <c r="Q428" t="n">
        <v>0</v>
      </c>
      <c r="R428">
        <f>R310</f>
        <v/>
      </c>
      <c r="T428" t="n">
        <v>124700</v>
      </c>
      <c r="U428">
        <f>U310</f>
        <v/>
      </c>
      <c r="V428" t="n">
        <v>125100</v>
      </c>
      <c r="W428">
        <f>W310</f>
        <v/>
      </c>
      <c r="X428">
        <f>W310/I310</f>
        <v/>
      </c>
      <c r="Y428">
        <f>SUM(W310-U310)/U310</f>
        <v/>
      </c>
      <c r="Z428" t="inlineStr">
        <is>
          <t>E</t>
        </is>
      </c>
      <c r="AC428" t="inlineStr">
        <is>
          <t>Yes</t>
        </is>
      </c>
      <c r="AD428" t="inlineStr">
        <is>
          <t>LEM marketing.</t>
        </is>
      </c>
      <c r="AI428" t="inlineStr">
        <is>
          <t>Void</t>
        </is>
      </c>
    </row>
    <row r="429">
      <c r="A429" t="inlineStr">
        <is>
          <t xml:space="preserve">  Office</t>
        </is>
      </c>
      <c r="B429" t="inlineStr">
        <is>
          <t>JM</t>
        </is>
      </c>
      <c r="C429" t="inlineStr">
        <is>
          <t>MEL</t>
        </is>
      </c>
      <c r="D429" t="n">
        <v>550940</v>
      </c>
      <c r="E429" t="inlineStr">
        <is>
          <t>Radiant House, 34-38 Mortimer Street &amp; 3-4 Bywell Place</t>
        </is>
      </c>
      <c r="F429" t="inlineStr">
        <is>
          <t>First (36-38)</t>
        </is>
      </c>
      <c r="G429" t="inlineStr">
        <is>
          <t>Office</t>
        </is>
      </c>
      <c r="H429" t="n">
        <v>1201</v>
      </c>
      <c r="I429">
        <f>I311</f>
        <v/>
      </c>
      <c r="J429" t="n">
        <v>1250</v>
      </c>
      <c r="K429" t="inlineStr">
        <is>
          <t>Vacant</t>
        </is>
      </c>
      <c r="N429" s="869" t="n">
        <v>45521</v>
      </c>
      <c r="Q429" t="n">
        <v>0</v>
      </c>
      <c r="R429">
        <f>R311</f>
        <v/>
      </c>
      <c r="T429" t="n">
        <v>64100</v>
      </c>
      <c r="U429">
        <f>U311</f>
        <v/>
      </c>
      <c r="V429" t="n">
        <v>63100</v>
      </c>
      <c r="W429">
        <f>W311</f>
        <v/>
      </c>
      <c r="X429">
        <f>W311/I311</f>
        <v/>
      </c>
      <c r="Y429">
        <f>SUM(W311-U311)/U311</f>
        <v/>
      </c>
      <c r="Z429" t="inlineStr">
        <is>
          <t>D</t>
        </is>
      </c>
      <c r="AC429" t="inlineStr">
        <is>
          <t>No</t>
        </is>
      </c>
      <c r="AD429" t="inlineStr">
        <is>
          <t>LEM marketing.</t>
        </is>
      </c>
      <c r="AG429" t="n">
        <v>2</v>
      </c>
      <c r="AI429" t="inlineStr">
        <is>
          <t>Void</t>
        </is>
      </c>
    </row>
    <row r="430">
      <c r="A430" t="inlineStr">
        <is>
          <t xml:space="preserve">  Office</t>
        </is>
      </c>
      <c r="B430" t="inlineStr">
        <is>
          <t>JM</t>
        </is>
      </c>
      <c r="C430" t="inlineStr">
        <is>
          <t>MEL</t>
        </is>
      </c>
      <c r="D430" t="n">
        <v>550940</v>
      </c>
      <c r="E430" t="inlineStr">
        <is>
          <t>Radiant House, 34-38 Mortimer Street &amp; 3-4 Bywell Place</t>
        </is>
      </c>
      <c r="F430" t="inlineStr">
        <is>
          <t>Second (36-38)</t>
        </is>
      </c>
      <c r="G430" t="inlineStr">
        <is>
          <t>Office</t>
        </is>
      </c>
      <c r="H430" t="n">
        <v>1255</v>
      </c>
      <c r="I430">
        <f>I312</f>
        <v/>
      </c>
      <c r="J430" t="n">
        <v>1250</v>
      </c>
      <c r="K430" t="inlineStr">
        <is>
          <t>Vacant</t>
        </is>
      </c>
      <c r="N430" s="869" t="n">
        <v>44320</v>
      </c>
      <c r="Q430" t="n">
        <v>0</v>
      </c>
      <c r="R430">
        <f>R312</f>
        <v/>
      </c>
      <c r="T430" t="n">
        <v>67300</v>
      </c>
      <c r="U430">
        <f>U312</f>
        <v/>
      </c>
      <c r="V430" t="n">
        <v>69000</v>
      </c>
      <c r="W430">
        <f>W312</f>
        <v/>
      </c>
      <c r="X430">
        <f>W312/I312</f>
        <v/>
      </c>
      <c r="Y430">
        <f>SUM(W312-U312)/U312</f>
        <v/>
      </c>
      <c r="Z430" t="inlineStr">
        <is>
          <t>D</t>
        </is>
      </c>
      <c r="AC430" t="inlineStr">
        <is>
          <t>No</t>
        </is>
      </c>
      <c r="AD430" t="inlineStr">
        <is>
          <t>To be refurbished.</t>
        </is>
      </c>
      <c r="AG430" t="n">
        <v>2</v>
      </c>
      <c r="AI430" t="inlineStr">
        <is>
          <t>Void</t>
        </is>
      </c>
    </row>
    <row r="431">
      <c r="A431" t="inlineStr">
        <is>
          <t xml:space="preserve">  Office</t>
        </is>
      </c>
      <c r="B431" t="inlineStr">
        <is>
          <t>JM</t>
        </is>
      </c>
      <c r="C431" t="inlineStr">
        <is>
          <t>MEL</t>
        </is>
      </c>
      <c r="D431" t="n">
        <v>550940</v>
      </c>
      <c r="E431" t="inlineStr">
        <is>
          <t>Radiant House, 34-38 Mortimer Street &amp; 3-4 Bywell Place</t>
        </is>
      </c>
      <c r="F431" t="inlineStr">
        <is>
          <t>Third (36-38)</t>
        </is>
      </c>
      <c r="G431" t="inlineStr">
        <is>
          <t>Office</t>
        </is>
      </c>
      <c r="H431" t="n">
        <v>1252</v>
      </c>
      <c r="I431">
        <f>I313</f>
        <v/>
      </c>
      <c r="J431" t="n">
        <v>1250</v>
      </c>
      <c r="K431" t="inlineStr">
        <is>
          <t>Vacant</t>
        </is>
      </c>
      <c r="N431" s="869" t="n">
        <v>44622</v>
      </c>
      <c r="Q431" t="n">
        <v>0</v>
      </c>
      <c r="R431">
        <f>R313</f>
        <v/>
      </c>
      <c r="T431" t="n">
        <v>67600</v>
      </c>
      <c r="U431">
        <f>U313</f>
        <v/>
      </c>
      <c r="V431" t="n">
        <v>68900</v>
      </c>
      <c r="W431">
        <f>W313</f>
        <v/>
      </c>
      <c r="X431">
        <f>W313/I313</f>
        <v/>
      </c>
      <c r="Y431">
        <f>SUM(W313-U313)/U313</f>
        <v/>
      </c>
      <c r="Z431" t="inlineStr">
        <is>
          <t>E</t>
        </is>
      </c>
      <c r="AC431" t="inlineStr">
        <is>
          <t>No</t>
        </is>
      </c>
      <c r="AD431" t="inlineStr">
        <is>
          <t>To be refurbished.</t>
        </is>
      </c>
      <c r="AG431" t="n">
        <v>2</v>
      </c>
      <c r="AI431" t="inlineStr">
        <is>
          <t>Void</t>
        </is>
      </c>
    </row>
    <row r="432">
      <c r="A432" t="inlineStr">
        <is>
          <t xml:space="preserve">  Office</t>
        </is>
      </c>
      <c r="B432" t="inlineStr">
        <is>
          <t>JM</t>
        </is>
      </c>
      <c r="C432" t="inlineStr">
        <is>
          <t>MEL</t>
        </is>
      </c>
      <c r="D432" t="n">
        <v>550940</v>
      </c>
      <c r="E432" t="inlineStr">
        <is>
          <t>Radiant House, 34-38 Mortimer Street &amp; 3-4 Bywell Place</t>
        </is>
      </c>
      <c r="F432" t="inlineStr">
        <is>
          <t>Fourth (36-38)</t>
        </is>
      </c>
      <c r="G432" t="inlineStr">
        <is>
          <t>Office</t>
        </is>
      </c>
      <c r="H432" t="n">
        <v>1055</v>
      </c>
      <c r="I432">
        <f>I314</f>
        <v/>
      </c>
      <c r="J432" t="n">
        <v>1000</v>
      </c>
      <c r="K432" t="inlineStr">
        <is>
          <t>Carver Associates Ltd.</t>
        </is>
      </c>
      <c r="L432" s="869" t="n">
        <v>44887</v>
      </c>
      <c r="M432" s="869" t="n">
        <v>46712</v>
      </c>
      <c r="O432" s="869" t="n">
        <v>45983</v>
      </c>
      <c r="P432" s="869" t="n">
        <v>45982</v>
      </c>
      <c r="Q432" t="n">
        <v>63070</v>
      </c>
      <c r="R432">
        <f>R314</f>
        <v/>
      </c>
      <c r="T432" t="n">
        <v>61000</v>
      </c>
      <c r="U432">
        <f>U314</f>
        <v/>
      </c>
      <c r="V432" t="n">
        <v>60700</v>
      </c>
      <c r="W432">
        <f>W314</f>
        <v/>
      </c>
      <c r="X432">
        <f>W314/I314</f>
        <v/>
      </c>
      <c r="Y432">
        <f>SUM(W314-U314)/U314</f>
        <v/>
      </c>
      <c r="Z432" t="inlineStr">
        <is>
          <t>D</t>
        </is>
      </c>
      <c r="AC432" t="inlineStr">
        <is>
          <t>No</t>
        </is>
      </c>
      <c r="AD432" t="inlineStr">
        <is>
          <t xml:space="preserve">Tenant has annual breaks on 6 months notice. </t>
        </is>
      </c>
      <c r="AI432" t="inlineStr">
        <is>
          <t>Let</t>
        </is>
      </c>
    </row>
    <row r="433">
      <c r="A433" t="inlineStr">
        <is>
          <t xml:space="preserve">  Office</t>
        </is>
      </c>
      <c r="B433" t="inlineStr">
        <is>
          <t>JM</t>
        </is>
      </c>
      <c r="C433" t="inlineStr">
        <is>
          <t>MEL</t>
        </is>
      </c>
      <c r="D433" t="n">
        <v>550940</v>
      </c>
      <c r="E433" t="inlineStr">
        <is>
          <t>Radiant House, 34-38 Mortimer Street &amp; 3-4 Bywell Place</t>
        </is>
      </c>
      <c r="F433" t="inlineStr">
        <is>
          <t>Ground &amp; Basement, 3-4 Bywell Place</t>
        </is>
      </c>
      <c r="G433" t="inlineStr">
        <is>
          <t>Office</t>
        </is>
      </c>
      <c r="H433" t="n">
        <v>1167</v>
      </c>
      <c r="I433">
        <f>I315</f>
        <v/>
      </c>
      <c r="J433" t="n">
        <v>1000</v>
      </c>
      <c r="K433" t="inlineStr">
        <is>
          <t>Solo60 Ltd</t>
        </is>
      </c>
      <c r="L433" s="869" t="n">
        <v>45573</v>
      </c>
      <c r="M433" s="869" t="n">
        <v>47398</v>
      </c>
      <c r="Q433" t="n">
        <v>46800</v>
      </c>
      <c r="R433">
        <f>R315</f>
        <v/>
      </c>
      <c r="T433" t="n">
        <v>37700</v>
      </c>
      <c r="U433">
        <f>U315</f>
        <v/>
      </c>
      <c r="V433" t="n">
        <v>46800</v>
      </c>
      <c r="W433">
        <f>W315</f>
        <v/>
      </c>
      <c r="X433">
        <f>W315/I315</f>
        <v/>
      </c>
      <c r="Y433">
        <f>SUM(W315-U315)/U315</f>
        <v/>
      </c>
      <c r="Z433" t="inlineStr">
        <is>
          <t>B</t>
        </is>
      </c>
      <c r="AA433" t="inlineStr">
        <is>
          <t>*</t>
        </is>
      </c>
      <c r="AC433" t="inlineStr">
        <is>
          <t>No</t>
        </is>
      </c>
      <c r="AI433" t="inlineStr">
        <is>
          <t>Let</t>
        </is>
      </c>
    </row>
    <row r="434">
      <c r="A434" t="inlineStr">
        <is>
          <t xml:space="preserve">  Office</t>
        </is>
      </c>
      <c r="B434" t="inlineStr">
        <is>
          <t>JM</t>
        </is>
      </c>
      <c r="C434" t="inlineStr">
        <is>
          <t>MEL</t>
        </is>
      </c>
      <c r="D434" t="n">
        <v>550940</v>
      </c>
      <c r="E434" t="inlineStr">
        <is>
          <t>Radiant House, 34-38 Mortimer Street &amp; 3-4 Bywell Place</t>
        </is>
      </c>
      <c r="F434" t="inlineStr">
        <is>
          <t>First , 3-4 Bywell Place</t>
        </is>
      </c>
      <c r="G434" t="inlineStr">
        <is>
          <t>Office</t>
        </is>
      </c>
      <c r="H434" t="n">
        <v>922</v>
      </c>
      <c r="I434">
        <f>I316</f>
        <v/>
      </c>
      <c r="J434" t="n">
        <v>1000</v>
      </c>
      <c r="K434" t="inlineStr">
        <is>
          <t>Olsen UK Limited</t>
        </is>
      </c>
      <c r="L434" s="869" t="n">
        <v>45204</v>
      </c>
      <c r="M434" s="869" t="n">
        <v>46299</v>
      </c>
      <c r="Q434" t="n">
        <v>45800</v>
      </c>
      <c r="R434">
        <f>R316</f>
        <v/>
      </c>
      <c r="T434" t="n">
        <v>39100</v>
      </c>
      <c r="U434">
        <f>U316</f>
        <v/>
      </c>
      <c r="V434" t="n">
        <v>39200</v>
      </c>
      <c r="W434">
        <f>W316</f>
        <v/>
      </c>
      <c r="X434">
        <f>W316/I316</f>
        <v/>
      </c>
      <c r="Y434">
        <f>SUM(W316-U316)/U316</f>
        <v/>
      </c>
      <c r="Z434" t="inlineStr">
        <is>
          <t>B</t>
        </is>
      </c>
      <c r="AA434" t="inlineStr">
        <is>
          <t>*</t>
        </is>
      </c>
      <c r="AC434" t="inlineStr">
        <is>
          <t>No</t>
        </is>
      </c>
      <c r="AI434" t="inlineStr">
        <is>
          <t>Let</t>
        </is>
      </c>
    </row>
    <row r="435">
      <c r="A435" t="inlineStr">
        <is>
          <t xml:space="preserve">  Office</t>
        </is>
      </c>
      <c r="B435" t="inlineStr">
        <is>
          <t>JM</t>
        </is>
      </c>
      <c r="C435" t="inlineStr">
        <is>
          <t>MEL</t>
        </is>
      </c>
      <c r="D435" t="n">
        <v>550940</v>
      </c>
      <c r="E435" t="inlineStr">
        <is>
          <t>Radiant House, 34-38 Mortimer Street &amp; 3-4 Bywell Place</t>
        </is>
      </c>
      <c r="F435" t="inlineStr">
        <is>
          <t>Second, 3-4 Bywell Place</t>
        </is>
      </c>
      <c r="G435" t="inlineStr">
        <is>
          <t>Office</t>
        </is>
      </c>
      <c r="H435" t="n">
        <v>781</v>
      </c>
      <c r="I435">
        <f>I317</f>
        <v/>
      </c>
      <c r="J435" t="n">
        <v>750</v>
      </c>
      <c r="K435" t="inlineStr">
        <is>
          <t>Vacant</t>
        </is>
      </c>
      <c r="N435" s="869" t="n">
        <v>45383</v>
      </c>
      <c r="Q435" t="n">
        <v>0</v>
      </c>
      <c r="R435">
        <f>R317</f>
        <v/>
      </c>
      <c r="T435" t="n">
        <v>37300</v>
      </c>
      <c r="U435">
        <f>U317</f>
        <v/>
      </c>
      <c r="V435" t="n">
        <v>33200</v>
      </c>
      <c r="W435">
        <f>W317</f>
        <v/>
      </c>
      <c r="X435">
        <f>W317/I317</f>
        <v/>
      </c>
      <c r="Y435">
        <f>SUM(W317-U317)/U317</f>
        <v/>
      </c>
      <c r="Z435" t="inlineStr">
        <is>
          <t>B</t>
        </is>
      </c>
      <c r="AA435" t="inlineStr">
        <is>
          <t>*</t>
        </is>
      </c>
      <c r="AC435" t="inlineStr">
        <is>
          <t>No</t>
        </is>
      </c>
      <c r="AD435" t="inlineStr">
        <is>
          <t>LEM marketing.</t>
        </is>
      </c>
      <c r="AI435" t="inlineStr">
        <is>
          <t>Void</t>
        </is>
      </c>
    </row>
    <row r="436"/>
    <row r="437">
      <c r="A437" s="868" t="inlineStr">
        <is>
          <t>Gilmoora House, 57-61 Mortimer Street</t>
        </is>
      </c>
    </row>
    <row r="438">
      <c r="A438" t="inlineStr">
        <is>
          <t xml:space="preserve">  Medical</t>
        </is>
      </c>
      <c r="B438" t="inlineStr">
        <is>
          <t>CM</t>
        </is>
      </c>
      <c r="C438" t="inlineStr">
        <is>
          <t>MEL</t>
        </is>
      </c>
      <c r="D438" t="n">
        <v>550390</v>
      </c>
      <c r="E438" t="inlineStr">
        <is>
          <t>Gilmoora House, 57-61 Mortimer Street</t>
        </is>
      </c>
      <c r="F438" t="inlineStr">
        <is>
          <t>Part Basement &amp; Part Ground Floor - 36 Gt Titchfield St</t>
        </is>
      </c>
      <c r="G438" t="inlineStr">
        <is>
          <t>Medical</t>
        </is>
      </c>
      <c r="H438" t="n">
        <v>6542</v>
      </c>
      <c r="I438">
        <f>I318</f>
        <v/>
      </c>
      <c r="J438" t="n">
        <v>6500</v>
      </c>
      <c r="K438" t="inlineStr">
        <is>
          <t>The Central London Clinic Ltd.</t>
        </is>
      </c>
      <c r="L438" s="869" t="n">
        <v>44609</v>
      </c>
      <c r="M438" s="869" t="n">
        <v>50087</v>
      </c>
      <c r="O438" s="869" t="n">
        <v>46435</v>
      </c>
      <c r="P438" s="869" t="n">
        <v>48260</v>
      </c>
      <c r="Q438" t="n">
        <v>210000</v>
      </c>
      <c r="R438">
        <f>R318</f>
        <v/>
      </c>
      <c r="T438" t="n">
        <v>210000</v>
      </c>
      <c r="U438">
        <f>U318</f>
        <v/>
      </c>
      <c r="V438" t="n">
        <v>232000</v>
      </c>
      <c r="W438">
        <f>W318</f>
        <v/>
      </c>
      <c r="X438">
        <f>W318/I318</f>
        <v/>
      </c>
      <c r="Y438">
        <f>SUM(W318-U318)/U318</f>
        <v/>
      </c>
      <c r="Z438" t="inlineStr">
        <is>
          <t>A</t>
        </is>
      </c>
      <c r="AC438" t="inlineStr">
        <is>
          <t>No</t>
        </is>
      </c>
      <c r="AD438" t="inlineStr">
        <is>
          <t>Mutual break on 6 months notice.</t>
        </is>
      </c>
      <c r="AI438" t="inlineStr">
        <is>
          <t>Let</t>
        </is>
      </c>
    </row>
    <row r="439">
      <c r="A439" t="inlineStr">
        <is>
          <t xml:space="preserve">  Office</t>
        </is>
      </c>
      <c r="B439" t="inlineStr">
        <is>
          <t>CM</t>
        </is>
      </c>
      <c r="C439" t="inlineStr">
        <is>
          <t>MEL</t>
        </is>
      </c>
      <c r="D439" t="n">
        <v>550390</v>
      </c>
      <c r="E439" t="inlineStr">
        <is>
          <t>Gilmoora House, 57-61 Mortimer Street</t>
        </is>
      </c>
      <c r="F439" t="inlineStr">
        <is>
          <t>Part Ground to Fifth Floors</t>
        </is>
      </c>
      <c r="G439" t="inlineStr">
        <is>
          <t>Office</t>
        </is>
      </c>
      <c r="H439" t="n">
        <v>20993</v>
      </c>
      <c r="I439">
        <f>I319</f>
        <v/>
      </c>
      <c r="J439" t="n">
        <v>21000</v>
      </c>
      <c r="K439" t="inlineStr">
        <is>
          <t>Gilmoora House Ltd</t>
        </is>
      </c>
      <c r="L439" s="869" t="n">
        <v>45564</v>
      </c>
      <c r="M439" s="869" t="n">
        <v>47389</v>
      </c>
      <c r="Q439" t="n">
        <v>1000000</v>
      </c>
      <c r="R439">
        <f>R319</f>
        <v/>
      </c>
      <c r="T439" t="n">
        <v>1688000</v>
      </c>
      <c r="U439">
        <f>U319</f>
        <v/>
      </c>
      <c r="V439" t="n">
        <v>1953000</v>
      </c>
      <c r="W439">
        <f>W319</f>
        <v/>
      </c>
      <c r="X439">
        <f>W319/I319</f>
        <v/>
      </c>
      <c r="Y439">
        <f>SUM(W319-U319)/U319</f>
        <v/>
      </c>
      <c r="Z439" t="inlineStr">
        <is>
          <t>E</t>
        </is>
      </c>
      <c r="AC439" t="inlineStr">
        <is>
          <t>No</t>
        </is>
      </c>
      <c r="AD439" t="inlineStr">
        <is>
          <t>Internal Lease to another Lee Family Group Company.</t>
        </is>
      </c>
      <c r="AI439" t="inlineStr">
        <is>
          <t>Let</t>
        </is>
      </c>
    </row>
    <row r="440"/>
    <row r="441">
      <c r="A441" s="868" t="inlineStr">
        <is>
          <t>67 - 81 Mortimer Street</t>
        </is>
      </c>
    </row>
    <row r="442">
      <c r="A442" t="inlineStr">
        <is>
          <t xml:space="preserve">  Shop</t>
        </is>
      </c>
      <c r="B442" t="inlineStr">
        <is>
          <t>WS</t>
        </is>
      </c>
      <c r="C442" t="inlineStr">
        <is>
          <t>MEL</t>
        </is>
      </c>
      <c r="D442" t="n">
        <v>550870</v>
      </c>
      <c r="E442" t="inlineStr">
        <is>
          <t>67 - 81 Mortimer Street</t>
        </is>
      </c>
      <c r="F442" t="inlineStr">
        <is>
          <t>Ground Floor &amp; Bsmt. (No.67)</t>
        </is>
      </c>
      <c r="G442" t="inlineStr">
        <is>
          <t>Shop</t>
        </is>
      </c>
      <c r="H442" t="n">
        <v>1330</v>
      </c>
      <c r="I442">
        <f>I320</f>
        <v/>
      </c>
      <c r="J442" t="n">
        <v>1250</v>
      </c>
      <c r="K442" t="inlineStr">
        <is>
          <t>Status Beauty Limited</t>
        </is>
      </c>
      <c r="L442" s="869" t="n">
        <v>44936</v>
      </c>
      <c r="M442" s="869" t="n">
        <v>46761</v>
      </c>
      <c r="P442" s="869" t="n">
        <v>46031</v>
      </c>
      <c r="Q442" t="n">
        <v>70000</v>
      </c>
      <c r="R442">
        <f>R320</f>
        <v/>
      </c>
      <c r="T442" t="n">
        <v>69900</v>
      </c>
      <c r="U442">
        <f>U320</f>
        <v/>
      </c>
      <c r="V442" t="n">
        <v>69900</v>
      </c>
      <c r="W442">
        <f>W320</f>
        <v/>
      </c>
      <c r="X442">
        <f>W320/I320</f>
        <v/>
      </c>
      <c r="Y442">
        <f>SUM(W320-U320)/U320</f>
        <v/>
      </c>
      <c r="Z442" t="inlineStr">
        <is>
          <t>D</t>
        </is>
      </c>
      <c r="AC442" t="inlineStr">
        <is>
          <t>No</t>
        </is>
      </c>
      <c r="AD442" t="inlineStr">
        <is>
          <t>Tenant break on 6 months notice. Rent free from 10/01/26 to 28/03/26 if not exercised.</t>
        </is>
      </c>
      <c r="AI442" t="inlineStr">
        <is>
          <t>Let</t>
        </is>
      </c>
    </row>
    <row r="443">
      <c r="A443" t="inlineStr">
        <is>
          <t xml:space="preserve">  Shop/ Showroom</t>
        </is>
      </c>
      <c r="B443" t="inlineStr">
        <is>
          <t>WS</t>
        </is>
      </c>
      <c r="C443" t="inlineStr">
        <is>
          <t>MEL</t>
        </is>
      </c>
      <c r="D443" t="n">
        <v>550870</v>
      </c>
      <c r="E443" t="inlineStr">
        <is>
          <t>67 - 81 Mortimer Street</t>
        </is>
      </c>
      <c r="F443" t="inlineStr">
        <is>
          <t>Ground Floor &amp; Bsmt. (No.69)</t>
        </is>
      </c>
      <c r="G443" t="inlineStr">
        <is>
          <t>Shop/ Showroom</t>
        </is>
      </c>
      <c r="H443" t="n">
        <v>1486</v>
      </c>
      <c r="I443">
        <f>I321</f>
        <v/>
      </c>
      <c r="J443" t="n">
        <v>1500</v>
      </c>
      <c r="K443" t="inlineStr">
        <is>
          <t>ABC Smile Limited</t>
        </is>
      </c>
      <c r="L443" s="869" t="n">
        <v>44314</v>
      </c>
      <c r="M443" s="869" t="n">
        <v>47965</v>
      </c>
      <c r="P443" s="869" t="n">
        <v>46139</v>
      </c>
      <c r="Q443" t="n">
        <v>59500</v>
      </c>
      <c r="R443">
        <f>R321</f>
        <v/>
      </c>
      <c r="T443" t="n">
        <v>64900</v>
      </c>
      <c r="U443">
        <f>U321</f>
        <v/>
      </c>
      <c r="V443" t="n">
        <v>64900</v>
      </c>
      <c r="W443">
        <f>W321</f>
        <v/>
      </c>
      <c r="X443">
        <f>W321/I321</f>
        <v/>
      </c>
      <c r="Y443">
        <f>SUM(W321-U321)/U321</f>
        <v/>
      </c>
      <c r="Z443" t="inlineStr">
        <is>
          <t>C</t>
        </is>
      </c>
      <c r="AC443" t="inlineStr">
        <is>
          <t>No</t>
        </is>
      </c>
      <c r="AD443" t="inlineStr">
        <is>
          <t>Tenant break on 6 month notice.</t>
        </is>
      </c>
      <c r="AI443" t="inlineStr">
        <is>
          <t>Let</t>
        </is>
      </c>
    </row>
    <row r="444">
      <c r="A444" t="inlineStr">
        <is>
          <t xml:space="preserve">  Shop/ Showroom</t>
        </is>
      </c>
      <c r="B444" t="inlineStr">
        <is>
          <t>WS</t>
        </is>
      </c>
      <c r="C444" t="inlineStr">
        <is>
          <t>MEL</t>
        </is>
      </c>
      <c r="D444" t="n">
        <v>550870</v>
      </c>
      <c r="E444" t="inlineStr">
        <is>
          <t>67 - 81 Mortimer Street</t>
        </is>
      </c>
      <c r="F444" t="inlineStr">
        <is>
          <t>Ground Floor &amp; Bsmt. (No.71)</t>
        </is>
      </c>
      <c r="G444" t="inlineStr">
        <is>
          <t>Shop/ Showroom</t>
        </is>
      </c>
      <c r="H444" t="n">
        <v>1204</v>
      </c>
      <c r="I444">
        <f>I322</f>
        <v/>
      </c>
      <c r="J444" t="n">
        <v>1250</v>
      </c>
      <c r="K444" t="inlineStr">
        <is>
          <t>Folia Ltd.</t>
        </is>
      </c>
      <c r="L444" s="869" t="n">
        <v>45741</v>
      </c>
      <c r="M444" s="869" t="n">
        <v>46836</v>
      </c>
      <c r="P444" s="869" t="n">
        <v>46106</v>
      </c>
      <c r="Q444" t="n">
        <v>0</v>
      </c>
      <c r="R444">
        <f>R322</f>
        <v/>
      </c>
      <c r="T444" t="n">
        <v>53100</v>
      </c>
      <c r="U444">
        <f>U322</f>
        <v/>
      </c>
      <c r="V444" t="n">
        <v>53100</v>
      </c>
      <c r="W444">
        <f>W322</f>
        <v/>
      </c>
      <c r="X444">
        <f>W322/I322</f>
        <v/>
      </c>
      <c r="Y444">
        <f>SUM(W322-U322)/U322</f>
        <v/>
      </c>
      <c r="Z444" t="inlineStr">
        <is>
          <t>C</t>
        </is>
      </c>
      <c r="AC444" t="inlineStr">
        <is>
          <t>No</t>
        </is>
      </c>
      <c r="AD444" t="inlineStr">
        <is>
          <t>Rent £55,000 wef 6 weeks after landlord works completed. Work expected to complete by 27/06/25, Further tenant break 25/03/27.</t>
        </is>
      </c>
      <c r="AI444" t="inlineStr">
        <is>
          <t>Let</t>
        </is>
      </c>
    </row>
    <row r="445">
      <c r="A445" t="inlineStr">
        <is>
          <t xml:space="preserve">  Shop/ Showroom</t>
        </is>
      </c>
      <c r="B445" t="inlineStr">
        <is>
          <t>WS</t>
        </is>
      </c>
      <c r="C445" t="inlineStr">
        <is>
          <t>MEL</t>
        </is>
      </c>
      <c r="D445" t="n">
        <v>550870</v>
      </c>
      <c r="E445" t="inlineStr">
        <is>
          <t>67 - 81 Mortimer Street</t>
        </is>
      </c>
      <c r="F445" t="inlineStr">
        <is>
          <t>Ground Floor &amp; Bsmt. (No. 77)</t>
        </is>
      </c>
      <c r="G445" t="inlineStr">
        <is>
          <t>Shop/ Showroom</t>
        </is>
      </c>
      <c r="H445" t="n">
        <v>1119</v>
      </c>
      <c r="I445">
        <f>I323</f>
        <v/>
      </c>
      <c r="J445" t="n">
        <v>1250</v>
      </c>
      <c r="K445" t="inlineStr">
        <is>
          <t>Folia Ltd.</t>
        </is>
      </c>
      <c r="L445" s="869" t="n">
        <v>45741</v>
      </c>
      <c r="M445" s="869" t="n">
        <v>46836</v>
      </c>
      <c r="Q445" t="n">
        <v>55000</v>
      </c>
      <c r="R445">
        <f>R323</f>
        <v/>
      </c>
      <c r="T445" t="n">
        <v>51200</v>
      </c>
      <c r="U445">
        <f>U323</f>
        <v/>
      </c>
      <c r="V445" t="n">
        <v>51200</v>
      </c>
      <c r="W445">
        <f>W323</f>
        <v/>
      </c>
      <c r="X445">
        <f>W323/I323</f>
        <v/>
      </c>
      <c r="Y445">
        <f>SUM(W323-U323)/U323</f>
        <v/>
      </c>
      <c r="Z445" t="inlineStr">
        <is>
          <t>D</t>
        </is>
      </c>
      <c r="AC445" t="inlineStr">
        <is>
          <t>No</t>
        </is>
      </c>
      <c r="AI445" t="inlineStr">
        <is>
          <t>Let</t>
        </is>
      </c>
    </row>
    <row r="446">
      <c r="A446" t="inlineStr">
        <is>
          <t xml:space="preserve">  Restaurant</t>
        </is>
      </c>
      <c r="B446" t="inlineStr">
        <is>
          <t>WS</t>
        </is>
      </c>
      <c r="C446" t="inlineStr">
        <is>
          <t>MEL</t>
        </is>
      </c>
      <c r="D446" t="n">
        <v>550870</v>
      </c>
      <c r="E446" t="inlineStr">
        <is>
          <t>67 - 81 Mortimer Street</t>
        </is>
      </c>
      <c r="F446" t="inlineStr">
        <is>
          <t>Ground Floor &amp; Bsmt. (No.79-81)</t>
        </is>
      </c>
      <c r="G446" t="inlineStr">
        <is>
          <t>Restaurant</t>
        </is>
      </c>
      <c r="H446" t="n">
        <v>3114</v>
      </c>
      <c r="I446">
        <f>I324</f>
        <v/>
      </c>
      <c r="J446" t="n">
        <v>3000</v>
      </c>
      <c r="K446" t="inlineStr">
        <is>
          <t>PHBB Restaurants Ltd.</t>
        </is>
      </c>
      <c r="L446" s="869" t="n">
        <v>44143</v>
      </c>
      <c r="M446" s="869" t="n">
        <v>49620</v>
      </c>
      <c r="O446" s="869" t="n">
        <v>45969</v>
      </c>
      <c r="Q446" t="n">
        <v>175000</v>
      </c>
      <c r="R446">
        <f>R324</f>
        <v/>
      </c>
      <c r="T446" t="n">
        <v>146200</v>
      </c>
      <c r="U446">
        <f>U324</f>
        <v/>
      </c>
      <c r="V446" t="n">
        <v>146200</v>
      </c>
      <c r="W446">
        <f>W324</f>
        <v/>
      </c>
      <c r="X446">
        <f>W324/I324</f>
        <v/>
      </c>
      <c r="Y446">
        <f>SUM(W324-U324)/U324</f>
        <v/>
      </c>
      <c r="Z446" t="inlineStr">
        <is>
          <t>D</t>
        </is>
      </c>
      <c r="AC446" t="inlineStr">
        <is>
          <t>Yes</t>
        </is>
      </c>
      <c r="AD446" t="inlineStr">
        <is>
          <t xml:space="preserve">54 Act protected lease. All Inclusive (excl rates). </t>
        </is>
      </c>
      <c r="AI446" t="inlineStr">
        <is>
          <t>Let</t>
        </is>
      </c>
    </row>
    <row r="447">
      <c r="A447" t="inlineStr">
        <is>
          <t xml:space="preserve">  Office</t>
        </is>
      </c>
      <c r="B447" t="inlineStr">
        <is>
          <t>WS</t>
        </is>
      </c>
      <c r="C447" t="inlineStr">
        <is>
          <t>MEL</t>
        </is>
      </c>
      <c r="D447" t="n">
        <v>550870</v>
      </c>
      <c r="E447" t="inlineStr">
        <is>
          <t>67 - 81 Mortimer Street</t>
        </is>
      </c>
      <c r="F447" t="inlineStr">
        <is>
          <t>First Floor (East)</t>
        </is>
      </c>
      <c r="G447" t="inlineStr">
        <is>
          <t>Office</t>
        </is>
      </c>
      <c r="H447" t="n">
        <v>1560</v>
      </c>
      <c r="I447">
        <f>I325</f>
        <v/>
      </c>
      <c r="J447" t="n">
        <v>1500</v>
      </c>
      <c r="K447" t="inlineStr">
        <is>
          <t>Feel Films Ltd.</t>
        </is>
      </c>
      <c r="L447" s="869" t="n">
        <v>44732</v>
      </c>
      <c r="M447" s="869" t="n">
        <v>46557</v>
      </c>
      <c r="P447" s="869" t="n">
        <v>45827</v>
      </c>
      <c r="Q447" t="n">
        <v>67146</v>
      </c>
      <c r="R447">
        <f>R325</f>
        <v/>
      </c>
      <c r="T447" t="n">
        <v>85800</v>
      </c>
      <c r="U447">
        <f>U325</f>
        <v/>
      </c>
      <c r="V447" t="n">
        <v>85800</v>
      </c>
      <c r="W447">
        <f>W325</f>
        <v/>
      </c>
      <c r="X447">
        <f>W325/I325</f>
        <v/>
      </c>
      <c r="Y447">
        <f>SUM(W325-U325)/U325</f>
        <v/>
      </c>
      <c r="Z447" t="inlineStr">
        <is>
          <t>C</t>
        </is>
      </c>
      <c r="AC447" t="inlineStr">
        <is>
          <t>No</t>
        </is>
      </c>
      <c r="AD447" t="inlineStr">
        <is>
          <t>Tenant break on 6 months notice. If break not exercised, rent reduces to £67,146 wef 20/06/25 to 19/06/26. Break passed</t>
        </is>
      </c>
      <c r="AI447" t="inlineStr">
        <is>
          <t>Let</t>
        </is>
      </c>
    </row>
    <row r="448">
      <c r="A448" t="inlineStr">
        <is>
          <t xml:space="preserve">  Office</t>
        </is>
      </c>
      <c r="B448" t="inlineStr">
        <is>
          <t>WS</t>
        </is>
      </c>
      <c r="C448" t="inlineStr">
        <is>
          <t>MEL</t>
        </is>
      </c>
      <c r="D448" t="n">
        <v>550870</v>
      </c>
      <c r="E448" t="inlineStr">
        <is>
          <t>67 - 81 Mortimer Street</t>
        </is>
      </c>
      <c r="F448" t="inlineStr">
        <is>
          <t>First Floor (West)</t>
        </is>
      </c>
      <c r="G448" t="inlineStr">
        <is>
          <t>Office</t>
        </is>
      </c>
      <c r="H448" t="n">
        <v>1454</v>
      </c>
      <c r="I448">
        <f>I326</f>
        <v/>
      </c>
      <c r="J448" t="n">
        <v>1500</v>
      </c>
      <c r="K448" t="inlineStr">
        <is>
          <t>Feel Films Ltd.</t>
        </is>
      </c>
      <c r="L448" s="869" t="n">
        <v>44419</v>
      </c>
      <c r="M448" s="869" t="n">
        <v>46244</v>
      </c>
      <c r="Q448" t="n">
        <v>62963</v>
      </c>
      <c r="R448">
        <f>R326</f>
        <v/>
      </c>
      <c r="T448" t="n">
        <v>80000</v>
      </c>
      <c r="U448">
        <f>U326</f>
        <v/>
      </c>
      <c r="V448" t="n">
        <v>80000</v>
      </c>
      <c r="W448">
        <f>W326</f>
        <v/>
      </c>
      <c r="X448">
        <f>W326/I326</f>
        <v/>
      </c>
      <c r="Y448">
        <f>SUM(W326-U326)/U326</f>
        <v/>
      </c>
      <c r="Z448" t="inlineStr">
        <is>
          <t>D</t>
        </is>
      </c>
      <c r="AC448" t="inlineStr">
        <is>
          <t>No</t>
        </is>
      </c>
      <c r="AD448" t="inlineStr">
        <is>
          <t xml:space="preserve">Rent rises to £83,950 wef 11/08/25. </t>
        </is>
      </c>
      <c r="AI448" t="inlineStr">
        <is>
          <t>Let</t>
        </is>
      </c>
    </row>
    <row r="449">
      <c r="A449" t="inlineStr">
        <is>
          <t xml:space="preserve">  Office</t>
        </is>
      </c>
      <c r="B449" t="inlineStr">
        <is>
          <t>WS</t>
        </is>
      </c>
      <c r="C449" t="inlineStr">
        <is>
          <t>MEL</t>
        </is>
      </c>
      <c r="D449" t="n">
        <v>550870</v>
      </c>
      <c r="E449" t="inlineStr">
        <is>
          <t>67 - 81 Mortimer Street</t>
        </is>
      </c>
      <c r="F449" t="inlineStr">
        <is>
          <t>Second Floor (West)</t>
        </is>
      </c>
      <c r="G449" t="inlineStr">
        <is>
          <t>Office</t>
        </is>
      </c>
      <c r="H449" t="n">
        <v>1395</v>
      </c>
      <c r="I449">
        <f>I327</f>
        <v/>
      </c>
      <c r="J449" t="n">
        <v>1500</v>
      </c>
      <c r="K449" t="inlineStr">
        <is>
          <t>Vacant</t>
        </is>
      </c>
      <c r="N449" s="869" t="n">
        <v>45837</v>
      </c>
      <c r="Q449" t="n">
        <v>0</v>
      </c>
      <c r="R449">
        <f>R327</f>
        <v/>
      </c>
      <c r="T449" t="n">
        <v>76700</v>
      </c>
      <c r="U449">
        <f>U327</f>
        <v/>
      </c>
      <c r="V449" t="n">
        <v>76700</v>
      </c>
      <c r="W449">
        <f>W327</f>
        <v/>
      </c>
      <c r="X449">
        <f>W327/I327</f>
        <v/>
      </c>
      <c r="Y449">
        <f>SUM(W327-U327)/U327</f>
        <v/>
      </c>
      <c r="Z449" t="inlineStr">
        <is>
          <t>E</t>
        </is>
      </c>
      <c r="AC449" t="inlineStr">
        <is>
          <t>No</t>
        </is>
      </c>
      <c r="AD449" t="inlineStr">
        <is>
          <t>Under offer.</t>
        </is>
      </c>
      <c r="AI449" t="inlineStr">
        <is>
          <t>Void</t>
        </is>
      </c>
    </row>
    <row r="450">
      <c r="A450" t="inlineStr">
        <is>
          <t xml:space="preserve">  Office</t>
        </is>
      </c>
      <c r="B450" t="inlineStr">
        <is>
          <t>WS</t>
        </is>
      </c>
      <c r="C450" t="inlineStr">
        <is>
          <t>MEL</t>
        </is>
      </c>
      <c r="D450" t="n">
        <v>550870</v>
      </c>
      <c r="E450" t="inlineStr">
        <is>
          <t>67 - 81 Mortimer Street</t>
        </is>
      </c>
      <c r="F450" t="inlineStr">
        <is>
          <t>Second Floor (East)</t>
        </is>
      </c>
      <c r="G450" t="inlineStr">
        <is>
          <t>Office</t>
        </is>
      </c>
      <c r="H450" t="n">
        <v>1281</v>
      </c>
      <c r="I450">
        <f>I328</f>
        <v/>
      </c>
      <c r="J450" t="n">
        <v>1250</v>
      </c>
      <c r="K450" t="inlineStr">
        <is>
          <t>Feel Films Ltd.</t>
        </is>
      </c>
      <c r="L450" s="869" t="n">
        <v>45393</v>
      </c>
      <c r="M450" s="869" t="n">
        <v>47218</v>
      </c>
      <c r="P450" s="869" t="n">
        <v>46488</v>
      </c>
      <c r="Q450" t="n">
        <v>72800</v>
      </c>
      <c r="R450">
        <f>R328</f>
        <v/>
      </c>
      <c r="T450" t="n">
        <v>70500</v>
      </c>
      <c r="U450">
        <f>U328</f>
        <v/>
      </c>
      <c r="V450" t="n">
        <v>70500</v>
      </c>
      <c r="W450">
        <f>W328</f>
        <v/>
      </c>
      <c r="X450">
        <f>W328/I328</f>
        <v/>
      </c>
      <c r="Y450">
        <f>SUM(W328-U328)/U328</f>
        <v/>
      </c>
      <c r="Z450" t="inlineStr">
        <is>
          <t>D</t>
        </is>
      </c>
      <c r="AC450" t="inlineStr">
        <is>
          <t>No</t>
        </is>
      </c>
      <c r="AD450" t="inlineStr">
        <is>
          <t>Tenant break on 6 months notice. 3 months rent free if break not exercised.</t>
        </is>
      </c>
      <c r="AI450" t="inlineStr">
        <is>
          <t>Let</t>
        </is>
      </c>
    </row>
    <row r="451">
      <c r="A451" t="inlineStr">
        <is>
          <t xml:space="preserve">  Office</t>
        </is>
      </c>
      <c r="B451" t="inlineStr">
        <is>
          <t>WS</t>
        </is>
      </c>
      <c r="C451" t="inlineStr">
        <is>
          <t>MEL</t>
        </is>
      </c>
      <c r="D451" t="n">
        <v>550870</v>
      </c>
      <c r="E451" t="inlineStr">
        <is>
          <t>67 - 81 Mortimer Street</t>
        </is>
      </c>
      <c r="F451" t="inlineStr">
        <is>
          <t>Third Floor (East)</t>
        </is>
      </c>
      <c r="G451" t="inlineStr">
        <is>
          <t>Office</t>
        </is>
      </c>
      <c r="H451" t="n">
        <v>1371</v>
      </c>
      <c r="I451">
        <f>I329</f>
        <v/>
      </c>
      <c r="J451" t="n">
        <v>1250</v>
      </c>
      <c r="K451" t="inlineStr">
        <is>
          <t>Vacant</t>
        </is>
      </c>
      <c r="N451" s="869" t="n">
        <v>44647</v>
      </c>
      <c r="Q451" t="n">
        <v>0</v>
      </c>
      <c r="R451">
        <f>R329</f>
        <v/>
      </c>
      <c r="T451" t="n">
        <v>75400</v>
      </c>
      <c r="U451">
        <f>U329</f>
        <v/>
      </c>
      <c r="V451" t="n">
        <v>75400</v>
      </c>
      <c r="W451">
        <f>W329</f>
        <v/>
      </c>
      <c r="X451">
        <f>W329/I329</f>
        <v/>
      </c>
      <c r="Y451">
        <f>SUM(W329-U329)/U329</f>
        <v/>
      </c>
      <c r="Z451" t="inlineStr">
        <is>
          <t>B</t>
        </is>
      </c>
      <c r="AC451" t="inlineStr">
        <is>
          <t>No</t>
        </is>
      </c>
      <c r="AD451" t="inlineStr">
        <is>
          <t>Under offer</t>
        </is>
      </c>
      <c r="AE451" t="n">
        <v>62</v>
      </c>
      <c r="AG451" t="n">
        <v>2</v>
      </c>
      <c r="AI451" t="inlineStr">
        <is>
          <t>Void</t>
        </is>
      </c>
    </row>
    <row r="452">
      <c r="A452" t="inlineStr">
        <is>
          <t xml:space="preserve">  Office</t>
        </is>
      </c>
      <c r="B452" t="inlineStr">
        <is>
          <t>WS</t>
        </is>
      </c>
      <c r="C452" t="inlineStr">
        <is>
          <t>MEL</t>
        </is>
      </c>
      <c r="D452" t="n">
        <v>550870</v>
      </c>
      <c r="E452" t="inlineStr">
        <is>
          <t>67 - 81 Mortimer Street</t>
        </is>
      </c>
      <c r="F452" t="inlineStr">
        <is>
          <t>Third Floor (West)</t>
        </is>
      </c>
      <c r="G452" t="inlineStr">
        <is>
          <t>Office</t>
        </is>
      </c>
      <c r="H452" t="n">
        <v>1204</v>
      </c>
      <c r="I452">
        <f>I330</f>
        <v/>
      </c>
      <c r="J452" t="n">
        <v>1250</v>
      </c>
      <c r="K452" t="inlineStr">
        <is>
          <t>Vacant</t>
        </is>
      </c>
      <c r="N452" s="869" t="n">
        <v>42983</v>
      </c>
      <c r="Q452" t="n">
        <v>0</v>
      </c>
      <c r="R452">
        <f>R330</f>
        <v/>
      </c>
      <c r="T452" t="n">
        <v>66200</v>
      </c>
      <c r="U452">
        <f>U330</f>
        <v/>
      </c>
      <c r="V452" t="n">
        <v>66200</v>
      </c>
      <c r="W452">
        <f>W330</f>
        <v/>
      </c>
      <c r="X452">
        <f>W330/I330</f>
        <v/>
      </c>
      <c r="Y452">
        <f>SUM(W330-U330)/U330</f>
        <v/>
      </c>
      <c r="Z452" t="inlineStr">
        <is>
          <t>B</t>
        </is>
      </c>
      <c r="AC452" t="inlineStr">
        <is>
          <t>No</t>
        </is>
      </c>
      <c r="AD452" t="inlineStr">
        <is>
          <t>Under offer</t>
        </is>
      </c>
      <c r="AE452" t="n">
        <v>62</v>
      </c>
      <c r="AG452" t="n">
        <v>2</v>
      </c>
      <c r="AI452" t="inlineStr">
        <is>
          <t>Void</t>
        </is>
      </c>
    </row>
    <row r="453"/>
    <row r="454">
      <c r="A454" s="868" t="inlineStr">
        <is>
          <t>93 Mortimer Street &amp; 43 Great Portland Street</t>
        </is>
      </c>
    </row>
    <row r="455">
      <c r="A455" t="inlineStr">
        <is>
          <t xml:space="preserve">  Gallery</t>
        </is>
      </c>
      <c r="B455" t="inlineStr">
        <is>
          <t>WS</t>
        </is>
      </c>
      <c r="C455" t="inlineStr">
        <is>
          <t>MEL</t>
        </is>
      </c>
      <c r="D455" t="n">
        <v>550980</v>
      </c>
      <c r="E455" t="inlineStr">
        <is>
          <t>93 Mortimer Street &amp; 43 Great Portland Street</t>
        </is>
      </c>
      <c r="F455" t="inlineStr">
        <is>
          <t>Whole</t>
        </is>
      </c>
      <c r="G455" t="inlineStr">
        <is>
          <t>Gallery</t>
        </is>
      </c>
      <c r="H455" t="n">
        <v>10112</v>
      </c>
      <c r="I455">
        <f>I331</f>
        <v/>
      </c>
      <c r="K455" t="inlineStr">
        <is>
          <t>IBRAAZ</t>
        </is>
      </c>
      <c r="L455" s="869" t="n">
        <v>45708</v>
      </c>
      <c r="M455" s="869" t="n">
        <v>51185</v>
      </c>
      <c r="O455" s="869" t="n">
        <v>47534</v>
      </c>
      <c r="P455" s="869" t="n">
        <v>47898</v>
      </c>
      <c r="Q455" t="n">
        <v>550000</v>
      </c>
      <c r="R455">
        <f>R331</f>
        <v/>
      </c>
      <c r="S455">
        <f>S331</f>
        <v/>
      </c>
      <c r="T455" t="n">
        <v>750000</v>
      </c>
      <c r="U455">
        <f>U331</f>
        <v/>
      </c>
      <c r="V455" t="n">
        <v>685000</v>
      </c>
      <c r="W455">
        <f>W331</f>
        <v/>
      </c>
      <c r="X455">
        <f>W331/I331</f>
        <v/>
      </c>
      <c r="Y455">
        <f>SUM(W331-U331)/U331</f>
        <v/>
      </c>
      <c r="Z455" t="inlineStr">
        <is>
          <t>A</t>
        </is>
      </c>
      <c r="AB455" t="n">
        <v>11800000</v>
      </c>
      <c r="AC455" t="inlineStr">
        <is>
          <t>No</t>
        </is>
      </c>
      <c r="AD455" t="inlineStr">
        <is>
          <t>Rent increases reverts to £700,000 wef 20/02/30 subject to rent review.</t>
        </is>
      </c>
      <c r="AF455" t="n">
        <v>1</v>
      </c>
      <c r="AG455" t="n">
        <v>3</v>
      </c>
      <c r="AI455" t="inlineStr">
        <is>
          <t>Let</t>
        </is>
      </c>
    </row>
    <row r="456"/>
    <row r="457">
      <c r="A457" s="868" t="inlineStr">
        <is>
          <t>142-144 Oxford Street</t>
        </is>
      </c>
    </row>
    <row r="458">
      <c r="A458" t="inlineStr">
        <is>
          <t xml:space="preserve">  Retail/ Ancillary</t>
        </is>
      </c>
      <c r="B458" t="inlineStr">
        <is>
          <t>JM</t>
        </is>
      </c>
      <c r="C458" t="inlineStr">
        <is>
          <t>MEL</t>
        </is>
      </c>
      <c r="D458" t="n">
        <v>100850</v>
      </c>
      <c r="E458" t="inlineStr">
        <is>
          <t>142-144 Oxford Street</t>
        </is>
      </c>
      <c r="F458" t="inlineStr">
        <is>
          <t>Basement, Ground &amp; First Floors</t>
        </is>
      </c>
      <c r="G458" t="inlineStr">
        <is>
          <t>Retail/ Ancillary</t>
        </is>
      </c>
      <c r="H458" t="n">
        <v>5200</v>
      </c>
      <c r="I458">
        <f>I332</f>
        <v/>
      </c>
      <c r="J458" t="n">
        <v>5000</v>
      </c>
      <c r="K458" t="inlineStr">
        <is>
          <t>Telefonica UK Ltd</t>
        </is>
      </c>
      <c r="L458" s="869" t="n">
        <v>45776</v>
      </c>
      <c r="M458" s="869" t="n">
        <v>49427</v>
      </c>
      <c r="O458" s="869" t="n">
        <v>47602</v>
      </c>
      <c r="P458" s="869" t="n">
        <v>47601</v>
      </c>
      <c r="Q458" t="n">
        <v>0</v>
      </c>
      <c r="R458">
        <f>R332</f>
        <v/>
      </c>
      <c r="T458" t="n">
        <v>616000</v>
      </c>
      <c r="U458">
        <f>U332</f>
        <v/>
      </c>
      <c r="V458" t="n">
        <v>617000</v>
      </c>
      <c r="W458">
        <f>W332</f>
        <v/>
      </c>
      <c r="X458">
        <f>W332/I332</f>
        <v/>
      </c>
      <c r="Y458">
        <f>SUM(W332-U332)/U332</f>
        <v/>
      </c>
      <c r="Z458" t="inlineStr">
        <is>
          <t>B</t>
        </is>
      </c>
      <c r="AC458" t="inlineStr">
        <is>
          <t>No</t>
        </is>
      </c>
      <c r="AD458" t="inlineStr">
        <is>
          <t>Rent wef £352,500 wef 23/07/25, increasing to £705,000 wef 24/07/26. Tenant break on 6 months notice.</t>
        </is>
      </c>
      <c r="AF458" t="n">
        <v>1</v>
      </c>
      <c r="AG458" t="n">
        <v>3</v>
      </c>
      <c r="AH458" t="inlineStr">
        <is>
          <t>LEM</t>
        </is>
      </c>
      <c r="AI458" t="inlineStr">
        <is>
          <t>Let</t>
        </is>
      </c>
    </row>
    <row r="459">
      <c r="A459" t="inlineStr">
        <is>
          <t xml:space="preserve">  Kiosk</t>
        </is>
      </c>
      <c r="B459" t="inlineStr">
        <is>
          <t>JM</t>
        </is>
      </c>
      <c r="C459" t="inlineStr">
        <is>
          <t>MEL</t>
        </is>
      </c>
      <c r="D459" t="n">
        <v>100850</v>
      </c>
      <c r="E459" t="inlineStr">
        <is>
          <t>142-144 Oxford Street</t>
        </is>
      </c>
      <c r="F459" t="inlineStr">
        <is>
          <t>Kiosk in Adam and Eve Court</t>
        </is>
      </c>
      <c r="G459" t="inlineStr">
        <is>
          <t>Kiosk</t>
        </is>
      </c>
      <c r="H459" t="n">
        <v>85</v>
      </c>
      <c r="I459">
        <f>I333</f>
        <v/>
      </c>
      <c r="K459" t="inlineStr">
        <is>
          <t>The Prudential Assurance Company Ltd.</t>
        </is>
      </c>
      <c r="L459" s="869" t="n">
        <v>45589</v>
      </c>
      <c r="M459" s="869" t="n">
        <v>45953</v>
      </c>
      <c r="Q459" t="n">
        <v>68250</v>
      </c>
      <c r="R459">
        <f>R333</f>
        <v/>
      </c>
      <c r="T459" t="n">
        <v>65000</v>
      </c>
      <c r="U459">
        <f>U333</f>
        <v/>
      </c>
      <c r="V459" t="n">
        <v>0</v>
      </c>
      <c r="W459">
        <f>W333</f>
        <v/>
      </c>
      <c r="X459">
        <f>W333/I333</f>
        <v/>
      </c>
      <c r="Y459">
        <f>SUM(W333-U333)/U333</f>
        <v/>
      </c>
      <c r="AC459" t="inlineStr">
        <is>
          <t>No</t>
        </is>
      </c>
      <c r="AD459" t="inlineStr">
        <is>
          <t>Tenant rolling break on 3 months notice. Tenant has renewal option at stepped rent. Landlord redevelopment break @ 16/01/27 on 6 months notice.</t>
        </is>
      </c>
      <c r="AI459" t="inlineStr">
        <is>
          <t>Let</t>
        </is>
      </c>
    </row>
    <row r="460">
      <c r="A460" t="inlineStr">
        <is>
          <t xml:space="preserve">  Residential</t>
        </is>
      </c>
      <c r="B460" t="inlineStr">
        <is>
          <t>JM</t>
        </is>
      </c>
      <c r="C460" t="inlineStr">
        <is>
          <t>MEL</t>
        </is>
      </c>
      <c r="D460" t="n">
        <v>100850</v>
      </c>
      <c r="E460" t="inlineStr">
        <is>
          <t>142-144 Oxford Street</t>
        </is>
      </c>
      <c r="F460" t="inlineStr">
        <is>
          <t>Flats 1 - 9 Inclusive</t>
        </is>
      </c>
      <c r="G460" t="inlineStr">
        <is>
          <t>Residential</t>
        </is>
      </c>
      <c r="H460" t="n">
        <v>4011</v>
      </c>
      <c r="I460">
        <f>I334</f>
        <v/>
      </c>
      <c r="J460" t="n">
        <v>4000</v>
      </c>
      <c r="K460" t="inlineStr">
        <is>
          <t>Advan Capital Limited</t>
        </is>
      </c>
      <c r="L460" s="869" t="n">
        <v>44204</v>
      </c>
      <c r="M460" s="869" t="n">
        <v>47855</v>
      </c>
      <c r="O460" s="869" t="n">
        <v>46030</v>
      </c>
      <c r="Q460" t="n">
        <v>130000</v>
      </c>
      <c r="R460">
        <f>R334</f>
        <v/>
      </c>
      <c r="T460" t="n">
        <v>130000</v>
      </c>
      <c r="U460">
        <f>U334</f>
        <v/>
      </c>
      <c r="V460" t="n">
        <v>130000</v>
      </c>
      <c r="W460">
        <f>W334</f>
        <v/>
      </c>
      <c r="X460">
        <f>W334/I334</f>
        <v/>
      </c>
      <c r="Y460">
        <f>SUM(W334-U334)/U334</f>
        <v/>
      </c>
      <c r="Z460" t="inlineStr">
        <is>
          <t>B</t>
        </is>
      </c>
      <c r="AC460" t="inlineStr">
        <is>
          <t>No</t>
        </is>
      </c>
      <c r="AI460" t="inlineStr">
        <is>
          <t>Let</t>
        </is>
      </c>
    </row>
    <row r="461"/>
    <row r="462">
      <c r="A462" s="868" t="inlineStr">
        <is>
          <t>146/148 Oxford Street</t>
        </is>
      </c>
    </row>
    <row r="463">
      <c r="A463" t="inlineStr">
        <is>
          <t xml:space="preserve">  Retail</t>
        </is>
      </c>
      <c r="B463" t="inlineStr">
        <is>
          <t>JM</t>
        </is>
      </c>
      <c r="C463" t="inlineStr">
        <is>
          <t>MEL</t>
        </is>
      </c>
      <c r="D463" t="n">
        <v>100670</v>
      </c>
      <c r="E463" t="inlineStr">
        <is>
          <t>146/148 Oxford Street</t>
        </is>
      </c>
      <c r="F463" t="inlineStr">
        <is>
          <t>Vaults, Basement &amp; Ground Floors</t>
        </is>
      </c>
      <c r="G463" t="inlineStr">
        <is>
          <t>Retail</t>
        </is>
      </c>
      <c r="H463" t="n">
        <v>3348</v>
      </c>
      <c r="I463">
        <f>I335</f>
        <v/>
      </c>
      <c r="J463" t="n">
        <v>3250</v>
      </c>
      <c r="K463" t="inlineStr">
        <is>
          <t>Holland &amp; Barrett Retail Ltd</t>
        </is>
      </c>
      <c r="L463" s="869" t="n">
        <v>45600</v>
      </c>
      <c r="M463" s="869" t="n">
        <v>49251</v>
      </c>
      <c r="O463" s="869" t="n">
        <v>47426</v>
      </c>
      <c r="P463" s="869" t="n">
        <v>47790</v>
      </c>
      <c r="Q463" t="n">
        <v>260000</v>
      </c>
      <c r="R463">
        <f>R335</f>
        <v/>
      </c>
      <c r="T463" t="n">
        <v>522500</v>
      </c>
      <c r="U463">
        <f>U335</f>
        <v/>
      </c>
      <c r="V463" t="n">
        <v>522500</v>
      </c>
      <c r="W463">
        <f>W335</f>
        <v/>
      </c>
      <c r="X463">
        <f>W335/I335</f>
        <v/>
      </c>
      <c r="Y463">
        <f>SUM(W335-U335)/U335</f>
        <v/>
      </c>
      <c r="Z463" t="inlineStr">
        <is>
          <t>B</t>
        </is>
      </c>
      <c r="AC463" t="inlineStr">
        <is>
          <t>No</t>
        </is>
      </c>
      <c r="AD463" t="inlineStr">
        <is>
          <t xml:space="preserve">Rent increases to £520,000 wef 04/08/26. Tenant break on 6 months notice. </t>
        </is>
      </c>
      <c r="AI463" t="inlineStr">
        <is>
          <t>Let</t>
        </is>
      </c>
    </row>
    <row r="464">
      <c r="A464" t="inlineStr">
        <is>
          <t xml:space="preserve">  Educational</t>
        </is>
      </c>
      <c r="B464" t="inlineStr">
        <is>
          <t>JM</t>
        </is>
      </c>
      <c r="C464" t="inlineStr">
        <is>
          <t>MEL</t>
        </is>
      </c>
      <c r="D464" t="n">
        <v>100670</v>
      </c>
      <c r="E464" t="inlineStr">
        <is>
          <t>146/148 Oxford Street</t>
        </is>
      </c>
      <c r="F464" t="inlineStr">
        <is>
          <t>First to Fourth Floors</t>
        </is>
      </c>
      <c r="G464" t="inlineStr">
        <is>
          <t>Educational</t>
        </is>
      </c>
      <c r="H464" t="n">
        <v>2964</v>
      </c>
      <c r="I464">
        <f>I336</f>
        <v/>
      </c>
      <c r="J464" t="n">
        <v>3000</v>
      </c>
      <c r="K464" t="inlineStr">
        <is>
          <t>Vacant</t>
        </is>
      </c>
      <c r="N464" s="869" t="n">
        <v>42593</v>
      </c>
      <c r="Q464" t="n">
        <v>0</v>
      </c>
      <c r="R464">
        <f>R336</f>
        <v/>
      </c>
      <c r="T464" t="n">
        <v>115000</v>
      </c>
      <c r="U464">
        <f>U336</f>
        <v/>
      </c>
      <c r="V464" t="n">
        <v>115000</v>
      </c>
      <c r="W464">
        <f>W336</f>
        <v/>
      </c>
      <c r="X464">
        <f>W336/I336</f>
        <v/>
      </c>
      <c r="Y464">
        <f>SUM(W336-U336)/U336</f>
        <v/>
      </c>
      <c r="Z464" t="inlineStr">
        <is>
          <t>E</t>
        </is>
      </c>
      <c r="AC464" t="inlineStr">
        <is>
          <t>No</t>
        </is>
      </c>
      <c r="AD464" t="inlineStr">
        <is>
          <t>To be refurbished.</t>
        </is>
      </c>
      <c r="AI464" t="inlineStr">
        <is>
          <t>Void</t>
        </is>
      </c>
    </row>
    <row r="465"/>
    <row r="466">
      <c r="A466" s="868" t="inlineStr">
        <is>
          <t>150/154 Oxford Street</t>
        </is>
      </c>
    </row>
    <row r="467">
      <c r="A467" t="inlineStr">
        <is>
          <t xml:space="preserve">  Retail</t>
        </is>
      </c>
      <c r="B467" t="inlineStr">
        <is>
          <t>JM</t>
        </is>
      </c>
      <c r="C467" t="inlineStr">
        <is>
          <t>MEL</t>
        </is>
      </c>
      <c r="D467" t="n">
        <v>100650</v>
      </c>
      <c r="E467" t="inlineStr">
        <is>
          <t>150/154 Oxford Street</t>
        </is>
      </c>
      <c r="F467" t="inlineStr">
        <is>
          <t>Part Basement to Second Floors &amp; Rooftop Switch Room</t>
        </is>
      </c>
      <c r="G467" t="inlineStr">
        <is>
          <t>Retail</t>
        </is>
      </c>
      <c r="H467" t="n">
        <v>61433</v>
      </c>
      <c r="I467">
        <f>I337</f>
        <v/>
      </c>
      <c r="J467" t="n">
        <v>60000</v>
      </c>
      <c r="K467" t="inlineStr">
        <is>
          <t>Sportsdirect.com Retail Ltd</t>
        </is>
      </c>
      <c r="L467" s="869" t="n">
        <v>40925</v>
      </c>
      <c r="M467" s="869" t="n">
        <v>46403</v>
      </c>
      <c r="O467" s="869" t="n">
        <v>44578</v>
      </c>
      <c r="Q467" t="n">
        <v>4275000</v>
      </c>
      <c r="R467">
        <f>R337</f>
        <v/>
      </c>
      <c r="S467">
        <f>S337</f>
        <v/>
      </c>
      <c r="T467" t="n">
        <v>2569000</v>
      </c>
      <c r="U467">
        <f>U337</f>
        <v/>
      </c>
      <c r="V467" t="n">
        <v>3039000</v>
      </c>
      <c r="W467">
        <f>W337</f>
        <v/>
      </c>
      <c r="X467">
        <f>W337/I337</f>
        <v/>
      </c>
      <c r="Y467">
        <f>SUM(W337-U337)/U337</f>
        <v/>
      </c>
      <c r="Z467" t="inlineStr">
        <is>
          <t>B</t>
        </is>
      </c>
      <c r="AB467" t="n">
        <v>66775000</v>
      </c>
      <c r="AC467" t="inlineStr">
        <is>
          <t>Yes</t>
        </is>
      </c>
      <c r="AD467" t="inlineStr">
        <is>
          <t xml:space="preserve">Electricity Substation sublet by Sportsdirect.com. Rent review not yet activated. </t>
        </is>
      </c>
      <c r="AI467" t="inlineStr">
        <is>
          <t>Let</t>
        </is>
      </c>
    </row>
    <row r="468"/>
    <row r="469">
      <c r="A469" s="868" t="inlineStr">
        <is>
          <t>50 Eastcastle Street</t>
        </is>
      </c>
    </row>
    <row r="470">
      <c r="A470" t="inlineStr">
        <is>
          <t xml:space="preserve">  Storage</t>
        </is>
      </c>
      <c r="B470" t="inlineStr">
        <is>
          <t>JM</t>
        </is>
      </c>
      <c r="C470" t="inlineStr">
        <is>
          <t>MEL</t>
        </is>
      </c>
      <c r="D470" t="n">
        <v>100650</v>
      </c>
      <c r="E470" t="inlineStr">
        <is>
          <t>50-60 Eastcastle Street</t>
        </is>
      </c>
      <c r="F470" t="inlineStr">
        <is>
          <t>Basement (South East)</t>
        </is>
      </c>
      <c r="G470" t="inlineStr">
        <is>
          <t>Storage</t>
        </is>
      </c>
      <c r="H470" t="n">
        <v>114</v>
      </c>
      <c r="I470">
        <f>I338</f>
        <v/>
      </c>
      <c r="K470" t="inlineStr">
        <is>
          <t>Building Workshop</t>
        </is>
      </c>
      <c r="Q470" t="n">
        <v>0</v>
      </c>
      <c r="R470">
        <f>R338</f>
        <v/>
      </c>
      <c r="T470" t="n">
        <v>2007</v>
      </c>
      <c r="U470">
        <f>U338</f>
        <v/>
      </c>
      <c r="V470" t="n">
        <v>2007</v>
      </c>
      <c r="W470">
        <f>W338</f>
        <v/>
      </c>
      <c r="X470">
        <f>W338/I338</f>
        <v/>
      </c>
      <c r="Y470">
        <f>SUM(W338-U338)/U338</f>
        <v/>
      </c>
      <c r="AC470" t="inlineStr">
        <is>
          <t>No</t>
        </is>
      </c>
      <c r="AI470" t="inlineStr">
        <is>
          <t>Void</t>
        </is>
      </c>
    </row>
    <row r="471">
      <c r="A471" t="inlineStr">
        <is>
          <t xml:space="preserve">  Storage</t>
        </is>
      </c>
      <c r="B471" t="inlineStr">
        <is>
          <t>JM</t>
        </is>
      </c>
      <c r="C471" t="inlineStr">
        <is>
          <t>MEL</t>
        </is>
      </c>
      <c r="D471" t="n">
        <v>100650</v>
      </c>
      <c r="E471" t="inlineStr">
        <is>
          <t>50-60 Eastcastle Street</t>
        </is>
      </c>
      <c r="F471" t="inlineStr">
        <is>
          <t>Basement Store A</t>
        </is>
      </c>
      <c r="G471" t="inlineStr">
        <is>
          <t>Storage</t>
        </is>
      </c>
      <c r="H471" t="n">
        <v>454</v>
      </c>
      <c r="I471">
        <f>I339</f>
        <v/>
      </c>
      <c r="K471" t="inlineStr">
        <is>
          <t>Hope93 Ltd.</t>
        </is>
      </c>
      <c r="L471" s="869" t="n">
        <v>45685</v>
      </c>
      <c r="M471" s="869" t="n">
        <v>47358</v>
      </c>
      <c r="P471" s="869" t="n">
        <v>46627</v>
      </c>
      <c r="Q471" t="n">
        <v>18000</v>
      </c>
      <c r="R471">
        <f>R339</f>
        <v/>
      </c>
      <c r="T471" t="n">
        <v>7993</v>
      </c>
      <c r="V471" t="n">
        <v>7993</v>
      </c>
      <c r="X471">
        <f>W339/I339</f>
        <v/>
      </c>
      <c r="Y471">
        <f>SUM(W339-U339)/U339</f>
        <v/>
      </c>
      <c r="AD471" t="inlineStr">
        <is>
          <t>Tenant break on 6 months notice.</t>
        </is>
      </c>
      <c r="AI471" t="inlineStr">
        <is>
          <t>Let</t>
        </is>
      </c>
    </row>
    <row r="472">
      <c r="A472" t="inlineStr">
        <is>
          <t xml:space="preserve">  Building Managers Office</t>
        </is>
      </c>
      <c r="B472" t="inlineStr">
        <is>
          <t>JM</t>
        </is>
      </c>
      <c r="C472" t="inlineStr">
        <is>
          <t>MEL</t>
        </is>
      </c>
      <c r="D472" t="n">
        <v>100650</v>
      </c>
      <c r="E472" t="inlineStr">
        <is>
          <t>50-60 Eastcastle Street</t>
        </is>
      </c>
      <c r="F472" t="inlineStr">
        <is>
          <t>Basement (West)</t>
        </is>
      </c>
      <c r="G472" t="inlineStr">
        <is>
          <t>Building Managers Office</t>
        </is>
      </c>
      <c r="H472" t="n">
        <v>780</v>
      </c>
      <c r="I472">
        <f>I340</f>
        <v/>
      </c>
      <c r="J472" t="n">
        <v>750</v>
      </c>
      <c r="K472" t="inlineStr">
        <is>
          <t>Langham Estate Management Ltd</t>
        </is>
      </c>
      <c r="L472" s="869" t="n">
        <v>44562</v>
      </c>
      <c r="M472" s="869" t="n">
        <v>46752</v>
      </c>
      <c r="O472" s="869" t="n">
        <v>45292</v>
      </c>
      <c r="Q472" t="n">
        <v>17100</v>
      </c>
      <c r="R472">
        <f>R340</f>
        <v/>
      </c>
      <c r="T472" t="n">
        <v>12500</v>
      </c>
      <c r="U472">
        <f>U340</f>
        <v/>
      </c>
      <c r="V472" t="n">
        <v>12500</v>
      </c>
      <c r="W472">
        <f>W340</f>
        <v/>
      </c>
      <c r="X472">
        <f>W340/I340</f>
        <v/>
      </c>
      <c r="Y472">
        <f>SUM(W340-U340)/U340</f>
        <v/>
      </c>
      <c r="Z472" t="inlineStr">
        <is>
          <t>D</t>
        </is>
      </c>
      <c r="AC472" t="inlineStr">
        <is>
          <t>No</t>
        </is>
      </c>
      <c r="AD472" t="inlineStr">
        <is>
          <t>2 yearly rent reviews. Mutual rolling break on 6 months notice. Internal Lease to another Lee Family Group Company.</t>
        </is>
      </c>
      <c r="AI472" t="inlineStr">
        <is>
          <t>Let</t>
        </is>
      </c>
    </row>
    <row r="473">
      <c r="A473" t="inlineStr">
        <is>
          <t xml:space="preserve">  Restaurant</t>
        </is>
      </c>
      <c r="B473" t="inlineStr">
        <is>
          <t>JM</t>
        </is>
      </c>
      <c r="C473" t="inlineStr">
        <is>
          <t>MEL</t>
        </is>
      </c>
      <c r="D473" t="n">
        <v>100650</v>
      </c>
      <c r="E473" t="inlineStr">
        <is>
          <t>50-60 Eastcastle Street</t>
        </is>
      </c>
      <c r="F473" t="inlineStr">
        <is>
          <t>Grnd/Basement  - 10 &amp; 12 Winsley St.</t>
        </is>
      </c>
      <c r="G473" t="inlineStr">
        <is>
          <t>Restaurant</t>
        </is>
      </c>
      <c r="H473" t="n">
        <v>3661</v>
      </c>
      <c r="I473">
        <f>I341</f>
        <v/>
      </c>
      <c r="J473" t="n">
        <v>3500</v>
      </c>
      <c r="K473" t="inlineStr">
        <is>
          <t>Comptoir Group Plc</t>
        </is>
      </c>
      <c r="L473" s="869" t="n">
        <v>44115</v>
      </c>
      <c r="M473" s="869" t="n">
        <v>46670</v>
      </c>
      <c r="Q473" t="n">
        <v>170000</v>
      </c>
      <c r="R473">
        <f>R341</f>
        <v/>
      </c>
      <c r="T473" t="n">
        <v>216700</v>
      </c>
      <c r="U473">
        <f>U341</f>
        <v/>
      </c>
      <c r="V473" t="n">
        <v>216700</v>
      </c>
      <c r="W473">
        <f>W341</f>
        <v/>
      </c>
      <c r="X473">
        <f>W341/I341</f>
        <v/>
      </c>
      <c r="Y473">
        <f>SUM(W341-U341)/U341</f>
        <v/>
      </c>
      <c r="Z473" t="inlineStr">
        <is>
          <t>D</t>
        </is>
      </c>
      <c r="AC473" t="inlineStr">
        <is>
          <t>No</t>
        </is>
      </c>
      <c r="AI473" t="inlineStr">
        <is>
          <t>Let</t>
        </is>
      </c>
    </row>
    <row r="474">
      <c r="A474" t="inlineStr">
        <is>
          <t xml:space="preserve">  Showroom</t>
        </is>
      </c>
      <c r="B474" t="inlineStr">
        <is>
          <t>JM</t>
        </is>
      </c>
      <c r="C474" t="inlineStr">
        <is>
          <t>MEL</t>
        </is>
      </c>
      <c r="D474" t="n">
        <v>100650</v>
      </c>
      <c r="E474" t="inlineStr">
        <is>
          <t>50-60 Eastcastle Street</t>
        </is>
      </c>
      <c r="F474" t="inlineStr">
        <is>
          <t>Basement 56-57 Eastcastle St.</t>
        </is>
      </c>
      <c r="G474" t="inlineStr">
        <is>
          <t>Showroom</t>
        </is>
      </c>
      <c r="H474" t="n">
        <v>1716</v>
      </c>
      <c r="I474">
        <f>I342</f>
        <v/>
      </c>
      <c r="J474" t="n">
        <v>1750</v>
      </c>
      <c r="K474" t="inlineStr">
        <is>
          <t>Vacant</t>
        </is>
      </c>
      <c r="Q474" t="n">
        <v>0</v>
      </c>
      <c r="R474">
        <f>R342</f>
        <v/>
      </c>
      <c r="T474" t="n">
        <v>107600</v>
      </c>
      <c r="U474">
        <f>U342</f>
        <v/>
      </c>
      <c r="V474" t="n">
        <v>107600</v>
      </c>
      <c r="W474">
        <f>W342</f>
        <v/>
      </c>
      <c r="X474">
        <f>W342/I342</f>
        <v/>
      </c>
      <c r="Y474">
        <f>SUM(W342-U342)/U342</f>
        <v/>
      </c>
      <c r="Z474" t="inlineStr">
        <is>
          <t>D</t>
        </is>
      </c>
      <c r="AC474" t="inlineStr">
        <is>
          <t>No</t>
        </is>
      </c>
      <c r="AD474" t="inlineStr">
        <is>
          <t>Mothballed.</t>
        </is>
      </c>
      <c r="AI474" t="inlineStr">
        <is>
          <t>Void</t>
        </is>
      </c>
    </row>
    <row r="475">
      <c r="A475" t="inlineStr">
        <is>
          <t xml:space="preserve">  Showroom</t>
        </is>
      </c>
      <c r="B475" t="inlineStr">
        <is>
          <t>JM</t>
        </is>
      </c>
      <c r="C475" t="inlineStr">
        <is>
          <t>MEL</t>
        </is>
      </c>
      <c r="D475" t="n">
        <v>100650</v>
      </c>
      <c r="E475" t="inlineStr">
        <is>
          <t>50-60 Eastcastle Street</t>
        </is>
      </c>
      <c r="F475" t="inlineStr">
        <is>
          <t>Ground 56-57 Eastcastle St.</t>
        </is>
      </c>
      <c r="G475" t="inlineStr">
        <is>
          <t>Showroom</t>
        </is>
      </c>
      <c r="H475" t="n">
        <v>1952</v>
      </c>
      <c r="I475">
        <f>I343</f>
        <v/>
      </c>
      <c r="J475" t="n">
        <v>2000</v>
      </c>
      <c r="K475" t="inlineStr">
        <is>
          <t>YG Group Ltd</t>
        </is>
      </c>
      <c r="L475" s="869" t="n">
        <v>45450</v>
      </c>
      <c r="M475" s="869" t="n">
        <v>49101</v>
      </c>
      <c r="O475" s="869" t="n">
        <v>47276</v>
      </c>
      <c r="P475" s="869" t="n">
        <v>47275</v>
      </c>
      <c r="Q475" t="n">
        <v>159500</v>
      </c>
      <c r="R475">
        <f>R343</f>
        <v/>
      </c>
      <c r="T475" t="n">
        <v>122400</v>
      </c>
      <c r="U475">
        <f>U343</f>
        <v/>
      </c>
      <c r="V475" t="n">
        <v>122400</v>
      </c>
      <c r="W475">
        <f>W343</f>
        <v/>
      </c>
      <c r="X475">
        <f>W343/I343</f>
        <v/>
      </c>
      <c r="Y475">
        <f>SUM(W343-U343)/U343</f>
        <v/>
      </c>
      <c r="Z475" t="inlineStr">
        <is>
          <t>C</t>
        </is>
      </c>
      <c r="AC475" t="inlineStr">
        <is>
          <t>No</t>
        </is>
      </c>
      <c r="AD475" t="inlineStr">
        <is>
          <t>Mutual break on 6 months notice. 5 months rent free amortised over 1yr if break not exercised.</t>
        </is>
      </c>
      <c r="AI475" t="inlineStr">
        <is>
          <t>Let</t>
        </is>
      </c>
    </row>
    <row r="476">
      <c r="A476" t="inlineStr">
        <is>
          <t xml:space="preserve">  Art Gallery</t>
        </is>
      </c>
      <c r="B476" t="inlineStr">
        <is>
          <t>JM</t>
        </is>
      </c>
      <c r="C476" t="inlineStr">
        <is>
          <t>MEL</t>
        </is>
      </c>
      <c r="D476" t="n">
        <v>100650</v>
      </c>
      <c r="E476" t="inlineStr">
        <is>
          <t>50-60 Eastcastle Street</t>
        </is>
      </c>
      <c r="F476" t="inlineStr">
        <is>
          <t>Grnd/Basement - 55 Eastcastle St.</t>
        </is>
      </c>
      <c r="G476" t="inlineStr">
        <is>
          <t>Art Gallery</t>
        </is>
      </c>
      <c r="H476" t="n">
        <v>1710</v>
      </c>
      <c r="I476">
        <f>I344</f>
        <v/>
      </c>
      <c r="J476" t="n">
        <v>1750</v>
      </c>
      <c r="K476" t="inlineStr">
        <is>
          <t>PI Artworks Ltd.</t>
        </is>
      </c>
      <c r="L476" s="869" t="n">
        <v>45143</v>
      </c>
      <c r="M476" s="869" t="n">
        <v>45873</v>
      </c>
      <c r="Q476" t="n">
        <v>100000</v>
      </c>
      <c r="R476">
        <f>R344</f>
        <v/>
      </c>
      <c r="T476" t="n">
        <v>85500</v>
      </c>
      <c r="U476">
        <f>U344</f>
        <v/>
      </c>
      <c r="V476" t="n">
        <v>100000</v>
      </c>
      <c r="W476">
        <f>W344</f>
        <v/>
      </c>
      <c r="X476">
        <f>W344/I344</f>
        <v/>
      </c>
      <c r="Y476">
        <f>SUM(W344-U344)/U344</f>
        <v/>
      </c>
      <c r="Z476" t="inlineStr">
        <is>
          <t>D</t>
        </is>
      </c>
      <c r="AC476" t="inlineStr">
        <is>
          <t>No</t>
        </is>
      </c>
      <c r="AD476" t="inlineStr">
        <is>
          <t>Tenant confirmed they will vacate on expiry.</t>
        </is>
      </c>
      <c r="AI476" t="inlineStr">
        <is>
          <t>Let</t>
        </is>
      </c>
    </row>
    <row r="477">
      <c r="A477" t="inlineStr">
        <is>
          <t xml:space="preserve">  Art Gallery</t>
        </is>
      </c>
      <c r="B477" t="inlineStr">
        <is>
          <t>JM</t>
        </is>
      </c>
      <c r="C477" t="inlineStr">
        <is>
          <t>MEL</t>
        </is>
      </c>
      <c r="D477" t="n">
        <v>100650</v>
      </c>
      <c r="E477" t="inlineStr">
        <is>
          <t>50-60 Eastcastle Street</t>
        </is>
      </c>
      <c r="F477" t="inlineStr">
        <is>
          <t>Grnd/Basement - 54 Eastcastle St</t>
        </is>
      </c>
      <c r="G477" t="inlineStr">
        <is>
          <t>Art Gallery</t>
        </is>
      </c>
      <c r="H477" t="n">
        <v>3601</v>
      </c>
      <c r="I477">
        <f>I345</f>
        <v/>
      </c>
      <c r="J477" t="n">
        <v>3500</v>
      </c>
      <c r="K477" t="inlineStr">
        <is>
          <t>Hope93 Ltd.</t>
        </is>
      </c>
      <c r="L477" s="869" t="n">
        <v>45533</v>
      </c>
      <c r="M477" s="869" t="n">
        <v>49184</v>
      </c>
      <c r="O477" s="869" t="n">
        <v>47359</v>
      </c>
      <c r="P477" s="869" t="n">
        <v>46627</v>
      </c>
      <c r="Q477" t="n">
        <v>83500</v>
      </c>
      <c r="R477">
        <f>R345</f>
        <v/>
      </c>
      <c r="T477" t="n">
        <v>144000</v>
      </c>
      <c r="U477">
        <f>U345</f>
        <v/>
      </c>
      <c r="V477" t="n">
        <v>167400</v>
      </c>
      <c r="W477">
        <f>W345</f>
        <v/>
      </c>
      <c r="X477">
        <f>W345/I345</f>
        <v/>
      </c>
      <c r="Y477">
        <f>SUM(W345-U345)/U345</f>
        <v/>
      </c>
      <c r="Z477" t="inlineStr">
        <is>
          <t>D</t>
        </is>
      </c>
      <c r="AC477" t="inlineStr">
        <is>
          <t>No</t>
        </is>
      </c>
      <c r="AD477" t="inlineStr">
        <is>
          <t>Rent increasing to £167,000 pa wef 29/08/29. Further break @ 28/08/29 on 6 months notice. Penalty clause of £27,833 for first break.</t>
        </is>
      </c>
      <c r="AI477" t="inlineStr">
        <is>
          <t>Let</t>
        </is>
      </c>
    </row>
    <row r="478">
      <c r="A478" t="inlineStr">
        <is>
          <t xml:space="preserve">  Restaurant</t>
        </is>
      </c>
      <c r="B478" t="inlineStr">
        <is>
          <t>JM</t>
        </is>
      </c>
      <c r="C478" t="inlineStr">
        <is>
          <t>MEL</t>
        </is>
      </c>
      <c r="D478" t="n">
        <v>100650</v>
      </c>
      <c r="E478" t="inlineStr">
        <is>
          <t>50-60 Eastcastle Street</t>
        </is>
      </c>
      <c r="F478" t="inlineStr">
        <is>
          <t>Grnd/Basement - 51, 52 &amp; 53 Eastcastle St.</t>
        </is>
      </c>
      <c r="G478" t="inlineStr">
        <is>
          <t>Restaurant</t>
        </is>
      </c>
      <c r="H478" t="n">
        <v>6889</v>
      </c>
      <c r="I478">
        <f>I346</f>
        <v/>
      </c>
      <c r="J478" t="n">
        <v>7000</v>
      </c>
      <c r="K478" t="inlineStr">
        <is>
          <t>Stay On Target Ltd</t>
        </is>
      </c>
      <c r="L478" s="869" t="n">
        <v>44630</v>
      </c>
      <c r="M478" s="869" t="n">
        <v>48282</v>
      </c>
      <c r="O478" s="869" t="n">
        <v>46456</v>
      </c>
      <c r="Q478" t="n">
        <v>385000</v>
      </c>
      <c r="R478">
        <f>R346</f>
        <v/>
      </c>
      <c r="T478" t="n">
        <v>390000</v>
      </c>
      <c r="U478">
        <f>U346</f>
        <v/>
      </c>
      <c r="V478" t="n">
        <v>390000</v>
      </c>
      <c r="W478">
        <f>W346</f>
        <v/>
      </c>
      <c r="X478">
        <f>W346/I346</f>
        <v/>
      </c>
      <c r="Y478">
        <f>SUM(W346-U346)/U346</f>
        <v/>
      </c>
      <c r="Z478" t="inlineStr">
        <is>
          <t>A</t>
        </is>
      </c>
      <c r="AC478" t="inlineStr">
        <is>
          <t>No</t>
        </is>
      </c>
      <c r="AD478" t="inlineStr">
        <is>
          <t>Stepped rent. £390,000 wef 10/03/26. Penalty of £27,833 if first break activated. Parent company (Whistle Punks Ltd) in liquidation.</t>
        </is>
      </c>
      <c r="AI478" t="inlineStr">
        <is>
          <t>Let</t>
        </is>
      </c>
    </row>
    <row r="479">
      <c r="A479" t="inlineStr">
        <is>
          <t xml:space="preserve">  Office</t>
        </is>
      </c>
      <c r="B479" t="inlineStr">
        <is>
          <t>JM</t>
        </is>
      </c>
      <c r="C479" t="inlineStr">
        <is>
          <t>MEL</t>
        </is>
      </c>
      <c r="D479" t="n">
        <v>100650</v>
      </c>
      <c r="E479" t="inlineStr">
        <is>
          <t>50-60 Eastcastle Street</t>
        </is>
      </c>
      <c r="F479" t="inlineStr">
        <is>
          <t>First Floor (100)</t>
        </is>
      </c>
      <c r="G479" t="inlineStr">
        <is>
          <t>Office</t>
        </is>
      </c>
      <c r="H479" t="n">
        <v>1200</v>
      </c>
      <c r="I479">
        <f>I347</f>
        <v/>
      </c>
      <c r="J479" t="n">
        <v>1250</v>
      </c>
      <c r="K479" t="inlineStr">
        <is>
          <t>Vacant</t>
        </is>
      </c>
      <c r="N479" s="869" t="n">
        <v>45793</v>
      </c>
      <c r="Q479" t="n">
        <v>0</v>
      </c>
      <c r="R479">
        <f>R347</f>
        <v/>
      </c>
      <c r="T479" t="n">
        <v>72000</v>
      </c>
      <c r="U479">
        <f>U347</f>
        <v/>
      </c>
      <c r="V479" t="n">
        <v>69000</v>
      </c>
      <c r="W479">
        <f>W347</f>
        <v/>
      </c>
      <c r="X479">
        <f>W347/I347</f>
        <v/>
      </c>
      <c r="Y479">
        <f>SUM(W347-U347)/U347</f>
        <v/>
      </c>
      <c r="Z479" t="inlineStr">
        <is>
          <t>D</t>
        </is>
      </c>
      <c r="AC479" t="inlineStr">
        <is>
          <t>No</t>
        </is>
      </c>
      <c r="AD479" t="inlineStr">
        <is>
          <t>LEM marketing.</t>
        </is>
      </c>
      <c r="AG479" t="n">
        <v>8</v>
      </c>
      <c r="AI479" t="inlineStr">
        <is>
          <t>Void</t>
        </is>
      </c>
    </row>
    <row r="480">
      <c r="A480" t="inlineStr">
        <is>
          <t xml:space="preserve">  Showroom/ Office</t>
        </is>
      </c>
      <c r="B480" t="inlineStr">
        <is>
          <t>JM</t>
        </is>
      </c>
      <c r="C480" t="inlineStr">
        <is>
          <t>MEL</t>
        </is>
      </c>
      <c r="D480" t="n">
        <v>100650</v>
      </c>
      <c r="E480" t="inlineStr">
        <is>
          <t>50-60 Eastcastle Street</t>
        </is>
      </c>
      <c r="F480" t="inlineStr">
        <is>
          <t>First Floor  (140)</t>
        </is>
      </c>
      <c r="G480" t="inlineStr">
        <is>
          <t>Showroom/ Office</t>
        </is>
      </c>
      <c r="H480" t="n">
        <v>1372</v>
      </c>
      <c r="I480">
        <f>I348</f>
        <v/>
      </c>
      <c r="J480" t="n">
        <v>1250</v>
      </c>
      <c r="K480" t="inlineStr">
        <is>
          <t>Vacant</t>
        </is>
      </c>
      <c r="N480" s="869" t="n">
        <v>45672</v>
      </c>
      <c r="Q480" t="n">
        <v>0</v>
      </c>
      <c r="R480">
        <f>R348</f>
        <v/>
      </c>
      <c r="T480" t="n">
        <v>82300</v>
      </c>
      <c r="U480">
        <f>U348</f>
        <v/>
      </c>
      <c r="V480" t="n">
        <v>78900</v>
      </c>
      <c r="W480">
        <f>W348</f>
        <v/>
      </c>
      <c r="X480">
        <f>W348/I348</f>
        <v/>
      </c>
      <c r="Y480">
        <f>SUM(W348-U348)/U348</f>
        <v/>
      </c>
      <c r="Z480" t="inlineStr">
        <is>
          <t>D</t>
        </is>
      </c>
      <c r="AC480" t="inlineStr">
        <is>
          <t>No</t>
        </is>
      </c>
      <c r="AD480" t="inlineStr">
        <is>
          <t>LEM marketing.</t>
        </is>
      </c>
      <c r="AI480" t="inlineStr">
        <is>
          <t>Void</t>
        </is>
      </c>
    </row>
    <row r="481">
      <c r="A481" t="inlineStr">
        <is>
          <t xml:space="preserve">  Showroom/ Office</t>
        </is>
      </c>
      <c r="B481" t="inlineStr">
        <is>
          <t>JM</t>
        </is>
      </c>
      <c r="C481" t="inlineStr">
        <is>
          <t>MEL</t>
        </is>
      </c>
      <c r="D481" t="n">
        <v>100650</v>
      </c>
      <c r="E481" t="inlineStr">
        <is>
          <t>50-60 Eastcastle Street</t>
        </is>
      </c>
      <c r="F481" t="inlineStr">
        <is>
          <t>First Floor (120)</t>
        </is>
      </c>
      <c r="G481" t="inlineStr">
        <is>
          <t>Showroom/ Office</t>
        </is>
      </c>
      <c r="H481" t="n">
        <v>1020</v>
      </c>
      <c r="I481">
        <f>I349</f>
        <v/>
      </c>
      <c r="J481" t="n">
        <v>1000</v>
      </c>
      <c r="K481" t="inlineStr">
        <is>
          <t>Vacant</t>
        </is>
      </c>
      <c r="N481" s="869" t="n">
        <v>44576</v>
      </c>
      <c r="Q481" t="n">
        <v>0</v>
      </c>
      <c r="R481">
        <f>R349</f>
        <v/>
      </c>
      <c r="T481" t="n">
        <v>61200</v>
      </c>
      <c r="U481">
        <f>U349</f>
        <v/>
      </c>
      <c r="V481" t="n">
        <v>58700</v>
      </c>
      <c r="W481">
        <f>W349</f>
        <v/>
      </c>
      <c r="X481">
        <f>W349/I349</f>
        <v/>
      </c>
      <c r="Y481">
        <f>SUM(W349-U349)/U349</f>
        <v/>
      </c>
      <c r="Z481" t="inlineStr">
        <is>
          <t>D</t>
        </is>
      </c>
      <c r="AC481" t="inlineStr">
        <is>
          <t>No</t>
        </is>
      </c>
      <c r="AD481" t="inlineStr">
        <is>
          <t>To be refurbished.</t>
        </is>
      </c>
      <c r="AI481" t="inlineStr">
        <is>
          <t>Void</t>
        </is>
      </c>
    </row>
    <row r="482">
      <c r="A482" t="inlineStr">
        <is>
          <t xml:space="preserve">  Office</t>
        </is>
      </c>
      <c r="B482" t="inlineStr">
        <is>
          <t>JM</t>
        </is>
      </c>
      <c r="C482" t="inlineStr">
        <is>
          <t>MEL</t>
        </is>
      </c>
      <c r="D482" t="n">
        <v>100650</v>
      </c>
      <c r="E482" t="inlineStr">
        <is>
          <t>50-60 Eastcastle Street</t>
        </is>
      </c>
      <c r="F482" t="inlineStr">
        <is>
          <t>First Floor (Centre)</t>
        </is>
      </c>
      <c r="G482" t="inlineStr">
        <is>
          <t>Office</t>
        </is>
      </c>
      <c r="H482" t="n">
        <v>6636</v>
      </c>
      <c r="I482">
        <f>I350</f>
        <v/>
      </c>
      <c r="J482" t="n">
        <v>6500</v>
      </c>
      <c r="K482" t="inlineStr">
        <is>
          <t>Vacant</t>
        </is>
      </c>
      <c r="N482" s="869" t="n">
        <v>44172</v>
      </c>
      <c r="Q482" t="n">
        <v>0</v>
      </c>
      <c r="R482">
        <f>R350</f>
        <v/>
      </c>
      <c r="T482" t="n">
        <v>398200</v>
      </c>
      <c r="U482">
        <f>U350</f>
        <v/>
      </c>
      <c r="V482" t="n">
        <v>381600</v>
      </c>
      <c r="W482">
        <f>W350</f>
        <v/>
      </c>
      <c r="X482">
        <f>W350/I350</f>
        <v/>
      </c>
      <c r="Y482">
        <f>SUM(W350-U350)/U350</f>
        <v/>
      </c>
      <c r="Z482" t="inlineStr">
        <is>
          <t>E</t>
        </is>
      </c>
      <c r="AC482" t="inlineStr">
        <is>
          <t>No</t>
        </is>
      </c>
      <c r="AD482" t="inlineStr">
        <is>
          <t>To be refurbished.</t>
        </is>
      </c>
      <c r="AI482" t="inlineStr">
        <is>
          <t>Void</t>
        </is>
      </c>
    </row>
    <row r="483">
      <c r="A483" t="inlineStr">
        <is>
          <t xml:space="preserve">  Showroom/ Office</t>
        </is>
      </c>
      <c r="B483" t="inlineStr">
        <is>
          <t>JM</t>
        </is>
      </c>
      <c r="C483" t="inlineStr">
        <is>
          <t>MEL</t>
        </is>
      </c>
      <c r="D483" t="n">
        <v>100650</v>
      </c>
      <c r="E483" t="inlineStr">
        <is>
          <t>50-60 Eastcastle Street</t>
        </is>
      </c>
      <c r="F483" t="inlineStr">
        <is>
          <t>First Floor (160, 180)</t>
        </is>
      </c>
      <c r="G483" t="inlineStr">
        <is>
          <t>Showroom/ Office</t>
        </is>
      </c>
      <c r="H483" t="n">
        <v>950</v>
      </c>
      <c r="I483">
        <f>I351</f>
        <v/>
      </c>
      <c r="J483" t="n">
        <v>1000</v>
      </c>
      <c r="K483" t="inlineStr">
        <is>
          <t>Vacant</t>
        </is>
      </c>
      <c r="N483" s="869" t="n">
        <v>44682</v>
      </c>
      <c r="Q483" t="n">
        <v>0</v>
      </c>
      <c r="R483">
        <f>R351</f>
        <v/>
      </c>
      <c r="T483" t="n">
        <v>57000</v>
      </c>
      <c r="U483">
        <f>U351</f>
        <v/>
      </c>
      <c r="V483" t="n">
        <v>54600</v>
      </c>
      <c r="W483">
        <f>W351</f>
        <v/>
      </c>
      <c r="X483">
        <f>W351/I351</f>
        <v/>
      </c>
      <c r="Y483">
        <f>SUM(W351-U351)/U351</f>
        <v/>
      </c>
      <c r="Z483" t="inlineStr">
        <is>
          <t>D</t>
        </is>
      </c>
      <c r="AC483" t="inlineStr">
        <is>
          <t>No</t>
        </is>
      </c>
      <c r="AD483" t="inlineStr">
        <is>
          <t>To be refurbished.</t>
        </is>
      </c>
      <c r="AI483" t="inlineStr">
        <is>
          <t>Void</t>
        </is>
      </c>
    </row>
    <row r="484">
      <c r="A484" t="inlineStr">
        <is>
          <t xml:space="preserve">  Office</t>
        </is>
      </c>
      <c r="B484" t="inlineStr">
        <is>
          <t>JM</t>
        </is>
      </c>
      <c r="C484" t="inlineStr">
        <is>
          <t>MEL</t>
        </is>
      </c>
      <c r="D484" t="n">
        <v>100650</v>
      </c>
      <c r="E484" t="inlineStr">
        <is>
          <t>50-60 Eastcastle Street</t>
        </is>
      </c>
      <c r="F484" t="inlineStr">
        <is>
          <t>Second Floor (South)</t>
        </is>
      </c>
      <c r="G484" t="inlineStr">
        <is>
          <t>Office</t>
        </is>
      </c>
      <c r="H484" t="n">
        <v>15445</v>
      </c>
      <c r="I484">
        <f>I352</f>
        <v/>
      </c>
      <c r="J484" t="n">
        <v>15500</v>
      </c>
      <c r="K484" t="inlineStr">
        <is>
          <t>Vacant</t>
        </is>
      </c>
      <c r="N484" s="869" t="n">
        <v>45358</v>
      </c>
      <c r="Q484" t="n">
        <v>0</v>
      </c>
      <c r="R484">
        <f>R352</f>
        <v/>
      </c>
      <c r="T484" t="n">
        <v>926700</v>
      </c>
      <c r="U484">
        <f>U352</f>
        <v/>
      </c>
      <c r="V484" t="n">
        <v>810900</v>
      </c>
      <c r="W484">
        <f>W352</f>
        <v/>
      </c>
      <c r="X484">
        <f>W352/I352</f>
        <v/>
      </c>
      <c r="Y484">
        <f>SUM(W352-U352)/U352</f>
        <v/>
      </c>
      <c r="Z484" t="inlineStr">
        <is>
          <t>D</t>
        </is>
      </c>
      <c r="AC484" t="inlineStr">
        <is>
          <t>No</t>
        </is>
      </c>
      <c r="AD484" t="inlineStr">
        <is>
          <t>To be refurbished.</t>
        </is>
      </c>
      <c r="AF484" t="n">
        <v>3</v>
      </c>
      <c r="AG484" t="n">
        <v>3</v>
      </c>
      <c r="AH484" t="inlineStr">
        <is>
          <t>LEM</t>
        </is>
      </c>
      <c r="AI484" t="inlineStr">
        <is>
          <t>Void</t>
        </is>
      </c>
    </row>
    <row r="485">
      <c r="A485" t="inlineStr">
        <is>
          <t xml:space="preserve">  Office</t>
        </is>
      </c>
      <c r="B485" t="inlineStr">
        <is>
          <t>JM</t>
        </is>
      </c>
      <c r="C485" t="inlineStr">
        <is>
          <t>MEL</t>
        </is>
      </c>
      <c r="D485" t="n">
        <v>100650</v>
      </c>
      <c r="E485" t="inlineStr">
        <is>
          <t>50-60 Eastcastle Street</t>
        </is>
      </c>
      <c r="F485" t="inlineStr">
        <is>
          <t>Second Floor (Centre)</t>
        </is>
      </c>
      <c r="G485" t="inlineStr">
        <is>
          <t>Office</t>
        </is>
      </c>
      <c r="H485" t="n">
        <v>5350</v>
      </c>
      <c r="I485">
        <f>I353</f>
        <v/>
      </c>
      <c r="J485" t="n">
        <v>5250</v>
      </c>
      <c r="K485" t="inlineStr">
        <is>
          <t>Fintech Partners Limited.</t>
        </is>
      </c>
      <c r="L485" s="869" t="n">
        <v>44986</v>
      </c>
      <c r="M485" s="869" t="n">
        <v>46081</v>
      </c>
      <c r="Q485" t="n">
        <v>320000</v>
      </c>
      <c r="R485">
        <f>R353</f>
        <v/>
      </c>
      <c r="T485" t="n">
        <v>321000</v>
      </c>
      <c r="U485">
        <f>U353</f>
        <v/>
      </c>
      <c r="V485" t="n">
        <v>307600</v>
      </c>
      <c r="W485">
        <f>W353</f>
        <v/>
      </c>
      <c r="X485">
        <f>W353/I353</f>
        <v/>
      </c>
      <c r="Y485">
        <f>SUM(W353-U353)/U353</f>
        <v/>
      </c>
      <c r="Z485" t="inlineStr">
        <is>
          <t>D</t>
        </is>
      </c>
      <c r="AC485" t="inlineStr">
        <is>
          <t>No</t>
        </is>
      </c>
      <c r="AF485" t="n">
        <v>1</v>
      </c>
      <c r="AG485" t="n">
        <v>1</v>
      </c>
      <c r="AI485" t="inlineStr">
        <is>
          <t>Let</t>
        </is>
      </c>
    </row>
    <row r="486">
      <c r="A486" t="inlineStr">
        <is>
          <t xml:space="preserve">  Office</t>
        </is>
      </c>
      <c r="B486" t="inlineStr">
        <is>
          <t>JM</t>
        </is>
      </c>
      <c r="C486" t="inlineStr">
        <is>
          <t>MEL</t>
        </is>
      </c>
      <c r="D486" t="n">
        <v>100650</v>
      </c>
      <c r="E486" t="inlineStr">
        <is>
          <t>50-60 Eastcastle Street</t>
        </is>
      </c>
      <c r="F486" t="inlineStr">
        <is>
          <t>Second Floor (210,220, 230 &amp; 231)</t>
        </is>
      </c>
      <c r="G486" t="inlineStr">
        <is>
          <t>Office</t>
        </is>
      </c>
      <c r="H486" t="n">
        <v>3461</v>
      </c>
      <c r="I486">
        <f>I354</f>
        <v/>
      </c>
      <c r="J486" t="n">
        <v>3500</v>
      </c>
      <c r="K486" t="inlineStr">
        <is>
          <t>Vacant</t>
        </is>
      </c>
      <c r="N486" s="869" t="n">
        <v>44958</v>
      </c>
      <c r="Q486" t="n">
        <v>0</v>
      </c>
      <c r="R486">
        <f>R354</f>
        <v/>
      </c>
      <c r="T486" t="n">
        <v>207700</v>
      </c>
      <c r="U486">
        <f>U354</f>
        <v/>
      </c>
      <c r="V486" t="n">
        <v>199000</v>
      </c>
      <c r="W486">
        <f>W354</f>
        <v/>
      </c>
      <c r="X486">
        <f>W354/I354</f>
        <v/>
      </c>
      <c r="Y486">
        <f>SUM(W354-U354)/U354</f>
        <v/>
      </c>
      <c r="Z486" t="inlineStr">
        <is>
          <t>D</t>
        </is>
      </c>
      <c r="AC486" t="inlineStr">
        <is>
          <t>No</t>
        </is>
      </c>
      <c r="AD486" t="inlineStr">
        <is>
          <t>To be refurbished.</t>
        </is>
      </c>
      <c r="AF486" t="n">
        <v>1</v>
      </c>
      <c r="AG486" t="n">
        <v>1</v>
      </c>
      <c r="AI486" t="inlineStr">
        <is>
          <t>Void</t>
        </is>
      </c>
    </row>
    <row r="487">
      <c r="A487" t="inlineStr">
        <is>
          <t xml:space="preserve">  Office</t>
        </is>
      </c>
      <c r="B487" t="inlineStr">
        <is>
          <t>JM</t>
        </is>
      </c>
      <c r="C487" t="inlineStr">
        <is>
          <t>MEL</t>
        </is>
      </c>
      <c r="D487" t="n">
        <v>100650</v>
      </c>
      <c r="E487" t="inlineStr">
        <is>
          <t>50-60 Eastcastle Street</t>
        </is>
      </c>
      <c r="F487" t="inlineStr">
        <is>
          <t>Second Floor (240)</t>
        </is>
      </c>
      <c r="G487" t="inlineStr">
        <is>
          <t>Office</t>
        </is>
      </c>
      <c r="H487" t="n">
        <v>445</v>
      </c>
      <c r="I487">
        <f>I355</f>
        <v/>
      </c>
      <c r="J487" t="n">
        <v>500</v>
      </c>
      <c r="K487" t="inlineStr">
        <is>
          <t>Vacant</t>
        </is>
      </c>
      <c r="N487" s="869" t="n">
        <v>44849</v>
      </c>
      <c r="Q487" t="n">
        <v>0</v>
      </c>
      <c r="R487">
        <f>R355</f>
        <v/>
      </c>
      <c r="T487" t="n">
        <v>26700</v>
      </c>
      <c r="U487">
        <f>U355</f>
        <v/>
      </c>
      <c r="V487" t="n">
        <v>25600</v>
      </c>
      <c r="W487">
        <f>W355</f>
        <v/>
      </c>
      <c r="X487">
        <f>W355/I355</f>
        <v/>
      </c>
      <c r="Y487">
        <f>SUM(W355-U355)/U355</f>
        <v/>
      </c>
      <c r="Z487" t="inlineStr">
        <is>
          <t>D</t>
        </is>
      </c>
      <c r="AC487" t="inlineStr">
        <is>
          <t>No</t>
        </is>
      </c>
      <c r="AD487" t="inlineStr">
        <is>
          <t>To be refurbished.</t>
        </is>
      </c>
      <c r="AF487" t="n">
        <v>1</v>
      </c>
      <c r="AG487" t="n">
        <v>2</v>
      </c>
      <c r="AH487" t="inlineStr">
        <is>
          <t>LEM</t>
        </is>
      </c>
      <c r="AI487" t="inlineStr">
        <is>
          <t>Void</t>
        </is>
      </c>
    </row>
    <row r="488">
      <c r="A488" t="inlineStr">
        <is>
          <t xml:space="preserve">  Office</t>
        </is>
      </c>
      <c r="B488" t="inlineStr">
        <is>
          <t>JM</t>
        </is>
      </c>
      <c r="C488" t="inlineStr">
        <is>
          <t>MEL</t>
        </is>
      </c>
      <c r="D488" t="n">
        <v>100650</v>
      </c>
      <c r="E488" t="inlineStr">
        <is>
          <t>50-60 Eastcastle Street</t>
        </is>
      </c>
      <c r="F488" t="inlineStr">
        <is>
          <t>Third Floor (303)</t>
        </is>
      </c>
      <c r="G488" t="inlineStr">
        <is>
          <t>Office</t>
        </is>
      </c>
      <c r="H488" t="n">
        <v>783</v>
      </c>
      <c r="I488">
        <f>I356</f>
        <v/>
      </c>
      <c r="J488" t="n">
        <v>750</v>
      </c>
      <c r="K488" t="inlineStr">
        <is>
          <t>Vacant</t>
        </is>
      </c>
      <c r="N488" s="869" t="n">
        <v>45406</v>
      </c>
      <c r="Q488" t="n">
        <v>0</v>
      </c>
      <c r="R488">
        <f>R356</f>
        <v/>
      </c>
      <c r="T488" t="n">
        <v>45000</v>
      </c>
      <c r="U488">
        <f>U356</f>
        <v/>
      </c>
      <c r="V488" t="n">
        <v>45000</v>
      </c>
      <c r="W488">
        <f>W356</f>
        <v/>
      </c>
      <c r="X488">
        <f>W356/I356</f>
        <v/>
      </c>
      <c r="Y488">
        <f>SUM(W356-U356)/U356</f>
        <v/>
      </c>
      <c r="Z488" t="inlineStr">
        <is>
          <t>D</t>
        </is>
      </c>
      <c r="AC488" t="inlineStr">
        <is>
          <t>No</t>
        </is>
      </c>
      <c r="AD488" t="inlineStr">
        <is>
          <t>To be refurbished.</t>
        </is>
      </c>
      <c r="AG488" t="n">
        <v>1</v>
      </c>
      <c r="AH488" t="inlineStr">
        <is>
          <t>LEM</t>
        </is>
      </c>
      <c r="AI488" t="inlineStr">
        <is>
          <t>Void</t>
        </is>
      </c>
    </row>
    <row r="489">
      <c r="A489" t="inlineStr">
        <is>
          <t xml:space="preserve">  Office</t>
        </is>
      </c>
      <c r="B489" t="inlineStr">
        <is>
          <t>JM</t>
        </is>
      </c>
      <c r="C489" t="inlineStr">
        <is>
          <t>MEL</t>
        </is>
      </c>
      <c r="D489" t="n">
        <v>100650</v>
      </c>
      <c r="E489" t="inlineStr">
        <is>
          <t>50-60 Eastcastle Street</t>
        </is>
      </c>
      <c r="F489" t="inlineStr">
        <is>
          <t>Third Floor (305)</t>
        </is>
      </c>
      <c r="G489" t="inlineStr">
        <is>
          <t>Office</t>
        </is>
      </c>
      <c r="H489" t="n">
        <v>1929</v>
      </c>
      <c r="I489">
        <f>I357</f>
        <v/>
      </c>
      <c r="J489" t="n">
        <v>2000</v>
      </c>
      <c r="K489" t="inlineStr">
        <is>
          <t>Property Management Recruitment Ltd.</t>
        </is>
      </c>
      <c r="L489" s="869" t="n">
        <v>45096</v>
      </c>
      <c r="M489" s="869" t="n">
        <v>46191</v>
      </c>
      <c r="Q489" t="n">
        <v>111825</v>
      </c>
      <c r="R489">
        <f>R357</f>
        <v/>
      </c>
      <c r="T489" t="n">
        <v>110900</v>
      </c>
      <c r="U489">
        <f>U357</f>
        <v/>
      </c>
      <c r="V489" t="n">
        <v>110900</v>
      </c>
      <c r="W489">
        <f>W357</f>
        <v/>
      </c>
      <c r="X489">
        <f>W357/I357</f>
        <v/>
      </c>
      <c r="Y489">
        <f>SUM(W357-U357)/U357</f>
        <v/>
      </c>
      <c r="Z489" t="inlineStr">
        <is>
          <t>E</t>
        </is>
      </c>
      <c r="AC489" t="inlineStr">
        <is>
          <t>No</t>
        </is>
      </c>
      <c r="AD489" t="inlineStr">
        <is>
          <t>To be refurbished.</t>
        </is>
      </c>
      <c r="AI489" t="inlineStr">
        <is>
          <t>Let</t>
        </is>
      </c>
    </row>
    <row r="490">
      <c r="A490" t="inlineStr">
        <is>
          <t xml:space="preserve">  Offices</t>
        </is>
      </c>
      <c r="B490" t="inlineStr">
        <is>
          <t>JM</t>
        </is>
      </c>
      <c r="C490" t="inlineStr">
        <is>
          <t>MEL</t>
        </is>
      </c>
      <c r="D490" t="n">
        <v>100650</v>
      </c>
      <c r="E490" t="inlineStr">
        <is>
          <t>50-60 Eastcastle Street</t>
        </is>
      </c>
      <c r="F490" t="inlineStr">
        <is>
          <t>Third Floor North (320)</t>
        </is>
      </c>
      <c r="G490" t="inlineStr">
        <is>
          <t>Offices</t>
        </is>
      </c>
      <c r="H490" t="n">
        <v>6893</v>
      </c>
      <c r="I490">
        <f>I358</f>
        <v/>
      </c>
      <c r="J490" t="n">
        <v>7000</v>
      </c>
      <c r="K490" t="inlineStr">
        <is>
          <t>Vacant</t>
        </is>
      </c>
      <c r="N490" s="869" t="n">
        <v>44340</v>
      </c>
      <c r="Q490" t="n">
        <v>0</v>
      </c>
      <c r="R490">
        <f>R358</f>
        <v/>
      </c>
      <c r="T490" t="n">
        <v>396300</v>
      </c>
      <c r="U490">
        <f>U358</f>
        <v/>
      </c>
      <c r="V490" t="n">
        <v>396300</v>
      </c>
      <c r="W490">
        <f>W358</f>
        <v/>
      </c>
      <c r="X490">
        <f>W358/I358</f>
        <v/>
      </c>
      <c r="Y490">
        <f>SUM(W358-U358)/U358</f>
        <v/>
      </c>
      <c r="Z490" t="inlineStr">
        <is>
          <t>E</t>
        </is>
      </c>
      <c r="AC490" t="inlineStr">
        <is>
          <t>No</t>
        </is>
      </c>
      <c r="AD490" t="inlineStr">
        <is>
          <t>To be refurbished.</t>
        </is>
      </c>
      <c r="AF490" t="n">
        <v>2</v>
      </c>
      <c r="AG490" t="n">
        <v>6</v>
      </c>
      <c r="AH490" t="inlineStr">
        <is>
          <t>LEM</t>
        </is>
      </c>
      <c r="AI490" t="inlineStr">
        <is>
          <t>Void</t>
        </is>
      </c>
    </row>
    <row r="491">
      <c r="A491" t="inlineStr">
        <is>
          <t xml:space="preserve">  Showroom/ Office</t>
        </is>
      </c>
      <c r="B491" t="inlineStr">
        <is>
          <t>JM</t>
        </is>
      </c>
      <c r="C491" t="inlineStr">
        <is>
          <t>MEL</t>
        </is>
      </c>
      <c r="D491" t="n">
        <v>100650</v>
      </c>
      <c r="E491" t="inlineStr">
        <is>
          <t>50-60 Eastcastle Street</t>
        </is>
      </c>
      <c r="F491" t="inlineStr">
        <is>
          <t>Third Floor (325)</t>
        </is>
      </c>
      <c r="G491" t="inlineStr">
        <is>
          <t>Showroom/ Office</t>
        </is>
      </c>
      <c r="H491" t="n">
        <v>363</v>
      </c>
      <c r="I491">
        <f>I359</f>
        <v/>
      </c>
      <c r="J491" t="n">
        <v>500</v>
      </c>
      <c r="K491" t="inlineStr">
        <is>
          <t>Vacant</t>
        </is>
      </c>
      <c r="N491" s="869" t="n">
        <v>45139</v>
      </c>
      <c r="Q491" t="n">
        <v>0</v>
      </c>
      <c r="R491">
        <f>R359</f>
        <v/>
      </c>
      <c r="T491" t="n">
        <v>20900</v>
      </c>
      <c r="U491">
        <f>U359</f>
        <v/>
      </c>
      <c r="V491" t="n">
        <v>20900</v>
      </c>
      <c r="W491">
        <f>W359</f>
        <v/>
      </c>
      <c r="X491">
        <f>W359/I359</f>
        <v/>
      </c>
      <c r="Y491">
        <f>SUM(W359-U359)/U359</f>
        <v/>
      </c>
      <c r="Z491" t="inlineStr">
        <is>
          <t>D</t>
        </is>
      </c>
      <c r="AC491" t="inlineStr">
        <is>
          <t>No</t>
        </is>
      </c>
      <c r="AD491" t="inlineStr">
        <is>
          <t>To be refurbished.</t>
        </is>
      </c>
      <c r="AI491" t="inlineStr">
        <is>
          <t>Void</t>
        </is>
      </c>
    </row>
    <row r="492">
      <c r="A492" t="inlineStr">
        <is>
          <t xml:space="preserve">  Showroom/ Office</t>
        </is>
      </c>
      <c r="B492" t="inlineStr">
        <is>
          <t>JM</t>
        </is>
      </c>
      <c r="C492" t="inlineStr">
        <is>
          <t>MEL</t>
        </is>
      </c>
      <c r="D492" t="n">
        <v>100650</v>
      </c>
      <c r="E492" t="inlineStr">
        <is>
          <t>50-60 Eastcastle Street</t>
        </is>
      </c>
      <c r="F492" t="inlineStr">
        <is>
          <t>Third Floor (335, 390)</t>
        </is>
      </c>
      <c r="G492" t="inlineStr">
        <is>
          <t>Showroom/ Office</t>
        </is>
      </c>
      <c r="H492" t="n">
        <v>933</v>
      </c>
      <c r="I492">
        <f>I360</f>
        <v/>
      </c>
      <c r="J492" t="n">
        <v>1000</v>
      </c>
      <c r="K492" t="inlineStr">
        <is>
          <t>Vacant</t>
        </is>
      </c>
      <c r="N492" s="869" t="n">
        <v>44340</v>
      </c>
      <c r="Q492" t="n">
        <v>0</v>
      </c>
      <c r="R492">
        <f>R360</f>
        <v/>
      </c>
      <c r="T492" t="n">
        <v>53600</v>
      </c>
      <c r="U492">
        <f>U360</f>
        <v/>
      </c>
      <c r="V492" t="n">
        <v>53600</v>
      </c>
      <c r="W492">
        <f>W360</f>
        <v/>
      </c>
      <c r="X492">
        <f>W360/I360</f>
        <v/>
      </c>
      <c r="Y492">
        <f>SUM(W360-U360)/U360</f>
        <v/>
      </c>
      <c r="Z492" t="inlineStr">
        <is>
          <t>E</t>
        </is>
      </c>
      <c r="AC492" t="inlineStr">
        <is>
          <t>No</t>
        </is>
      </c>
      <c r="AD492" t="inlineStr">
        <is>
          <t>To be refurbished.</t>
        </is>
      </c>
      <c r="AG492" t="n">
        <v>1</v>
      </c>
      <c r="AH492" t="inlineStr">
        <is>
          <t>LEM</t>
        </is>
      </c>
      <c r="AI492" t="inlineStr">
        <is>
          <t>Void</t>
        </is>
      </c>
    </row>
    <row r="493">
      <c r="A493" t="inlineStr">
        <is>
          <t xml:space="preserve">  Showroom/ Office</t>
        </is>
      </c>
      <c r="B493" t="inlineStr">
        <is>
          <t>JM</t>
        </is>
      </c>
      <c r="C493" t="inlineStr">
        <is>
          <t>MEL</t>
        </is>
      </c>
      <c r="D493" t="n">
        <v>100650</v>
      </c>
      <c r="E493" t="inlineStr">
        <is>
          <t>50-60 Eastcastle Street</t>
        </is>
      </c>
      <c r="F493" t="inlineStr">
        <is>
          <t>Third Floor (330)</t>
        </is>
      </c>
      <c r="G493" t="inlineStr">
        <is>
          <t>Showroom/ Office</t>
        </is>
      </c>
      <c r="H493" t="n">
        <v>1350</v>
      </c>
      <c r="I493">
        <f>I361</f>
        <v/>
      </c>
      <c r="J493" t="n">
        <v>1350</v>
      </c>
      <c r="K493" t="inlineStr">
        <is>
          <t>Brand Murray Fuller Services Ltd.</t>
        </is>
      </c>
      <c r="L493" s="869" t="n">
        <v>44501</v>
      </c>
      <c r="M493" s="869" t="n">
        <v>46326</v>
      </c>
      <c r="Q493" t="n">
        <v>74250</v>
      </c>
      <c r="R493">
        <f>R361</f>
        <v/>
      </c>
      <c r="T493" t="n">
        <v>77600</v>
      </c>
      <c r="U493">
        <f>U361</f>
        <v/>
      </c>
      <c r="V493" t="n">
        <v>77600</v>
      </c>
      <c r="W493">
        <f>W361</f>
        <v/>
      </c>
      <c r="X493">
        <f>W361/I361</f>
        <v/>
      </c>
      <c r="Y493">
        <f>SUM(W361-U361)/U361</f>
        <v/>
      </c>
      <c r="Z493" t="inlineStr">
        <is>
          <t>E</t>
        </is>
      </c>
      <c r="AC493" t="inlineStr">
        <is>
          <t>No</t>
        </is>
      </c>
      <c r="AI493" t="inlineStr">
        <is>
          <t>Let</t>
        </is>
      </c>
    </row>
    <row r="494">
      <c r="A494" t="inlineStr">
        <is>
          <t xml:space="preserve">  Office</t>
        </is>
      </c>
      <c r="B494" t="inlineStr">
        <is>
          <t>JM</t>
        </is>
      </c>
      <c r="C494" t="inlineStr">
        <is>
          <t>MEL</t>
        </is>
      </c>
      <c r="D494" t="n">
        <v>100650</v>
      </c>
      <c r="E494" t="inlineStr">
        <is>
          <t>50-60 Eastcastle Street</t>
        </is>
      </c>
      <c r="F494" t="inlineStr">
        <is>
          <t>Third Floor (340)</t>
        </is>
      </c>
      <c r="G494" t="inlineStr">
        <is>
          <t>Office</t>
        </is>
      </c>
      <c r="H494" t="n">
        <v>688</v>
      </c>
      <c r="I494">
        <f>I362</f>
        <v/>
      </c>
      <c r="J494" t="n">
        <v>750</v>
      </c>
      <c r="K494" t="inlineStr">
        <is>
          <t>Vacant</t>
        </is>
      </c>
      <c r="N494" s="869" t="n">
        <v>45139</v>
      </c>
      <c r="Q494" t="n">
        <v>0</v>
      </c>
      <c r="R494">
        <f>R362</f>
        <v/>
      </c>
      <c r="T494" t="n">
        <v>39600</v>
      </c>
      <c r="U494">
        <f>U362</f>
        <v/>
      </c>
      <c r="V494" t="n">
        <v>39600</v>
      </c>
      <c r="W494">
        <f>W362</f>
        <v/>
      </c>
      <c r="X494">
        <f>W362/I362</f>
        <v/>
      </c>
      <c r="Y494">
        <f>SUM(W362-U362)/U362</f>
        <v/>
      </c>
      <c r="Z494" t="inlineStr">
        <is>
          <t>E</t>
        </is>
      </c>
      <c r="AC494" t="inlineStr">
        <is>
          <t>No</t>
        </is>
      </c>
      <c r="AD494" t="inlineStr">
        <is>
          <t>To be refurbished.</t>
        </is>
      </c>
      <c r="AI494" t="inlineStr">
        <is>
          <t>Void</t>
        </is>
      </c>
    </row>
    <row r="495">
      <c r="A495" t="inlineStr">
        <is>
          <t xml:space="preserve">  Office</t>
        </is>
      </c>
      <c r="B495" t="inlineStr">
        <is>
          <t>JM</t>
        </is>
      </c>
      <c r="C495" t="inlineStr">
        <is>
          <t>MEL</t>
        </is>
      </c>
      <c r="D495" t="n">
        <v>100650</v>
      </c>
      <c r="E495" t="inlineStr">
        <is>
          <t>50-60 Eastcastle Street</t>
        </is>
      </c>
      <c r="F495" t="inlineStr">
        <is>
          <t>Third Floor (345)</t>
        </is>
      </c>
      <c r="G495" t="inlineStr">
        <is>
          <t>Office</t>
        </is>
      </c>
      <c r="H495" t="n">
        <v>325</v>
      </c>
      <c r="I495">
        <f>I363</f>
        <v/>
      </c>
      <c r="J495" t="n">
        <v>500</v>
      </c>
      <c r="K495" t="inlineStr">
        <is>
          <t>Vacant</t>
        </is>
      </c>
      <c r="N495" s="869" t="n">
        <v>44340</v>
      </c>
      <c r="Q495" t="n">
        <v>0</v>
      </c>
      <c r="R495">
        <f>R363</f>
        <v/>
      </c>
      <c r="T495" t="n">
        <v>18700</v>
      </c>
      <c r="U495">
        <f>U363</f>
        <v/>
      </c>
      <c r="V495" t="n">
        <v>18700</v>
      </c>
      <c r="W495">
        <f>W363</f>
        <v/>
      </c>
      <c r="X495">
        <f>W363/I363</f>
        <v/>
      </c>
      <c r="Y495">
        <f>SUM(W363-U363)/U363</f>
        <v/>
      </c>
      <c r="Z495" t="inlineStr">
        <is>
          <t>E</t>
        </is>
      </c>
      <c r="AC495" t="inlineStr">
        <is>
          <t>No</t>
        </is>
      </c>
      <c r="AD495" t="inlineStr">
        <is>
          <t>To be refurbished.</t>
        </is>
      </c>
      <c r="AI495" t="inlineStr">
        <is>
          <t>Void</t>
        </is>
      </c>
    </row>
    <row r="496">
      <c r="A496" t="inlineStr">
        <is>
          <t xml:space="preserve">  Office</t>
        </is>
      </c>
      <c r="B496" t="inlineStr">
        <is>
          <t>JM</t>
        </is>
      </c>
      <c r="C496" t="inlineStr">
        <is>
          <t>MEL</t>
        </is>
      </c>
      <c r="D496" t="n">
        <v>100650</v>
      </c>
      <c r="E496" t="inlineStr">
        <is>
          <t>50-60 Eastcastle Street</t>
        </is>
      </c>
      <c r="F496" t="inlineStr">
        <is>
          <t>Third Floor (350)</t>
        </is>
      </c>
      <c r="G496" t="inlineStr">
        <is>
          <t>Office</t>
        </is>
      </c>
      <c r="H496" t="n">
        <v>489</v>
      </c>
      <c r="I496">
        <f>I364</f>
        <v/>
      </c>
      <c r="J496" t="n">
        <v>500</v>
      </c>
      <c r="K496" t="inlineStr">
        <is>
          <t>Jewells Retail Ltd</t>
        </is>
      </c>
      <c r="L496" s="869" t="n">
        <v>45770</v>
      </c>
      <c r="M496" s="869" t="n">
        <v>46088</v>
      </c>
      <c r="Q496" t="n">
        <v>36529</v>
      </c>
      <c r="R496">
        <f>R364</f>
        <v/>
      </c>
      <c r="T496" t="n">
        <v>28100</v>
      </c>
      <c r="U496">
        <f>U364</f>
        <v/>
      </c>
      <c r="V496" t="n">
        <v>28100</v>
      </c>
      <c r="W496">
        <f>W364</f>
        <v/>
      </c>
      <c r="X496">
        <f>W364/I364</f>
        <v/>
      </c>
      <c r="Y496">
        <f>SUM(W364-U364)/U364</f>
        <v/>
      </c>
      <c r="Z496" t="inlineStr">
        <is>
          <t>E</t>
        </is>
      </c>
      <c r="AC496" t="inlineStr">
        <is>
          <t>No</t>
        </is>
      </c>
      <c r="AD496" t="inlineStr">
        <is>
          <t>Rent inclusive of service charge and insurance.</t>
        </is>
      </c>
      <c r="AI496" t="inlineStr">
        <is>
          <t>Let</t>
        </is>
      </c>
    </row>
    <row r="497">
      <c r="A497" t="inlineStr">
        <is>
          <t xml:space="preserve">  Office</t>
        </is>
      </c>
      <c r="B497" t="inlineStr">
        <is>
          <t>JM</t>
        </is>
      </c>
      <c r="C497" t="inlineStr">
        <is>
          <t>MEL</t>
        </is>
      </c>
      <c r="D497" t="n">
        <v>100650</v>
      </c>
      <c r="E497" t="inlineStr">
        <is>
          <t>50-60 Eastcastle Street</t>
        </is>
      </c>
      <c r="F497" t="inlineStr">
        <is>
          <t>Third Floor (360 &amp; 365)</t>
        </is>
      </c>
      <c r="G497" t="inlineStr">
        <is>
          <t>Office</t>
        </is>
      </c>
      <c r="H497" t="n">
        <v>3558</v>
      </c>
      <c r="I497">
        <f>I365</f>
        <v/>
      </c>
      <c r="J497" t="n">
        <v>3500</v>
      </c>
      <c r="K497" t="inlineStr">
        <is>
          <t>TGR1.618 Limited</t>
        </is>
      </c>
      <c r="L497" s="869" t="n">
        <v>45072</v>
      </c>
      <c r="M497" s="869" t="n">
        <v>46898</v>
      </c>
      <c r="P497" s="869" t="n">
        <v>46167</v>
      </c>
      <c r="Q497" t="n">
        <v>202920</v>
      </c>
      <c r="R497">
        <f>R365</f>
        <v/>
      </c>
      <c r="T497" t="n">
        <v>204600</v>
      </c>
      <c r="U497">
        <f>U365</f>
        <v/>
      </c>
      <c r="V497" t="n">
        <v>204600</v>
      </c>
      <c r="W497">
        <f>W365</f>
        <v/>
      </c>
      <c r="X497">
        <f>W365/I365</f>
        <v/>
      </c>
      <c r="Y497">
        <f>SUM(W365-U365)/U365</f>
        <v/>
      </c>
      <c r="Z497" t="inlineStr">
        <is>
          <t>D</t>
        </is>
      </c>
      <c r="AC497" t="inlineStr">
        <is>
          <t>No</t>
        </is>
      </c>
      <c r="AD497" t="inlineStr">
        <is>
          <t>Tenant break on 6 months notice. 2 months rent free if not exercised.</t>
        </is>
      </c>
      <c r="AI497" t="inlineStr">
        <is>
          <t>Let</t>
        </is>
      </c>
    </row>
    <row r="498">
      <c r="A498" t="inlineStr">
        <is>
          <t xml:space="preserve">  Office</t>
        </is>
      </c>
      <c r="B498" t="inlineStr">
        <is>
          <t>JM</t>
        </is>
      </c>
      <c r="C498" t="inlineStr">
        <is>
          <t>MEL</t>
        </is>
      </c>
      <c r="D498" t="n">
        <v>100650</v>
      </c>
      <c r="E498" t="inlineStr">
        <is>
          <t>50-60 Eastcastle Street</t>
        </is>
      </c>
      <c r="F498" t="inlineStr">
        <is>
          <t>Third Floor (395)</t>
        </is>
      </c>
      <c r="G498" t="inlineStr">
        <is>
          <t>Office</t>
        </is>
      </c>
      <c r="H498" t="n">
        <v>3500</v>
      </c>
      <c r="I498">
        <f>I366</f>
        <v/>
      </c>
      <c r="J498" t="n">
        <v>3500</v>
      </c>
      <c r="K498" t="inlineStr">
        <is>
          <t>Pixi Limited</t>
        </is>
      </c>
      <c r="L498" s="869" t="n">
        <v>44879</v>
      </c>
      <c r="M498" s="869" t="n">
        <v>46704</v>
      </c>
      <c r="Q498" t="n">
        <v>200000</v>
      </c>
      <c r="R498">
        <f>R366</f>
        <v/>
      </c>
      <c r="T498" t="n">
        <v>201300</v>
      </c>
      <c r="U498">
        <f>U366</f>
        <v/>
      </c>
      <c r="V498" t="n">
        <v>201300</v>
      </c>
      <c r="W498">
        <f>W366</f>
        <v/>
      </c>
      <c r="X498">
        <f>W366/I366</f>
        <v/>
      </c>
      <c r="Y498">
        <f>SUM(W366-U366)/U366</f>
        <v/>
      </c>
      <c r="Z498" t="inlineStr">
        <is>
          <t>D</t>
        </is>
      </c>
      <c r="AC498" t="inlineStr">
        <is>
          <t>No</t>
        </is>
      </c>
      <c r="AI498" t="inlineStr">
        <is>
          <t>Let</t>
        </is>
      </c>
    </row>
    <row r="499">
      <c r="A499" t="inlineStr">
        <is>
          <t xml:space="preserve">  Office</t>
        </is>
      </c>
      <c r="B499" t="inlineStr">
        <is>
          <t>JM</t>
        </is>
      </c>
      <c r="C499" t="inlineStr">
        <is>
          <t>MEL</t>
        </is>
      </c>
      <c r="D499" t="n">
        <v>100650</v>
      </c>
      <c r="E499" t="inlineStr">
        <is>
          <t>50-60 Eastcastle Street</t>
        </is>
      </c>
      <c r="F499" t="inlineStr">
        <is>
          <t>Third Floor (398)</t>
        </is>
      </c>
      <c r="G499" t="inlineStr">
        <is>
          <t>Office</t>
        </is>
      </c>
      <c r="H499" t="n">
        <v>416</v>
      </c>
      <c r="I499">
        <f>I367</f>
        <v/>
      </c>
      <c r="J499" t="n">
        <v>500</v>
      </c>
      <c r="K499" t="inlineStr">
        <is>
          <t>Pixi Limited</t>
        </is>
      </c>
      <c r="L499" s="869" t="n">
        <v>45701</v>
      </c>
      <c r="M499" s="869" t="n">
        <v>46704</v>
      </c>
      <c r="Q499" t="n">
        <v>15000</v>
      </c>
      <c r="R499">
        <f>R367</f>
        <v/>
      </c>
      <c r="T499" t="n">
        <v>23900</v>
      </c>
      <c r="U499">
        <f>U367</f>
        <v/>
      </c>
      <c r="V499" t="n">
        <v>23900</v>
      </c>
      <c r="W499">
        <f>W367</f>
        <v/>
      </c>
      <c r="X499">
        <f>W367/I367</f>
        <v/>
      </c>
      <c r="Y499">
        <f>SUM(W367-U367)/U367</f>
        <v/>
      </c>
      <c r="Z499" t="inlineStr">
        <is>
          <t>E</t>
        </is>
      </c>
      <c r="AC499" t="inlineStr">
        <is>
          <t>No</t>
        </is>
      </c>
      <c r="AD499" t="inlineStr">
        <is>
          <t>Rolling tenant break on 6 months notice.</t>
        </is>
      </c>
      <c r="AI499" t="inlineStr">
        <is>
          <t>Let</t>
        </is>
      </c>
    </row>
    <row r="500">
      <c r="A500" t="inlineStr">
        <is>
          <t xml:space="preserve">  Showroom/ Office</t>
        </is>
      </c>
      <c r="B500" t="inlineStr">
        <is>
          <t>JM</t>
        </is>
      </c>
      <c r="C500" t="inlineStr">
        <is>
          <t>MEL</t>
        </is>
      </c>
      <c r="D500" t="n">
        <v>100650</v>
      </c>
      <c r="E500" t="inlineStr">
        <is>
          <t>50-60 Eastcastle Street</t>
        </is>
      </c>
      <c r="F500" t="inlineStr">
        <is>
          <t>Third Floor (396)</t>
        </is>
      </c>
      <c r="G500" t="inlineStr">
        <is>
          <t>Showroom/ Office</t>
        </is>
      </c>
      <c r="H500" t="n">
        <v>1400</v>
      </c>
      <c r="I500">
        <f>I368</f>
        <v/>
      </c>
      <c r="J500" t="n">
        <v>1500</v>
      </c>
      <c r="K500" t="inlineStr">
        <is>
          <t>Lovisa UK Ltd</t>
        </is>
      </c>
      <c r="L500" s="869" t="n">
        <v>45359</v>
      </c>
      <c r="M500" s="869" t="n">
        <v>46088</v>
      </c>
      <c r="Q500" t="n">
        <v>81900</v>
      </c>
      <c r="R500">
        <f>R368</f>
        <v/>
      </c>
      <c r="T500" t="n">
        <v>80500</v>
      </c>
      <c r="U500">
        <f>U368</f>
        <v/>
      </c>
      <c r="V500" t="n">
        <v>80500</v>
      </c>
      <c r="W500">
        <f>W368</f>
        <v/>
      </c>
      <c r="X500">
        <f>W368/I368</f>
        <v/>
      </c>
      <c r="Y500">
        <f>SUM(W368-U368)/U368</f>
        <v/>
      </c>
      <c r="Z500" t="inlineStr">
        <is>
          <t>E</t>
        </is>
      </c>
      <c r="AC500" t="inlineStr">
        <is>
          <t>No</t>
        </is>
      </c>
      <c r="AI500" t="inlineStr">
        <is>
          <t>Let</t>
        </is>
      </c>
    </row>
    <row r="501">
      <c r="A501" t="inlineStr">
        <is>
          <t xml:space="preserve">  Showroom/ Office</t>
        </is>
      </c>
      <c r="B501" t="inlineStr">
        <is>
          <t>JM</t>
        </is>
      </c>
      <c r="C501" t="inlineStr">
        <is>
          <t>MEL</t>
        </is>
      </c>
      <c r="D501" t="n">
        <v>100650</v>
      </c>
      <c r="E501" t="inlineStr">
        <is>
          <t>50-60 Eastcastle Street</t>
        </is>
      </c>
      <c r="F501" t="inlineStr">
        <is>
          <t>Third Floor (375 &amp; 380)</t>
        </is>
      </c>
      <c r="G501" t="inlineStr">
        <is>
          <t>Showroom/ Office</t>
        </is>
      </c>
      <c r="H501" t="n">
        <v>1277</v>
      </c>
      <c r="I501">
        <f>I369</f>
        <v/>
      </c>
      <c r="J501" t="n">
        <v>750</v>
      </c>
      <c r="K501" t="inlineStr">
        <is>
          <t>Jewells Retail Ltd</t>
        </is>
      </c>
      <c r="L501" s="869" t="n">
        <v>45714</v>
      </c>
      <c r="M501" s="869" t="n">
        <v>46088</v>
      </c>
      <c r="Q501" t="n">
        <v>95395</v>
      </c>
      <c r="R501">
        <f>R369</f>
        <v/>
      </c>
      <c r="T501" t="n">
        <v>73400</v>
      </c>
      <c r="U501">
        <f>U369</f>
        <v/>
      </c>
      <c r="V501" t="n">
        <v>73400</v>
      </c>
      <c r="W501">
        <f>W369</f>
        <v/>
      </c>
      <c r="X501">
        <f>W369/I369</f>
        <v/>
      </c>
      <c r="Y501">
        <f>SUM(W369-U369)/U369</f>
        <v/>
      </c>
      <c r="Z501" t="inlineStr">
        <is>
          <t>E</t>
        </is>
      </c>
      <c r="AC501" t="inlineStr">
        <is>
          <t>No</t>
        </is>
      </c>
      <c r="AD501" t="inlineStr">
        <is>
          <t>Rent all inclusive (excluding rates).</t>
        </is>
      </c>
      <c r="AF501" t="n">
        <v>1</v>
      </c>
      <c r="AG501" t="n">
        <v>3</v>
      </c>
      <c r="AH501" t="inlineStr">
        <is>
          <t>LEM</t>
        </is>
      </c>
      <c r="AI501" t="inlineStr">
        <is>
          <t>Let</t>
        </is>
      </c>
    </row>
    <row r="502">
      <c r="A502" t="inlineStr">
        <is>
          <t xml:space="preserve">  Plant Room</t>
        </is>
      </c>
      <c r="B502" t="inlineStr">
        <is>
          <t>JM</t>
        </is>
      </c>
      <c r="C502" t="inlineStr">
        <is>
          <t>MEL</t>
        </is>
      </c>
      <c r="D502" t="n">
        <v>100650</v>
      </c>
      <c r="E502" t="inlineStr">
        <is>
          <t>50-60 Eastcastle Street</t>
        </is>
      </c>
      <c r="F502" t="inlineStr">
        <is>
          <t>Winsley St. Sub-station (N)</t>
        </is>
      </c>
      <c r="G502" t="inlineStr">
        <is>
          <t>Plant Room</t>
        </is>
      </c>
      <c r="H502" t="n">
        <v>0</v>
      </c>
      <c r="I502">
        <f>I370</f>
        <v/>
      </c>
      <c r="K502" t="inlineStr">
        <is>
          <t>London Power Networks Plc</t>
        </is>
      </c>
      <c r="L502" s="869" t="n">
        <v>39295</v>
      </c>
      <c r="M502" s="869" t="n">
        <v>46599</v>
      </c>
      <c r="O502" s="869" t="n">
        <v>44409</v>
      </c>
      <c r="Q502" t="n">
        <v>681</v>
      </c>
      <c r="R502">
        <f>R370</f>
        <v/>
      </c>
      <c r="T502" t="n">
        <v>700</v>
      </c>
      <c r="U502">
        <f>U370</f>
        <v/>
      </c>
      <c r="V502" t="n">
        <v>700</v>
      </c>
      <c r="W502">
        <f>W370</f>
        <v/>
      </c>
      <c r="AC502" t="inlineStr">
        <is>
          <t>No</t>
        </is>
      </c>
      <c r="AD502" t="inlineStr">
        <is>
          <t xml:space="preserve">Landlords redevelopment break on 6 months notice. Rent review is RPI indexation. </t>
        </is>
      </c>
      <c r="AI502" t="inlineStr">
        <is>
          <t>Let</t>
        </is>
      </c>
    </row>
    <row r="503">
      <c r="A503" t="inlineStr">
        <is>
          <t xml:space="preserve">  Plant Room</t>
        </is>
      </c>
      <c r="B503" t="inlineStr">
        <is>
          <t>JM</t>
        </is>
      </c>
      <c r="C503" t="inlineStr">
        <is>
          <t>MEL</t>
        </is>
      </c>
      <c r="D503" t="n">
        <v>100650</v>
      </c>
      <c r="E503" t="inlineStr">
        <is>
          <t>50-60 Eastcastle Street</t>
        </is>
      </c>
      <c r="F503" t="inlineStr">
        <is>
          <t>Winsley St. Sub-station (S)</t>
        </is>
      </c>
      <c r="G503" t="inlineStr">
        <is>
          <t>Plant Room</t>
        </is>
      </c>
      <c r="H503" t="n">
        <v>0</v>
      </c>
      <c r="I503">
        <f>I371</f>
        <v/>
      </c>
      <c r="K503" t="inlineStr">
        <is>
          <t>London Power Networks Plc</t>
        </is>
      </c>
      <c r="L503" s="869" t="n">
        <v>39295</v>
      </c>
      <c r="M503" s="869" t="n">
        <v>46599</v>
      </c>
      <c r="O503" s="869" t="n">
        <v>44409</v>
      </c>
      <c r="Q503" t="n">
        <v>681</v>
      </c>
      <c r="R503">
        <f>R371</f>
        <v/>
      </c>
      <c r="T503" t="n">
        <v>700</v>
      </c>
      <c r="U503">
        <f>U371</f>
        <v/>
      </c>
      <c r="V503" t="n">
        <v>700</v>
      </c>
      <c r="W503">
        <f>W371</f>
        <v/>
      </c>
      <c r="AC503" t="inlineStr">
        <is>
          <t>No</t>
        </is>
      </c>
      <c r="AD503" t="inlineStr">
        <is>
          <t xml:space="preserve">Landlords redevelopment break on 6 months notice. Rent review is RPI indexation. </t>
        </is>
      </c>
      <c r="AI503" t="inlineStr">
        <is>
          <t>Let</t>
        </is>
      </c>
    </row>
    <row r="504"/>
    <row r="505">
      <c r="A505" s="868" t="inlineStr">
        <is>
          <t>Mappin House, 156-162 Oxford Street</t>
        </is>
      </c>
    </row>
    <row r="506">
      <c r="A506" t="inlineStr">
        <is>
          <t xml:space="preserve">  Storage</t>
        </is>
      </c>
      <c r="B506" t="inlineStr">
        <is>
          <t>JM</t>
        </is>
      </c>
      <c r="C506" t="inlineStr">
        <is>
          <t>MEL</t>
        </is>
      </c>
      <c r="D506" t="n">
        <v>100680</v>
      </c>
      <c r="E506" t="inlineStr">
        <is>
          <t>Mappin House, 156-162 Oxford Street</t>
        </is>
      </c>
      <c r="F506" t="inlineStr">
        <is>
          <t>Part Basement</t>
        </is>
      </c>
      <c r="G506" t="inlineStr">
        <is>
          <t>Storage</t>
        </is>
      </c>
      <c r="H506" t="n">
        <v>0</v>
      </c>
      <c r="I506">
        <f>I372</f>
        <v/>
      </c>
      <c r="K506" t="inlineStr">
        <is>
          <t>Vincere NK Group Ltd</t>
        </is>
      </c>
      <c r="L506" s="869" t="n">
        <v>44736</v>
      </c>
      <c r="M506" s="869" t="n">
        <v>46657</v>
      </c>
      <c r="Q506" t="n">
        <v>1000</v>
      </c>
      <c r="R506">
        <f>R372</f>
        <v/>
      </c>
      <c r="T506" t="n">
        <v>1000</v>
      </c>
      <c r="U506">
        <f>U372</f>
        <v/>
      </c>
      <c r="V506" t="n">
        <v>0</v>
      </c>
      <c r="W506">
        <f>W372</f>
        <v/>
      </c>
      <c r="AC506" t="inlineStr">
        <is>
          <t>No</t>
        </is>
      </c>
      <c r="AD506" t="inlineStr">
        <is>
          <t>Landlord can terminate on 1 months notice.</t>
        </is>
      </c>
      <c r="AI506" t="inlineStr">
        <is>
          <t>Let</t>
        </is>
      </c>
    </row>
    <row r="507">
      <c r="A507" t="inlineStr">
        <is>
          <t xml:space="preserve">  Nightclub</t>
        </is>
      </c>
      <c r="B507" t="inlineStr">
        <is>
          <t>JM</t>
        </is>
      </c>
      <c r="C507" t="inlineStr">
        <is>
          <t>MEL</t>
        </is>
      </c>
      <c r="D507" t="n">
        <v>100680</v>
      </c>
      <c r="E507" t="inlineStr">
        <is>
          <t>Mappin House, 156-162 Oxford Street</t>
        </is>
      </c>
      <c r="F507" t="inlineStr">
        <is>
          <t>Ground Floor &amp; Basement                           Winsley Street</t>
        </is>
      </c>
      <c r="G507" t="inlineStr">
        <is>
          <t>Nightclub</t>
        </is>
      </c>
      <c r="H507" t="n">
        <v>7079</v>
      </c>
      <c r="I507">
        <f>I373</f>
        <v/>
      </c>
      <c r="J507" t="n">
        <v>7000</v>
      </c>
      <c r="K507" t="inlineStr">
        <is>
          <t>Vincere NK Group Ltd</t>
        </is>
      </c>
      <c r="L507" s="869" t="n">
        <v>41180</v>
      </c>
      <c r="M507" s="869" t="n">
        <v>46657</v>
      </c>
      <c r="Q507" t="n">
        <v>425033</v>
      </c>
      <c r="R507">
        <f>R373</f>
        <v/>
      </c>
      <c r="T507" t="n">
        <v>447350</v>
      </c>
      <c r="U507">
        <f>U373</f>
        <v/>
      </c>
      <c r="V507" t="n">
        <v>360100</v>
      </c>
      <c r="W507">
        <f>W373</f>
        <v/>
      </c>
      <c r="X507">
        <f>W373/I373</f>
        <v/>
      </c>
      <c r="Y507">
        <f>SUM(W373-U373)/U373</f>
        <v/>
      </c>
      <c r="Z507" t="inlineStr">
        <is>
          <t>B</t>
        </is>
      </c>
      <c r="AC507" t="inlineStr">
        <is>
          <t>Yes</t>
        </is>
      </c>
      <c r="AI507" t="inlineStr">
        <is>
          <t>Let</t>
        </is>
      </c>
    </row>
    <row r="508">
      <c r="A508" t="inlineStr">
        <is>
          <t xml:space="preserve">  Storage</t>
        </is>
      </c>
      <c r="B508" t="inlineStr">
        <is>
          <t>JM</t>
        </is>
      </c>
      <c r="C508" t="inlineStr">
        <is>
          <t>MEL</t>
        </is>
      </c>
      <c r="D508" t="n">
        <v>100680</v>
      </c>
      <c r="E508" t="inlineStr">
        <is>
          <t>Mappin House, 156-162 Oxford Street</t>
        </is>
      </c>
      <c r="F508" t="inlineStr">
        <is>
          <t>Basement - 158 Oxford Street</t>
        </is>
      </c>
      <c r="G508" t="inlineStr">
        <is>
          <t>Storage</t>
        </is>
      </c>
      <c r="H508" t="n">
        <v>0</v>
      </c>
      <c r="I508">
        <f>I374</f>
        <v/>
      </c>
      <c r="K508" t="inlineStr">
        <is>
          <t>Vincere NK Group Ltd</t>
        </is>
      </c>
      <c r="L508" s="869" t="n">
        <v>42114</v>
      </c>
      <c r="M508" s="869" t="n">
        <v>46657</v>
      </c>
      <c r="Q508" t="n">
        <v>22317</v>
      </c>
      <c r="R508">
        <f>R374</f>
        <v/>
      </c>
      <c r="T508" t="n">
        <v>21000</v>
      </c>
      <c r="U508">
        <f>U374</f>
        <v/>
      </c>
      <c r="V508" t="n">
        <v>0</v>
      </c>
      <c r="W508">
        <f>W374</f>
        <v/>
      </c>
      <c r="AC508" t="inlineStr">
        <is>
          <t>No</t>
        </is>
      </c>
      <c r="AI508" t="inlineStr">
        <is>
          <t>Let</t>
        </is>
      </c>
    </row>
    <row r="509">
      <c r="A509" t="inlineStr">
        <is>
          <t xml:space="preserve">  Retail</t>
        </is>
      </c>
      <c r="B509" t="inlineStr">
        <is>
          <t>JM</t>
        </is>
      </c>
      <c r="C509" t="inlineStr">
        <is>
          <t>MEL</t>
        </is>
      </c>
      <c r="D509" t="n">
        <v>100680</v>
      </c>
      <c r="E509" t="inlineStr">
        <is>
          <t>Mappin House, 156-162 Oxford Street</t>
        </is>
      </c>
      <c r="F509" t="inlineStr">
        <is>
          <t>Ground Floor &amp; Basement                           162 Oxford Street</t>
        </is>
      </c>
      <c r="G509" t="inlineStr">
        <is>
          <t>Retail</t>
        </is>
      </c>
      <c r="H509" t="n">
        <v>3030</v>
      </c>
      <c r="I509">
        <f>I375</f>
        <v/>
      </c>
      <c r="J509" t="n">
        <v>3000</v>
      </c>
      <c r="K509" t="inlineStr">
        <is>
          <t>Dune Group Ltd.</t>
        </is>
      </c>
      <c r="L509" s="869" t="n">
        <v>45711</v>
      </c>
      <c r="M509" s="869" t="n">
        <v>49362</v>
      </c>
      <c r="Q509" t="n">
        <v>500000</v>
      </c>
      <c r="R509">
        <f>R375</f>
        <v/>
      </c>
      <c r="T509" t="n">
        <v>393300</v>
      </c>
      <c r="U509">
        <f>U375</f>
        <v/>
      </c>
      <c r="V509" t="n">
        <v>500000</v>
      </c>
      <c r="W509">
        <f>W375</f>
        <v/>
      </c>
      <c r="X509">
        <f>W375/I375</f>
        <v/>
      </c>
      <c r="Y509">
        <f>SUM(W375-U375)/U375</f>
        <v/>
      </c>
      <c r="Z509" t="inlineStr">
        <is>
          <t>C</t>
        </is>
      </c>
      <c r="AC509" t="inlineStr">
        <is>
          <t>No</t>
        </is>
      </c>
      <c r="AD509" t="inlineStr">
        <is>
          <t>Tenant break on 6 months notice.</t>
        </is>
      </c>
      <c r="AI509" t="inlineStr">
        <is>
          <t>Let</t>
        </is>
      </c>
    </row>
    <row r="510">
      <c r="A510" t="inlineStr">
        <is>
          <t xml:space="preserve">  Retail</t>
        </is>
      </c>
      <c r="B510" t="inlineStr">
        <is>
          <t>JM</t>
        </is>
      </c>
      <c r="C510" t="inlineStr">
        <is>
          <t>MEL</t>
        </is>
      </c>
      <c r="D510" t="n">
        <v>100680</v>
      </c>
      <c r="E510" t="inlineStr">
        <is>
          <t>Mappin House, 156-162 Oxford Street</t>
        </is>
      </c>
      <c r="F510" t="inlineStr">
        <is>
          <t>Ground Floor - 160 Oxford Street</t>
        </is>
      </c>
      <c r="G510" t="inlineStr">
        <is>
          <t>Retail</t>
        </is>
      </c>
      <c r="H510" t="n">
        <v>1296</v>
      </c>
      <c r="I510">
        <f>I376</f>
        <v/>
      </c>
      <c r="J510" t="n">
        <v>1250</v>
      </c>
      <c r="K510" t="inlineStr">
        <is>
          <t>Hutchison 3 G UK Ltd</t>
        </is>
      </c>
      <c r="L510" s="869" t="n">
        <v>44908</v>
      </c>
      <c r="M510" s="869" t="n">
        <v>46003</v>
      </c>
      <c r="Q510" t="n">
        <v>295000</v>
      </c>
      <c r="R510">
        <f>R376</f>
        <v/>
      </c>
      <c r="T510" t="n">
        <v>275300</v>
      </c>
      <c r="U510">
        <f>U376</f>
        <v/>
      </c>
      <c r="V510" t="n">
        <v>333100</v>
      </c>
      <c r="W510">
        <f>W376</f>
        <v/>
      </c>
      <c r="X510">
        <f>W376/I376</f>
        <v/>
      </c>
      <c r="Y510">
        <f>SUM(W376-U376)/U376</f>
        <v/>
      </c>
      <c r="Z510" t="inlineStr">
        <is>
          <t>B</t>
        </is>
      </c>
      <c r="AC510" t="inlineStr">
        <is>
          <t>No</t>
        </is>
      </c>
      <c r="AI510" t="inlineStr">
        <is>
          <t>Let</t>
        </is>
      </c>
    </row>
    <row r="511">
      <c r="A511" t="inlineStr">
        <is>
          <t xml:space="preserve">  Retail</t>
        </is>
      </c>
      <c r="B511" t="inlineStr">
        <is>
          <t>JM</t>
        </is>
      </c>
      <c r="C511" t="inlineStr">
        <is>
          <t>MEL</t>
        </is>
      </c>
      <c r="D511" t="n">
        <v>100680</v>
      </c>
      <c r="E511" t="inlineStr">
        <is>
          <t>Mappin House, 156-162 Oxford Street</t>
        </is>
      </c>
      <c r="F511" t="inlineStr">
        <is>
          <t>Ground Floor - 158 Oxford Street</t>
        </is>
      </c>
      <c r="G511" t="inlineStr">
        <is>
          <t>Retail</t>
        </is>
      </c>
      <c r="H511" t="n">
        <v>1690</v>
      </c>
      <c r="I511">
        <f>I377</f>
        <v/>
      </c>
      <c r="J511" t="n">
        <v>1500</v>
      </c>
      <c r="K511" t="inlineStr">
        <is>
          <t>VF Northern Europe Services Ltd</t>
        </is>
      </c>
      <c r="L511" s="869" t="n">
        <v>42388</v>
      </c>
      <c r="M511" s="869" t="n">
        <v>46040</v>
      </c>
      <c r="Q511" t="n">
        <v>500000</v>
      </c>
      <c r="R511">
        <f>R377</f>
        <v/>
      </c>
      <c r="T511" t="n">
        <v>337700</v>
      </c>
      <c r="U511">
        <f>U377</f>
        <v/>
      </c>
      <c r="V511" t="n">
        <v>415900</v>
      </c>
      <c r="W511">
        <f>W377</f>
        <v/>
      </c>
      <c r="X511">
        <f>W377/I377</f>
        <v/>
      </c>
      <c r="Y511">
        <f>SUM(W377-U377)/U377</f>
        <v/>
      </c>
      <c r="Z511" t="inlineStr">
        <is>
          <t>B</t>
        </is>
      </c>
      <c r="AC511" t="inlineStr">
        <is>
          <t>No</t>
        </is>
      </c>
      <c r="AI511" t="inlineStr">
        <is>
          <t>Let</t>
        </is>
      </c>
    </row>
    <row r="512">
      <c r="A512" t="inlineStr">
        <is>
          <t xml:space="preserve">  Retail</t>
        </is>
      </c>
      <c r="B512" t="inlineStr">
        <is>
          <t>JM</t>
        </is>
      </c>
      <c r="C512" t="inlineStr">
        <is>
          <t>MEL</t>
        </is>
      </c>
      <c r="D512" t="n">
        <v>100680</v>
      </c>
      <c r="E512" t="inlineStr">
        <is>
          <t>Mappin House, 156-162 Oxford Street</t>
        </is>
      </c>
      <c r="F512" t="inlineStr">
        <is>
          <t>Ground Floor - 156 Oxford Street</t>
        </is>
      </c>
      <c r="G512" t="inlineStr">
        <is>
          <t>Retail</t>
        </is>
      </c>
      <c r="H512" t="n">
        <v>2304</v>
      </c>
      <c r="I512">
        <f>I378</f>
        <v/>
      </c>
      <c r="J512" t="n">
        <v>2250</v>
      </c>
      <c r="K512" t="inlineStr">
        <is>
          <t>Hawes &amp; Curtis Ltd</t>
        </is>
      </c>
      <c r="L512" s="869" t="n">
        <v>45748</v>
      </c>
      <c r="Q512" t="n">
        <v>255000</v>
      </c>
      <c r="R512">
        <f>R378</f>
        <v/>
      </c>
      <c r="T512" t="n">
        <v>371300</v>
      </c>
      <c r="U512">
        <f>U378</f>
        <v/>
      </c>
      <c r="V512" t="n">
        <v>426800</v>
      </c>
      <c r="W512">
        <f>W378</f>
        <v/>
      </c>
      <c r="X512">
        <f>W378/I378</f>
        <v/>
      </c>
      <c r="Y512">
        <f>SUM(W378-U378)/U378</f>
        <v/>
      </c>
      <c r="Z512" t="inlineStr">
        <is>
          <t>C</t>
        </is>
      </c>
      <c r="AC512" t="inlineStr">
        <is>
          <t>No</t>
        </is>
      </c>
      <c r="AD512" t="inlineStr">
        <is>
          <t>Tenancy @ will completed. Lease renewal terms agreed for 10 years.</t>
        </is>
      </c>
      <c r="AI512" t="inlineStr">
        <is>
          <t>Let</t>
        </is>
      </c>
    </row>
    <row r="513">
      <c r="A513" t="inlineStr">
        <is>
          <t xml:space="preserve">  Office</t>
        </is>
      </c>
      <c r="B513" t="inlineStr">
        <is>
          <t>JM</t>
        </is>
      </c>
      <c r="C513" t="inlineStr">
        <is>
          <t>MEL</t>
        </is>
      </c>
      <c r="D513" t="n">
        <v>100680</v>
      </c>
      <c r="E513" t="inlineStr">
        <is>
          <t>Mappin House, 156-162 Oxford Street</t>
        </is>
      </c>
      <c r="F513" t="inlineStr">
        <is>
          <t>Mezzanine</t>
        </is>
      </c>
      <c r="G513" t="inlineStr">
        <is>
          <t>Office</t>
        </is>
      </c>
      <c r="H513" t="n">
        <v>7519</v>
      </c>
      <c r="I513">
        <f>I379</f>
        <v/>
      </c>
      <c r="J513" t="n">
        <v>7500</v>
      </c>
      <c r="K513" t="inlineStr">
        <is>
          <t>Perry Ellis Europe Ltd.</t>
        </is>
      </c>
      <c r="L513" s="869" t="n">
        <v>45231</v>
      </c>
      <c r="M513" s="869" t="n">
        <v>45961</v>
      </c>
      <c r="Q513" t="n">
        <v>450600</v>
      </c>
      <c r="R513">
        <f>R379</f>
        <v/>
      </c>
      <c r="T513" t="n">
        <v>489500</v>
      </c>
      <c r="U513">
        <f>U379</f>
        <v/>
      </c>
      <c r="V513" t="n">
        <v>469900</v>
      </c>
      <c r="W513">
        <f>W379</f>
        <v/>
      </c>
      <c r="X513">
        <f>W379/I379</f>
        <v/>
      </c>
      <c r="Y513">
        <f>SUM(W379-U379)/U379</f>
        <v/>
      </c>
      <c r="Z513" t="inlineStr">
        <is>
          <t>D</t>
        </is>
      </c>
      <c r="AC513" t="inlineStr">
        <is>
          <t>No</t>
        </is>
      </c>
      <c r="AI513" t="inlineStr">
        <is>
          <t>Let</t>
        </is>
      </c>
    </row>
    <row r="514">
      <c r="A514" t="inlineStr">
        <is>
          <t xml:space="preserve">  Office</t>
        </is>
      </c>
      <c r="B514" t="inlineStr">
        <is>
          <t>JM</t>
        </is>
      </c>
      <c r="C514" t="inlineStr">
        <is>
          <t>MEL</t>
        </is>
      </c>
      <c r="D514" t="n">
        <v>100680</v>
      </c>
      <c r="E514" t="inlineStr">
        <is>
          <t>Mappin House, 156-162 Oxford Street</t>
        </is>
      </c>
      <c r="F514" t="inlineStr">
        <is>
          <t>First Floor</t>
        </is>
      </c>
      <c r="G514" t="inlineStr">
        <is>
          <t>Office</t>
        </is>
      </c>
      <c r="H514" t="n">
        <v>6890</v>
      </c>
      <c r="I514">
        <f>I380</f>
        <v/>
      </c>
      <c r="J514" t="n">
        <v>7000</v>
      </c>
      <c r="K514" t="inlineStr">
        <is>
          <t>London Mappin House Centre Ltd.</t>
        </is>
      </c>
      <c r="L514" s="869" t="n">
        <v>45672</v>
      </c>
      <c r="M514" s="869" t="n">
        <v>46766</v>
      </c>
      <c r="P514" s="869" t="n">
        <v>46218</v>
      </c>
      <c r="Q514" t="n">
        <v>241776</v>
      </c>
      <c r="R514">
        <f>R380</f>
        <v/>
      </c>
      <c r="T514" t="n">
        <v>438000</v>
      </c>
      <c r="U514">
        <f>U380</f>
        <v/>
      </c>
      <c r="V514" t="n">
        <v>430600</v>
      </c>
      <c r="W514">
        <f>W380</f>
        <v/>
      </c>
      <c r="X514">
        <f>W380/I380</f>
        <v/>
      </c>
      <c r="Y514">
        <f>SUM(W380-U380)/U380</f>
        <v/>
      </c>
      <c r="Z514" t="inlineStr">
        <is>
          <t>B</t>
        </is>
      </c>
      <c r="AC514" t="inlineStr">
        <is>
          <t>No</t>
        </is>
      </c>
      <c r="AD514" t="inlineStr">
        <is>
          <t xml:space="preserve">Guaranteed base rent of £241,776 plus revenue top up. Revenue top-up rent of £55,860 paid for 1Apr24 - 31Mar25. Rolling mutual break option after 18 months. </t>
        </is>
      </c>
      <c r="AI514" t="inlineStr">
        <is>
          <t>Let</t>
        </is>
      </c>
    </row>
    <row r="515">
      <c r="A515" t="inlineStr">
        <is>
          <t xml:space="preserve">  Office</t>
        </is>
      </c>
      <c r="B515" t="inlineStr">
        <is>
          <t>JM</t>
        </is>
      </c>
      <c r="C515" t="inlineStr">
        <is>
          <t>MEL</t>
        </is>
      </c>
      <c r="D515" t="n">
        <v>100680</v>
      </c>
      <c r="E515" t="inlineStr">
        <is>
          <t>Mappin House, 156-162 Oxford Street</t>
        </is>
      </c>
      <c r="F515" t="inlineStr">
        <is>
          <t>Second Floor</t>
        </is>
      </c>
      <c r="G515" t="inlineStr">
        <is>
          <t>Office</t>
        </is>
      </c>
      <c r="H515" t="n">
        <v>6973</v>
      </c>
      <c r="I515">
        <f>I381</f>
        <v/>
      </c>
      <c r="J515" t="n">
        <v>7000</v>
      </c>
      <c r="K515" t="inlineStr">
        <is>
          <t>London Mappin House Centre Ltd.</t>
        </is>
      </c>
      <c r="L515" s="869" t="n">
        <v>45672</v>
      </c>
      <c r="M515" s="869" t="n">
        <v>46766</v>
      </c>
      <c r="P515" s="869" t="n">
        <v>46218</v>
      </c>
      <c r="Q515" t="n">
        <v>242259</v>
      </c>
      <c r="R515">
        <f>R381</f>
        <v/>
      </c>
      <c r="T515" t="n">
        <v>438900</v>
      </c>
      <c r="U515">
        <f>U381</f>
        <v/>
      </c>
      <c r="V515" t="n">
        <v>435800</v>
      </c>
      <c r="W515">
        <f>W381</f>
        <v/>
      </c>
      <c r="X515">
        <f>W381/I381</f>
        <v/>
      </c>
      <c r="Y515">
        <f>SUM(W381-U381)/U381</f>
        <v/>
      </c>
      <c r="Z515" t="inlineStr">
        <is>
          <t>B</t>
        </is>
      </c>
      <c r="AC515" t="inlineStr">
        <is>
          <t>No</t>
        </is>
      </c>
      <c r="AD515" t="inlineStr">
        <is>
          <t xml:space="preserve">Guaranteed base rent of £242,259 plus revenue top up. Revenue top-up rent of £55,974 paid for 1Apr24 - 31Mar25. Rolling mutual break option after 18 months. </t>
        </is>
      </c>
      <c r="AI515" t="inlineStr">
        <is>
          <t>Let</t>
        </is>
      </c>
    </row>
    <row r="516">
      <c r="A516" t="inlineStr">
        <is>
          <t xml:space="preserve">  Office</t>
        </is>
      </c>
      <c r="B516" t="inlineStr">
        <is>
          <t>JM</t>
        </is>
      </c>
      <c r="C516" t="inlineStr">
        <is>
          <t>MEL</t>
        </is>
      </c>
      <c r="D516" t="n">
        <v>100680</v>
      </c>
      <c r="E516" t="inlineStr">
        <is>
          <t>Mappin House, 156-162 Oxford Street</t>
        </is>
      </c>
      <c r="F516" t="inlineStr">
        <is>
          <t>Third Floor</t>
        </is>
      </c>
      <c r="G516" t="inlineStr">
        <is>
          <t>Office</t>
        </is>
      </c>
      <c r="H516" t="n">
        <v>6999</v>
      </c>
      <c r="I516">
        <f>I382</f>
        <v/>
      </c>
      <c r="J516" t="n">
        <v>7000</v>
      </c>
      <c r="K516" t="inlineStr">
        <is>
          <t>Vacant</t>
        </is>
      </c>
      <c r="N516" s="869" t="n">
        <v>45673</v>
      </c>
      <c r="Q516" t="n">
        <v>0</v>
      </c>
      <c r="R516">
        <f>R382</f>
        <v/>
      </c>
      <c r="T516" t="n">
        <v>448100</v>
      </c>
      <c r="U516">
        <f>U382</f>
        <v/>
      </c>
      <c r="V516" t="n">
        <v>437400</v>
      </c>
      <c r="W516">
        <f>W382</f>
        <v/>
      </c>
      <c r="X516">
        <f>W382/I382</f>
        <v/>
      </c>
      <c r="Y516">
        <f>SUM(W382-U382)/U382</f>
        <v/>
      </c>
      <c r="Z516" t="inlineStr">
        <is>
          <t>D</t>
        </is>
      </c>
      <c r="AC516" t="inlineStr">
        <is>
          <t>No</t>
        </is>
      </c>
      <c r="AD516" t="inlineStr">
        <is>
          <t>LEM marketing</t>
        </is>
      </c>
      <c r="AF516" t="n">
        <v>2</v>
      </c>
      <c r="AG516" t="n">
        <v>9</v>
      </c>
      <c r="AH516" t="inlineStr">
        <is>
          <t>LEM</t>
        </is>
      </c>
      <c r="AI516" t="inlineStr">
        <is>
          <t>Void</t>
        </is>
      </c>
    </row>
    <row r="517">
      <c r="A517" t="inlineStr">
        <is>
          <t xml:space="preserve">  Office</t>
        </is>
      </c>
      <c r="B517" t="inlineStr">
        <is>
          <t>JM</t>
        </is>
      </c>
      <c r="C517" t="inlineStr">
        <is>
          <t>MEL</t>
        </is>
      </c>
      <c r="D517" t="n">
        <v>100680</v>
      </c>
      <c r="E517" t="inlineStr">
        <is>
          <t>Mappin House, 156-162 Oxford Street</t>
        </is>
      </c>
      <c r="F517" t="inlineStr">
        <is>
          <t>Fourth Floor</t>
        </is>
      </c>
      <c r="G517" t="inlineStr">
        <is>
          <t>Office</t>
        </is>
      </c>
      <c r="H517" t="n">
        <v>7007</v>
      </c>
      <c r="I517">
        <f>I383</f>
        <v/>
      </c>
      <c r="J517" t="n">
        <v>7000</v>
      </c>
      <c r="K517" t="inlineStr">
        <is>
          <t>London Mappin House Centre Ltd.</t>
        </is>
      </c>
      <c r="L517" s="869" t="n">
        <v>45672</v>
      </c>
      <c r="M517" s="869" t="n">
        <v>46766</v>
      </c>
      <c r="P517" s="869" t="n">
        <v>46218</v>
      </c>
      <c r="Q517" t="n">
        <v>252885</v>
      </c>
      <c r="R517">
        <f>R383</f>
        <v/>
      </c>
      <c r="T517" t="n">
        <v>458100</v>
      </c>
      <c r="U517">
        <f>U383</f>
        <v/>
      </c>
      <c r="V517" t="n">
        <v>437900</v>
      </c>
      <c r="W517">
        <f>W383</f>
        <v/>
      </c>
      <c r="X517">
        <f>W383/I383</f>
        <v/>
      </c>
      <c r="Y517">
        <f>SUM(W383-U383)/U383</f>
        <v/>
      </c>
      <c r="Z517" t="inlineStr">
        <is>
          <t>B</t>
        </is>
      </c>
      <c r="AC517" t="inlineStr">
        <is>
          <t>No</t>
        </is>
      </c>
      <c r="AD517" t="inlineStr">
        <is>
          <t xml:space="preserve">Guaranteed base rent of £252,885 plus revenue top up. Revenue top-up rent of £58,429 paid for 1Apr24 - 31Mar25. Rolling mutual break option after 18 months. </t>
        </is>
      </c>
      <c r="AI517" t="inlineStr">
        <is>
          <t>Let</t>
        </is>
      </c>
    </row>
    <row r="518">
      <c r="A518" t="inlineStr">
        <is>
          <t xml:space="preserve">  Office</t>
        </is>
      </c>
      <c r="B518" t="inlineStr">
        <is>
          <t>JM</t>
        </is>
      </c>
      <c r="C518" t="inlineStr">
        <is>
          <t>MEL</t>
        </is>
      </c>
      <c r="D518" t="n">
        <v>100680</v>
      </c>
      <c r="E518" t="inlineStr">
        <is>
          <t>Mappin House, 156-162 Oxford Street</t>
        </is>
      </c>
      <c r="F518" t="inlineStr">
        <is>
          <t>Fifth Floor</t>
        </is>
      </c>
      <c r="G518" t="inlineStr">
        <is>
          <t>Office</t>
        </is>
      </c>
      <c r="H518" t="n">
        <v>6662</v>
      </c>
      <c r="I518">
        <f>I384</f>
        <v/>
      </c>
      <c r="J518" t="n">
        <v>6500</v>
      </c>
      <c r="K518" t="inlineStr">
        <is>
          <t>London Mappin House Centre Ltd.</t>
        </is>
      </c>
      <c r="L518" s="869" t="n">
        <v>45672</v>
      </c>
      <c r="M518" s="869" t="n">
        <v>46766</v>
      </c>
      <c r="P518" s="869" t="n">
        <v>46218</v>
      </c>
      <c r="Q518" t="n">
        <v>252394</v>
      </c>
      <c r="R518">
        <f>R384</f>
        <v/>
      </c>
      <c r="T518" t="n">
        <v>434600</v>
      </c>
      <c r="U518">
        <f>U384</f>
        <v/>
      </c>
      <c r="V518" t="n">
        <v>416400</v>
      </c>
      <c r="W518">
        <f>W384</f>
        <v/>
      </c>
      <c r="X518">
        <f>W384/I384</f>
        <v/>
      </c>
      <c r="Y518">
        <f>SUM(W384-U384)/U384</f>
        <v/>
      </c>
      <c r="Z518" t="inlineStr">
        <is>
          <t>B</t>
        </is>
      </c>
      <c r="AC518" t="inlineStr">
        <is>
          <t>No</t>
        </is>
      </c>
      <c r="AD518" t="inlineStr">
        <is>
          <t xml:space="preserve">Guaranteed base rent of £252,393 plus revenue top up. Revenue top-up rent of £58,316 paid for 1Apr24 - 31Mar25. Rolling mutual break option after 18 months. </t>
        </is>
      </c>
      <c r="AI518" t="inlineStr">
        <is>
          <t>Let</t>
        </is>
      </c>
    </row>
    <row r="519"/>
    <row r="520">
      <c r="A520" s="868" t="inlineStr">
        <is>
          <t>53 Wells Street</t>
        </is>
      </c>
    </row>
    <row r="521">
      <c r="A521" t="inlineStr">
        <is>
          <t xml:space="preserve">  Office</t>
        </is>
      </c>
      <c r="B521" t="inlineStr">
        <is>
          <t>CM</t>
        </is>
      </c>
      <c r="C521" t="inlineStr">
        <is>
          <t>MEL</t>
        </is>
      </c>
      <c r="D521" t="n">
        <v>550030</v>
      </c>
      <c r="E521" t="inlineStr">
        <is>
          <t>53 Wells Street</t>
        </is>
      </c>
      <c r="F521" t="inlineStr">
        <is>
          <t>Lower Ground Floor</t>
        </is>
      </c>
      <c r="G521" t="inlineStr">
        <is>
          <t>Office</t>
        </is>
      </c>
      <c r="H521" t="n">
        <v>825</v>
      </c>
      <c r="I521">
        <f>I385</f>
        <v/>
      </c>
      <c r="J521" t="n">
        <v>1000</v>
      </c>
      <c r="K521" t="inlineStr">
        <is>
          <t>Vacant</t>
        </is>
      </c>
      <c r="N521" s="869" t="n">
        <v>44709</v>
      </c>
      <c r="Q521" t="n">
        <v>0</v>
      </c>
      <c r="R521">
        <f>R385</f>
        <v/>
      </c>
      <c r="T521" t="n">
        <v>27200</v>
      </c>
      <c r="U521">
        <f>U385</f>
        <v/>
      </c>
      <c r="V521" t="n">
        <v>33000</v>
      </c>
      <c r="W521">
        <f>W385</f>
        <v/>
      </c>
      <c r="X521">
        <f>W385/I385</f>
        <v/>
      </c>
      <c r="Y521">
        <f>SUM(W385-U385)/U385</f>
        <v/>
      </c>
      <c r="Z521" t="inlineStr">
        <is>
          <t>B</t>
        </is>
      </c>
      <c r="AC521" t="inlineStr">
        <is>
          <t>No</t>
        </is>
      </c>
      <c r="AD521" t="inlineStr">
        <is>
          <t xml:space="preserve">LEM Marketing. </t>
        </is>
      </c>
      <c r="AF521" t="n">
        <v>1</v>
      </c>
      <c r="AG521" t="n">
        <v>2</v>
      </c>
      <c r="AI521" t="inlineStr">
        <is>
          <t>Void</t>
        </is>
      </c>
    </row>
    <row r="522">
      <c r="A522" t="inlineStr">
        <is>
          <t xml:space="preserve">  One Bed Flat</t>
        </is>
      </c>
      <c r="B522" t="inlineStr">
        <is>
          <t>CM</t>
        </is>
      </c>
      <c r="C522" t="inlineStr">
        <is>
          <t>MEL</t>
        </is>
      </c>
      <c r="D522" t="n">
        <v>550030</v>
      </c>
      <c r="E522" t="inlineStr">
        <is>
          <t>53 Wells Street</t>
        </is>
      </c>
      <c r="F522" t="inlineStr">
        <is>
          <t>Flat 1. Ground Floor</t>
        </is>
      </c>
      <c r="G522" t="inlineStr">
        <is>
          <t>One Bed Flat</t>
        </is>
      </c>
      <c r="H522" t="n">
        <v>0</v>
      </c>
      <c r="I522">
        <f>I386</f>
        <v/>
      </c>
      <c r="K522" t="inlineStr">
        <is>
          <t>Edward Davenport</t>
        </is>
      </c>
      <c r="L522" s="869" t="n">
        <v>30310</v>
      </c>
      <c r="M522" s="869" t="n">
        <v>66469</v>
      </c>
      <c r="O522" s="869" t="n">
        <v>54417</v>
      </c>
      <c r="Q522" t="n">
        <v>150</v>
      </c>
      <c r="R522">
        <f>R386</f>
        <v/>
      </c>
      <c r="T522" t="n">
        <v>150</v>
      </c>
      <c r="U522">
        <f>U386</f>
        <v/>
      </c>
      <c r="V522" t="n">
        <v>150</v>
      </c>
      <c r="W522">
        <f>W386</f>
        <v/>
      </c>
      <c r="AD522" t="inlineStr">
        <is>
          <t>Rent and Service charge stop placed on unit</t>
        </is>
      </c>
      <c r="AI522" t="inlineStr">
        <is>
          <t>Let</t>
        </is>
      </c>
    </row>
    <row r="523">
      <c r="A523" t="inlineStr">
        <is>
          <t xml:space="preserve">  One Bed Flat</t>
        </is>
      </c>
      <c r="B523" t="inlineStr">
        <is>
          <t>CM</t>
        </is>
      </c>
      <c r="C523" t="inlineStr">
        <is>
          <t>MEL</t>
        </is>
      </c>
      <c r="D523" t="n">
        <v>550030</v>
      </c>
      <c r="E523" t="inlineStr">
        <is>
          <t>53 Wells Street</t>
        </is>
      </c>
      <c r="F523" t="inlineStr">
        <is>
          <t>Flat 2. First Floor</t>
        </is>
      </c>
      <c r="G523" t="inlineStr">
        <is>
          <t>One Bed Flat</t>
        </is>
      </c>
      <c r="H523" t="n">
        <v>0</v>
      </c>
      <c r="I523">
        <f>I387</f>
        <v/>
      </c>
      <c r="K523" t="inlineStr">
        <is>
          <t>V. Chamoun</t>
        </is>
      </c>
      <c r="L523" s="869" t="n">
        <v>30310</v>
      </c>
      <c r="M523" s="869" t="n">
        <v>66469</v>
      </c>
      <c r="O523" s="869" t="n">
        <v>54417</v>
      </c>
      <c r="Q523" t="n">
        <v>150</v>
      </c>
      <c r="R523">
        <f>R387</f>
        <v/>
      </c>
      <c r="T523" t="n">
        <v>150</v>
      </c>
      <c r="U523">
        <f>U387</f>
        <v/>
      </c>
      <c r="V523" t="n">
        <v>150</v>
      </c>
      <c r="W523">
        <f>W387</f>
        <v/>
      </c>
      <c r="AD523" t="inlineStr">
        <is>
          <t>Rent and Service charge stop placed on unit</t>
        </is>
      </c>
      <c r="AI523" t="inlineStr">
        <is>
          <t>Let</t>
        </is>
      </c>
    </row>
    <row r="524">
      <c r="A524" t="inlineStr">
        <is>
          <t xml:space="preserve">  One Bed Flat</t>
        </is>
      </c>
      <c r="B524" t="inlineStr">
        <is>
          <t>CM</t>
        </is>
      </c>
      <c r="C524" t="inlineStr">
        <is>
          <t>MEL</t>
        </is>
      </c>
      <c r="D524" t="n">
        <v>550030</v>
      </c>
      <c r="E524" t="inlineStr">
        <is>
          <t>53 Wells Street</t>
        </is>
      </c>
      <c r="F524" t="inlineStr">
        <is>
          <t>Flat 3. Second Floor</t>
        </is>
      </c>
      <c r="G524" t="inlineStr">
        <is>
          <t>One Bed Flat</t>
        </is>
      </c>
      <c r="H524" t="n">
        <v>0</v>
      </c>
      <c r="I524">
        <f>I388</f>
        <v/>
      </c>
      <c r="K524" t="inlineStr">
        <is>
          <t>C &amp; Y Hopper</t>
        </is>
      </c>
      <c r="L524" s="869" t="n">
        <v>30310</v>
      </c>
      <c r="M524" s="869" t="n">
        <v>99340</v>
      </c>
      <c r="Q524" t="n">
        <v>0</v>
      </c>
      <c r="R524">
        <f>R388</f>
        <v/>
      </c>
      <c r="T524" t="n">
        <v>150</v>
      </c>
      <c r="U524">
        <f>U388</f>
        <v/>
      </c>
      <c r="V524" t="n">
        <v>150</v>
      </c>
      <c r="W524">
        <f>W388</f>
        <v/>
      </c>
      <c r="AD524" t="inlineStr">
        <is>
          <t>Peppercorn.</t>
        </is>
      </c>
      <c r="AI524" t="inlineStr">
        <is>
          <t>Let</t>
        </is>
      </c>
    </row>
    <row r="525">
      <c r="A525" t="inlineStr">
        <is>
          <t xml:space="preserve">  One Bed Flat</t>
        </is>
      </c>
      <c r="B525" t="inlineStr">
        <is>
          <t>CM</t>
        </is>
      </c>
      <c r="C525" t="inlineStr">
        <is>
          <t>MEL</t>
        </is>
      </c>
      <c r="D525" t="n">
        <v>550030</v>
      </c>
      <c r="E525" t="inlineStr">
        <is>
          <t>53 Wells Street</t>
        </is>
      </c>
      <c r="F525" t="inlineStr">
        <is>
          <t>Flat 4. Third Floor</t>
        </is>
      </c>
      <c r="G525" t="inlineStr">
        <is>
          <t>One Bed Flat</t>
        </is>
      </c>
      <c r="H525" t="n">
        <v>0</v>
      </c>
      <c r="I525">
        <f>I389</f>
        <v/>
      </c>
      <c r="K525" t="inlineStr">
        <is>
          <t>Lion Brand Limited</t>
        </is>
      </c>
      <c r="L525" s="869" t="n">
        <v>30310</v>
      </c>
      <c r="M525" s="869" t="n">
        <v>66469</v>
      </c>
      <c r="O525" s="869" t="n">
        <v>54417</v>
      </c>
      <c r="Q525" t="n">
        <v>0</v>
      </c>
      <c r="R525">
        <f>R389</f>
        <v/>
      </c>
      <c r="T525" t="n">
        <v>150</v>
      </c>
      <c r="U525">
        <f>U389</f>
        <v/>
      </c>
      <c r="V525" t="n">
        <v>150</v>
      </c>
      <c r="W525">
        <f>W389</f>
        <v/>
      </c>
      <c r="AD525" t="inlineStr">
        <is>
          <t>Peppercorn.</t>
        </is>
      </c>
      <c r="AI525" t="inlineStr">
        <is>
          <t>Let</t>
        </is>
      </c>
    </row>
    <row r="526"/>
    <row r="527">
      <c r="A527" s="868" t="inlineStr">
        <is>
          <t>68 Wells Street</t>
        </is>
      </c>
    </row>
    <row r="528">
      <c r="A528" t="inlineStr">
        <is>
          <t xml:space="preserve">  Showroom &amp; Office</t>
        </is>
      </c>
      <c r="B528" t="inlineStr">
        <is>
          <t>CM</t>
        </is>
      </c>
      <c r="C528" t="inlineStr">
        <is>
          <t>MEL</t>
        </is>
      </c>
      <c r="D528" t="n">
        <v>550760</v>
      </c>
      <c r="E528" t="inlineStr">
        <is>
          <t>68 Wells Street</t>
        </is>
      </c>
      <c r="F528" t="inlineStr">
        <is>
          <t>Whole Building</t>
        </is>
      </c>
      <c r="G528" t="inlineStr">
        <is>
          <t>Showroom &amp; Office</t>
        </is>
      </c>
      <c r="H528" t="n">
        <v>2085</v>
      </c>
      <c r="I528">
        <f>I390</f>
        <v/>
      </c>
      <c r="J528" t="n">
        <v>2000</v>
      </c>
      <c r="K528" t="inlineStr">
        <is>
          <t>Voltage TV Productions Ltd</t>
        </is>
      </c>
      <c r="L528" s="869" t="n">
        <v>45741</v>
      </c>
      <c r="M528" s="869" t="n">
        <v>46836</v>
      </c>
      <c r="P528" s="869" t="n">
        <v>46289</v>
      </c>
      <c r="Q528" t="n">
        <v>90000</v>
      </c>
      <c r="R528">
        <f>R390</f>
        <v/>
      </c>
      <c r="S528">
        <f>S390</f>
        <v/>
      </c>
      <c r="T528" t="n">
        <v>80000</v>
      </c>
      <c r="U528">
        <f>U390</f>
        <v/>
      </c>
      <c r="V528" t="n">
        <v>79600</v>
      </c>
      <c r="W528">
        <f>W390</f>
        <v/>
      </c>
      <c r="X528">
        <f>W390/I390</f>
        <v/>
      </c>
      <c r="Y528">
        <f>SUM(W390-U390)/U390</f>
        <v/>
      </c>
      <c r="Z528" t="inlineStr">
        <is>
          <t>D</t>
        </is>
      </c>
      <c r="AB528" t="n">
        <v>1200000</v>
      </c>
      <c r="AC528" t="inlineStr">
        <is>
          <t>No</t>
        </is>
      </c>
      <c r="AD528" t="inlineStr">
        <is>
          <t>Rent increasing to £100,000 wef 25/03/26. Tenant break on 6 months notice.</t>
        </is>
      </c>
      <c r="AI528" t="inlineStr">
        <is>
          <t>Let</t>
        </is>
      </c>
    </row>
    <row r="529"/>
    <row r="530">
      <c r="A530" s="868" t="inlineStr">
        <is>
          <t>33 Eastcastle Street</t>
        </is>
      </c>
    </row>
    <row r="531">
      <c r="A531" t="inlineStr">
        <is>
          <t xml:space="preserve">  Retail &amp; Office</t>
        </is>
      </c>
      <c r="B531" t="inlineStr">
        <is>
          <t>CD</t>
        </is>
      </c>
      <c r="C531" t="inlineStr">
        <is>
          <t>OPG</t>
        </is>
      </c>
      <c r="D531" t="n">
        <v>800200</v>
      </c>
      <c r="E531" t="inlineStr">
        <is>
          <t>33 Eastcastle Street</t>
        </is>
      </c>
      <c r="F531" t="inlineStr">
        <is>
          <t>Whole Building</t>
        </is>
      </c>
      <c r="G531" t="inlineStr">
        <is>
          <t>Retail &amp; Office</t>
        </is>
      </c>
      <c r="H531" t="n">
        <v>3122</v>
      </c>
      <c r="I531">
        <f>I391</f>
        <v/>
      </c>
      <c r="J531" t="n">
        <v>3000</v>
      </c>
      <c r="K531" t="inlineStr">
        <is>
          <t>Leon Restaurants Ltd</t>
        </is>
      </c>
      <c r="L531" s="869" t="n">
        <v>42580</v>
      </c>
      <c r="M531" s="869" t="n">
        <v>46231</v>
      </c>
      <c r="O531" s="869" t="n">
        <v>44406</v>
      </c>
      <c r="Q531" t="n">
        <v>170000</v>
      </c>
      <c r="R531">
        <f>R391</f>
        <v/>
      </c>
      <c r="T531" t="n">
        <v>124100</v>
      </c>
      <c r="U531">
        <f>U391</f>
        <v/>
      </c>
      <c r="V531" t="n">
        <v>124100</v>
      </c>
      <c r="W531">
        <f>W391</f>
        <v/>
      </c>
      <c r="X531">
        <f>W391/I391</f>
        <v/>
      </c>
      <c r="Y531">
        <f>SUM(W391-U391)/U391</f>
        <v/>
      </c>
      <c r="Z531" t="inlineStr">
        <is>
          <t>E</t>
        </is>
      </c>
      <c r="AB531" t="n">
        <v>1325000</v>
      </c>
      <c r="AC531" t="inlineStr">
        <is>
          <t>No</t>
        </is>
      </c>
      <c r="AI531" t="inlineStr">
        <is>
          <t>Let</t>
        </is>
      </c>
    </row>
    <row r="532"/>
    <row r="533">
      <c r="A533" s="868" t="inlineStr">
        <is>
          <t>Julco House, 26-28 Great Portland Street</t>
        </is>
      </c>
    </row>
    <row r="534">
      <c r="A534" t="inlineStr">
        <is>
          <t xml:space="preserve">  Restaurant</t>
        </is>
      </c>
      <c r="B534" t="inlineStr">
        <is>
          <t>CD</t>
        </is>
      </c>
      <c r="C534" t="inlineStr">
        <is>
          <t>OPG</t>
        </is>
      </c>
      <c r="D534" t="n">
        <v>800100</v>
      </c>
      <c r="E534" t="inlineStr">
        <is>
          <t>Julco House, 26-28 Great Portland Street</t>
        </is>
      </c>
      <c r="F534" t="inlineStr">
        <is>
          <t>Ground Floor &amp; Basement</t>
        </is>
      </c>
      <c r="G534" t="inlineStr">
        <is>
          <t>Restaurant</t>
        </is>
      </c>
      <c r="H534" t="n">
        <v>4332</v>
      </c>
      <c r="I534">
        <f>I392</f>
        <v/>
      </c>
      <c r="J534" t="n">
        <v>4250</v>
      </c>
      <c r="K534" t="inlineStr">
        <is>
          <t>Oaxaca Ltd.</t>
        </is>
      </c>
      <c r="L534" s="869" t="n">
        <v>41789</v>
      </c>
      <c r="M534" s="869" t="n">
        <v>47267</v>
      </c>
      <c r="O534" s="869" t="n">
        <v>45442</v>
      </c>
      <c r="Q534" t="n">
        <v>255000</v>
      </c>
      <c r="R534">
        <f>R392</f>
        <v/>
      </c>
      <c r="T534" t="n">
        <v>290500</v>
      </c>
      <c r="U534">
        <f>U392</f>
        <v/>
      </c>
      <c r="V534" t="n">
        <v>290500</v>
      </c>
      <c r="W534">
        <f>W392</f>
        <v/>
      </c>
      <c r="X534">
        <f>W392/I392</f>
        <v/>
      </c>
      <c r="Y534">
        <f>SUM(W392-U392)/U392</f>
        <v/>
      </c>
      <c r="Z534" t="inlineStr">
        <is>
          <t>B</t>
        </is>
      </c>
      <c r="AA534" t="inlineStr">
        <is>
          <t>*</t>
        </is>
      </c>
      <c r="AC534" t="inlineStr">
        <is>
          <t>No</t>
        </is>
      </c>
      <c r="AD534" t="inlineStr">
        <is>
          <t>Rent £255,000 pa with a top-up of 11% turnover up to a maximum of £300,000 pa.</t>
        </is>
      </c>
      <c r="AI534" t="inlineStr">
        <is>
          <t>Let</t>
        </is>
      </c>
    </row>
    <row r="535">
      <c r="A535" t="inlineStr">
        <is>
          <t xml:space="preserve">  Offices</t>
        </is>
      </c>
      <c r="B535" t="inlineStr">
        <is>
          <t>CD</t>
        </is>
      </c>
      <c r="C535" t="inlineStr">
        <is>
          <t>OPG</t>
        </is>
      </c>
      <c r="D535" t="n">
        <v>800100</v>
      </c>
      <c r="E535" t="inlineStr">
        <is>
          <t>Julco House, 26-28 Great Portland Street</t>
        </is>
      </c>
      <c r="F535" t="inlineStr">
        <is>
          <t>First Floor</t>
        </is>
      </c>
      <c r="G535" t="inlineStr">
        <is>
          <t>Offices</t>
        </is>
      </c>
      <c r="H535" t="n">
        <v>1818</v>
      </c>
      <c r="I535">
        <f>I393</f>
        <v/>
      </c>
      <c r="J535" t="n">
        <v>2000</v>
      </c>
      <c r="K535" t="inlineStr">
        <is>
          <t>Collins Benson Goldhill LLP</t>
        </is>
      </c>
      <c r="L535" s="869" t="n">
        <v>44280</v>
      </c>
      <c r="M535" s="869" t="n">
        <v>46105</v>
      </c>
      <c r="Q535" t="n">
        <v>83000</v>
      </c>
      <c r="R535">
        <f>R393</f>
        <v/>
      </c>
      <c r="T535" t="n">
        <v>111800</v>
      </c>
      <c r="U535">
        <f>U393</f>
        <v/>
      </c>
      <c r="V535" t="n">
        <v>118200</v>
      </c>
      <c r="W535">
        <f>W393</f>
        <v/>
      </c>
      <c r="X535">
        <f>W393/I393</f>
        <v/>
      </c>
      <c r="Y535">
        <f>SUM(W393-U393)/U393</f>
        <v/>
      </c>
      <c r="Z535" t="inlineStr">
        <is>
          <t>D</t>
        </is>
      </c>
      <c r="AC535" t="inlineStr">
        <is>
          <t>Yes</t>
        </is>
      </c>
      <c r="AI535" t="inlineStr">
        <is>
          <t>Let</t>
        </is>
      </c>
    </row>
    <row r="536">
      <c r="A536" t="inlineStr">
        <is>
          <t xml:space="preserve">  Offices</t>
        </is>
      </c>
      <c r="B536" t="inlineStr">
        <is>
          <t>CD</t>
        </is>
      </c>
      <c r="C536" t="inlineStr">
        <is>
          <t>OPG</t>
        </is>
      </c>
      <c r="D536" t="n">
        <v>800100</v>
      </c>
      <c r="E536" t="inlineStr">
        <is>
          <t>Julco House, 26-28 Great Portland Street</t>
        </is>
      </c>
      <c r="F536" t="inlineStr">
        <is>
          <t>Second Floor</t>
        </is>
      </c>
      <c r="G536" t="inlineStr">
        <is>
          <t>Offices</t>
        </is>
      </c>
      <c r="H536" t="n">
        <v>1829</v>
      </c>
      <c r="I536">
        <f>I394</f>
        <v/>
      </c>
      <c r="J536" t="n">
        <v>2000</v>
      </c>
      <c r="K536" t="inlineStr">
        <is>
          <t>Oakvale Capital LLP</t>
        </is>
      </c>
      <c r="L536" s="869" t="n">
        <v>45715</v>
      </c>
      <c r="M536" s="869" t="n">
        <v>47540</v>
      </c>
      <c r="P536" s="869" t="n">
        <v>46809</v>
      </c>
      <c r="Q536" t="n">
        <v>120700</v>
      </c>
      <c r="R536">
        <f>R394</f>
        <v/>
      </c>
      <c r="T536" t="n">
        <v>112500</v>
      </c>
      <c r="U536">
        <f>U394</f>
        <v/>
      </c>
      <c r="V536" t="n">
        <v>118900</v>
      </c>
      <c r="W536">
        <f>W394</f>
        <v/>
      </c>
      <c r="X536">
        <f>W394/I394</f>
        <v/>
      </c>
      <c r="Y536">
        <f>SUM(W394-U394)/U394</f>
        <v/>
      </c>
      <c r="Z536" t="inlineStr">
        <is>
          <t>D</t>
        </is>
      </c>
      <c r="AC536" t="inlineStr">
        <is>
          <t>No</t>
        </is>
      </c>
      <c r="AD536" t="inlineStr">
        <is>
          <t>Tenant break on 6 months notice. 2 months rent free if not exercised.</t>
        </is>
      </c>
      <c r="AI536" t="inlineStr">
        <is>
          <t>Let</t>
        </is>
      </c>
    </row>
    <row r="537">
      <c r="A537" t="inlineStr">
        <is>
          <t xml:space="preserve">  Offices</t>
        </is>
      </c>
      <c r="B537" t="inlineStr">
        <is>
          <t>CD</t>
        </is>
      </c>
      <c r="C537" t="inlineStr">
        <is>
          <t>OPG</t>
        </is>
      </c>
      <c r="D537" t="n">
        <v>800100</v>
      </c>
      <c r="E537" t="inlineStr">
        <is>
          <t>Julco House, 26-28 Great Portland Street</t>
        </is>
      </c>
      <c r="F537" t="inlineStr">
        <is>
          <t>Third Floor</t>
        </is>
      </c>
      <c r="G537" t="inlineStr">
        <is>
          <t>Offices</t>
        </is>
      </c>
      <c r="H537" t="n">
        <v>1837</v>
      </c>
      <c r="I537">
        <f>I395</f>
        <v/>
      </c>
      <c r="J537" t="n">
        <v>2000</v>
      </c>
      <c r="K537" t="inlineStr">
        <is>
          <t>Hague Securities Limited</t>
        </is>
      </c>
      <c r="L537" s="869" t="n">
        <v>44900</v>
      </c>
      <c r="M537" s="869" t="n">
        <v>46725</v>
      </c>
      <c r="P537" s="869" t="n">
        <v>45995</v>
      </c>
      <c r="Q537" t="n">
        <v>115731</v>
      </c>
      <c r="R537">
        <f>R395</f>
        <v/>
      </c>
      <c r="T537" t="n">
        <v>116600</v>
      </c>
      <c r="U537">
        <f>U395</f>
        <v/>
      </c>
      <c r="V537" t="n">
        <v>123100</v>
      </c>
      <c r="W537">
        <f>W395</f>
        <v/>
      </c>
      <c r="X537">
        <f>W395/I395</f>
        <v/>
      </c>
      <c r="Y537">
        <f>SUM(W395-U395)/U395</f>
        <v/>
      </c>
      <c r="Z537" t="inlineStr">
        <is>
          <t>C</t>
        </is>
      </c>
      <c r="AC537" t="inlineStr">
        <is>
          <t>No</t>
        </is>
      </c>
      <c r="AD537" t="inlineStr">
        <is>
          <t>Tenant break on 6 months notice. 4 months rent free from 05/12/25 if break not exercised.</t>
        </is>
      </c>
      <c r="AI537" t="inlineStr">
        <is>
          <t>Let</t>
        </is>
      </c>
    </row>
    <row r="538">
      <c r="A538" t="inlineStr">
        <is>
          <t xml:space="preserve">  Offices</t>
        </is>
      </c>
      <c r="B538" t="inlineStr">
        <is>
          <t>CD</t>
        </is>
      </c>
      <c r="C538" t="inlineStr">
        <is>
          <t>OPG</t>
        </is>
      </c>
      <c r="D538" t="n">
        <v>800100</v>
      </c>
      <c r="E538" t="inlineStr">
        <is>
          <t>Julco House, 26-28 Great Portland Street</t>
        </is>
      </c>
      <c r="F538" t="inlineStr">
        <is>
          <t>Fourth Floor</t>
        </is>
      </c>
      <c r="G538" t="inlineStr">
        <is>
          <t>Offices</t>
        </is>
      </c>
      <c r="H538" t="n">
        <v>1815</v>
      </c>
      <c r="I538">
        <f>I396</f>
        <v/>
      </c>
      <c r="J538" t="n">
        <v>2000</v>
      </c>
      <c r="K538" t="inlineStr">
        <is>
          <t>Zephyrus Partners Ltd.</t>
        </is>
      </c>
      <c r="L538" s="869" t="n">
        <v>44627</v>
      </c>
      <c r="M538" s="869" t="n">
        <v>46452</v>
      </c>
      <c r="Q538" t="n">
        <v>149742</v>
      </c>
      <c r="R538">
        <f>R396</f>
        <v/>
      </c>
      <c r="T538" t="n">
        <v>115300</v>
      </c>
      <c r="U538">
        <f>U396</f>
        <v/>
      </c>
      <c r="V538" t="n">
        <v>121600</v>
      </c>
      <c r="W538">
        <f>W396</f>
        <v/>
      </c>
      <c r="X538">
        <f>W396/I396</f>
        <v/>
      </c>
      <c r="Y538">
        <f>SUM(W396-U396)/U396</f>
        <v/>
      </c>
      <c r="Z538" t="inlineStr">
        <is>
          <t>C</t>
        </is>
      </c>
      <c r="AC538" t="inlineStr">
        <is>
          <t>No</t>
        </is>
      </c>
      <c r="AD538" t="inlineStr">
        <is>
          <t xml:space="preserve">Rent rising to £151,143 wef 07/03/26. </t>
        </is>
      </c>
      <c r="AI538" t="inlineStr">
        <is>
          <t>Let</t>
        </is>
      </c>
    </row>
    <row r="539">
      <c r="A539" t="inlineStr">
        <is>
          <t xml:space="preserve">  Offices</t>
        </is>
      </c>
      <c r="B539" t="inlineStr">
        <is>
          <t>CD</t>
        </is>
      </c>
      <c r="C539" t="inlineStr">
        <is>
          <t>OPG</t>
        </is>
      </c>
      <c r="D539" t="n">
        <v>800100</v>
      </c>
      <c r="E539" t="inlineStr">
        <is>
          <t>Julco House, 26-28 Great Portland Street</t>
        </is>
      </c>
      <c r="F539" t="inlineStr">
        <is>
          <t>Fifth Floor</t>
        </is>
      </c>
      <c r="G539" t="inlineStr">
        <is>
          <t>Offices</t>
        </is>
      </c>
      <c r="H539" t="n">
        <v>1815</v>
      </c>
      <c r="I539">
        <f>I397</f>
        <v/>
      </c>
      <c r="J539" t="n">
        <v>2000</v>
      </c>
      <c r="K539" t="inlineStr">
        <is>
          <t>Global Future Partnership LLP</t>
        </is>
      </c>
      <c r="L539" s="869" t="n">
        <v>45408</v>
      </c>
      <c r="M539" s="869" t="n">
        <v>47233</v>
      </c>
      <c r="Q539" t="n">
        <v>122513</v>
      </c>
      <c r="R539">
        <f>R397</f>
        <v/>
      </c>
      <c r="T539" t="n">
        <v>115300</v>
      </c>
      <c r="U539">
        <f>U397</f>
        <v/>
      </c>
      <c r="V539" t="n">
        <v>121600</v>
      </c>
      <c r="W539">
        <f>W397</f>
        <v/>
      </c>
      <c r="X539">
        <f>W397/I397</f>
        <v/>
      </c>
      <c r="Y539">
        <f>SUM(W397-U397)/U397</f>
        <v/>
      </c>
      <c r="Z539" t="inlineStr">
        <is>
          <t>D</t>
        </is>
      </c>
      <c r="AC539" t="inlineStr">
        <is>
          <t>No</t>
        </is>
      </c>
      <c r="AI539" t="inlineStr">
        <is>
          <t>Let</t>
        </is>
      </c>
    </row>
    <row r="540">
      <c r="A540" t="inlineStr">
        <is>
          <t xml:space="preserve">  Offices</t>
        </is>
      </c>
      <c r="B540" t="inlineStr">
        <is>
          <t>CD</t>
        </is>
      </c>
      <c r="C540" t="inlineStr">
        <is>
          <t>OPG</t>
        </is>
      </c>
      <c r="D540" t="n">
        <v>800100</v>
      </c>
      <c r="E540" t="inlineStr">
        <is>
          <t>Julco House, 26-28 Great Portland Street</t>
        </is>
      </c>
      <c r="F540" t="inlineStr">
        <is>
          <t>Sixth Floor</t>
        </is>
      </c>
      <c r="G540" t="inlineStr">
        <is>
          <t>Offices</t>
        </is>
      </c>
      <c r="H540" t="n">
        <v>790</v>
      </c>
      <c r="I540">
        <f>I398</f>
        <v/>
      </c>
      <c r="J540" t="n">
        <v>750</v>
      </c>
      <c r="K540" t="inlineStr">
        <is>
          <t>Heywood &amp; Partners Surveyors Ltd</t>
        </is>
      </c>
      <c r="L540" s="869" t="n">
        <v>44442</v>
      </c>
      <c r="M540" s="869" t="n">
        <v>46267</v>
      </c>
      <c r="Q540" t="n">
        <v>41080</v>
      </c>
      <c r="R540">
        <f>R398</f>
        <v/>
      </c>
      <c r="T540" t="n">
        <v>46200</v>
      </c>
      <c r="U540">
        <f>U398</f>
        <v/>
      </c>
      <c r="V540" t="n">
        <v>48600</v>
      </c>
      <c r="W540">
        <f>W398</f>
        <v/>
      </c>
      <c r="X540">
        <f>W398/I398</f>
        <v/>
      </c>
      <c r="Y540">
        <f>SUM(W398-U398)/U398</f>
        <v/>
      </c>
      <c r="Z540" t="inlineStr">
        <is>
          <t>E</t>
        </is>
      </c>
      <c r="AC540" t="inlineStr">
        <is>
          <t>No</t>
        </is>
      </c>
      <c r="AI540" t="inlineStr">
        <is>
          <t>Let</t>
        </is>
      </c>
    </row>
    <row r="541">
      <c r="A541" t="inlineStr">
        <is>
          <t xml:space="preserve">  Electricity Sub-Station</t>
        </is>
      </c>
      <c r="B541" t="inlineStr">
        <is>
          <t>CD</t>
        </is>
      </c>
      <c r="C541" t="inlineStr">
        <is>
          <t>OPG</t>
        </is>
      </c>
      <c r="D541" t="n">
        <v>800100</v>
      </c>
      <c r="E541" t="inlineStr">
        <is>
          <t>Julco House, 26-28 Great Portland Street</t>
        </is>
      </c>
      <c r="F541" t="inlineStr">
        <is>
          <t>Basement Vaults</t>
        </is>
      </c>
      <c r="G541" t="inlineStr">
        <is>
          <t>Electricity Sub-Station</t>
        </is>
      </c>
      <c r="H541" t="n">
        <v>0</v>
      </c>
      <c r="I541">
        <f>I399</f>
        <v/>
      </c>
      <c r="K541" t="inlineStr">
        <is>
          <t>London Power Networks Plc</t>
        </is>
      </c>
      <c r="L541" s="869" t="n">
        <v>42552</v>
      </c>
      <c r="M541" s="869" t="n">
        <v>47267</v>
      </c>
      <c r="O541" s="869" t="n">
        <v>46204</v>
      </c>
      <c r="Q541" t="n">
        <v>1160</v>
      </c>
      <c r="R541">
        <f>R399</f>
        <v/>
      </c>
      <c r="T541" t="n">
        <v>1160</v>
      </c>
      <c r="U541">
        <f>U399</f>
        <v/>
      </c>
      <c r="V541" t="n">
        <v>1160</v>
      </c>
      <c r="W541">
        <f>W399</f>
        <v/>
      </c>
      <c r="AC541" t="inlineStr">
        <is>
          <t>Yes</t>
        </is>
      </c>
      <c r="AD541" t="inlineStr">
        <is>
          <t>Rent review to RPI.</t>
        </is>
      </c>
      <c r="AI541" t="inlineStr">
        <is>
          <t>Let</t>
        </is>
      </c>
    </row>
    <row r="542"/>
    <row r="543">
      <c r="A543" s="868" t="inlineStr">
        <is>
          <t>5 Margaret Street</t>
        </is>
      </c>
    </row>
    <row r="544">
      <c r="A544" t="inlineStr">
        <is>
          <t xml:space="preserve">  Retail &amp; Office</t>
        </is>
      </c>
      <c r="B544" t="inlineStr">
        <is>
          <t>CD</t>
        </is>
      </c>
      <c r="C544" t="inlineStr">
        <is>
          <t>OPG</t>
        </is>
      </c>
      <c r="D544" t="n">
        <v>800400</v>
      </c>
      <c r="E544" t="inlineStr">
        <is>
          <t>5 Margaret Street</t>
        </is>
      </c>
      <c r="F544" t="inlineStr">
        <is>
          <t>Whole Building</t>
        </is>
      </c>
      <c r="G544" t="inlineStr">
        <is>
          <t>Retail &amp; Office</t>
        </is>
      </c>
      <c r="H544" t="n">
        <v>2598</v>
      </c>
      <c r="I544">
        <f>I400</f>
        <v/>
      </c>
      <c r="J544" t="n">
        <v>2500</v>
      </c>
      <c r="K544" t="inlineStr">
        <is>
          <t>Workpad Fitzrovia Ltd</t>
        </is>
      </c>
      <c r="L544" s="869" t="n">
        <v>43070</v>
      </c>
      <c r="M544" s="869" t="n">
        <v>46721</v>
      </c>
      <c r="O544" s="869" t="n">
        <v>44896</v>
      </c>
      <c r="Q544" t="n">
        <v>155000</v>
      </c>
      <c r="R544">
        <f>R400</f>
        <v/>
      </c>
      <c r="T544" t="n">
        <v>118500</v>
      </c>
      <c r="U544">
        <f>U400</f>
        <v/>
      </c>
      <c r="V544" t="n">
        <v>121500</v>
      </c>
      <c r="W544">
        <f>W400</f>
        <v/>
      </c>
      <c r="X544">
        <f>W400/I400</f>
        <v/>
      </c>
      <c r="Y544">
        <f>SUM(W400-U400)/U400</f>
        <v/>
      </c>
      <c r="Z544" t="inlineStr">
        <is>
          <t>A</t>
        </is>
      </c>
      <c r="AB544" t="n">
        <v>2200000</v>
      </c>
      <c r="AC544" t="inlineStr">
        <is>
          <t>No</t>
        </is>
      </c>
      <c r="AI544" t="inlineStr">
        <is>
          <t>Let</t>
        </is>
      </c>
    </row>
    <row r="545"/>
    <row r="546">
      <c r="A546" s="868" t="inlineStr">
        <is>
          <t>60/62 Margaret Street</t>
        </is>
      </c>
    </row>
    <row r="547">
      <c r="A547" t="inlineStr">
        <is>
          <t xml:space="preserve">  Offices</t>
        </is>
      </c>
      <c r="B547" t="inlineStr">
        <is>
          <t>CM</t>
        </is>
      </c>
      <c r="C547" t="inlineStr">
        <is>
          <t>OPG</t>
        </is>
      </c>
      <c r="D547" t="n">
        <v>800300</v>
      </c>
      <c r="E547" t="inlineStr">
        <is>
          <t>60/62 Margaret Street</t>
        </is>
      </c>
      <c r="F547" t="inlineStr">
        <is>
          <t>Whole Building</t>
        </is>
      </c>
      <c r="G547" t="inlineStr">
        <is>
          <t>Offices</t>
        </is>
      </c>
      <c r="H547" t="n">
        <v>19812</v>
      </c>
      <c r="I547">
        <f>I401</f>
        <v/>
      </c>
      <c r="J547" t="n">
        <v>20000</v>
      </c>
      <c r="K547" t="inlineStr">
        <is>
          <t>Creo London Limited.</t>
        </is>
      </c>
      <c r="L547" s="869" t="n">
        <v>44986</v>
      </c>
      <c r="M547" s="869" t="n">
        <v>50464</v>
      </c>
      <c r="O547" s="869" t="n">
        <v>46813</v>
      </c>
      <c r="Q547" t="n">
        <v>729167</v>
      </c>
      <c r="R547">
        <f>R401</f>
        <v/>
      </c>
      <c r="T547" t="n">
        <v>1250000</v>
      </c>
      <c r="U547">
        <f>U401</f>
        <v/>
      </c>
      <c r="V547" t="n">
        <v>1250000</v>
      </c>
      <c r="W547">
        <f>W401</f>
        <v/>
      </c>
      <c r="X547">
        <f>W401/I401</f>
        <v/>
      </c>
      <c r="Y547">
        <f>SUM(W401-U401)/U401</f>
        <v/>
      </c>
      <c r="Z547" t="inlineStr">
        <is>
          <t>B</t>
        </is>
      </c>
      <c r="AB547" t="n">
        <v>22175000</v>
      </c>
      <c r="AC547" t="inlineStr">
        <is>
          <t>No</t>
        </is>
      </c>
      <c r="AD547" t="inlineStr">
        <is>
          <t xml:space="preserve">Rent rising to £1,250,000 wef 01/03/26. </t>
        </is>
      </c>
      <c r="AI547" t="inlineStr">
        <is>
          <t>Let</t>
        </is>
      </c>
    </row>
    <row r="548"/>
    <row r="549">
      <c r="A549" s="868" t="inlineStr">
        <is>
          <t>85 Mortimer Street</t>
        </is>
      </c>
    </row>
    <row r="550">
      <c r="A550" t="inlineStr">
        <is>
          <t xml:space="preserve">  Showroom</t>
        </is>
      </c>
      <c r="B550" t="inlineStr">
        <is>
          <t>WS</t>
        </is>
      </c>
      <c r="C550" t="inlineStr">
        <is>
          <t>OPG</t>
        </is>
      </c>
      <c r="D550" t="n">
        <v>800500</v>
      </c>
      <c r="E550" t="inlineStr">
        <is>
          <t>85 Mortimer Street</t>
        </is>
      </c>
      <c r="F550" t="inlineStr">
        <is>
          <t>Basement &amp; Ground</t>
        </is>
      </c>
      <c r="G550" t="inlineStr">
        <is>
          <t>Showroom</t>
        </is>
      </c>
      <c r="H550" t="n">
        <v>1582</v>
      </c>
      <c r="I550">
        <f>I402</f>
        <v/>
      </c>
      <c r="J550" t="n">
        <v>1500</v>
      </c>
      <c r="K550" t="inlineStr">
        <is>
          <t>The Feel Good Group Ltd.</t>
        </is>
      </c>
      <c r="L550" s="869" t="n">
        <v>43514</v>
      </c>
      <c r="M550" s="869" t="n">
        <v>46982</v>
      </c>
      <c r="O550" s="869" t="n">
        <v>45340</v>
      </c>
      <c r="Q550" t="n">
        <v>70000</v>
      </c>
      <c r="R550">
        <f>R402</f>
        <v/>
      </c>
      <c r="T550" t="n">
        <v>63300</v>
      </c>
      <c r="U550">
        <f>U402</f>
        <v/>
      </c>
      <c r="V550" t="n">
        <v>63300</v>
      </c>
      <c r="W550">
        <f>W402</f>
        <v/>
      </c>
      <c r="X550">
        <f>W402/I402</f>
        <v/>
      </c>
      <c r="Y550">
        <f>SUM(W402-U402)/U402</f>
        <v/>
      </c>
      <c r="Z550" t="inlineStr">
        <is>
          <t>C</t>
        </is>
      </c>
      <c r="AC550" t="inlineStr">
        <is>
          <t>No</t>
        </is>
      </c>
      <c r="AI550" t="inlineStr">
        <is>
          <t>Let</t>
        </is>
      </c>
    </row>
    <row r="551">
      <c r="A551" t="inlineStr">
        <is>
          <t xml:space="preserve">  Offices</t>
        </is>
      </c>
      <c r="B551" t="inlineStr">
        <is>
          <t>WS</t>
        </is>
      </c>
      <c r="C551" t="inlineStr">
        <is>
          <t>OPG</t>
        </is>
      </c>
      <c r="D551" t="n">
        <v>800500</v>
      </c>
      <c r="E551" t="inlineStr">
        <is>
          <t>85 Mortimer Street</t>
        </is>
      </c>
      <c r="F551" t="inlineStr">
        <is>
          <t>First to Third Floors</t>
        </is>
      </c>
      <c r="G551" t="inlineStr">
        <is>
          <t>Offices</t>
        </is>
      </c>
      <c r="H551" t="n">
        <v>1248</v>
      </c>
      <c r="I551">
        <f>I403</f>
        <v/>
      </c>
      <c r="J551" t="n">
        <v>1250</v>
      </c>
      <c r="K551" t="inlineStr">
        <is>
          <t>Vacant</t>
        </is>
      </c>
      <c r="N551" s="869" t="n">
        <v>44550</v>
      </c>
      <c r="Q551" t="n">
        <v>0</v>
      </c>
      <c r="R551">
        <f>R403</f>
        <v/>
      </c>
      <c r="T551" t="n">
        <v>66800</v>
      </c>
      <c r="U551">
        <f>U403</f>
        <v/>
      </c>
      <c r="V551" t="n">
        <v>66800</v>
      </c>
      <c r="W551">
        <f>W403</f>
        <v/>
      </c>
      <c r="X551">
        <f>W403/I403</f>
        <v/>
      </c>
      <c r="Y551">
        <f>SUM(W403-U403)/U403</f>
        <v/>
      </c>
      <c r="Z551" t="inlineStr">
        <is>
          <t>B</t>
        </is>
      </c>
      <c r="AC551" t="inlineStr">
        <is>
          <t>No</t>
        </is>
      </c>
      <c r="AD551" t="inlineStr">
        <is>
          <t>To be refurbished.</t>
        </is>
      </c>
      <c r="AE551" t="n">
        <v>58</v>
      </c>
      <c r="AF551" t="n">
        <v>2</v>
      </c>
      <c r="AG551" t="n">
        <v>5</v>
      </c>
      <c r="AI551" t="inlineStr">
        <is>
          <t>Void</t>
        </is>
      </c>
    </row>
    <row r="552"/>
    <row r="553">
      <c r="A553" s="868" t="inlineStr">
        <is>
          <t>Welbeck House, 66/67 Wells Street</t>
        </is>
      </c>
    </row>
    <row r="554">
      <c r="A554" t="inlineStr">
        <is>
          <t xml:space="preserve">  Electricity / Substation</t>
        </is>
      </c>
      <c r="B554" t="inlineStr">
        <is>
          <t>WS</t>
        </is>
      </c>
      <c r="C554" t="inlineStr">
        <is>
          <t>OPG</t>
        </is>
      </c>
      <c r="D554" t="n">
        <v>800600</v>
      </c>
      <c r="E554" t="inlineStr">
        <is>
          <t>Welbeck House, 66/67 Wells Street</t>
        </is>
      </c>
      <c r="F554" t="inlineStr">
        <is>
          <t>Basement (67)</t>
        </is>
      </c>
      <c r="G554" t="inlineStr">
        <is>
          <t>Electricity / Substation</t>
        </is>
      </c>
      <c r="H554" t="n">
        <v>0</v>
      </c>
      <c r="I554">
        <f>I404</f>
        <v/>
      </c>
      <c r="K554" t="inlineStr">
        <is>
          <t>London Power Networks Plc</t>
        </is>
      </c>
      <c r="L554" s="869" t="n">
        <v>18170</v>
      </c>
      <c r="M554" s="869" t="n">
        <v>54329</v>
      </c>
      <c r="Q554" t="n">
        <v>0</v>
      </c>
      <c r="R554">
        <f>R404</f>
        <v/>
      </c>
      <c r="T554" t="n">
        <v>0</v>
      </c>
      <c r="U554">
        <f>U404</f>
        <v/>
      </c>
      <c r="V554" t="n">
        <v>0</v>
      </c>
      <c r="W554">
        <f>W404</f>
        <v/>
      </c>
      <c r="AC554" t="inlineStr">
        <is>
          <t>Yes</t>
        </is>
      </c>
      <c r="AD554" t="inlineStr">
        <is>
          <t>Rent 5p paid annually on 25th March</t>
        </is>
      </c>
      <c r="AI554" t="inlineStr">
        <is>
          <t>Let</t>
        </is>
      </c>
    </row>
    <row r="555">
      <c r="A555" t="inlineStr">
        <is>
          <t xml:space="preserve">  Retail / Offices</t>
        </is>
      </c>
      <c r="B555" t="inlineStr">
        <is>
          <t>WS</t>
        </is>
      </c>
      <c r="C555" t="inlineStr">
        <is>
          <t>OPG</t>
        </is>
      </c>
      <c r="D555" t="n">
        <v>800600</v>
      </c>
      <c r="E555" t="inlineStr">
        <is>
          <t>Welbeck House, 66/67 Wells Street</t>
        </is>
      </c>
      <c r="F555" t="inlineStr">
        <is>
          <t>Basement &amp; Ground (67), Rear (66/67) &amp; 1st Floor (R) 66.</t>
        </is>
      </c>
      <c r="G555" t="inlineStr">
        <is>
          <t>Retail / Offices</t>
        </is>
      </c>
      <c r="H555" t="n">
        <v>3356</v>
      </c>
      <c r="I555">
        <f>I405</f>
        <v/>
      </c>
      <c r="J555" t="n">
        <v>3500</v>
      </c>
      <c r="K555" t="inlineStr">
        <is>
          <t>Vacant</t>
        </is>
      </c>
      <c r="N555" s="869" t="n">
        <v>45457</v>
      </c>
      <c r="Q555" t="n">
        <v>0</v>
      </c>
      <c r="R555">
        <f>R405</f>
        <v/>
      </c>
      <c r="T555" t="n">
        <v>174600</v>
      </c>
      <c r="U555">
        <f>U405</f>
        <v/>
      </c>
      <c r="V555" t="n">
        <v>174600</v>
      </c>
      <c r="W555">
        <f>W405</f>
        <v/>
      </c>
      <c r="X555">
        <f>W405/I405</f>
        <v/>
      </c>
      <c r="Y555">
        <f>SUM(W405-U405)/U405</f>
        <v/>
      </c>
      <c r="Z555" t="inlineStr">
        <is>
          <t>B</t>
        </is>
      </c>
      <c r="AC555" t="inlineStr">
        <is>
          <t>No</t>
        </is>
      </c>
      <c r="AD555" t="inlineStr">
        <is>
          <t>To be refurbished.</t>
        </is>
      </c>
      <c r="AE555" t="n">
        <v>45</v>
      </c>
      <c r="AF555" t="n">
        <v>3</v>
      </c>
      <c r="AG555" t="n">
        <v>10</v>
      </c>
      <c r="AH555" t="inlineStr">
        <is>
          <t>LEM</t>
        </is>
      </c>
      <c r="AI555" t="inlineStr">
        <is>
          <t>Void</t>
        </is>
      </c>
    </row>
    <row r="556">
      <c r="A556" t="inlineStr">
        <is>
          <t xml:space="preserve">  Shop</t>
        </is>
      </c>
      <c r="B556" t="inlineStr">
        <is>
          <t>WS</t>
        </is>
      </c>
      <c r="C556" t="inlineStr">
        <is>
          <t>OPG</t>
        </is>
      </c>
      <c r="D556" t="n">
        <v>800600</v>
      </c>
      <c r="E556" t="inlineStr">
        <is>
          <t>Welbeck House, 66/67 Wells Street</t>
        </is>
      </c>
      <c r="F556" t="inlineStr">
        <is>
          <t>Basement &amp; Ground (66)</t>
        </is>
      </c>
      <c r="G556" t="inlineStr">
        <is>
          <t>Shop</t>
        </is>
      </c>
      <c r="H556" t="n">
        <v>1157</v>
      </c>
      <c r="I556">
        <f>I406</f>
        <v/>
      </c>
      <c r="J556" t="n">
        <v>1000</v>
      </c>
      <c r="K556" t="inlineStr">
        <is>
          <t>Noble Furs (Regent Street) Ltd</t>
        </is>
      </c>
      <c r="L556" s="869" t="n">
        <v>45230</v>
      </c>
      <c r="M556" s="869" t="n">
        <v>46325</v>
      </c>
      <c r="Q556" t="n">
        <v>46000</v>
      </c>
      <c r="R556">
        <f>R406</f>
        <v/>
      </c>
      <c r="T556" t="n">
        <v>52800</v>
      </c>
      <c r="U556">
        <f>U406</f>
        <v/>
      </c>
      <c r="V556" t="n">
        <v>52800</v>
      </c>
      <c r="W556">
        <f>W406</f>
        <v/>
      </c>
      <c r="X556">
        <f>W406/I406</f>
        <v/>
      </c>
      <c r="Y556">
        <f>SUM(W406-U406)/U406</f>
        <v/>
      </c>
      <c r="Z556" t="inlineStr">
        <is>
          <t>D</t>
        </is>
      </c>
      <c r="AC556" t="inlineStr">
        <is>
          <t>No</t>
        </is>
      </c>
      <c r="AD556" t="inlineStr">
        <is>
          <t xml:space="preserve">Further 2 months rent free @ 31/10/25. Rent rises to £50,600 @ 31/12/25. Mutual break on 3 months notice. </t>
        </is>
      </c>
      <c r="AI556" t="inlineStr">
        <is>
          <t>Let</t>
        </is>
      </c>
    </row>
    <row r="557">
      <c r="A557" t="inlineStr">
        <is>
          <t xml:space="preserve">  Offices</t>
        </is>
      </c>
      <c r="B557" t="inlineStr">
        <is>
          <t>WS</t>
        </is>
      </c>
      <c r="C557" t="inlineStr">
        <is>
          <t>OPG</t>
        </is>
      </c>
      <c r="D557" t="n">
        <v>800600</v>
      </c>
      <c r="E557" t="inlineStr">
        <is>
          <t>Welbeck House, 66/67 Wells Street</t>
        </is>
      </c>
      <c r="F557" t="inlineStr">
        <is>
          <t>First Floor (Front)</t>
        </is>
      </c>
      <c r="G557" t="inlineStr">
        <is>
          <t>Offices</t>
        </is>
      </c>
      <c r="H557" t="n">
        <v>1015</v>
      </c>
      <c r="I557">
        <f>I407</f>
        <v/>
      </c>
      <c r="J557" t="n">
        <v>1000</v>
      </c>
      <c r="K557" t="inlineStr">
        <is>
          <t>Vacant</t>
        </is>
      </c>
      <c r="N557" s="869" t="n">
        <v>43840</v>
      </c>
      <c r="Q557" t="n">
        <v>0</v>
      </c>
      <c r="R557">
        <f>R407</f>
        <v/>
      </c>
      <c r="T557" t="n">
        <v>53300</v>
      </c>
      <c r="U557">
        <f>U407</f>
        <v/>
      </c>
      <c r="V557" t="n">
        <v>53300</v>
      </c>
      <c r="W557">
        <f>W407</f>
        <v/>
      </c>
      <c r="X557">
        <f>W407/I407</f>
        <v/>
      </c>
      <c r="Y557">
        <f>SUM(W407-U407)/U407</f>
        <v/>
      </c>
      <c r="Z557" t="inlineStr">
        <is>
          <t>D</t>
        </is>
      </c>
      <c r="AC557" t="inlineStr">
        <is>
          <t>No</t>
        </is>
      </c>
      <c r="AD557" t="inlineStr">
        <is>
          <t>Mothballed.</t>
        </is>
      </c>
      <c r="AI557" t="inlineStr">
        <is>
          <t>Void</t>
        </is>
      </c>
    </row>
    <row r="558">
      <c r="A558" t="inlineStr">
        <is>
          <t xml:space="preserve">  Offices</t>
        </is>
      </c>
      <c r="B558" t="inlineStr">
        <is>
          <t>WS</t>
        </is>
      </c>
      <c r="C558" t="inlineStr">
        <is>
          <t>OPG</t>
        </is>
      </c>
      <c r="D558" t="n">
        <v>800600</v>
      </c>
      <c r="E558" t="inlineStr">
        <is>
          <t>Welbeck House, 66/67 Wells Street</t>
        </is>
      </c>
      <c r="F558" t="inlineStr">
        <is>
          <t>First Floor (Rear)</t>
        </is>
      </c>
      <c r="G558" t="inlineStr">
        <is>
          <t>Offices</t>
        </is>
      </c>
      <c r="H558" t="n">
        <v>250</v>
      </c>
      <c r="I558">
        <f>I408</f>
        <v/>
      </c>
      <c r="J558" t="n">
        <v>250</v>
      </c>
      <c r="K558" t="inlineStr">
        <is>
          <t>Vacant</t>
        </is>
      </c>
      <c r="N558" s="869" t="n">
        <v>45682</v>
      </c>
      <c r="Q558" t="n">
        <v>0</v>
      </c>
      <c r="R558">
        <f>R408</f>
        <v/>
      </c>
      <c r="T558" t="n">
        <v>14500</v>
      </c>
      <c r="U558">
        <f>U408</f>
        <v/>
      </c>
      <c r="V558" t="n">
        <v>14500</v>
      </c>
      <c r="W558">
        <f>W408</f>
        <v/>
      </c>
      <c r="X558">
        <f>W408/I408</f>
        <v/>
      </c>
      <c r="Y558">
        <f>SUM(W408-U408)/U408</f>
        <v/>
      </c>
      <c r="Z558" t="inlineStr">
        <is>
          <t>D</t>
        </is>
      </c>
      <c r="AC558" t="inlineStr">
        <is>
          <t>No</t>
        </is>
      </c>
      <c r="AD558" t="inlineStr">
        <is>
          <t>LEM marketing.</t>
        </is>
      </c>
      <c r="AG558" t="n">
        <v>1</v>
      </c>
      <c r="AI558" t="inlineStr">
        <is>
          <t>Void</t>
        </is>
      </c>
    </row>
    <row r="559">
      <c r="A559" t="inlineStr">
        <is>
          <t xml:space="preserve">  Offices</t>
        </is>
      </c>
      <c r="B559" t="inlineStr">
        <is>
          <t>WS</t>
        </is>
      </c>
      <c r="C559" t="inlineStr">
        <is>
          <t>OPG</t>
        </is>
      </c>
      <c r="D559" t="n">
        <v>800600</v>
      </c>
      <c r="E559" t="inlineStr">
        <is>
          <t>Welbeck House, 66/67 Wells Street</t>
        </is>
      </c>
      <c r="F559" t="inlineStr">
        <is>
          <t>Second Floor (Front)</t>
        </is>
      </c>
      <c r="G559" t="inlineStr">
        <is>
          <t>Offices</t>
        </is>
      </c>
      <c r="H559" t="n">
        <v>1026</v>
      </c>
      <c r="I559">
        <f>I409</f>
        <v/>
      </c>
      <c r="J559" t="n">
        <v>1000</v>
      </c>
      <c r="K559" t="inlineStr">
        <is>
          <t>Vacant</t>
        </is>
      </c>
      <c r="N559" s="869" t="n">
        <v>44500</v>
      </c>
      <c r="Q559" t="n">
        <v>0</v>
      </c>
      <c r="R559">
        <f>R409</f>
        <v/>
      </c>
      <c r="T559" t="n">
        <v>53900</v>
      </c>
      <c r="U559">
        <f>U409</f>
        <v/>
      </c>
      <c r="V559" t="n">
        <v>53900</v>
      </c>
      <c r="W559">
        <f>W409</f>
        <v/>
      </c>
      <c r="X559">
        <f>W409/I409</f>
        <v/>
      </c>
      <c r="Y559">
        <f>SUM(W409-U409)/U409</f>
        <v/>
      </c>
      <c r="Z559" t="inlineStr">
        <is>
          <t>C</t>
        </is>
      </c>
      <c r="AC559" t="inlineStr">
        <is>
          <t>No</t>
        </is>
      </c>
      <c r="AD559" t="inlineStr">
        <is>
          <t>Mothballed.</t>
        </is>
      </c>
      <c r="AI559" t="inlineStr">
        <is>
          <t>Void</t>
        </is>
      </c>
    </row>
    <row r="560">
      <c r="A560" t="inlineStr">
        <is>
          <t xml:space="preserve">  Offices</t>
        </is>
      </c>
      <c r="B560" t="inlineStr">
        <is>
          <t>WS</t>
        </is>
      </c>
      <c r="C560" t="inlineStr">
        <is>
          <t>OPG</t>
        </is>
      </c>
      <c r="D560" t="n">
        <v>800600</v>
      </c>
      <c r="E560" t="inlineStr">
        <is>
          <t>Welbeck House, 66/67 Wells Street</t>
        </is>
      </c>
      <c r="F560" t="inlineStr">
        <is>
          <t>Second Floor (Rear)</t>
        </is>
      </c>
      <c r="G560" t="inlineStr">
        <is>
          <t>Offices</t>
        </is>
      </c>
      <c r="H560" t="n">
        <v>242</v>
      </c>
      <c r="I560">
        <f>I410</f>
        <v/>
      </c>
      <c r="J560" t="n">
        <v>250</v>
      </c>
      <c r="K560" t="inlineStr">
        <is>
          <t>Vacant</t>
        </is>
      </c>
      <c r="N560" s="869" t="n">
        <v>44135</v>
      </c>
      <c r="Q560" t="n">
        <v>0</v>
      </c>
      <c r="R560">
        <f>R410</f>
        <v/>
      </c>
      <c r="T560" t="n">
        <v>14000</v>
      </c>
      <c r="U560">
        <f>U410</f>
        <v/>
      </c>
      <c r="V560" t="n">
        <v>14000</v>
      </c>
      <c r="W560">
        <f>W410</f>
        <v/>
      </c>
      <c r="X560">
        <f>W410/I410</f>
        <v/>
      </c>
      <c r="Y560">
        <f>SUM(W410-U410)/U410</f>
        <v/>
      </c>
      <c r="Z560" t="inlineStr">
        <is>
          <t>E</t>
        </is>
      </c>
      <c r="AC560" t="inlineStr">
        <is>
          <t>No</t>
        </is>
      </c>
      <c r="AD560" t="inlineStr">
        <is>
          <t>Mothballed.</t>
        </is>
      </c>
      <c r="AI560" t="inlineStr">
        <is>
          <t>Void</t>
        </is>
      </c>
    </row>
    <row r="561">
      <c r="A561" t="inlineStr">
        <is>
          <t xml:space="preserve">  Offices</t>
        </is>
      </c>
      <c r="B561" t="inlineStr">
        <is>
          <t>WS</t>
        </is>
      </c>
      <c r="C561" t="inlineStr">
        <is>
          <t>OPG</t>
        </is>
      </c>
      <c r="D561" t="n">
        <v>800600</v>
      </c>
      <c r="E561" t="inlineStr">
        <is>
          <t>Welbeck House, 66/67 Wells Street</t>
        </is>
      </c>
      <c r="F561" t="inlineStr">
        <is>
          <t>Third Floor</t>
        </is>
      </c>
      <c r="G561" t="inlineStr">
        <is>
          <t>Offices</t>
        </is>
      </c>
      <c r="H561" t="n">
        <v>1028</v>
      </c>
      <c r="I561">
        <f>I411</f>
        <v/>
      </c>
      <c r="J561" t="n">
        <v>1000</v>
      </c>
      <c r="K561" t="inlineStr">
        <is>
          <t>Investments Services UK Ltd</t>
        </is>
      </c>
      <c r="L561" s="869" t="n">
        <v>44135</v>
      </c>
      <c r="M561" s="869" t="n">
        <v>45960</v>
      </c>
      <c r="Q561" t="n">
        <v>52572</v>
      </c>
      <c r="R561">
        <f>R411</f>
        <v/>
      </c>
      <c r="T561" t="n">
        <v>51400</v>
      </c>
      <c r="U561">
        <f>U411</f>
        <v/>
      </c>
      <c r="V561" t="n">
        <v>51400</v>
      </c>
      <c r="W561">
        <f>W411</f>
        <v/>
      </c>
      <c r="X561">
        <f>W411/I411</f>
        <v/>
      </c>
      <c r="Y561">
        <f>SUM(W411-U411)/U411</f>
        <v/>
      </c>
      <c r="Z561" t="inlineStr">
        <is>
          <t>D</t>
        </is>
      </c>
      <c r="AC561" t="inlineStr">
        <is>
          <t>No</t>
        </is>
      </c>
      <c r="AD561" t="inlineStr">
        <is>
          <t>Mothballed.</t>
        </is>
      </c>
      <c r="AI561" t="inlineStr">
        <is>
          <t>Let</t>
        </is>
      </c>
    </row>
    <row r="562">
      <c r="A562" t="inlineStr">
        <is>
          <t xml:space="preserve">  Offices</t>
        </is>
      </c>
      <c r="B562" t="inlineStr">
        <is>
          <t>WS</t>
        </is>
      </c>
      <c r="C562" t="inlineStr">
        <is>
          <t>OPG</t>
        </is>
      </c>
      <c r="D562" t="n">
        <v>800600</v>
      </c>
      <c r="E562" t="inlineStr">
        <is>
          <t>Welbeck House, 66/67 Wells Street</t>
        </is>
      </c>
      <c r="F562" t="inlineStr">
        <is>
          <t>Fourth Floor</t>
        </is>
      </c>
      <c r="G562" t="inlineStr">
        <is>
          <t>Offices</t>
        </is>
      </c>
      <c r="H562" t="n">
        <v>834</v>
      </c>
      <c r="I562">
        <f>I412</f>
        <v/>
      </c>
      <c r="J562" t="n">
        <v>1000</v>
      </c>
      <c r="K562" t="inlineStr">
        <is>
          <t>Vacant</t>
        </is>
      </c>
      <c r="N562" s="869" t="n">
        <v>43840</v>
      </c>
      <c r="Q562" t="n">
        <v>0</v>
      </c>
      <c r="R562">
        <f>R412</f>
        <v/>
      </c>
      <c r="T562" t="n">
        <v>43800</v>
      </c>
      <c r="U562">
        <f>U412</f>
        <v/>
      </c>
      <c r="V562" t="n">
        <v>43800</v>
      </c>
      <c r="W562">
        <f>W412</f>
        <v/>
      </c>
      <c r="X562">
        <f>W412/I412</f>
        <v/>
      </c>
      <c r="Y562">
        <f>SUM(W412-U412)/U412</f>
        <v/>
      </c>
      <c r="Z562" t="inlineStr">
        <is>
          <t>D</t>
        </is>
      </c>
      <c r="AC562" t="inlineStr">
        <is>
          <t>No</t>
        </is>
      </c>
      <c r="AD562" t="inlineStr">
        <is>
          <t>Mothballed.</t>
        </is>
      </c>
      <c r="AI562" t="inlineStr">
        <is>
          <t>Void</t>
        </is>
      </c>
    </row>
    <row r="563"/>
    <row r="564">
      <c r="A564" s="868" t="inlineStr">
        <is>
          <t>32-36 Great Portland Street</t>
        </is>
      </c>
    </row>
    <row r="565">
      <c r="A565" t="inlineStr">
        <is>
          <t xml:space="preserve">  Retail / Showroom</t>
        </is>
      </c>
      <c r="B565" t="inlineStr">
        <is>
          <t>CD</t>
        </is>
      </c>
      <c r="C565" t="inlineStr">
        <is>
          <t>PEL</t>
        </is>
      </c>
      <c r="D565" t="n">
        <v>111010</v>
      </c>
      <c r="E565" t="inlineStr">
        <is>
          <t>32-36 Great Portland Street</t>
        </is>
      </c>
      <c r="F565" t="inlineStr">
        <is>
          <t>Ground Floor &amp; Basement</t>
        </is>
      </c>
      <c r="G565" t="inlineStr">
        <is>
          <t>Retail / Showroom</t>
        </is>
      </c>
      <c r="H565" t="n">
        <v>4289</v>
      </c>
      <c r="I565">
        <f>I413</f>
        <v/>
      </c>
      <c r="J565" t="n">
        <v>4250</v>
      </c>
      <c r="K565" t="inlineStr">
        <is>
          <t>Prenuvo Ltd</t>
        </is>
      </c>
      <c r="L565" s="869" t="n">
        <v>45510</v>
      </c>
      <c r="M565" s="869" t="n">
        <v>50987</v>
      </c>
      <c r="O565" s="869" t="n">
        <v>47336</v>
      </c>
      <c r="P565" s="869" t="n">
        <v>49162</v>
      </c>
      <c r="Q565" t="n">
        <v>110000</v>
      </c>
      <c r="R565">
        <f>R413</f>
        <v/>
      </c>
      <c r="T565" t="n">
        <v>220100</v>
      </c>
      <c r="U565">
        <f>U413</f>
        <v/>
      </c>
      <c r="V565" t="n">
        <v>220100</v>
      </c>
      <c r="W565">
        <f>W413</f>
        <v/>
      </c>
      <c r="X565">
        <f>W413/I413</f>
        <v/>
      </c>
      <c r="Y565">
        <f>SUM(W413-U413)/U413</f>
        <v/>
      </c>
      <c r="Z565" t="inlineStr">
        <is>
          <t>C</t>
        </is>
      </c>
      <c r="AA565" t="inlineStr">
        <is>
          <t>*</t>
        </is>
      </c>
      <c r="AC565" t="inlineStr">
        <is>
          <t>No</t>
        </is>
      </c>
      <c r="AD565" t="inlineStr">
        <is>
          <t>Rent increasing to £220,000 wef 18/01/26. Tenant break on 6 months notice.</t>
        </is>
      </c>
      <c r="AI565" t="inlineStr">
        <is>
          <t>Let</t>
        </is>
      </c>
    </row>
    <row r="566">
      <c r="A566" t="inlineStr">
        <is>
          <t xml:space="preserve">  Offices</t>
        </is>
      </c>
      <c r="B566" t="inlineStr">
        <is>
          <t>CD</t>
        </is>
      </c>
      <c r="C566" t="inlineStr">
        <is>
          <t>PEL</t>
        </is>
      </c>
      <c r="D566" t="n">
        <v>111010</v>
      </c>
      <c r="E566" t="inlineStr">
        <is>
          <t>32-36 Great Portland Street</t>
        </is>
      </c>
      <c r="F566" t="inlineStr">
        <is>
          <t>First Floor</t>
        </is>
      </c>
      <c r="G566" t="inlineStr">
        <is>
          <t>Offices</t>
        </is>
      </c>
      <c r="H566" t="n">
        <v>2279</v>
      </c>
      <c r="I566">
        <f>I414</f>
        <v/>
      </c>
      <c r="J566" t="n">
        <v>2250</v>
      </c>
      <c r="K566" t="inlineStr">
        <is>
          <t>Vacant</t>
        </is>
      </c>
      <c r="N566" s="869" t="n">
        <v>44577</v>
      </c>
      <c r="Q566" t="n">
        <v>0</v>
      </c>
      <c r="R566">
        <f>R414</f>
        <v/>
      </c>
      <c r="T566" t="n">
        <v>150000</v>
      </c>
      <c r="U566">
        <f>U414</f>
        <v/>
      </c>
      <c r="V566" t="n">
        <v>167500</v>
      </c>
      <c r="W566">
        <f>W414</f>
        <v/>
      </c>
      <c r="X566">
        <f>W414/I414</f>
        <v/>
      </c>
      <c r="Y566">
        <f>SUM(W414-U414)/U414</f>
        <v/>
      </c>
      <c r="Z566" t="inlineStr">
        <is>
          <t>C</t>
        </is>
      </c>
      <c r="AA566" t="inlineStr">
        <is>
          <t>*</t>
        </is>
      </c>
      <c r="AC566" t="inlineStr">
        <is>
          <t>No</t>
        </is>
      </c>
      <c r="AD566" t="inlineStr">
        <is>
          <t>To be refurbished.</t>
        </is>
      </c>
      <c r="AE566" t="n">
        <v>75</v>
      </c>
      <c r="AF566" t="n">
        <v>1</v>
      </c>
      <c r="AG566" t="n">
        <v>2</v>
      </c>
      <c r="AH566" t="inlineStr">
        <is>
          <t>LEM</t>
        </is>
      </c>
      <c r="AI566" t="inlineStr">
        <is>
          <t>Void</t>
        </is>
      </c>
    </row>
    <row r="567">
      <c r="A567" t="inlineStr">
        <is>
          <t xml:space="preserve">  Offices</t>
        </is>
      </c>
      <c r="B567" t="inlineStr">
        <is>
          <t>CD</t>
        </is>
      </c>
      <c r="C567" t="inlineStr">
        <is>
          <t>PEL</t>
        </is>
      </c>
      <c r="D567" t="n">
        <v>111010</v>
      </c>
      <c r="E567" t="inlineStr">
        <is>
          <t>32-36 Great Portland Street</t>
        </is>
      </c>
      <c r="F567" t="inlineStr">
        <is>
          <t>Second Floor</t>
        </is>
      </c>
      <c r="G567" t="inlineStr">
        <is>
          <t>Offices</t>
        </is>
      </c>
      <c r="H567" t="n">
        <v>1640</v>
      </c>
      <c r="I567">
        <f>I415</f>
        <v/>
      </c>
      <c r="J567" t="n">
        <v>1500</v>
      </c>
      <c r="K567" t="inlineStr">
        <is>
          <t>AdMaxim Limited</t>
        </is>
      </c>
      <c r="L567" s="869" t="n">
        <v>44710</v>
      </c>
      <c r="M567" s="869" t="n">
        <v>45805</v>
      </c>
      <c r="Q567" t="n">
        <v>101000</v>
      </c>
      <c r="R567">
        <f>R415</f>
        <v/>
      </c>
      <c r="T567" t="n">
        <v>104100</v>
      </c>
      <c r="U567">
        <f>U415</f>
        <v/>
      </c>
      <c r="V567" t="n">
        <v>114800</v>
      </c>
      <c r="W567">
        <f>W415</f>
        <v/>
      </c>
      <c r="X567">
        <f>W415/I415</f>
        <v/>
      </c>
      <c r="Y567">
        <f>SUM(W415-U415)/U415</f>
        <v/>
      </c>
      <c r="Z567" t="inlineStr">
        <is>
          <t>C</t>
        </is>
      </c>
      <c r="AA567" t="inlineStr">
        <is>
          <t>*</t>
        </is>
      </c>
      <c r="AC567" t="inlineStr">
        <is>
          <t>No</t>
        </is>
      </c>
      <c r="AD567" t="inlineStr">
        <is>
          <t>Lease renewal completion imminent.</t>
        </is>
      </c>
      <c r="AI567" t="inlineStr">
        <is>
          <t>Let</t>
        </is>
      </c>
    </row>
    <row r="568">
      <c r="A568" t="inlineStr">
        <is>
          <t xml:space="preserve">  Offices</t>
        </is>
      </c>
      <c r="B568" t="inlineStr">
        <is>
          <t>CD</t>
        </is>
      </c>
      <c r="C568" t="inlineStr">
        <is>
          <t>PEL</t>
        </is>
      </c>
      <c r="D568" t="n">
        <v>111010</v>
      </c>
      <c r="E568" t="inlineStr">
        <is>
          <t>32-36 Great Portland Street</t>
        </is>
      </c>
      <c r="F568" t="inlineStr">
        <is>
          <t>Third Floor</t>
        </is>
      </c>
      <c r="G568" t="inlineStr">
        <is>
          <t>Offices</t>
        </is>
      </c>
      <c r="H568" t="n">
        <v>1641</v>
      </c>
      <c r="I568">
        <f>I416</f>
        <v/>
      </c>
      <c r="J568" t="n">
        <v>1500</v>
      </c>
      <c r="K568" t="inlineStr">
        <is>
          <t>Vacant</t>
        </is>
      </c>
      <c r="N568" s="869" t="n">
        <v>44603</v>
      </c>
      <c r="Q568" t="n">
        <v>0</v>
      </c>
      <c r="R568">
        <f>R416</f>
        <v/>
      </c>
      <c r="T568" t="n">
        <v>120000</v>
      </c>
      <c r="U568">
        <f>U416</f>
        <v/>
      </c>
      <c r="V568" t="n">
        <v>114900</v>
      </c>
      <c r="W568">
        <f>W416</f>
        <v/>
      </c>
      <c r="X568">
        <f>W416/I416</f>
        <v/>
      </c>
      <c r="Y568">
        <f>SUM(W416-U416)/U416</f>
        <v/>
      </c>
      <c r="Z568" t="inlineStr">
        <is>
          <t>C</t>
        </is>
      </c>
      <c r="AA568" t="inlineStr">
        <is>
          <t>*</t>
        </is>
      </c>
      <c r="AC568" t="inlineStr">
        <is>
          <t>No</t>
        </is>
      </c>
      <c r="AD568" t="inlineStr">
        <is>
          <t>To be refurbished.</t>
        </is>
      </c>
      <c r="AE568" t="n">
        <v>75</v>
      </c>
      <c r="AF568" t="n">
        <v>1</v>
      </c>
      <c r="AG568" t="n">
        <v>1</v>
      </c>
      <c r="AH568" t="inlineStr">
        <is>
          <t>LEM</t>
        </is>
      </c>
      <c r="AI568" t="inlineStr">
        <is>
          <t>Void</t>
        </is>
      </c>
    </row>
    <row r="569">
      <c r="A569" t="inlineStr">
        <is>
          <t xml:space="preserve">  Offices</t>
        </is>
      </c>
      <c r="B569" t="inlineStr">
        <is>
          <t>CD</t>
        </is>
      </c>
      <c r="C569" t="inlineStr">
        <is>
          <t>PEL</t>
        </is>
      </c>
      <c r="D569" t="n">
        <v>111010</v>
      </c>
      <c r="E569" t="inlineStr">
        <is>
          <t>32-36 Great Portland Street</t>
        </is>
      </c>
      <c r="F569" t="inlineStr">
        <is>
          <t xml:space="preserve">Fourth Floor </t>
        </is>
      </c>
      <c r="G569" t="inlineStr">
        <is>
          <t>Offices</t>
        </is>
      </c>
      <c r="H569" t="n">
        <v>1636</v>
      </c>
      <c r="I569">
        <f>I417</f>
        <v/>
      </c>
      <c r="J569" t="n">
        <v>1500</v>
      </c>
      <c r="K569" t="inlineStr">
        <is>
          <t>Vacant</t>
        </is>
      </c>
      <c r="N569" s="869" t="n">
        <v>45579</v>
      </c>
      <c r="Q569" t="n">
        <v>0</v>
      </c>
      <c r="R569">
        <f>R417</f>
        <v/>
      </c>
      <c r="T569" t="n">
        <v>103900</v>
      </c>
      <c r="U569">
        <f>U417</f>
        <v/>
      </c>
      <c r="V569" t="n">
        <v>118600</v>
      </c>
      <c r="W569">
        <f>W417</f>
        <v/>
      </c>
      <c r="X569">
        <f>W417/I417</f>
        <v/>
      </c>
      <c r="Y569">
        <f>SUM(W417-U417)/U417</f>
        <v/>
      </c>
      <c r="Z569" t="inlineStr">
        <is>
          <t>B</t>
        </is>
      </c>
      <c r="AA569" t="inlineStr">
        <is>
          <t>*</t>
        </is>
      </c>
      <c r="AC569" t="inlineStr">
        <is>
          <t>No</t>
        </is>
      </c>
      <c r="AD569" t="inlineStr">
        <is>
          <t>To be refurbished.</t>
        </is>
      </c>
      <c r="AE569" t="n">
        <v>75</v>
      </c>
      <c r="AF569" t="n">
        <v>1</v>
      </c>
      <c r="AG569" t="n">
        <v>1</v>
      </c>
      <c r="AH569" t="inlineStr">
        <is>
          <t>LEM / LDG</t>
        </is>
      </c>
      <c r="AI569" t="inlineStr">
        <is>
          <t>Void</t>
        </is>
      </c>
    </row>
    <row r="570">
      <c r="A570" t="inlineStr">
        <is>
          <t xml:space="preserve">  Offices</t>
        </is>
      </c>
      <c r="B570" t="inlineStr">
        <is>
          <t>CD</t>
        </is>
      </c>
      <c r="C570" t="inlineStr">
        <is>
          <t>PEL</t>
        </is>
      </c>
      <c r="D570" t="n">
        <v>111010</v>
      </c>
      <c r="E570" t="inlineStr">
        <is>
          <t>32-36 Great Portland Street</t>
        </is>
      </c>
      <c r="F570" t="inlineStr">
        <is>
          <t>Fifth Floor</t>
        </is>
      </c>
      <c r="G570" t="inlineStr">
        <is>
          <t>Offices</t>
        </is>
      </c>
      <c r="H570" t="n">
        <v>1536</v>
      </c>
      <c r="I570">
        <f>I418</f>
        <v/>
      </c>
      <c r="J570" t="n">
        <v>1500</v>
      </c>
      <c r="K570" t="inlineStr">
        <is>
          <t>Mackintosh Limited</t>
        </is>
      </c>
      <c r="L570" s="869" t="n">
        <v>45464</v>
      </c>
      <c r="M570" s="869" t="n">
        <v>49115</v>
      </c>
      <c r="O570" s="869" t="n">
        <v>47290</v>
      </c>
      <c r="P570" s="869" t="n">
        <v>47289</v>
      </c>
      <c r="Q570" t="n">
        <v>52745</v>
      </c>
      <c r="R570">
        <f>R418</f>
        <v/>
      </c>
      <c r="T570" t="n">
        <v>97500</v>
      </c>
      <c r="U570">
        <f>U418</f>
        <v/>
      </c>
      <c r="V570" t="n">
        <v>105200</v>
      </c>
      <c r="W570">
        <f>W418</f>
        <v/>
      </c>
      <c r="X570">
        <f>W418/I418</f>
        <v/>
      </c>
      <c r="Y570">
        <f>SUM(W418-U418)/U418</f>
        <v/>
      </c>
      <c r="Z570" t="inlineStr">
        <is>
          <t>C</t>
        </is>
      </c>
      <c r="AA570" t="inlineStr">
        <is>
          <t>*</t>
        </is>
      </c>
      <c r="AC570" t="inlineStr">
        <is>
          <t>No</t>
        </is>
      </c>
      <c r="AD570" t="inlineStr">
        <is>
          <t>Rent increasing to £105,490 @ 21/10/26. Tenant break on 6 months notice.</t>
        </is>
      </c>
      <c r="AI570" t="inlineStr">
        <is>
          <t>Let</t>
        </is>
      </c>
    </row>
    <row r="571"/>
    <row r="572">
      <c r="A572" s="868" t="inlineStr">
        <is>
          <t>184-190 Oxford Street &amp; 28/30 Market Place</t>
        </is>
      </c>
    </row>
    <row r="573">
      <c r="A573" t="inlineStr">
        <is>
          <t xml:space="preserve">  Retail</t>
        </is>
      </c>
      <c r="B573" t="inlineStr">
        <is>
          <t>CD</t>
        </is>
      </c>
      <c r="C573" t="inlineStr">
        <is>
          <t>OOS</t>
        </is>
      </c>
      <c r="D573" t="n">
        <v>888010</v>
      </c>
      <c r="E573" t="inlineStr">
        <is>
          <t>184-190 Oxford Street &amp; 28/30 Market Place</t>
        </is>
      </c>
      <c r="F573" t="inlineStr">
        <is>
          <t>184-188 Oxford Street (B, G &amp; 1st)</t>
        </is>
      </c>
      <c r="G573" t="inlineStr">
        <is>
          <t>Retail</t>
        </is>
      </c>
      <c r="H573" t="n">
        <v>5662</v>
      </c>
      <c r="I573">
        <f>I419</f>
        <v/>
      </c>
      <c r="J573" t="n">
        <v>5500</v>
      </c>
      <c r="K573" t="inlineStr">
        <is>
          <t>Airwair International Ltd</t>
        </is>
      </c>
      <c r="L573" s="869" t="n">
        <v>45192</v>
      </c>
      <c r="M573" s="869" t="n">
        <v>48844</v>
      </c>
      <c r="O573" s="869" t="n">
        <v>47019</v>
      </c>
      <c r="P573" s="869" t="n">
        <v>47018</v>
      </c>
      <c r="Q573" t="n">
        <v>325000</v>
      </c>
      <c r="R573">
        <f>R419</f>
        <v/>
      </c>
      <c r="T573" t="n">
        <v>650000</v>
      </c>
      <c r="U573">
        <f>U419</f>
        <v/>
      </c>
      <c r="V573" t="n">
        <v>758000</v>
      </c>
      <c r="W573">
        <f>W419</f>
        <v/>
      </c>
      <c r="X573">
        <f>W419/I419</f>
        <v/>
      </c>
      <c r="Y573">
        <f>SUM(W419-U419)/U419</f>
        <v/>
      </c>
      <c r="Z573" t="inlineStr">
        <is>
          <t>C</t>
        </is>
      </c>
      <c r="AC573" t="inlineStr">
        <is>
          <t>No</t>
        </is>
      </c>
      <c r="AD573" t="inlineStr">
        <is>
          <t>Rent rising to £650,000 wef 23/12/25. In addition, turnover rent payable if 10% turnover exceeds £650,000.</t>
        </is>
      </c>
      <c r="AI573" t="inlineStr">
        <is>
          <t>Let</t>
        </is>
      </c>
    </row>
    <row r="574">
      <c r="A574" t="inlineStr">
        <is>
          <t xml:space="preserve">  Retail</t>
        </is>
      </c>
      <c r="B574" t="inlineStr">
        <is>
          <t>CD</t>
        </is>
      </c>
      <c r="C574" t="inlineStr">
        <is>
          <t>OOS</t>
        </is>
      </c>
      <c r="D574" t="n">
        <v>888010</v>
      </c>
      <c r="E574" t="inlineStr">
        <is>
          <t>184-190 Oxford Street &amp; 28/30 Market Place</t>
        </is>
      </c>
      <c r="F574" t="inlineStr">
        <is>
          <t>190 Oxford Street (B &amp; G)</t>
        </is>
      </c>
      <c r="G574" t="inlineStr">
        <is>
          <t>Retail</t>
        </is>
      </c>
      <c r="H574" t="n">
        <v>5350</v>
      </c>
      <c r="I574">
        <f>I420</f>
        <v/>
      </c>
      <c r="J574" t="n">
        <v>5500</v>
      </c>
      <c r="K574" t="inlineStr">
        <is>
          <t>Office Holdings Ltd</t>
        </is>
      </c>
      <c r="L574" s="869" t="n">
        <v>40651</v>
      </c>
      <c r="M574" s="869" t="n">
        <v>46129</v>
      </c>
      <c r="O574" s="869" t="n">
        <v>44304</v>
      </c>
      <c r="Q574" t="n">
        <v>730000</v>
      </c>
      <c r="R574">
        <f>R420</f>
        <v/>
      </c>
      <c r="T574" t="n">
        <v>400000</v>
      </c>
      <c r="U574">
        <f>U420</f>
        <v/>
      </c>
      <c r="V574" t="n">
        <v>450000</v>
      </c>
      <c r="W574">
        <f>W420</f>
        <v/>
      </c>
      <c r="X574">
        <f>W420/I420</f>
        <v/>
      </c>
      <c r="Y574">
        <f>SUM(W420-U420)/U420</f>
        <v/>
      </c>
      <c r="Z574" t="inlineStr">
        <is>
          <t>C</t>
        </is>
      </c>
      <c r="AC574" t="inlineStr">
        <is>
          <t>Yes</t>
        </is>
      </c>
      <c r="AI574" t="inlineStr">
        <is>
          <t>Let</t>
        </is>
      </c>
    </row>
    <row r="575">
      <c r="A575" t="inlineStr">
        <is>
          <t xml:space="preserve">  Retail</t>
        </is>
      </c>
      <c r="B575" t="inlineStr">
        <is>
          <t>CD</t>
        </is>
      </c>
      <c r="C575" t="inlineStr">
        <is>
          <t>OOS</t>
        </is>
      </c>
      <c r="D575" t="n">
        <v>888010</v>
      </c>
      <c r="E575" t="inlineStr">
        <is>
          <t>184-190 Oxford Street &amp; 28/30 Market Place</t>
        </is>
      </c>
      <c r="F575" t="inlineStr">
        <is>
          <t>1st Floor, 28 Market Place</t>
        </is>
      </c>
      <c r="G575" t="inlineStr">
        <is>
          <t>Retail</t>
        </is>
      </c>
      <c r="H575" t="n">
        <v>2044</v>
      </c>
      <c r="I575">
        <f>I421</f>
        <v/>
      </c>
      <c r="J575" t="n">
        <v>2000</v>
      </c>
      <c r="K575" t="inlineStr">
        <is>
          <t>EP Commodities Ltd</t>
        </is>
      </c>
      <c r="L575" s="869" t="n">
        <v>42650</v>
      </c>
      <c r="M575" s="869" t="n">
        <v>46301</v>
      </c>
      <c r="O575" s="869" t="n">
        <v>45885</v>
      </c>
      <c r="Q575" t="n">
        <v>115701</v>
      </c>
      <c r="R575">
        <f>R421</f>
        <v/>
      </c>
      <c r="T575" t="n">
        <v>110000</v>
      </c>
      <c r="U575">
        <f>U421</f>
        <v/>
      </c>
      <c r="V575" t="n">
        <v>112000</v>
      </c>
      <c r="W575">
        <f>W421</f>
        <v/>
      </c>
      <c r="X575">
        <f>W421/I421</f>
        <v/>
      </c>
      <c r="Y575">
        <f>SUM(W421-U421)/U421</f>
        <v/>
      </c>
      <c r="Z575" t="inlineStr">
        <is>
          <t>B</t>
        </is>
      </c>
      <c r="AC575" t="inlineStr">
        <is>
          <t>No</t>
        </is>
      </c>
      <c r="AD575" t="inlineStr">
        <is>
          <t xml:space="preserve">Annual RPI rent increase (min 1%, max 4%). </t>
        </is>
      </c>
      <c r="AI575" t="inlineStr">
        <is>
          <t>Let</t>
        </is>
      </c>
    </row>
    <row r="576">
      <c r="A576" t="inlineStr">
        <is>
          <t xml:space="preserve">  Office</t>
        </is>
      </c>
      <c r="B576" t="inlineStr">
        <is>
          <t>CD</t>
        </is>
      </c>
      <c r="C576" t="inlineStr">
        <is>
          <t>OOS</t>
        </is>
      </c>
      <c r="D576" t="n">
        <v>888010</v>
      </c>
      <c r="E576" t="inlineStr">
        <is>
          <t>184-190 Oxford Street &amp; 28/30 Market Place</t>
        </is>
      </c>
      <c r="F576" t="inlineStr">
        <is>
          <t>2nd Floor, 30 Market Place</t>
        </is>
      </c>
      <c r="G576" t="inlineStr">
        <is>
          <t>Office</t>
        </is>
      </c>
      <c r="H576" t="n">
        <v>4463</v>
      </c>
      <c r="I576">
        <f>I422</f>
        <v/>
      </c>
      <c r="J576" t="n">
        <v>4500</v>
      </c>
      <c r="K576" t="inlineStr">
        <is>
          <t>Joint London Ltd</t>
        </is>
      </c>
      <c r="L576" s="869" t="n">
        <v>42286</v>
      </c>
      <c r="M576" s="869" t="n">
        <v>45938</v>
      </c>
      <c r="O576" s="869" t="n">
        <v>44113</v>
      </c>
      <c r="Q576" t="n">
        <v>367290</v>
      </c>
      <c r="R576">
        <f>R422</f>
        <v/>
      </c>
      <c r="T576" t="n">
        <v>345000</v>
      </c>
      <c r="U576">
        <f>U422</f>
        <v/>
      </c>
      <c r="V576" t="n">
        <v>368000</v>
      </c>
      <c r="W576">
        <f>W422</f>
        <v/>
      </c>
      <c r="X576">
        <f>W422/I422</f>
        <v/>
      </c>
      <c r="Y576">
        <f>SUM(W422-U422)/U422</f>
        <v/>
      </c>
      <c r="Z576" t="inlineStr">
        <is>
          <t>B</t>
        </is>
      </c>
      <c r="AC576" t="inlineStr">
        <is>
          <t>No</t>
        </is>
      </c>
      <c r="AI576" t="inlineStr">
        <is>
          <t>Let</t>
        </is>
      </c>
    </row>
    <row r="577">
      <c r="A577" t="inlineStr">
        <is>
          <t xml:space="preserve">  Office</t>
        </is>
      </c>
      <c r="B577" t="inlineStr">
        <is>
          <t>CD</t>
        </is>
      </c>
      <c r="C577" t="inlineStr">
        <is>
          <t>OOS</t>
        </is>
      </c>
      <c r="D577" t="n">
        <v>888010</v>
      </c>
      <c r="E577" t="inlineStr">
        <is>
          <t>184-190 Oxford Street &amp; 28/30 Market Place</t>
        </is>
      </c>
      <c r="F577" t="inlineStr">
        <is>
          <t>3rd Floor, 30 Market Place</t>
        </is>
      </c>
      <c r="G577" t="inlineStr">
        <is>
          <t>Office</t>
        </is>
      </c>
      <c r="H577" t="n">
        <v>4462</v>
      </c>
      <c r="I577">
        <f>I423</f>
        <v/>
      </c>
      <c r="J577" t="n">
        <v>4500</v>
      </c>
      <c r="K577" t="inlineStr">
        <is>
          <t>Vacant</t>
        </is>
      </c>
      <c r="N577" s="869" t="n">
        <v>45490</v>
      </c>
      <c r="Q577" t="n">
        <v>0</v>
      </c>
      <c r="R577">
        <f>R423</f>
        <v/>
      </c>
      <c r="T577" t="n">
        <v>357800</v>
      </c>
      <c r="U577">
        <f>U423</f>
        <v/>
      </c>
      <c r="V577" t="n">
        <v>379000</v>
      </c>
      <c r="W577">
        <f>W423</f>
        <v/>
      </c>
      <c r="X577">
        <f>W423/I423</f>
        <v/>
      </c>
      <c r="Y577">
        <f>SUM(W423-U423)/U423</f>
        <v/>
      </c>
      <c r="Z577" t="inlineStr">
        <is>
          <t>A</t>
        </is>
      </c>
      <c r="AD577" t="inlineStr">
        <is>
          <t>LEM marketing.</t>
        </is>
      </c>
      <c r="AE577" t="n">
        <v>85</v>
      </c>
      <c r="AF577" t="n">
        <v>2</v>
      </c>
      <c r="AG577" t="n">
        <v>7</v>
      </c>
      <c r="AH577" t="inlineStr">
        <is>
          <t>LEM / EC&amp;P</t>
        </is>
      </c>
      <c r="AI577" t="inlineStr">
        <is>
          <t>Void</t>
        </is>
      </c>
    </row>
    <row r="578">
      <c r="A578" t="inlineStr">
        <is>
          <t xml:space="preserve">  Office</t>
        </is>
      </c>
      <c r="B578" t="inlineStr">
        <is>
          <t>CD</t>
        </is>
      </c>
      <c r="C578" t="inlineStr">
        <is>
          <t>OOS</t>
        </is>
      </c>
      <c r="D578" t="n">
        <v>888010</v>
      </c>
      <c r="E578" t="inlineStr">
        <is>
          <t>184-190 Oxford Street &amp; 28/30 Market Place</t>
        </is>
      </c>
      <c r="F578" t="inlineStr">
        <is>
          <t>4th Floor, 30 Market Place</t>
        </is>
      </c>
      <c r="G578" t="inlineStr">
        <is>
          <t>Office</t>
        </is>
      </c>
      <c r="H578" t="n">
        <v>4250</v>
      </c>
      <c r="I578">
        <f>I424</f>
        <v/>
      </c>
      <c r="J578" t="n">
        <v>4500</v>
      </c>
      <c r="K578" t="inlineStr">
        <is>
          <t>Ascot Lloyd Ltd</t>
        </is>
      </c>
      <c r="L578" s="869" t="n">
        <v>45786</v>
      </c>
      <c r="M578" s="869" t="n">
        <v>49437</v>
      </c>
      <c r="O578" s="869" t="n">
        <v>47612</v>
      </c>
      <c r="P578" s="869" t="n">
        <v>11086</v>
      </c>
      <c r="Q578" t="n">
        <v>0</v>
      </c>
      <c r="R578">
        <f>R424</f>
        <v/>
      </c>
      <c r="T578" t="n">
        <v>358600</v>
      </c>
      <c r="U578">
        <f>U424</f>
        <v/>
      </c>
      <c r="V578" t="n">
        <v>361000</v>
      </c>
      <c r="W578">
        <f>W424</f>
        <v/>
      </c>
      <c r="X578">
        <f>W424/I424</f>
        <v/>
      </c>
      <c r="Y578">
        <f>SUM(W424-U424)/U424</f>
        <v/>
      </c>
      <c r="Z578" t="inlineStr">
        <is>
          <t>A</t>
        </is>
      </c>
      <c r="AD578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578" t="n">
        <v>85</v>
      </c>
      <c r="AF578" t="n">
        <v>1</v>
      </c>
      <c r="AG578" t="n">
        <v>5</v>
      </c>
      <c r="AH578" t="inlineStr">
        <is>
          <t>LEM / EC&amp;P</t>
        </is>
      </c>
      <c r="AI578" t="inlineStr">
        <is>
          <t>Let</t>
        </is>
      </c>
    </row>
    <row r="579">
      <c r="A579" t="inlineStr">
        <is>
          <t xml:space="preserve">  Office</t>
        </is>
      </c>
      <c r="B579" t="inlineStr">
        <is>
          <t>CD</t>
        </is>
      </c>
      <c r="C579" t="inlineStr">
        <is>
          <t>OOS</t>
        </is>
      </c>
      <c r="D579" t="n">
        <v>888010</v>
      </c>
      <c r="E579" t="inlineStr">
        <is>
          <t>184-190 Oxford Street &amp; 28/30 Market Place</t>
        </is>
      </c>
      <c r="F579" t="inlineStr">
        <is>
          <t>5th Floor, 30 Market Place</t>
        </is>
      </c>
      <c r="G579" t="inlineStr">
        <is>
          <t>Office</t>
        </is>
      </c>
      <c r="H579" t="n">
        <v>3999</v>
      </c>
      <c r="I579">
        <f>I425</f>
        <v/>
      </c>
      <c r="J579" t="n">
        <v>4000</v>
      </c>
      <c r="K579" t="inlineStr">
        <is>
          <t>Nchain Ltd</t>
        </is>
      </c>
      <c r="L579" s="869" t="n">
        <v>44183</v>
      </c>
      <c r="M579" s="869" t="n">
        <v>46373</v>
      </c>
      <c r="Q579" t="n">
        <v>348163</v>
      </c>
      <c r="R579">
        <f>R425</f>
        <v/>
      </c>
      <c r="T579" t="n">
        <v>352000</v>
      </c>
      <c r="U579">
        <f>U425</f>
        <v/>
      </c>
      <c r="V579" t="n">
        <v>350000</v>
      </c>
      <c r="W579">
        <f>W425</f>
        <v/>
      </c>
      <c r="X579">
        <f>W425/I425</f>
        <v/>
      </c>
      <c r="Y579">
        <f>SUM(W425-U425)/U425</f>
        <v/>
      </c>
      <c r="Z579" t="inlineStr">
        <is>
          <t>B</t>
        </is>
      </c>
      <c r="AC579" t="inlineStr">
        <is>
          <t>No</t>
        </is>
      </c>
      <c r="AD579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I579" t="inlineStr">
        <is>
          <t>Let</t>
        </is>
      </c>
    </row>
    <row r="580">
      <c r="A580" t="inlineStr">
        <is>
          <t xml:space="preserve">  Office</t>
        </is>
      </c>
      <c r="B580" t="inlineStr">
        <is>
          <t>CD</t>
        </is>
      </c>
      <c r="C580" t="inlineStr">
        <is>
          <t>OOS</t>
        </is>
      </c>
      <c r="D580" t="n">
        <v>888010</v>
      </c>
      <c r="E580" t="inlineStr">
        <is>
          <t>184-190 Oxford Street &amp; 28/30 Market Place</t>
        </is>
      </c>
      <c r="F580" t="inlineStr">
        <is>
          <t>6th Floor, 30 Market Place</t>
        </is>
      </c>
      <c r="G580" t="inlineStr">
        <is>
          <t>Office</t>
        </is>
      </c>
      <c r="H580" t="n">
        <v>3145</v>
      </c>
      <c r="I580">
        <f>I426</f>
        <v/>
      </c>
      <c r="J580" t="n">
        <v>3000</v>
      </c>
      <c r="K580" t="inlineStr">
        <is>
          <t>Nchain Ltd</t>
        </is>
      </c>
      <c r="L580" s="869" t="n">
        <v>44217</v>
      </c>
      <c r="M580" s="869" t="n">
        <v>46373</v>
      </c>
      <c r="Q580" t="n">
        <v>281873</v>
      </c>
      <c r="R580">
        <f>R426</f>
        <v/>
      </c>
      <c r="T580" t="n">
        <v>284800</v>
      </c>
      <c r="U580">
        <f>U426</f>
        <v/>
      </c>
      <c r="V580" t="n">
        <v>283000</v>
      </c>
      <c r="W580">
        <f>W426</f>
        <v/>
      </c>
      <c r="X580">
        <f>W426/I426</f>
        <v/>
      </c>
      <c r="Y580">
        <f>SUM(W426-U426)/U426</f>
        <v/>
      </c>
      <c r="Z580" t="inlineStr">
        <is>
          <t>B</t>
        </is>
      </c>
      <c r="AC580" t="inlineStr">
        <is>
          <t>No</t>
        </is>
      </c>
      <c r="AD580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I580" t="inlineStr">
        <is>
          <t>Let</t>
        </is>
      </c>
    </row>
    <row r="581">
      <c r="A581" t="inlineStr">
        <is>
          <t xml:space="preserve">  Sub-Station</t>
        </is>
      </c>
      <c r="B581" t="inlineStr">
        <is>
          <t>CD</t>
        </is>
      </c>
      <c r="C581" t="inlineStr">
        <is>
          <t>OOS</t>
        </is>
      </c>
      <c r="D581" t="n">
        <v>888010</v>
      </c>
      <c r="E581" t="inlineStr">
        <is>
          <t>184-190 Oxford Street &amp; 28/30 Market Place</t>
        </is>
      </c>
      <c r="F581" t="inlineStr">
        <is>
          <t>Part Basement</t>
        </is>
      </c>
      <c r="G581" t="inlineStr">
        <is>
          <t>Sub-Station</t>
        </is>
      </c>
      <c r="H581" t="n">
        <v>0</v>
      </c>
      <c r="I581">
        <f>I427</f>
        <v/>
      </c>
      <c r="K581" t="inlineStr">
        <is>
          <t>EDF</t>
        </is>
      </c>
      <c r="L581" s="869" t="n">
        <v>20814</v>
      </c>
      <c r="M581" s="869" t="n">
        <v>39073</v>
      </c>
      <c r="Q581" t="n">
        <v>0</v>
      </c>
      <c r="R581">
        <f>R427</f>
        <v/>
      </c>
      <c r="T581" t="n">
        <v>0</v>
      </c>
      <c r="U581">
        <f>U427</f>
        <v/>
      </c>
      <c r="V581" t="n">
        <v>0</v>
      </c>
      <c r="W581">
        <f>W427</f>
        <v/>
      </c>
      <c r="AC581" t="inlineStr">
        <is>
          <t>Yes</t>
        </is>
      </c>
      <c r="AD581" t="inlineStr">
        <is>
          <t>New lease in negotiation. £1k max from date of purchase.</t>
        </is>
      </c>
      <c r="AI581" t="inlineStr">
        <is>
          <t>Let</t>
        </is>
      </c>
    </row>
    <row r="582"/>
    <row r="583"/>
    <row r="584"/>
    <row r="585">
      <c r="A585" t="inlineStr">
        <is>
          <t>Legacy View - Traditional building/unit structure</t>
        </is>
      </c>
    </row>
    <row r="586">
      <c r="A586" t="inlineStr">
        <is>
          <t>Shows all original data columns in hierarchical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2025-11-24T10:07:54Z</dcterms:modified>
  <cp:lastModifiedBy>William Spencer</cp:lastModifiedBy>
  <cp:lastPrinted>2025-06-30T15:43:09Z</cp:lastPrinted>
</cp:coreProperties>
</file>