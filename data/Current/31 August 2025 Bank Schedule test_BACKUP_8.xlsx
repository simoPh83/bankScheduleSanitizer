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'Units'!$A$2:$AF$420</definedName>
    <definedName name="_xlnm._FilterDatabase" localSheetId="5" hidden="1">'Buildings'!$A$2:$F$78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5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  <xf numFmtId="0" fontId="54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2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9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8" customWidth="1" min="24" max="24"/>
    <col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402" t="inlineStr">
        <is>
          <t>Document updated 03/12/2025 at 2.24pm</t>
        </is>
      </c>
    </row>
    <row r="2">
      <c r="A2" s="131" t="inlineStr">
        <is>
          <t>Surveyor</t>
        </is>
      </c>
      <c r="B2" s="131" t="inlineStr">
        <is>
          <t>Client</t>
        </is>
      </c>
      <c r="C2" s="71" t="inlineStr">
        <is>
          <t>Property Number</t>
        </is>
      </c>
      <c r="D2" s="71" t="inlineStr">
        <is>
          <t>Property</t>
        </is>
      </c>
      <c r="E2" s="71" t="inlineStr">
        <is>
          <t>Unit Demise</t>
        </is>
      </c>
      <c r="F2" s="72" t="inlineStr">
        <is>
          <t>Unit Type</t>
        </is>
      </c>
      <c r="G2" s="391" t="inlineStr">
        <is>
          <t>Net Area</t>
        </is>
      </c>
      <c r="H2" s="391" t="inlineStr">
        <is>
          <t>.</t>
        </is>
      </c>
      <c r="I2" s="391" t="inlineStr">
        <is>
          <t>Agency Area group</t>
        </is>
      </c>
      <c r="J2" s="74" t="inlineStr">
        <is>
          <t>Tenant Name</t>
        </is>
      </c>
      <c r="K2" s="75" t="inlineStr">
        <is>
          <t>Start            Date</t>
        </is>
      </c>
      <c r="L2" s="75" t="inlineStr">
        <is>
          <t>Expiry   Date</t>
        </is>
      </c>
      <c r="M2" s="75" t="inlineStr">
        <is>
          <t>Vacant Since?</t>
        </is>
      </c>
      <c r="N2" s="75" t="inlineStr">
        <is>
          <t>RRs</t>
        </is>
      </c>
      <c r="O2" s="75" t="inlineStr">
        <is>
          <t xml:space="preserve">Break Date </t>
        </is>
      </c>
      <c r="P2" s="77" t="inlineStr">
        <is>
          <t xml:space="preserve">Rent PA (£) </t>
        </is>
      </c>
      <c r="Q2" s="77" t="inlineStr">
        <is>
          <t>check 1</t>
        </is>
      </c>
      <c r="R2" s="77" t="inlineStr">
        <is>
          <t>check 2</t>
        </is>
      </c>
      <c r="S2" s="77" t="inlineStr">
        <is>
          <t xml:space="preserve">  2023 ERV (£)</t>
        </is>
      </c>
      <c r="T2" s="72" t="inlineStr">
        <is>
          <t>check 3</t>
        </is>
      </c>
      <c r="U2" s="77" t="inlineStr">
        <is>
          <t xml:space="preserve">  2025 ERV (£)</t>
        </is>
      </c>
      <c r="V2" s="72" t="inlineStr">
        <is>
          <t>check 4</t>
        </is>
      </c>
      <c r="W2" s="72" t="inlineStr">
        <is>
          <t>ERV 2023 £.Sq.ft</t>
        </is>
      </c>
      <c r="X2" s="72" t="inlineStr">
        <is>
          <t>EPC</t>
        </is>
      </c>
      <c r="Y2" s="58" t="inlineStr">
        <is>
          <t>*</t>
        </is>
      </c>
      <c r="Z2" s="392" t="inlineStr">
        <is>
          <t xml:space="preserve">2025 Cap Valn. (£)    </t>
        </is>
      </c>
      <c r="AA2" s="392" t="inlineStr">
        <is>
          <t>1954 Act Protected</t>
        </is>
      </c>
      <c r="AB2" s="96" t="inlineStr">
        <is>
          <t>Remarks</t>
        </is>
      </c>
      <c r="AC2" s="304" t="inlineStr">
        <is>
          <t>Agency Quoting Rent £.sq.ft</t>
        </is>
      </c>
      <c r="AD2" s="239" t="inlineStr">
        <is>
          <t>Monthly Viewings</t>
        </is>
      </c>
      <c r="AE2" s="239" t="inlineStr">
        <is>
          <t>Total Viewings</t>
        </is>
      </c>
      <c r="AF2" s="239" t="inlineStr">
        <is>
          <t>Marketing Agent</t>
        </is>
      </c>
    </row>
    <row r="3">
      <c r="A3" s="11" t="inlineStr">
        <is>
          <t>JM</t>
        </is>
      </c>
      <c r="B3" s="11" t="inlineStr">
        <is>
          <t>MEL</t>
        </is>
      </c>
      <c r="C3" s="2" t="n">
        <v>550020</v>
      </c>
      <c r="D3" s="4" t="inlineStr">
        <is>
          <t>5-6 Bywell Place HELLO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10">
        <f>G3</f>
        <v/>
      </c>
      <c r="I3" s="10" t="n">
        <v>2000</v>
      </c>
      <c r="J3" s="4" t="inlineStr">
        <is>
          <t>111 Skin Limited</t>
        </is>
      </c>
      <c r="K3" s="8" t="n">
        <v>45365</v>
      </c>
      <c r="L3" s="9" t="n">
        <v>47190</v>
      </c>
      <c r="O3" s="9" t="n">
        <v>46459</v>
      </c>
      <c r="P3" s="19" t="n">
        <v>115500</v>
      </c>
      <c r="Q3" s="10">
        <f>P3</f>
        <v/>
      </c>
      <c r="R3" s="19">
        <f>Q3</f>
        <v/>
      </c>
      <c r="S3" s="19" t="n">
        <v>100600</v>
      </c>
      <c r="T3" s="10">
        <f>S3</f>
        <v/>
      </c>
      <c r="U3" s="36" t="n">
        <v>115000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6" t="n">
        <v>1750000</v>
      </c>
      <c r="AA3" s="393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10">
        <f>G4</f>
        <v/>
      </c>
      <c r="I4" s="10" t="n">
        <v>2000</v>
      </c>
      <c r="J4" s="4" t="inlineStr">
        <is>
          <t>Top Bridal Ltd</t>
        </is>
      </c>
      <c r="K4" s="9" t="n">
        <v>45736</v>
      </c>
      <c r="L4" s="9" t="n">
        <v>47561</v>
      </c>
      <c r="O4" s="9" t="n">
        <v>46831</v>
      </c>
      <c r="P4" s="7" t="n">
        <v>128000</v>
      </c>
      <c r="Q4" s="10">
        <f>P4</f>
        <v/>
      </c>
      <c r="S4" s="7" t="n">
        <v>110000</v>
      </c>
      <c r="T4" s="10">
        <f>S4</f>
        <v/>
      </c>
      <c r="U4" s="359" t="n">
        <v>128000</v>
      </c>
      <c r="V4" s="10">
        <f>U4</f>
        <v/>
      </c>
      <c r="W4" s="277">
        <f>S4/G4</f>
        <v/>
      </c>
      <c r="X4" s="10" t="inlineStr">
        <is>
          <t>C</t>
        </is>
      </c>
      <c r="Y4" s="60" t="n"/>
      <c r="Z4" s="394" t="n"/>
      <c r="AA4" s="14" t="inlineStr">
        <is>
          <t>No</t>
        </is>
      </c>
      <c r="AB4" s="4" t="inlineStr">
        <is>
          <t>Stepped rent increasing to £130,000 wef 20/03/27. Tenant break on 6 months notice.</t>
        </is>
      </c>
      <c r="AC4" s="305" t="n"/>
      <c r="AD4" s="4" t="n">
        <v>1</v>
      </c>
      <c r="AE4" s="278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10">
        <f>G5</f>
        <v/>
      </c>
      <c r="I5" s="10" t="n">
        <v>6000</v>
      </c>
      <c r="J5" s="4" t="inlineStr">
        <is>
          <t>Sisters Grimm Ltd</t>
        </is>
      </c>
      <c r="K5" s="8" t="n">
        <v>45712</v>
      </c>
      <c r="L5" s="9" t="n">
        <v>47537</v>
      </c>
      <c r="O5" s="9" t="n">
        <v>46806</v>
      </c>
      <c r="P5" s="10" t="n">
        <v>325000</v>
      </c>
      <c r="Q5" s="10">
        <f>P5</f>
        <v/>
      </c>
      <c r="S5" s="7" t="n">
        <v>225000</v>
      </c>
      <c r="T5" s="10">
        <f>S5</f>
        <v/>
      </c>
      <c r="U5" s="359" t="n">
        <v>325000</v>
      </c>
      <c r="V5" s="10">
        <f>U5</f>
        <v/>
      </c>
      <c r="W5" s="277">
        <f>S5/G5</f>
        <v/>
      </c>
      <c r="X5" s="10" t="inlineStr">
        <is>
          <t>B</t>
        </is>
      </c>
      <c r="Y5" s="60" t="n"/>
      <c r="Z5" s="394" t="n"/>
      <c r="AA5" s="14" t="inlineStr">
        <is>
          <t>No</t>
        </is>
      </c>
      <c r="AB5" s="4" t="inlineStr">
        <is>
          <t>Tenant break on 6 months notice. 1 month rent free from 24/02/28 if break not excerised.</t>
        </is>
      </c>
      <c r="AC5" s="305" t="n"/>
      <c r="AE5" s="278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10">
        <f>G6</f>
        <v/>
      </c>
      <c r="I6" s="10" t="n">
        <v>1000</v>
      </c>
      <c r="J6" s="4" t="inlineStr">
        <is>
          <t>Peter Alexander UK Ltd</t>
        </is>
      </c>
      <c r="K6" s="9" t="n">
        <v>45551</v>
      </c>
      <c r="L6" s="9" t="n">
        <v>47376</v>
      </c>
      <c r="O6" s="9" t="n">
        <v>46645</v>
      </c>
      <c r="P6" s="7" t="n">
        <v>61425</v>
      </c>
      <c r="Q6" s="10">
        <f>P6</f>
        <v/>
      </c>
      <c r="S6" s="7" t="n">
        <v>55700</v>
      </c>
      <c r="T6" s="10">
        <f>S6</f>
        <v/>
      </c>
      <c r="U6" s="359" t="n">
        <v>61100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10">
        <f>G7</f>
        <v/>
      </c>
      <c r="I7" s="10" t="n">
        <v>2000</v>
      </c>
      <c r="J7" s="4" t="inlineStr">
        <is>
          <t>Cord Technologies Ltd</t>
        </is>
      </c>
      <c r="K7" s="9" t="n">
        <v>45086</v>
      </c>
      <c r="L7" s="9" t="n">
        <v>46181</v>
      </c>
      <c r="P7" s="7" t="n">
        <v>131400</v>
      </c>
      <c r="Q7" s="10">
        <f>P7</f>
        <v/>
      </c>
      <c r="S7" s="7" t="n">
        <v>131100</v>
      </c>
      <c r="T7" s="10">
        <f>S7</f>
        <v/>
      </c>
      <c r="U7" s="359" t="n">
        <v>133200</v>
      </c>
      <c r="V7" s="10">
        <f>U7</f>
        <v/>
      </c>
      <c r="W7" s="277">
        <f>S7/G7</f>
        <v/>
      </c>
      <c r="X7" s="10" t="inlineStr">
        <is>
          <t>D</t>
        </is>
      </c>
      <c r="Y7" s="60" t="n"/>
      <c r="Z7" s="394" t="n"/>
      <c r="AA7" s="14" t="inlineStr">
        <is>
          <t>No</t>
        </is>
      </c>
      <c r="AE7" s="278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10">
        <f>G8</f>
        <v/>
      </c>
      <c r="I8" s="10" t="n">
        <v>1000</v>
      </c>
      <c r="J8" s="4" t="inlineStr">
        <is>
          <t>Cord Technologies Ltd</t>
        </is>
      </c>
      <c r="K8" s="9" t="n">
        <v>45614</v>
      </c>
      <c r="L8" s="9" t="n">
        <v>46181</v>
      </c>
      <c r="M8" s="9" t="n"/>
      <c r="N8" s="9" t="n"/>
      <c r="O8" s="9" t="n"/>
      <c r="P8" s="7" t="n">
        <v>71875</v>
      </c>
      <c r="Q8" s="10">
        <f>P8</f>
        <v/>
      </c>
      <c r="R8" s="10" t="n"/>
      <c r="S8" s="7" t="n">
        <v>60400</v>
      </c>
      <c r="T8" s="10">
        <f>S8</f>
        <v/>
      </c>
      <c r="U8" s="359" t="n">
        <v>64600</v>
      </c>
      <c r="V8" s="10">
        <f>U8</f>
        <v/>
      </c>
      <c r="W8" s="277">
        <f>S8/G8</f>
        <v/>
      </c>
      <c r="X8" s="10" t="inlineStr">
        <is>
          <t>B</t>
        </is>
      </c>
      <c r="Y8" s="60" t="n"/>
      <c r="Z8" s="394" t="n"/>
      <c r="AA8" s="14" t="inlineStr">
        <is>
          <t>No</t>
        </is>
      </c>
      <c r="AB8" s="4" t="n"/>
      <c r="AC8" s="305" t="n"/>
      <c r="AD8" s="4" t="n"/>
      <c r="AE8" s="278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10">
        <f>G9</f>
        <v/>
      </c>
      <c r="I9" s="10" t="n">
        <v>2000</v>
      </c>
      <c r="J9" s="4" t="inlineStr">
        <is>
          <t>Vacant</t>
        </is>
      </c>
      <c r="K9" s="9" t="n"/>
      <c r="M9" s="9" t="n">
        <v>45636</v>
      </c>
      <c r="P9" s="7" t="n">
        <v>0</v>
      </c>
      <c r="Q9" s="10">
        <f>P9</f>
        <v/>
      </c>
      <c r="S9" s="7" t="n">
        <v>134300</v>
      </c>
      <c r="T9" s="10">
        <f>S9</f>
        <v/>
      </c>
      <c r="U9" s="359" t="n">
        <v>134300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D9" s="29" t="n"/>
      <c r="AE9" s="279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10">
        <f>G10</f>
        <v/>
      </c>
      <c r="I10" s="10" t="n">
        <v>500</v>
      </c>
      <c r="J10" s="4" t="inlineStr">
        <is>
          <t>Vacant</t>
        </is>
      </c>
      <c r="K10" s="9" t="n"/>
      <c r="M10" s="9" t="n">
        <v>45771</v>
      </c>
      <c r="P10" s="7" t="n">
        <v>0</v>
      </c>
      <c r="Q10" s="10">
        <f>P10</f>
        <v/>
      </c>
      <c r="S10" s="7" t="n">
        <v>20600</v>
      </c>
      <c r="T10" s="10">
        <f>S10</f>
        <v/>
      </c>
      <c r="U10" s="359" t="n">
        <v>23000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E10" s="278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10">
        <f>G11</f>
        <v/>
      </c>
      <c r="I11" s="10" t="n">
        <v>2000</v>
      </c>
      <c r="J11" s="4" t="inlineStr">
        <is>
          <t>Vacant</t>
        </is>
      </c>
      <c r="M11" s="9" t="n">
        <v>45217</v>
      </c>
      <c r="P11" s="10" t="n">
        <v>0</v>
      </c>
      <c r="Q11" s="10">
        <f>P11</f>
        <v/>
      </c>
      <c r="S11" s="7" t="n">
        <v>109000</v>
      </c>
      <c r="T11" s="10">
        <f>S11</f>
        <v/>
      </c>
      <c r="U11" s="359" t="n">
        <v>111400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B11" s="4" t="inlineStr">
        <is>
          <t>LEM marketing.</t>
        </is>
      </c>
      <c r="AC11" s="303" t="n">
        <v>65</v>
      </c>
      <c r="AD11" s="4" t="n">
        <v>1</v>
      </c>
      <c r="AE11" s="278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10">
        <f>G12</f>
        <v/>
      </c>
      <c r="I12" s="10" t="n">
        <v>500</v>
      </c>
      <c r="J12" s="4" t="inlineStr">
        <is>
          <t>Element Pictures UK Ltd.</t>
        </is>
      </c>
      <c r="K12" s="8" t="n">
        <v>44539</v>
      </c>
      <c r="L12" s="9" t="n">
        <v>46364</v>
      </c>
      <c r="P12" s="10" t="n">
        <v>23940</v>
      </c>
      <c r="Q12" s="10">
        <f>P12</f>
        <v/>
      </c>
      <c r="S12" s="7" t="n">
        <v>21000</v>
      </c>
      <c r="T12" s="10">
        <f>S12</f>
        <v/>
      </c>
      <c r="U12" s="359" t="n">
        <v>24100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E12" s="278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10">
        <f>G13</f>
        <v/>
      </c>
      <c r="I13" s="10" t="n">
        <v>1000</v>
      </c>
      <c r="J13" s="4" t="inlineStr">
        <is>
          <t>Encore Search (Newburgh Street) Ltd.</t>
        </is>
      </c>
      <c r="K13" s="8" t="n">
        <v>45100</v>
      </c>
      <c r="L13" s="9" t="n">
        <v>46926</v>
      </c>
      <c r="O13" s="9" t="n">
        <v>46195</v>
      </c>
      <c r="P13" s="7" t="n">
        <v>58560</v>
      </c>
      <c r="Q13" s="10">
        <f>P13</f>
        <v/>
      </c>
      <c r="S13" s="7" t="n">
        <v>49400</v>
      </c>
      <c r="T13" s="10">
        <f>S13</f>
        <v/>
      </c>
      <c r="U13" s="359" t="n">
        <v>58300</v>
      </c>
      <c r="V13" s="10">
        <f>U13</f>
        <v/>
      </c>
      <c r="W13" s="277">
        <f>S13/G13</f>
        <v/>
      </c>
      <c r="X13" s="10" t="inlineStr">
        <is>
          <t>D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278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10">
        <f>G14</f>
        <v/>
      </c>
      <c r="I14" s="10" t="n">
        <v>1000</v>
      </c>
      <c r="J14" s="4" t="inlineStr">
        <is>
          <t>Element Pictures UK Ltd.</t>
        </is>
      </c>
      <c r="K14" s="9" t="n">
        <v>45476</v>
      </c>
      <c r="L14" s="9" t="n">
        <v>47301</v>
      </c>
      <c r="O14" s="9" t="n">
        <v>46364</v>
      </c>
      <c r="P14" s="7" t="n">
        <v>58496</v>
      </c>
      <c r="Q14" s="10">
        <f>P14</f>
        <v/>
      </c>
      <c r="S14" s="7" t="n">
        <v>47400</v>
      </c>
      <c r="T14" s="10">
        <f>S14</f>
        <v/>
      </c>
      <c r="U14" s="359" t="n">
        <v>58600</v>
      </c>
      <c r="V14" s="10">
        <f>U14</f>
        <v/>
      </c>
      <c r="W14" s="277">
        <f>S14/G14</f>
        <v/>
      </c>
      <c r="X14" s="10" t="inlineStr">
        <is>
          <t>B</t>
        </is>
      </c>
      <c r="Y14" s="60" t="n"/>
      <c r="Z14" s="394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279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10">
        <f>G15</f>
        <v/>
      </c>
      <c r="I15" s="10" t="n">
        <v>750</v>
      </c>
      <c r="J15" s="4" t="inlineStr">
        <is>
          <t>Vacant</t>
        </is>
      </c>
      <c r="K15" s="9" t="n"/>
      <c r="M15" s="9" t="n">
        <v>45182</v>
      </c>
      <c r="P15" s="7" t="n">
        <v>0</v>
      </c>
      <c r="Q15" s="10">
        <f>P15</f>
        <v/>
      </c>
      <c r="S15" s="7" t="n">
        <v>34400</v>
      </c>
      <c r="T15" s="10">
        <f>S15</f>
        <v/>
      </c>
      <c r="U15" s="359" t="n">
        <v>42800</v>
      </c>
      <c r="V15" s="10">
        <f>U15</f>
        <v/>
      </c>
      <c r="W15" s="277">
        <f>S15/G15</f>
        <v/>
      </c>
      <c r="X15" s="10" t="inlineStr">
        <is>
          <t>D</t>
        </is>
      </c>
      <c r="Y15" s="60" t="n"/>
      <c r="Z15" s="394" t="n"/>
      <c r="AA15" s="14" t="inlineStr">
        <is>
          <t>No</t>
        </is>
      </c>
      <c r="AB15" s="4" t="inlineStr">
        <is>
          <t>LEM marketing.</t>
        </is>
      </c>
      <c r="AC15" s="303" t="n">
        <v>63.5</v>
      </c>
      <c r="AD15" s="4" t="n">
        <v>1</v>
      </c>
      <c r="AE15" s="278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10">
        <f>G16</f>
        <v/>
      </c>
      <c r="I16" s="10" t="n">
        <v>200</v>
      </c>
      <c r="J16" s="4" t="inlineStr">
        <is>
          <t>Vacant / Landlord</t>
        </is>
      </c>
      <c r="K16" s="9" t="n"/>
      <c r="M16" s="9" t="inlineStr">
        <is>
          <t>N/A</t>
        </is>
      </c>
      <c r="P16" s="7" t="n">
        <v>0</v>
      </c>
      <c r="Q16" s="10">
        <f>P16</f>
        <v/>
      </c>
      <c r="S16" s="7" t="n">
        <v>3000</v>
      </c>
      <c r="T16" s="10">
        <f>S16</f>
        <v/>
      </c>
      <c r="U16" s="359" t="n">
        <v>5000</v>
      </c>
      <c r="V16" s="10">
        <f>U16</f>
        <v/>
      </c>
      <c r="W16" s="277">
        <f>S16/G16</f>
        <v/>
      </c>
      <c r="X16" s="10" t="n"/>
      <c r="Y16" s="60" t="n"/>
      <c r="Z16" s="394" t="n"/>
      <c r="AA16" s="14" t="inlineStr">
        <is>
          <t>No</t>
        </is>
      </c>
      <c r="AE16" s="278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10">
        <f>G17</f>
        <v/>
      </c>
      <c r="I17" s="10" t="n">
        <v>3000</v>
      </c>
      <c r="J17" s="4" t="inlineStr">
        <is>
          <t>Hela Brands Ltd</t>
        </is>
      </c>
      <c r="K17" s="9" t="n">
        <v>45649</v>
      </c>
      <c r="L17" s="9" t="n">
        <v>46743</v>
      </c>
      <c r="O17" s="9" t="n">
        <v>46013</v>
      </c>
      <c r="P17" s="7" t="n">
        <v>132000</v>
      </c>
      <c r="Q17" s="10">
        <f>P17</f>
        <v/>
      </c>
      <c r="S17" s="7" t="n">
        <v>114600</v>
      </c>
      <c r="T17" s="10">
        <f>S17</f>
        <v/>
      </c>
      <c r="U17" s="359" t="n">
        <v>132000</v>
      </c>
      <c r="V17" s="10">
        <f>U17</f>
        <v/>
      </c>
      <c r="W17" s="277">
        <f>S17/G17</f>
        <v/>
      </c>
      <c r="X17" s="10" t="inlineStr">
        <is>
          <t>C</t>
        </is>
      </c>
      <c r="Y17" s="60" t="n"/>
      <c r="Z17" s="394" t="n"/>
      <c r="AA17" s="14" t="inlineStr">
        <is>
          <t>No</t>
        </is>
      </c>
      <c r="AB17" s="4" t="inlineStr">
        <is>
          <t>Tenant rolling break from 22/12/25 on 4 months notice.</t>
        </is>
      </c>
      <c r="AE17" s="278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10">
        <f>G18</f>
        <v/>
      </c>
      <c r="I18" s="10" t="n">
        <v>1000</v>
      </c>
      <c r="J18" s="4" t="inlineStr">
        <is>
          <t>Alternative Real Estate Advisors Ltd</t>
        </is>
      </c>
      <c r="K18" s="9" t="n">
        <v>45470</v>
      </c>
      <c r="L18" s="9" t="n">
        <v>47295</v>
      </c>
      <c r="O18" s="9" t="n">
        <v>46564</v>
      </c>
      <c r="P18" s="7" t="n">
        <v>89833</v>
      </c>
      <c r="Q18" s="10">
        <f>P18</f>
        <v/>
      </c>
      <c r="S18" s="7" t="n">
        <v>76900</v>
      </c>
      <c r="T18" s="10">
        <f>S18</f>
        <v/>
      </c>
      <c r="U18" s="359" t="n">
        <v>97900</v>
      </c>
      <c r="V18" s="10">
        <f>U18</f>
        <v/>
      </c>
      <c r="W18" s="277">
        <f>S18/G18</f>
        <v/>
      </c>
      <c r="X18" s="10" t="inlineStr">
        <is>
          <t>D</t>
        </is>
      </c>
      <c r="Y18" s="60" t="n"/>
      <c r="Z18" s="394" t="n"/>
      <c r="AA18" s="14" t="inlineStr">
        <is>
          <t>No</t>
        </is>
      </c>
      <c r="AB18" s="4" t="inlineStr">
        <is>
          <t>Rent increases to £98,000 wef 27/06/27. Tenant break on 6 months notice.</t>
        </is>
      </c>
      <c r="AE18" s="278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10">
        <f>G19</f>
        <v/>
      </c>
      <c r="I19" s="10" t="n">
        <v>1000</v>
      </c>
      <c r="J19" s="4" t="inlineStr">
        <is>
          <t>Vacant</t>
        </is>
      </c>
      <c r="K19" s="9" t="n"/>
      <c r="M19" s="9" t="n">
        <v>43273</v>
      </c>
      <c r="P19" s="7" t="n">
        <v>0</v>
      </c>
      <c r="Q19" s="10">
        <f>P19</f>
        <v/>
      </c>
      <c r="S19" s="7" t="n">
        <v>61100</v>
      </c>
      <c r="T19" s="10">
        <f>S19</f>
        <v/>
      </c>
      <c r="U19" s="359" t="n">
        <v>69400</v>
      </c>
      <c r="V19" s="10">
        <f>U19</f>
        <v/>
      </c>
      <c r="W19" s="277">
        <f>S19/G19</f>
        <v/>
      </c>
      <c r="X19" s="10" t="inlineStr">
        <is>
          <t>C</t>
        </is>
      </c>
      <c r="Y19" s="60" t="n"/>
      <c r="Z19" s="394" t="n"/>
      <c r="AA19" s="14" t="inlineStr">
        <is>
          <t>No</t>
        </is>
      </c>
      <c r="AB19" s="4" t="inlineStr">
        <is>
          <t>LEM marketing.</t>
        </is>
      </c>
      <c r="AC19" s="303" t="n">
        <v>63.5</v>
      </c>
      <c r="AE19" s="278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10">
        <f>G20</f>
        <v/>
      </c>
      <c r="I20" s="10" t="n">
        <v>500</v>
      </c>
      <c r="J20" s="4" t="inlineStr">
        <is>
          <t>Mr. A. Park</t>
        </is>
      </c>
      <c r="K20" s="9" t="n">
        <v>45541</v>
      </c>
      <c r="L20" s="9" t="n">
        <v>47366</v>
      </c>
      <c r="O20" s="9" t="n">
        <v>46635</v>
      </c>
      <c r="P20" s="7" t="n">
        <v>26000</v>
      </c>
      <c r="Q20" s="10">
        <f>P20</f>
        <v/>
      </c>
      <c r="S20" s="7" t="n">
        <v>25300</v>
      </c>
      <c r="T20" s="10">
        <f>S20</f>
        <v/>
      </c>
      <c r="U20" s="359" t="n">
        <v>26000</v>
      </c>
      <c r="V20" s="10">
        <f>U20</f>
        <v/>
      </c>
      <c r="W20" s="277">
        <f>S20/G20</f>
        <v/>
      </c>
      <c r="X20" s="10" t="inlineStr">
        <is>
          <t>D</t>
        </is>
      </c>
      <c r="Y20" s="60" t="n"/>
      <c r="Z20" s="394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279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10">
        <f>G21</f>
        <v/>
      </c>
      <c r="I21" s="10" t="n">
        <v>3500</v>
      </c>
      <c r="J21" s="4" t="inlineStr">
        <is>
          <t>The London Hair Clinic Ltd</t>
        </is>
      </c>
      <c r="K21" s="9" t="n">
        <v>44757</v>
      </c>
      <c r="L21" s="9" t="n">
        <v>48409</v>
      </c>
      <c r="N21" s="9" t="n">
        <v>46583</v>
      </c>
      <c r="P21" s="7" t="n">
        <v>170000</v>
      </c>
      <c r="Q21" s="10">
        <f>P21</f>
        <v/>
      </c>
      <c r="S21" s="7" t="n">
        <v>170000</v>
      </c>
      <c r="T21" s="10">
        <f>S21</f>
        <v/>
      </c>
      <c r="U21" s="359" t="n">
        <v>180000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E21" s="278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10">
        <f>G22</f>
        <v/>
      </c>
      <c r="I22" s="10" t="n">
        <v>1500</v>
      </c>
      <c r="J22" s="4" t="inlineStr">
        <is>
          <t>Feldberg Capital UK Limited</t>
        </is>
      </c>
      <c r="K22" s="9" t="n">
        <v>45231</v>
      </c>
      <c r="L22" s="9" t="n">
        <v>46326</v>
      </c>
      <c r="P22" s="7" t="n">
        <v>174500</v>
      </c>
      <c r="Q22" s="10">
        <f>P22</f>
        <v/>
      </c>
      <c r="S22" s="7" t="n">
        <v>78000</v>
      </c>
      <c r="T22" s="10">
        <f>S22</f>
        <v/>
      </c>
      <c r="U22" s="359" t="n">
        <v>99300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B22" s="4" t="inlineStr">
        <is>
          <t>All inclusive including rates and furniture.</t>
        </is>
      </c>
      <c r="AE22" s="278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10">
        <f>G23</f>
        <v/>
      </c>
      <c r="I23" s="10" t="n">
        <v>750</v>
      </c>
      <c r="J23" s="4" t="inlineStr">
        <is>
          <t>MSP Secretaries Ltd.</t>
        </is>
      </c>
      <c r="K23" s="9" t="n">
        <v>44384</v>
      </c>
      <c r="L23" s="9" t="n">
        <v>46209</v>
      </c>
      <c r="P23" s="7" t="n">
        <v>41000</v>
      </c>
      <c r="Q23" s="10">
        <f>P23</f>
        <v/>
      </c>
      <c r="S23" s="7" t="n">
        <v>39400</v>
      </c>
      <c r="T23" s="10">
        <f>S23</f>
        <v/>
      </c>
      <c r="U23" s="359" t="n">
        <v>45100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E23" s="278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10">
        <f>G24</f>
        <v/>
      </c>
      <c r="I24" s="10" t="n">
        <v>750</v>
      </c>
      <c r="J24" s="4" t="inlineStr">
        <is>
          <t>Principle Estate Management LLP</t>
        </is>
      </c>
      <c r="K24" s="9" t="n">
        <v>45617</v>
      </c>
      <c r="L24" s="9" t="n">
        <v>47442</v>
      </c>
      <c r="O24" s="9" t="n">
        <v>46527</v>
      </c>
      <c r="P24" s="7" t="n">
        <v>41875</v>
      </c>
      <c r="Q24" s="10">
        <f>P24</f>
        <v/>
      </c>
      <c r="S24" s="7" t="n">
        <v>36600</v>
      </c>
      <c r="T24" s="10">
        <f>S24</f>
        <v/>
      </c>
      <c r="U24" s="359" t="n">
        <v>41900</v>
      </c>
      <c r="V24" s="10">
        <f>U24</f>
        <v/>
      </c>
      <c r="W24" s="277">
        <f>S24/G24</f>
        <v/>
      </c>
      <c r="X24" s="10" t="inlineStr">
        <is>
          <t>B</t>
        </is>
      </c>
      <c r="Y24" s="60" t="n"/>
      <c r="Z24" s="394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305" t="n"/>
      <c r="AE24" s="278" t="n"/>
    </row>
    <row r="25">
      <c r="A25" s="11" t="inlineStr">
        <is>
          <t>WS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10">
        <f>G25</f>
        <v/>
      </c>
      <c r="I25" s="10" t="n">
        <v>12500</v>
      </c>
      <c r="J25" s="4" t="inlineStr">
        <is>
          <t>Guaranty Trust Bank (UK) Ltd</t>
        </is>
      </c>
      <c r="K25" s="8" t="n">
        <v>44771</v>
      </c>
      <c r="L25" s="9" t="n">
        <v>50249</v>
      </c>
      <c r="N25" s="9" t="n">
        <v>46597</v>
      </c>
      <c r="O25" s="9" t="n">
        <v>48423</v>
      </c>
      <c r="P25" s="19" t="n">
        <v>633334</v>
      </c>
      <c r="Q25" s="10">
        <f>P25</f>
        <v/>
      </c>
      <c r="R25" s="19">
        <f>Q25</f>
        <v/>
      </c>
      <c r="S25" s="19" t="n">
        <v>950000</v>
      </c>
      <c r="T25" s="10">
        <f>S25</f>
        <v/>
      </c>
      <c r="U25" s="36" t="n">
        <v>976900</v>
      </c>
      <c r="V25" s="10">
        <f>U25</f>
        <v/>
      </c>
      <c r="W25" s="277">
        <f>S25/G25</f>
        <v/>
      </c>
      <c r="X25" s="10" t="inlineStr">
        <is>
          <t>C</t>
        </is>
      </c>
      <c r="Y25" s="60" t="n"/>
      <c r="Z25" s="361" t="n">
        <v>17750000</v>
      </c>
      <c r="AA25" s="14" t="inlineStr">
        <is>
          <t>No</t>
        </is>
      </c>
      <c r="AB25" s="4" t="inlineStr">
        <is>
          <t xml:space="preserve">Fixed increase to £950,000 wef 29/07/26. 5 yearly rent reviews. Tenant break on 9 months notice. Rent reduces by 20% for 12 months if break not activated. </t>
        </is>
      </c>
      <c r="AC25" s="303" t="n"/>
      <c r="AD25" s="4" t="n"/>
      <c r="AE25" s="278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10">
        <f>G26</f>
        <v/>
      </c>
      <c r="I26" s="10" t="n">
        <v>2000</v>
      </c>
      <c r="J26" s="4" t="inlineStr">
        <is>
          <t>Vacant</t>
        </is>
      </c>
      <c r="M26" s="9" t="n">
        <v>45754</v>
      </c>
      <c r="P26" s="10" t="n">
        <v>0</v>
      </c>
      <c r="Q26" s="10">
        <f>P26</f>
        <v/>
      </c>
      <c r="S26" s="10" t="n">
        <v>143000</v>
      </c>
      <c r="T26" s="10">
        <f>S26</f>
        <v/>
      </c>
      <c r="U26" s="27" t="n">
        <v>136300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10">
        <f>G27</f>
        <v/>
      </c>
      <c r="I27" s="10" t="n">
        <v>750</v>
      </c>
      <c r="J27" s="4" t="inlineStr">
        <is>
          <t>JRDL UK Ltd.</t>
        </is>
      </c>
      <c r="K27" s="8" t="n">
        <v>44904</v>
      </c>
      <c r="L27" s="9" t="n">
        <v>45999</v>
      </c>
      <c r="P27" s="10" t="n">
        <v>42000</v>
      </c>
      <c r="Q27" s="10">
        <f>P27</f>
        <v/>
      </c>
      <c r="S27" s="10" t="n">
        <v>42000</v>
      </c>
      <c r="T27" s="10">
        <f>S27</f>
        <v/>
      </c>
      <c r="U27" s="27" t="n">
        <v>42000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E27" s="278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10">
        <f>G28</f>
        <v/>
      </c>
      <c r="I28" s="10" t="n">
        <v>750</v>
      </c>
      <c r="J28" s="4" t="inlineStr">
        <is>
          <t>Jamieson Stone Services Ltd.</t>
        </is>
      </c>
      <c r="K28" s="8" t="n">
        <v>45412</v>
      </c>
      <c r="L28" s="9" t="n">
        <v>47237</v>
      </c>
      <c r="O28" s="9" t="n">
        <v>46326</v>
      </c>
      <c r="P28" s="10" t="n">
        <v>40020</v>
      </c>
      <c r="Q28" s="10">
        <f>P28</f>
        <v/>
      </c>
      <c r="S28" s="10" t="n">
        <v>39700</v>
      </c>
      <c r="T28" s="10">
        <f>S28</f>
        <v/>
      </c>
      <c r="U28" s="27" t="n">
        <v>40000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4" t="inlineStr">
        <is>
          <t>Tenant break on 6 months notice.</t>
        </is>
      </c>
      <c r="AE28" s="278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10">
        <f>G29</f>
        <v/>
      </c>
      <c r="I29" s="10" t="n">
        <v>750</v>
      </c>
      <c r="J29" s="4" t="inlineStr">
        <is>
          <t>Arav Fashion UK Ltd.</t>
        </is>
      </c>
      <c r="K29" s="8" t="n">
        <v>44816</v>
      </c>
      <c r="L29" s="9" t="n">
        <v>45911</v>
      </c>
      <c r="P29" s="10" t="n">
        <v>33480</v>
      </c>
      <c r="Q29" s="10">
        <f>P29</f>
        <v/>
      </c>
      <c r="S29" s="10" t="n">
        <v>34100</v>
      </c>
      <c r="T29" s="10">
        <f>S29</f>
        <v/>
      </c>
      <c r="U29" s="27" t="n">
        <v>33500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29" t="inlineStr">
        <is>
          <t>Lease renewal terms agreed.</t>
        </is>
      </c>
      <c r="AC29" s="303" t="n"/>
      <c r="AD29" s="4" t="n"/>
      <c r="AE29" s="278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10">
        <f>G30</f>
        <v/>
      </c>
      <c r="I30" s="10" t="n">
        <v>500</v>
      </c>
      <c r="J30" s="4" t="inlineStr">
        <is>
          <t>Vacant</t>
        </is>
      </c>
      <c r="M30" s="9" t="n">
        <v>44168</v>
      </c>
      <c r="P30" s="10" t="n">
        <v>0</v>
      </c>
      <c r="Q30" s="10">
        <f>P30</f>
        <v/>
      </c>
      <c r="S30" s="10" t="n">
        <v>21600</v>
      </c>
      <c r="T30" s="10">
        <f>S30</f>
        <v/>
      </c>
      <c r="U30" s="27" t="n">
        <v>22000</v>
      </c>
      <c r="V30" s="10">
        <f>U30</f>
        <v/>
      </c>
      <c r="W30" s="277">
        <f>S30/G30</f>
        <v/>
      </c>
      <c r="X30" s="10" t="inlineStr">
        <is>
          <t>D</t>
        </is>
      </c>
      <c r="Y30" s="60" t="n"/>
      <c r="Z30" s="394" t="n"/>
      <c r="AA30" s="14" t="inlineStr">
        <is>
          <t>No</t>
        </is>
      </c>
      <c r="AB30" s="4" t="inlineStr">
        <is>
          <t>To be refurbished.</t>
        </is>
      </c>
      <c r="AE30" s="278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10">
        <f>G31</f>
        <v/>
      </c>
      <c r="I31" s="10" t="n"/>
      <c r="J31" s="4" t="inlineStr">
        <is>
          <t>Vacant / Landlord</t>
        </is>
      </c>
      <c r="M31" s="9" t="inlineStr">
        <is>
          <t>N/A</t>
        </is>
      </c>
      <c r="P31" s="10" t="n">
        <v>0</v>
      </c>
      <c r="Q31" s="19">
        <f>P31</f>
        <v/>
      </c>
      <c r="R31" s="19" t="n"/>
      <c r="S31" s="10" t="n">
        <v>0</v>
      </c>
      <c r="T31" s="19">
        <f>S31</f>
        <v/>
      </c>
      <c r="U31" s="27" t="n">
        <v>0</v>
      </c>
      <c r="V31" s="19">
        <f>U31</f>
        <v/>
      </c>
      <c r="W31" s="19" t="n"/>
      <c r="X31" s="19" t="n"/>
      <c r="Y31" s="61" t="n"/>
      <c r="Z31" s="394" t="n"/>
      <c r="AA31" s="14" t="inlineStr">
        <is>
          <t>No</t>
        </is>
      </c>
      <c r="AE31" s="278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8" t="n">
        <v>41457</v>
      </c>
      <c r="L32" s="9" t="n">
        <v>46935</v>
      </c>
      <c r="P32" s="10" t="n">
        <v>147500</v>
      </c>
      <c r="Q32" s="10">
        <f>P32</f>
        <v/>
      </c>
      <c r="S32" s="10" t="n">
        <v>147500</v>
      </c>
      <c r="T32" s="10">
        <f>S32</f>
        <v/>
      </c>
      <c r="U32" s="27" t="n">
        <v>147500</v>
      </c>
      <c r="V32" s="10">
        <f>U32</f>
        <v/>
      </c>
      <c r="W32" s="277">
        <f>S32/G32</f>
        <v/>
      </c>
      <c r="X32" s="10" t="inlineStr">
        <is>
          <t>E</t>
        </is>
      </c>
      <c r="Y32" s="60" t="n"/>
      <c r="Z32" s="394" t="n"/>
      <c r="AA32" s="14" t="inlineStr">
        <is>
          <t>No</t>
        </is>
      </c>
      <c r="AB32" s="4" t="inlineStr">
        <is>
          <t>5 year reversionary lease completed from 02/07/28 with day one rent review. Rent review to be documented at passing rent.</t>
        </is>
      </c>
      <c r="AE32" s="278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8" t="n">
        <v>45669</v>
      </c>
      <c r="L33" s="9" t="n">
        <v>51146</v>
      </c>
      <c r="N33" s="9" t="n">
        <v>47495</v>
      </c>
      <c r="O33" s="9" t="n">
        <v>49320</v>
      </c>
      <c r="P33" s="10" t="n">
        <v>220000</v>
      </c>
      <c r="Q33" s="10">
        <f>P33</f>
        <v/>
      </c>
      <c r="S33" s="10" t="n">
        <v>176200</v>
      </c>
      <c r="T33" s="10">
        <f>S33</f>
        <v/>
      </c>
      <c r="U33" s="27" t="n">
        <v>220000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Mutual break on 6 months notice.</t>
        </is>
      </c>
      <c r="AE33" s="278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8" t="n">
        <v>45567</v>
      </c>
      <c r="L34" s="9" t="n">
        <v>51044</v>
      </c>
      <c r="N34" s="9" t="n">
        <v>47393</v>
      </c>
      <c r="P34" s="10" t="n">
        <v>150000</v>
      </c>
      <c r="Q34" s="10">
        <f>P34</f>
        <v/>
      </c>
      <c r="S34" s="10" t="n">
        <v>255000</v>
      </c>
      <c r="T34" s="10">
        <f>S34</f>
        <v/>
      </c>
      <c r="U34" s="27" t="n">
        <v>330000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278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8" t="n">
        <v>45457</v>
      </c>
      <c r="L35" s="9" t="n">
        <v>47282</v>
      </c>
      <c r="P35" s="27" t="n">
        <v>121400</v>
      </c>
      <c r="Q35" s="10">
        <f>P35</f>
        <v/>
      </c>
      <c r="S35" s="10" t="n">
        <v>99700</v>
      </c>
      <c r="T35" s="10">
        <f>S35</f>
        <v/>
      </c>
      <c r="U35" s="27" t="n">
        <v>126700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E35" s="278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8" t="n">
        <v>45384</v>
      </c>
      <c r="L36" s="9" t="n">
        <v>47209</v>
      </c>
      <c r="O36" s="9" t="n">
        <v>46478</v>
      </c>
      <c r="P36" s="10" t="n">
        <v>133280</v>
      </c>
      <c r="Q36" s="10">
        <f>P36</f>
        <v/>
      </c>
      <c r="S36" s="10" t="n">
        <v>114700</v>
      </c>
      <c r="T36" s="10">
        <f>S36</f>
        <v/>
      </c>
      <c r="U36" s="27" t="n">
        <v>147300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278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8" t="n">
        <v>45516</v>
      </c>
      <c r="L37" s="9" t="n">
        <v>47341</v>
      </c>
      <c r="O37" s="9" t="n">
        <v>46610</v>
      </c>
      <c r="P37" s="10" t="n">
        <v>146450</v>
      </c>
      <c r="Q37" s="10">
        <f>P37</f>
        <v/>
      </c>
      <c r="S37" s="10" t="n">
        <v>120700</v>
      </c>
      <c r="T37" s="10">
        <f>S37</f>
        <v/>
      </c>
      <c r="U37" s="27" t="n">
        <v>146500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279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9" t="n">
        <v>45051</v>
      </c>
      <c r="P38" s="10" t="n">
        <v>0</v>
      </c>
      <c r="Q38" s="10">
        <f>P38</f>
        <v/>
      </c>
      <c r="S38" s="10" t="n">
        <v>87300</v>
      </c>
      <c r="T38" s="10">
        <f>S38</f>
        <v/>
      </c>
      <c r="U38" s="27" t="n">
        <v>127500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LEM marketing.</t>
        </is>
      </c>
      <c r="AC38" s="303" t="n">
        <v>72.5</v>
      </c>
      <c r="AD38" s="4" t="n">
        <v>2</v>
      </c>
      <c r="AE38" s="278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8" t="n">
        <v>44795</v>
      </c>
      <c r="L39" s="9" t="n">
        <v>46620</v>
      </c>
      <c r="O39" s="9" t="n">
        <v>45890</v>
      </c>
      <c r="P39" s="10" t="n">
        <v>102705</v>
      </c>
      <c r="Q39" s="10">
        <f>P39</f>
        <v/>
      </c>
      <c r="S39" s="10" t="n">
        <v>102705</v>
      </c>
      <c r="T39" s="10">
        <f>S39</f>
        <v/>
      </c>
      <c r="U39" s="27" t="n">
        <v>120100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Tenant break served but dispute over conditions being met.</t>
        </is>
      </c>
      <c r="AE39" s="278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8" t="n">
        <v>45488</v>
      </c>
      <c r="L40" s="9" t="n">
        <v>47313</v>
      </c>
      <c r="O40" s="9" t="n">
        <v>46582</v>
      </c>
      <c r="P40" s="10" t="n">
        <v>181050</v>
      </c>
      <c r="Q40" s="10">
        <f>P40</f>
        <v/>
      </c>
      <c r="S40" s="10" t="n">
        <v>125050</v>
      </c>
      <c r="T40" s="10">
        <f>S40</f>
        <v/>
      </c>
      <c r="U40" s="27" t="n">
        <v>145900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279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8" t="n">
        <v>45609</v>
      </c>
      <c r="L41" s="9" t="n">
        <v>47434</v>
      </c>
      <c r="M41" s="9" t="n"/>
      <c r="N41" s="9" t="n"/>
      <c r="O41" s="9" t="n">
        <v>46703</v>
      </c>
      <c r="P41" s="10" t="n">
        <v>90090</v>
      </c>
      <c r="Q41" s="10">
        <f>P41</f>
        <v/>
      </c>
      <c r="R41" s="10" t="n"/>
      <c r="S41" s="10" t="n">
        <v>90100</v>
      </c>
      <c r="T41" s="10">
        <f>S41</f>
        <v/>
      </c>
      <c r="U41" s="27" t="n">
        <v>109900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 Rent PA corrected.</t>
        </is>
      </c>
      <c r="AC41" s="303" t="n"/>
      <c r="AD41" s="4" t="n"/>
      <c r="AE41" s="278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8" t="n">
        <v>45609</v>
      </c>
      <c r="L42" s="9" t="n">
        <v>47434</v>
      </c>
      <c r="O42" s="9" t="n">
        <v>46703</v>
      </c>
      <c r="P42" s="10" t="n">
        <v>114253</v>
      </c>
      <c r="Q42" s="10">
        <f>P42</f>
        <v/>
      </c>
      <c r="S42" s="10" t="n">
        <v>115800</v>
      </c>
      <c r="T42" s="10">
        <f>S42</f>
        <v/>
      </c>
      <c r="U42" s="27" t="n">
        <v>138900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C42" s="305" t="n"/>
      <c r="AE42" s="278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8" t="n">
        <v>45256</v>
      </c>
      <c r="L43" s="9" t="n">
        <v>47082</v>
      </c>
      <c r="O43" s="9" t="n">
        <v>46351</v>
      </c>
      <c r="P43" s="10" t="n">
        <v>115500</v>
      </c>
      <c r="Q43" s="10">
        <f>P43</f>
        <v/>
      </c>
      <c r="S43" s="10" t="n">
        <v>107400</v>
      </c>
      <c r="T43" s="10">
        <f>S43</f>
        <v/>
      </c>
      <c r="U43" s="27" t="n">
        <v>131000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Tenant break on 6 months notice.</t>
        </is>
      </c>
      <c r="AE43" s="278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8" t="n">
        <v>45622</v>
      </c>
      <c r="L44" s="9" t="n">
        <v>47447</v>
      </c>
      <c r="O44" s="9" t="n">
        <v>46716</v>
      </c>
      <c r="P44" s="10" t="n">
        <v>54340</v>
      </c>
      <c r="Q44" s="10">
        <f>P44</f>
        <v/>
      </c>
      <c r="S44" s="10" t="n">
        <v>76600</v>
      </c>
      <c r="T44" s="10">
        <f>S44</f>
        <v/>
      </c>
      <c r="U44" s="27" t="n">
        <v>108500</v>
      </c>
      <c r="V44" s="10">
        <f>U44</f>
        <v/>
      </c>
      <c r="W44" s="277">
        <f>S44/G44</f>
        <v/>
      </c>
      <c r="X44" s="10" t="inlineStr">
        <is>
          <t>B</t>
        </is>
      </c>
      <c r="Y44" s="60" t="n"/>
      <c r="Z44" s="394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305" t="n"/>
      <c r="AE44" s="278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13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8" t="n">
        <v>45617</v>
      </c>
      <c r="L45" s="9" t="n">
        <v>47442</v>
      </c>
      <c r="P45" s="10" t="n">
        <v>66700</v>
      </c>
      <c r="Q45" s="10">
        <f>P45</f>
        <v/>
      </c>
      <c r="S45" s="10" t="n">
        <v>66700</v>
      </c>
      <c r="T45" s="10">
        <f>S45</f>
        <v/>
      </c>
      <c r="U45" s="27" t="n">
        <v>78300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C45" s="305" t="n"/>
      <c r="AE45" s="278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9" t="n">
        <v>44609</v>
      </c>
      <c r="P46" s="10" t="n">
        <v>0</v>
      </c>
      <c r="Q46" s="10">
        <f>P46</f>
        <v/>
      </c>
      <c r="S46" s="10" t="n">
        <v>65750</v>
      </c>
      <c r="T46" s="10">
        <f>S46</f>
        <v/>
      </c>
      <c r="U46" s="27" t="n">
        <v>53700</v>
      </c>
      <c r="V46" s="10">
        <f>U46</f>
        <v/>
      </c>
      <c r="W46" s="277">
        <f>S46/G46</f>
        <v/>
      </c>
      <c r="X46" s="10" t="inlineStr">
        <is>
          <t>D</t>
        </is>
      </c>
      <c r="Y46" s="60" t="n"/>
      <c r="Z46" s="394" t="n"/>
      <c r="AA46" s="14" t="inlineStr">
        <is>
          <t>No</t>
        </is>
      </c>
      <c r="AB46" s="4" t="inlineStr">
        <is>
          <t>LEM marketing.</t>
        </is>
      </c>
      <c r="AC46" s="303" t="n">
        <v>63</v>
      </c>
      <c r="AE46" s="278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8" t="n"/>
      <c r="L47" s="9" t="n"/>
      <c r="M47" s="9" t="inlineStr">
        <is>
          <t>N/A</t>
        </is>
      </c>
      <c r="N47" s="9" t="n"/>
      <c r="O47" s="9" t="n"/>
      <c r="P47" s="10" t="n">
        <v>0</v>
      </c>
      <c r="Q47" s="10">
        <f>P47</f>
        <v/>
      </c>
      <c r="R47" s="10" t="n"/>
      <c r="S47" s="10" t="n">
        <v>1460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n"/>
      <c r="AB47" s="4" t="n"/>
      <c r="AC47" s="303" t="n"/>
      <c r="AD47" s="4" t="n"/>
      <c r="AE47" s="278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50" t="n">
        <v>35240</v>
      </c>
      <c r="L48" s="106" t="n">
        <v>68735</v>
      </c>
      <c r="M48" s="106" t="n"/>
      <c r="P48" s="10" t="n">
        <v>0</v>
      </c>
      <c r="Q48" s="10">
        <f>P48</f>
        <v/>
      </c>
      <c r="S48" s="10" t="n">
        <v>0</v>
      </c>
      <c r="T48" s="10">
        <f>S48</f>
        <v/>
      </c>
      <c r="U48" s="27" t="n">
        <v>0</v>
      </c>
      <c r="V48" s="10">
        <f>U48</f>
        <v/>
      </c>
      <c r="W48" s="10" t="n"/>
      <c r="X48" s="10" t="n"/>
      <c r="Y48" s="60" t="n"/>
      <c r="Z48" s="394" t="n"/>
      <c r="AA48" s="14" t="inlineStr">
        <is>
          <t>Yes</t>
        </is>
      </c>
      <c r="AB48" s="4" t="inlineStr">
        <is>
          <t>Rolling redevelopment break on 6 months notice.</t>
        </is>
      </c>
      <c r="AE48" s="278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8" t="n">
        <v>45699</v>
      </c>
      <c r="L49" s="9" t="n">
        <v>47524</v>
      </c>
      <c r="O49" s="9" t="n">
        <v>46793</v>
      </c>
      <c r="P49" s="10" t="n">
        <v>187500</v>
      </c>
      <c r="Q49" s="10">
        <f>P49</f>
        <v/>
      </c>
      <c r="S49" s="10" t="n">
        <v>337100</v>
      </c>
      <c r="T49" s="10">
        <f>S49</f>
        <v/>
      </c>
      <c r="U49" s="27" t="n">
        <v>375000</v>
      </c>
      <c r="V49" s="10">
        <f>U49</f>
        <v/>
      </c>
      <c r="W49" s="277">
        <f>S49/G49</f>
        <v/>
      </c>
      <c r="X49" s="10" t="inlineStr">
        <is>
          <t>B</t>
        </is>
      </c>
      <c r="Y49" s="60" t="n"/>
      <c r="Z49" s="394" t="n"/>
      <c r="AA49" s="14" t="inlineStr">
        <is>
          <t>No</t>
        </is>
      </c>
      <c r="AB49" s="4" t="inlineStr">
        <is>
          <t>Rent increasing to £375,000 wef 11/09/25. Tenant break on 6 months notice. 3 months rent free if not exercised.</t>
        </is>
      </c>
      <c r="AC49" s="303" t="n">
        <v>68</v>
      </c>
      <c r="AD49" s="4" t="n">
        <v>1</v>
      </c>
      <c r="AE49" s="278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8" t="n">
        <v>44452</v>
      </c>
      <c r="L50" s="9" t="n">
        <v>46277</v>
      </c>
      <c r="P50" s="10" t="n">
        <v>108170</v>
      </c>
      <c r="Q50" s="10">
        <f>P50</f>
        <v/>
      </c>
      <c r="S50" s="10" t="n">
        <v>107200</v>
      </c>
      <c r="T50" s="10">
        <f>S50</f>
        <v/>
      </c>
      <c r="U50" s="27" t="n">
        <v>111700</v>
      </c>
      <c r="V50" s="10">
        <f>U50</f>
        <v/>
      </c>
      <c r="W50" s="277">
        <f>S50/G50</f>
        <v/>
      </c>
      <c r="X50" s="10" t="inlineStr">
        <is>
          <t>D</t>
        </is>
      </c>
      <c r="Y50" s="60" t="n"/>
      <c r="Z50" s="394" t="n"/>
      <c r="AA50" s="14" t="inlineStr">
        <is>
          <t>No</t>
        </is>
      </c>
      <c r="AE50" s="278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105500</v>
      </c>
      <c r="T51" s="10">
        <f>S51</f>
        <v/>
      </c>
      <c r="U51" s="27" t="n">
        <v>109100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8" t="n">
        <v>45609</v>
      </c>
      <c r="P52" s="10" t="n">
        <v>0</v>
      </c>
      <c r="Q52" s="10">
        <f>P52</f>
        <v/>
      </c>
      <c r="S52" s="10" t="n">
        <v>108800</v>
      </c>
      <c r="T52" s="10">
        <f>S52</f>
        <v/>
      </c>
      <c r="U52" s="27" t="n">
        <v>108500</v>
      </c>
      <c r="V52" s="10">
        <f>U52</f>
        <v/>
      </c>
      <c r="W52" s="277">
        <f>S52/G52</f>
        <v/>
      </c>
      <c r="X52" s="10" t="inlineStr">
        <is>
          <t>E</t>
        </is>
      </c>
      <c r="Y52" s="60" t="n"/>
      <c r="Z52" s="394" t="n"/>
      <c r="AA52" s="14" t="inlineStr">
        <is>
          <t>No</t>
        </is>
      </c>
      <c r="AB52" s="4" t="inlineStr">
        <is>
          <t>LEM marketing.</t>
        </is>
      </c>
      <c r="AC52" s="303" t="n">
        <v>65</v>
      </c>
      <c r="AE52" s="278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9" t="n">
        <v>45457</v>
      </c>
      <c r="P53" s="10" t="n">
        <v>0</v>
      </c>
      <c r="Q53" s="10">
        <f>P53</f>
        <v/>
      </c>
      <c r="S53" s="10" t="n">
        <v>94400</v>
      </c>
      <c r="T53" s="10">
        <f>S53</f>
        <v/>
      </c>
      <c r="U53" s="27" t="n">
        <v>104500</v>
      </c>
      <c r="V53" s="10">
        <f>U53</f>
        <v/>
      </c>
      <c r="W53" s="277">
        <f>S53/G53</f>
        <v/>
      </c>
      <c r="X53" s="10" t="inlineStr">
        <is>
          <t>B</t>
        </is>
      </c>
      <c r="Y53" s="60" t="n"/>
      <c r="Z53" s="394" t="n"/>
      <c r="AA53" s="14" t="inlineStr">
        <is>
          <t>No</t>
        </is>
      </c>
      <c r="AB53" s="29" t="inlineStr">
        <is>
          <t>Refurbishement complete. LEM marketing.</t>
        </is>
      </c>
      <c r="AC53" s="303" t="n">
        <v>65</v>
      </c>
      <c r="AD53" s="4" t="n">
        <v>1</v>
      </c>
      <c r="AE53" s="278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8" t="n">
        <v>45609</v>
      </c>
      <c r="L54" s="9" t="n">
        <v>47434</v>
      </c>
      <c r="O54" s="9" t="n">
        <v>46703</v>
      </c>
      <c r="P54" s="10" t="n">
        <v>61928</v>
      </c>
      <c r="Q54" s="10">
        <f>P54</f>
        <v/>
      </c>
      <c r="S54" s="7" t="n">
        <v>61200</v>
      </c>
      <c r="T54" s="10">
        <f>S54</f>
        <v/>
      </c>
      <c r="U54" s="359" t="n">
        <v>62200</v>
      </c>
      <c r="V54" s="10">
        <f>U54</f>
        <v/>
      </c>
      <c r="W54" s="277">
        <f>S54/G54</f>
        <v/>
      </c>
      <c r="X54" s="10" t="inlineStr">
        <is>
          <t>E</t>
        </is>
      </c>
      <c r="Y54" s="60" t="n"/>
      <c r="Z54" s="394" t="n"/>
      <c r="AA54" s="14" t="inlineStr">
        <is>
          <t>No</t>
        </is>
      </c>
      <c r="AB54" s="4" t="inlineStr">
        <is>
          <t>Tenant break on 6 months notice.</t>
        </is>
      </c>
      <c r="AC54" s="305" t="n"/>
      <c r="AE54" s="278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0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8" t="n">
        <v>39295</v>
      </c>
      <c r="L55" s="9" t="n">
        <v>46599</v>
      </c>
      <c r="N55" s="9" t="n">
        <v>45870</v>
      </c>
      <c r="P55" s="10" t="n">
        <v>903</v>
      </c>
      <c r="Q55" s="10">
        <f>P55</f>
        <v/>
      </c>
      <c r="S55" s="7" t="n">
        <v>625</v>
      </c>
      <c r="T55" s="10">
        <f>S55</f>
        <v/>
      </c>
      <c r="U55" s="359" t="n">
        <v>625</v>
      </c>
      <c r="V55" s="10">
        <f>U55</f>
        <v/>
      </c>
      <c r="W55" s="277" t="n"/>
      <c r="X55" s="10" t="n"/>
      <c r="Y55" s="60" t="n"/>
      <c r="Z55" s="394" t="n"/>
      <c r="AA55" s="14" t="inlineStr">
        <is>
          <t>No</t>
        </is>
      </c>
      <c r="AB55" s="4" t="inlineStr">
        <is>
          <t xml:space="preserve">Landlords redevelopment break on 6 months notice. Rent review is RPI indexation (every 2 years). </t>
        </is>
      </c>
      <c r="AE55" s="278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10">
        <f>G56</f>
        <v/>
      </c>
      <c r="I56" s="10" t="n">
        <v>10000</v>
      </c>
      <c r="J56" s="4" t="inlineStr">
        <is>
          <t>Barclays Bank UK Plc</t>
        </is>
      </c>
      <c r="K56" s="8" t="n">
        <v>44856</v>
      </c>
      <c r="L56" s="9" t="n">
        <v>47411</v>
      </c>
      <c r="N56" s="9" t="n">
        <v>46682</v>
      </c>
      <c r="P56" s="19" t="n">
        <v>580000</v>
      </c>
      <c r="Q56" s="10">
        <f>P56</f>
        <v/>
      </c>
      <c r="R56" s="19">
        <f>Q56</f>
        <v/>
      </c>
      <c r="S56" s="19" t="n">
        <v>580000</v>
      </c>
      <c r="T56" s="10">
        <f>S56</f>
        <v/>
      </c>
      <c r="U56" s="36" t="n">
        <v>586000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61" t="n">
        <v>8850000</v>
      </c>
      <c r="AA56" s="14" t="inlineStr">
        <is>
          <t>Yes</t>
        </is>
      </c>
      <c r="AE56" s="278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8" t="n">
        <v>44729</v>
      </c>
      <c r="L57" s="9" t="n">
        <v>50207</v>
      </c>
      <c r="N57" s="8" t="n">
        <v>46555</v>
      </c>
      <c r="O57" s="8" t="n">
        <v>48381</v>
      </c>
      <c r="P57" s="10" t="n">
        <v>625000</v>
      </c>
      <c r="Q57" s="10">
        <f>P57</f>
        <v/>
      </c>
      <c r="S57" s="10" t="n">
        <v>750000</v>
      </c>
      <c r="T57" s="10">
        <f>S57</f>
        <v/>
      </c>
      <c r="U57" s="27" t="n">
        <v>650000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9" t="n">
        <v>45219</v>
      </c>
      <c r="P58" s="10" t="n">
        <v>0</v>
      </c>
      <c r="Q58" s="10">
        <f>P58</f>
        <v/>
      </c>
      <c r="S58" s="10" t="n">
        <v>170000</v>
      </c>
      <c r="T58" s="10">
        <f>S58</f>
        <v/>
      </c>
      <c r="U58" s="27" t="n">
        <v>185100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70</v>
      </c>
      <c r="AE58" s="278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8" t="n"/>
      <c r="L59" s="9" t="n"/>
      <c r="M59" s="9" t="n">
        <v>44124</v>
      </c>
      <c r="N59" s="9" t="n"/>
      <c r="O59" s="9" t="n"/>
      <c r="P59" s="10" t="n">
        <v>0</v>
      </c>
      <c r="Q59" s="10">
        <f>P59</f>
        <v/>
      </c>
      <c r="R59" s="10" t="n"/>
      <c r="S59" s="10" t="n">
        <v>172000</v>
      </c>
      <c r="T59" s="10">
        <f>S59</f>
        <v/>
      </c>
      <c r="U59" s="27" t="n">
        <v>181600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LEM marketing.</t>
        </is>
      </c>
      <c r="AC59" s="303" t="n">
        <v>72.5</v>
      </c>
      <c r="AD59" s="4" t="n"/>
      <c r="AE59" s="278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8" t="n">
        <v>44362</v>
      </c>
      <c r="L60" s="9" t="n">
        <v>48013</v>
      </c>
      <c r="M60" s="9" t="n"/>
      <c r="N60" s="9" t="n">
        <v>46197</v>
      </c>
      <c r="O60" s="9" t="n">
        <v>46197</v>
      </c>
      <c r="P60" s="10" t="n">
        <v>80000</v>
      </c>
      <c r="Q60" s="10">
        <f>P60</f>
        <v/>
      </c>
      <c r="R60" s="10" t="n"/>
      <c r="S60" s="10" t="n">
        <v>80000</v>
      </c>
      <c r="T60" s="10">
        <f>S60</f>
        <v/>
      </c>
      <c r="U60" s="27" t="n">
        <v>80800</v>
      </c>
      <c r="V60" s="10">
        <f>U60</f>
        <v/>
      </c>
      <c r="W60" s="277">
        <f>S60/G60</f>
        <v/>
      </c>
      <c r="X60" s="10" t="inlineStr">
        <is>
          <t>B</t>
        </is>
      </c>
      <c r="Y60" s="60" t="n"/>
      <c r="Z60" s="395" t="n"/>
      <c r="AA60" s="14" t="inlineStr">
        <is>
          <t>No</t>
        </is>
      </c>
      <c r="AB60" s="4" t="inlineStr">
        <is>
          <t>Tenant break subject to 6 months notice.</t>
        </is>
      </c>
      <c r="AC60" s="303" t="n"/>
      <c r="AD60" s="4" t="n"/>
      <c r="AE60" s="278" t="n"/>
      <c r="AF60" s="4" t="n"/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9" t="n">
        <v>43670</v>
      </c>
      <c r="P61" s="10" t="n">
        <v>0</v>
      </c>
      <c r="Q61" s="10">
        <f>P61</f>
        <v/>
      </c>
      <c r="S61" s="10" t="n">
        <v>25000</v>
      </c>
      <c r="T61" s="10">
        <f>S61</f>
        <v/>
      </c>
      <c r="U61" s="27" t="n">
        <v>25000</v>
      </c>
      <c r="V61" s="10">
        <f>U61</f>
        <v/>
      </c>
      <c r="W61" s="277">
        <f>S61/G61</f>
        <v/>
      </c>
      <c r="X61" s="10" t="inlineStr">
        <is>
          <t>D</t>
        </is>
      </c>
      <c r="Y61" s="60" t="n"/>
      <c r="Z61" s="394" t="n"/>
      <c r="AA61" s="14" t="inlineStr">
        <is>
          <t>No</t>
        </is>
      </c>
      <c r="AE61" s="278" t="n"/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8" t="n">
        <v>45645</v>
      </c>
      <c r="L62" s="9" t="n">
        <v>46739</v>
      </c>
      <c r="P62" s="10" t="n">
        <v>18000</v>
      </c>
      <c r="Q62" s="10">
        <f>P62</f>
        <v/>
      </c>
      <c r="S62" s="10" t="n">
        <v>11700</v>
      </c>
      <c r="T62" s="10">
        <f>S62</f>
        <v/>
      </c>
      <c r="U62" s="27" t="n">
        <v>18000</v>
      </c>
      <c r="V62" s="10">
        <f>U62</f>
        <v/>
      </c>
      <c r="W62" s="277">
        <f>S62/G62</f>
        <v/>
      </c>
      <c r="X62" s="10" t="inlineStr">
        <is>
          <t>C</t>
        </is>
      </c>
      <c r="Y62" s="60" t="n"/>
      <c r="Z62" s="394" t="n"/>
      <c r="AA62" s="14" t="inlineStr">
        <is>
          <t>No</t>
        </is>
      </c>
      <c r="AE62" s="278" t="n">
        <v>1</v>
      </c>
      <c r="AF62" s="4" t="inlineStr">
        <is>
          <t>LEM / RIB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8" t="n">
        <v>44851</v>
      </c>
      <c r="L63" s="9" t="n">
        <v>48503</v>
      </c>
      <c r="N63" s="9" t="n">
        <v>46677</v>
      </c>
      <c r="P63" s="10" t="n">
        <v>55000</v>
      </c>
      <c r="Q63" s="10">
        <f>P63</f>
        <v/>
      </c>
      <c r="S63" s="10" t="n">
        <v>55000</v>
      </c>
      <c r="T63" s="10">
        <f>S63</f>
        <v/>
      </c>
      <c r="U63" s="27" t="n">
        <v>55000</v>
      </c>
      <c r="V63" s="10">
        <f>U63</f>
        <v/>
      </c>
      <c r="W63" s="277">
        <f>S63/G63</f>
        <v/>
      </c>
      <c r="X63" s="10" t="inlineStr">
        <is>
          <t>D</t>
        </is>
      </c>
      <c r="Y63" s="60" t="n"/>
      <c r="Z63" s="394" t="n"/>
      <c r="AA63" s="14" t="inlineStr">
        <is>
          <t>No</t>
        </is>
      </c>
      <c r="AE63" s="278" t="n"/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8" t="n">
        <v>45114</v>
      </c>
      <c r="L64" s="9" t="n">
        <v>46940</v>
      </c>
      <c r="O64" s="9" t="n">
        <v>46209</v>
      </c>
      <c r="P64" s="10" t="n">
        <v>32400</v>
      </c>
      <c r="Q64" s="10">
        <f>P64</f>
        <v/>
      </c>
      <c r="S64" s="10" t="n">
        <v>29300</v>
      </c>
      <c r="T64" s="10">
        <f>S64</f>
        <v/>
      </c>
      <c r="U64" s="27" t="n">
        <v>29300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4" t="inlineStr">
        <is>
          <t>One Therapy Ltd.</t>
        </is>
      </c>
      <c r="K65" s="8" t="n">
        <v>45869</v>
      </c>
      <c r="L65" s="9" t="n">
        <v>47694</v>
      </c>
      <c r="O65" s="9" t="n">
        <v>46964</v>
      </c>
      <c r="P65" s="10" t="n">
        <v>15500</v>
      </c>
      <c r="Q65" s="10">
        <f>P65</f>
        <v/>
      </c>
      <c r="S65" s="10" t="n">
        <v>15500</v>
      </c>
      <c r="T65" s="10">
        <f>S65</f>
        <v/>
      </c>
      <c r="U65" s="27" t="n">
        <v>15500</v>
      </c>
      <c r="V65" s="10">
        <f>U65</f>
        <v/>
      </c>
      <c r="W65" s="277">
        <f>S65/G65</f>
        <v/>
      </c>
      <c r="X65" s="10" t="inlineStr">
        <is>
          <t>C</t>
        </is>
      </c>
      <c r="Y65" s="60" t="n"/>
      <c r="Z65" s="394" t="n"/>
      <c r="AA65" s="14" t="inlineStr">
        <is>
          <t>No</t>
        </is>
      </c>
      <c r="AB65" s="4" t="inlineStr">
        <is>
          <t>Tenant break on 6 months notice.</t>
        </is>
      </c>
      <c r="AE65" s="278" t="n"/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8" t="n">
        <v>44505</v>
      </c>
      <c r="L66" s="9" t="n">
        <v>45965</v>
      </c>
      <c r="P66" s="10" t="n">
        <v>22800</v>
      </c>
      <c r="Q66" s="10">
        <f>P66</f>
        <v/>
      </c>
      <c r="S66" s="10" t="n">
        <v>22800</v>
      </c>
      <c r="T66" s="10">
        <f>S66</f>
        <v/>
      </c>
      <c r="U66" s="27" t="n">
        <v>22800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278" t="n"/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8" t="n">
        <v>45869</v>
      </c>
      <c r="L67" s="9" t="n">
        <v>47694</v>
      </c>
      <c r="O67" s="9" t="n">
        <v>46964</v>
      </c>
      <c r="P67" s="10" t="n">
        <v>15500</v>
      </c>
      <c r="Q67" s="10">
        <f>P67</f>
        <v/>
      </c>
      <c r="S67" s="10" t="n">
        <v>15500</v>
      </c>
      <c r="T67" s="10">
        <f>S67</f>
        <v/>
      </c>
      <c r="U67" s="27" t="n">
        <v>15500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Tenant break on 6 months notice.</t>
        </is>
      </c>
      <c r="AE67" s="278" t="n"/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8" t="n">
        <v>45199</v>
      </c>
      <c r="L68" s="9" t="n">
        <v>47025</v>
      </c>
      <c r="O68" s="9" t="n">
        <v>46294</v>
      </c>
      <c r="P68" s="10" t="n">
        <v>24750</v>
      </c>
      <c r="Q68" s="10">
        <f>P68</f>
        <v/>
      </c>
      <c r="S68" s="10" t="n">
        <v>22838</v>
      </c>
      <c r="T68" s="10">
        <f>S68</f>
        <v/>
      </c>
      <c r="U68" s="27" t="n">
        <v>23400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Rent rises to £26,325 wef 29/09/26. Tenant break on 6 months notice.</t>
        </is>
      </c>
      <c r="AE68" s="278" t="n"/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8" t="n">
        <v>45869</v>
      </c>
      <c r="L69" s="9" t="n">
        <v>47694</v>
      </c>
      <c r="O69" s="9" t="n">
        <v>46964</v>
      </c>
      <c r="P69" s="10" t="n">
        <v>11502</v>
      </c>
      <c r="Q69" s="10">
        <f>P69</f>
        <v/>
      </c>
      <c r="S69" s="10" t="n">
        <v>10200</v>
      </c>
      <c r="T69" s="10">
        <f>S69</f>
        <v/>
      </c>
      <c r="U69" s="27" t="n">
        <v>11400</v>
      </c>
      <c r="V69" s="10">
        <f>U69</f>
        <v/>
      </c>
      <c r="W69" s="277">
        <f>S69/G69</f>
        <v/>
      </c>
      <c r="X69" s="10" t="inlineStr">
        <is>
          <t>E</t>
        </is>
      </c>
      <c r="Y69" s="60" t="n"/>
      <c r="Z69" s="394" t="n"/>
      <c r="AA69" s="14" t="inlineStr">
        <is>
          <t>No</t>
        </is>
      </c>
      <c r="AB69" s="4" t="inlineStr">
        <is>
          <t>Tenant break on 6 months notice.</t>
        </is>
      </c>
      <c r="AE69" s="278" t="n"/>
    </row>
    <row r="70">
      <c r="A70" s="11" t="inlineStr">
        <is>
          <t>WS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8" t="n">
        <v>45199</v>
      </c>
      <c r="L70" s="9" t="n">
        <v>47025</v>
      </c>
      <c r="O70" s="9" t="n">
        <v>46294</v>
      </c>
      <c r="P70" s="10" t="n">
        <v>22550</v>
      </c>
      <c r="Q70" s="10">
        <f>P70</f>
        <v/>
      </c>
      <c r="S70" s="10" t="n">
        <v>21100</v>
      </c>
      <c r="T70" s="10">
        <f>S70</f>
        <v/>
      </c>
      <c r="U70" s="27" t="n">
        <v>21700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278" t="n"/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8" t="n">
        <v>44635</v>
      </c>
      <c r="L71" s="9" t="n">
        <v>48287</v>
      </c>
      <c r="N71" s="9" t="n">
        <v>46461</v>
      </c>
      <c r="O71" s="9" t="n">
        <v>46460</v>
      </c>
      <c r="P71" s="10" t="n">
        <v>220000</v>
      </c>
      <c r="Q71" s="10">
        <f>P71</f>
        <v/>
      </c>
      <c r="S71" s="10" t="n">
        <v>210000</v>
      </c>
      <c r="T71" s="10">
        <f>S71</f>
        <v/>
      </c>
      <c r="U71" s="27" t="n">
        <v>237500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Rent rises to £237,500 wef 15/03/26.</t>
        </is>
      </c>
      <c r="AE71" s="278" t="n"/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43279</v>
      </c>
      <c r="P72" s="10" t="n">
        <v>0</v>
      </c>
      <c r="Q72" s="10">
        <f>P72</f>
        <v/>
      </c>
      <c r="S72" s="10" t="n">
        <v>86600</v>
      </c>
      <c r="T72" s="10">
        <f>S72</f>
        <v/>
      </c>
      <c r="U72" s="27" t="n">
        <v>93300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88100</v>
      </c>
      <c r="T73" s="10">
        <f>S73</f>
        <v/>
      </c>
      <c r="U73" s="27" t="n">
        <v>93900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83100</v>
      </c>
      <c r="T74" s="10">
        <f>S74</f>
        <v/>
      </c>
      <c r="U74" s="27" t="n">
        <v>91100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</row>
    <row r="75">
      <c r="A75" s="11" t="inlineStr">
        <is>
          <t>WS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9" t="n">
        <v>43354</v>
      </c>
      <c r="P75" s="10" t="n">
        <v>0</v>
      </c>
      <c r="Q75" s="10">
        <f>P75</f>
        <v/>
      </c>
      <c r="S75" s="10" t="n">
        <v>83800</v>
      </c>
      <c r="T75" s="10">
        <f>S75</f>
        <v/>
      </c>
      <c r="U75" s="27" t="n">
        <v>90300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B75" s="4" t="inlineStr">
        <is>
          <t>Mothballed.</t>
        </is>
      </c>
      <c r="AD75" s="29" t="n"/>
      <c r="AE75" s="279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8" t="n">
        <v>44995</v>
      </c>
      <c r="L76" s="9" t="n">
        <v>48647</v>
      </c>
      <c r="N76" s="9" t="n">
        <v>46822</v>
      </c>
      <c r="P76" s="10" t="n">
        <v>165000</v>
      </c>
      <c r="Q76" s="10">
        <f>P76</f>
        <v/>
      </c>
      <c r="S76" s="10" t="n">
        <v>165000</v>
      </c>
      <c r="T76" s="10">
        <f>S76</f>
        <v/>
      </c>
      <c r="U76" s="27" t="n">
        <v>165000</v>
      </c>
      <c r="V76" s="10">
        <f>U76</f>
        <v/>
      </c>
      <c r="W76" s="277">
        <f>S76/G76</f>
        <v/>
      </c>
      <c r="X76" s="10" t="inlineStr">
        <is>
          <t>D</t>
        </is>
      </c>
      <c r="Y76" s="60" t="n"/>
      <c r="Z76" s="394" t="n"/>
      <c r="AA76" s="14" t="inlineStr">
        <is>
          <t>No</t>
        </is>
      </c>
      <c r="AE76" s="278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13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8" t="n">
        <v>44362</v>
      </c>
      <c r="L77" s="9" t="n">
        <v>48013</v>
      </c>
      <c r="N77" s="9" t="n">
        <v>46197</v>
      </c>
      <c r="O77" s="9" t="n">
        <v>46197</v>
      </c>
      <c r="P77" s="10" t="n">
        <v>220000</v>
      </c>
      <c r="Q77" s="10">
        <f>P77</f>
        <v/>
      </c>
      <c r="S77" s="10" t="n">
        <v>220000</v>
      </c>
      <c r="T77" s="10">
        <f>S77</f>
        <v/>
      </c>
      <c r="U77" s="27" t="n">
        <v>220000</v>
      </c>
      <c r="V77" s="10">
        <f>U77</f>
        <v/>
      </c>
      <c r="W77" s="277">
        <f>S77/G77</f>
        <v/>
      </c>
      <c r="X77" s="10" t="inlineStr">
        <is>
          <t>C</t>
        </is>
      </c>
      <c r="Y77" s="60" t="n"/>
      <c r="Z77" s="394" t="n"/>
      <c r="AA77" s="14" t="inlineStr">
        <is>
          <t>No</t>
        </is>
      </c>
      <c r="AB77" s="4" t="inlineStr">
        <is>
          <t>Tenant break on 6 months notice.</t>
        </is>
      </c>
      <c r="AE77" s="278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8" t="n">
        <v>44833</v>
      </c>
      <c r="L78" s="9" t="n">
        <v>45928</v>
      </c>
      <c r="P78" s="10" t="n">
        <v>72000</v>
      </c>
      <c r="Q78" s="10">
        <f>P78</f>
        <v/>
      </c>
      <c r="S78" s="10" t="n">
        <v>72000</v>
      </c>
      <c r="T78" s="10">
        <f>S78</f>
        <v/>
      </c>
      <c r="U78" s="27" t="n">
        <v>72038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29" t="inlineStr">
        <is>
          <t>Short term lease renewal agreed.</t>
        </is>
      </c>
      <c r="AC78" s="303" t="n"/>
      <c r="AD78" s="4" t="n"/>
      <c r="AE78" s="278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8" t="n">
        <v>45271</v>
      </c>
      <c r="L79" s="9" t="n">
        <v>46561</v>
      </c>
      <c r="P79" s="10" t="n">
        <v>42705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B79" s="4" t="n"/>
      <c r="AC79" s="303" t="n"/>
      <c r="AD79" s="4" t="n"/>
      <c r="AE79" s="278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8" t="n">
        <v>44833</v>
      </c>
      <c r="L80" s="9" t="n">
        <v>46658</v>
      </c>
      <c r="P80" s="10" t="n">
        <v>42000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E80" s="278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8" t="n">
        <v>45271</v>
      </c>
      <c r="L81" s="9" t="n">
        <v>46561</v>
      </c>
      <c r="P81" s="10" t="n">
        <v>42705</v>
      </c>
      <c r="Q81" s="10">
        <f>P81</f>
        <v/>
      </c>
      <c r="S81" s="10" t="n">
        <v>42000</v>
      </c>
      <c r="T81" s="10">
        <f>S81</f>
        <v/>
      </c>
      <c r="U81" s="27" t="n">
        <v>41975</v>
      </c>
      <c r="V81" s="10">
        <f>U81</f>
        <v/>
      </c>
      <c r="W81" s="277">
        <f>S81/G81</f>
        <v/>
      </c>
      <c r="X81" s="10" t="inlineStr">
        <is>
          <t>D</t>
        </is>
      </c>
      <c r="Y81" s="60" t="n"/>
      <c r="Z81" s="394" t="n"/>
      <c r="AA81" s="14" t="inlineStr">
        <is>
          <t>No</t>
        </is>
      </c>
      <c r="AB81" s="4" t="n"/>
      <c r="AE81" s="278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29" t="inlineStr">
        <is>
          <t>T. Ciss &amp; JB Paleologue</t>
        </is>
      </c>
      <c r="K82" s="388" t="n">
        <v>45845</v>
      </c>
      <c r="L82" s="387" t="n">
        <v>45997</v>
      </c>
      <c r="M82" s="387" t="n"/>
      <c r="N82" s="387" t="n"/>
      <c r="O82" s="387" t="n"/>
      <c r="P82" s="27" t="n">
        <v>66000</v>
      </c>
      <c r="Q82" s="10">
        <f>P82</f>
        <v/>
      </c>
      <c r="S82" s="10" t="n">
        <v>61360</v>
      </c>
      <c r="T82" s="10">
        <f>S82</f>
        <v/>
      </c>
      <c r="U82" s="27" t="n">
        <v>63177</v>
      </c>
      <c r="V82" s="10">
        <f>U82</f>
        <v/>
      </c>
      <c r="W82" s="277">
        <f>S82/G82</f>
        <v/>
      </c>
      <c r="X82" s="10" t="inlineStr">
        <is>
          <t>C</t>
        </is>
      </c>
      <c r="Y82" s="60" t="n"/>
      <c r="Z82" s="394" t="n"/>
      <c r="AA82" s="14" t="inlineStr">
        <is>
          <t>No</t>
        </is>
      </c>
      <c r="AB82" s="29" t="inlineStr">
        <is>
          <t>Lease renewal completed. Tenant change of name.</t>
        </is>
      </c>
      <c r="AE82" s="278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10">
        <f>G83</f>
        <v/>
      </c>
      <c r="I83" s="10" t="n">
        <v>2250</v>
      </c>
      <c r="J83" s="4" t="inlineStr">
        <is>
          <t>S.Hardwick &amp; L.Morris (t/a Hardwick &amp; Morris Chartered Accountants)</t>
        </is>
      </c>
      <c r="K83" s="8" t="n">
        <v>42339</v>
      </c>
      <c r="L83" s="9" t="n">
        <v>45991</v>
      </c>
      <c r="N83" s="9" t="n">
        <v>44166</v>
      </c>
      <c r="P83" s="19" t="n">
        <v>112000</v>
      </c>
      <c r="Q83" s="10">
        <f>P83</f>
        <v/>
      </c>
      <c r="R83" s="19">
        <f>Q83</f>
        <v/>
      </c>
      <c r="S83" s="18" t="n">
        <v>106600</v>
      </c>
      <c r="T83" s="10">
        <f>S83</f>
        <v/>
      </c>
      <c r="U83" s="361" t="n">
        <v>102100</v>
      </c>
      <c r="V83" s="10">
        <f>U83</f>
        <v/>
      </c>
      <c r="W83" s="277">
        <f>S83/G83</f>
        <v/>
      </c>
      <c r="X83" s="10" t="inlineStr">
        <is>
          <t>E</t>
        </is>
      </c>
      <c r="Y83" s="60" t="n"/>
      <c r="Z83" s="361" t="n">
        <v>1375000</v>
      </c>
      <c r="AA83" s="14" t="inlineStr">
        <is>
          <t>No</t>
        </is>
      </c>
      <c r="AE83" s="278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215000</v>
      </c>
      <c r="Q84" s="10">
        <f>P84</f>
        <v/>
      </c>
      <c r="S84" s="7" t="n">
        <v>215000</v>
      </c>
      <c r="T84" s="10">
        <f>S84</f>
        <v/>
      </c>
      <c r="U84" s="359" t="n">
        <v>215000</v>
      </c>
      <c r="V84" s="10">
        <f>U84</f>
        <v/>
      </c>
      <c r="W84" s="277">
        <f>S84/G84</f>
        <v/>
      </c>
      <c r="X84" s="10" t="inlineStr">
        <is>
          <t>C</t>
        </is>
      </c>
      <c r="Y84" s="64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8" t="n">
        <v>44967</v>
      </c>
      <c r="L85" s="9" t="n">
        <v>48619</v>
      </c>
      <c r="N85" s="9" t="n">
        <v>46793</v>
      </c>
      <c r="O85" s="9" t="n">
        <v>46792</v>
      </c>
      <c r="P85" s="10" t="n">
        <v>109620</v>
      </c>
      <c r="Q85" s="10">
        <f>P85</f>
        <v/>
      </c>
      <c r="S85" s="7" t="n">
        <v>109620</v>
      </c>
      <c r="T85" s="10">
        <f>S85</f>
        <v/>
      </c>
      <c r="U85" s="359" t="n">
        <v>123600</v>
      </c>
      <c r="V85" s="10">
        <f>U85</f>
        <v/>
      </c>
      <c r="W85" s="277">
        <f>S85/G85</f>
        <v/>
      </c>
      <c r="X85" s="10" t="inlineStr">
        <is>
          <t>C</t>
        </is>
      </c>
      <c r="Y85" s="60" t="n"/>
      <c r="Z85" s="394" t="n"/>
      <c r="AA85" s="14" t="inlineStr">
        <is>
          <t>No</t>
        </is>
      </c>
      <c r="AB85" s="4" t="inlineStr">
        <is>
          <t>Tenant break on 6 months notice.</t>
        </is>
      </c>
      <c r="AE85" s="278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44593</v>
      </c>
      <c r="P86" s="10" t="n">
        <v>0</v>
      </c>
      <c r="Q86" s="10">
        <f>P86</f>
        <v/>
      </c>
      <c r="S86" s="7" t="n">
        <v>79800</v>
      </c>
      <c r="T86" s="10">
        <f>S86</f>
        <v/>
      </c>
      <c r="U86" s="359" t="n">
        <v>93600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43313</v>
      </c>
      <c r="P87" s="10" t="n">
        <v>0</v>
      </c>
      <c r="Q87" s="10">
        <f>P87</f>
        <v/>
      </c>
      <c r="S87" s="7" t="n">
        <v>79750</v>
      </c>
      <c r="T87" s="10">
        <f>S87</f>
        <v/>
      </c>
      <c r="U87" s="359" t="n">
        <v>93100</v>
      </c>
      <c r="V87" s="10">
        <f>U87</f>
        <v/>
      </c>
      <c r="W87" s="277">
        <f>S87/G87</f>
        <v/>
      </c>
      <c r="X87" s="10" t="inlineStr">
        <is>
          <t>D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9" t="n">
        <v>44409</v>
      </c>
      <c r="P88" s="10" t="n">
        <v>0</v>
      </c>
      <c r="Q88" s="10">
        <f>P88</f>
        <v/>
      </c>
      <c r="S88" s="7" t="n">
        <v>79800</v>
      </c>
      <c r="T88" s="10">
        <f>S88</f>
        <v/>
      </c>
      <c r="U88" s="359" t="n">
        <v>96200</v>
      </c>
      <c r="V88" s="10">
        <f>U88</f>
        <v/>
      </c>
      <c r="W88" s="277">
        <f>S88/G88</f>
        <v/>
      </c>
      <c r="X88" s="10" t="inlineStr">
        <is>
          <t>E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9" t="n">
        <v>44734</v>
      </c>
      <c r="P89" s="10" t="n">
        <v>0</v>
      </c>
      <c r="Q89" s="10">
        <f>P89</f>
        <v/>
      </c>
      <c r="S89" s="7" t="n">
        <v>39030</v>
      </c>
      <c r="T89" s="10">
        <f>S89</f>
        <v/>
      </c>
      <c r="U89" s="359" t="n">
        <v>49000</v>
      </c>
      <c r="V89" s="10">
        <f>U89</f>
        <v/>
      </c>
      <c r="W89" s="277">
        <f>S89/G89</f>
        <v/>
      </c>
      <c r="X89" s="10" t="inlineStr">
        <is>
          <t>D</t>
        </is>
      </c>
      <c r="Y89" s="60" t="n"/>
      <c r="Z89" s="394" t="n"/>
      <c r="AA89" s="14" t="inlineStr">
        <is>
          <t>No</t>
        </is>
      </c>
      <c r="AB89" s="29" t="inlineStr">
        <is>
          <t>Unit being refurbished.</t>
        </is>
      </c>
      <c r="AE89" s="278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8" t="n">
        <v>45624</v>
      </c>
      <c r="L90" s="9" t="n">
        <v>49275</v>
      </c>
      <c r="P90" s="10" t="n">
        <v>70000</v>
      </c>
      <c r="Q90" s="10">
        <f>P90</f>
        <v/>
      </c>
      <c r="S90" s="10" t="n">
        <v>76500</v>
      </c>
      <c r="T90" s="10">
        <f>S90</f>
        <v/>
      </c>
      <c r="U90" s="27" t="n">
        <v>94500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305" t="n"/>
      <c r="AE90" s="278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8" t="n">
        <v>43293</v>
      </c>
      <c r="L91" s="9" t="n">
        <v>46214</v>
      </c>
      <c r="P91" s="10" t="n">
        <v>120000</v>
      </c>
      <c r="Q91" s="10">
        <f>P91</f>
        <v/>
      </c>
      <c r="S91" s="10" t="n">
        <v>81000</v>
      </c>
      <c r="T91" s="10">
        <f>S91</f>
        <v/>
      </c>
      <c r="U91" s="27" t="n">
        <v>104000</v>
      </c>
      <c r="V91" s="10">
        <f>U91</f>
        <v/>
      </c>
      <c r="W91" s="277">
        <f>S91/G91</f>
        <v/>
      </c>
      <c r="X91" s="10" t="inlineStr">
        <is>
          <t>C</t>
        </is>
      </c>
      <c r="Y91" s="60" t="n"/>
      <c r="Z91" s="394" t="n"/>
      <c r="AA91" s="14" t="inlineStr">
        <is>
          <t>No</t>
        </is>
      </c>
      <c r="AE91" s="278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8" t="n">
        <v>44358</v>
      </c>
      <c r="L92" s="9" t="n">
        <v>48009</v>
      </c>
      <c r="N92" s="9" t="n">
        <v>46184</v>
      </c>
      <c r="O92" s="9" t="n">
        <v>46183</v>
      </c>
      <c r="P92" s="10" t="n">
        <v>189000</v>
      </c>
      <c r="Q92" s="10">
        <f>P92</f>
        <v/>
      </c>
      <c r="S92" s="10" t="n">
        <v>189300</v>
      </c>
      <c r="T92" s="10">
        <f>S92</f>
        <v/>
      </c>
      <c r="U92" s="27" t="n">
        <v>189300</v>
      </c>
      <c r="V92" s="10">
        <f>U92</f>
        <v/>
      </c>
      <c r="W92" s="277">
        <f>S92/G92</f>
        <v/>
      </c>
      <c r="X92" s="10" t="inlineStr">
        <is>
          <t>E</t>
        </is>
      </c>
      <c r="Y92" s="60" t="n"/>
      <c r="Z92" s="394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278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MG Gulyas Ltd</t>
        </is>
      </c>
      <c r="K93" s="8" t="n">
        <v>45352</v>
      </c>
      <c r="L93" s="9" t="n">
        <v>49003</v>
      </c>
      <c r="N93" s="9" t="n">
        <v>47178</v>
      </c>
      <c r="O93" s="9" t="n">
        <v>47177</v>
      </c>
      <c r="P93" s="10" t="n">
        <v>60000</v>
      </c>
      <c r="Q93" s="10">
        <f>P93</f>
        <v/>
      </c>
      <c r="S93" s="10" t="n">
        <v>55600</v>
      </c>
      <c r="T93" s="10">
        <f>S93</f>
        <v/>
      </c>
      <c r="U93" s="27" t="n">
        <v>59000</v>
      </c>
      <c r="V93" s="10">
        <f>U93</f>
        <v/>
      </c>
      <c r="W93" s="277">
        <f>S93/G93</f>
        <v/>
      </c>
      <c r="X93" s="10" t="inlineStr">
        <is>
          <t>B</t>
        </is>
      </c>
      <c r="Y93" s="60" t="n"/>
      <c r="Z93" s="394" t="n"/>
      <c r="AA93" s="14" t="inlineStr">
        <is>
          <t>No</t>
        </is>
      </c>
      <c r="AB93" s="4" t="inlineStr">
        <is>
          <t>Mutual break 28/02/29 on 6 months notice. 3 months rent free if break not exercised. Lease assigned from Beatify LDN Ltd from 01/07/25</t>
        </is>
      </c>
      <c r="AE93" s="278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8" t="n">
        <v>45579</v>
      </c>
      <c r="L94" s="9" t="n">
        <v>47404</v>
      </c>
      <c r="O94" s="9" t="n">
        <v>46673</v>
      </c>
      <c r="P94" s="10" t="n">
        <v>33000</v>
      </c>
      <c r="Q94" s="10">
        <f>P94</f>
        <v/>
      </c>
      <c r="S94" s="10" t="n">
        <v>29700</v>
      </c>
      <c r="T94" s="10">
        <f>S94</f>
        <v/>
      </c>
      <c r="U94" s="27" t="n">
        <v>30400</v>
      </c>
      <c r="V94" s="10">
        <f>U94</f>
        <v/>
      </c>
      <c r="W94" s="277">
        <f>S94/G94</f>
        <v/>
      </c>
      <c r="X94" s="10" t="inlineStr">
        <is>
          <t>D</t>
        </is>
      </c>
      <c r="Y94" s="60" t="n"/>
      <c r="Z94" s="394" t="n"/>
      <c r="AA94" s="14" t="inlineStr">
        <is>
          <t>No</t>
        </is>
      </c>
      <c r="AB94" s="4" t="inlineStr">
        <is>
          <t>Tenant break on 6 months notice.</t>
        </is>
      </c>
      <c r="AC94" s="305" t="n"/>
      <c r="AE94" s="278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9" t="n">
        <v>43256</v>
      </c>
      <c r="P95" s="10" t="n">
        <v>0</v>
      </c>
      <c r="Q95" s="10">
        <f>P95</f>
        <v/>
      </c>
      <c r="S95" s="10" t="n">
        <v>15800</v>
      </c>
      <c r="T95" s="10">
        <f>S95</f>
        <v/>
      </c>
      <c r="U95" s="27" t="n">
        <v>16700</v>
      </c>
      <c r="V95" s="10">
        <f>U95</f>
        <v/>
      </c>
      <c r="W95" s="277">
        <f>S95/G95</f>
        <v/>
      </c>
      <c r="X95" s="10" t="n"/>
      <c r="Y95" s="60" t="n"/>
      <c r="Z95" s="394" t="n"/>
      <c r="AA95" s="14" t="inlineStr">
        <is>
          <t>No</t>
        </is>
      </c>
      <c r="AB95" s="4" t="inlineStr">
        <is>
          <t>To be refurbished.</t>
        </is>
      </c>
      <c r="AE95" s="278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8" t="n">
        <v>45476</v>
      </c>
      <c r="L96" s="9" t="n">
        <v>47301</v>
      </c>
      <c r="O96" s="9" t="n">
        <v>46570</v>
      </c>
      <c r="P96" s="10" t="n">
        <v>17500</v>
      </c>
      <c r="Q96" s="10">
        <f>P96</f>
        <v/>
      </c>
      <c r="S96" s="10" t="n">
        <v>15000</v>
      </c>
      <c r="T96" s="10">
        <f>S96</f>
        <v/>
      </c>
      <c r="U96" s="27" t="n">
        <v>18100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279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8" t="n">
        <v>45754</v>
      </c>
      <c r="L97" s="9" t="n">
        <v>46849</v>
      </c>
      <c r="P97" s="10" t="n">
        <v>17500</v>
      </c>
      <c r="Q97" s="10">
        <f>P97</f>
        <v/>
      </c>
      <c r="S97" s="10" t="n">
        <v>15500</v>
      </c>
      <c r="T97" s="10">
        <f>S97</f>
        <v/>
      </c>
      <c r="U97" s="27" t="n">
        <v>17300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E97" s="278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8" t="n">
        <v>45863</v>
      </c>
      <c r="L98" s="9" t="n">
        <v>46958</v>
      </c>
      <c r="P98" s="10" t="n">
        <v>0</v>
      </c>
      <c r="Q98" s="10">
        <f>P98</f>
        <v/>
      </c>
      <c r="S98" s="10" t="n">
        <v>15000</v>
      </c>
      <c r="T98" s="10">
        <f>S98</f>
        <v/>
      </c>
      <c r="U98" s="27" t="n">
        <v>17000</v>
      </c>
      <c r="V98" s="10">
        <f>U98</f>
        <v/>
      </c>
      <c r="W98" s="277">
        <f>S98/G98</f>
        <v/>
      </c>
      <c r="X98" s="10" t="inlineStr">
        <is>
          <t>C</t>
        </is>
      </c>
      <c r="Y98" s="60" t="n"/>
      <c r="Z98" s="394" t="n"/>
      <c r="AA98" s="14" t="inlineStr">
        <is>
          <t>No</t>
        </is>
      </c>
      <c r="AB98" s="4" t="inlineStr">
        <is>
          <t>Rent £17,922 wef 25/09/25.</t>
        </is>
      </c>
      <c r="AE98" s="278" t="n"/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8" t="n">
        <v>45377</v>
      </c>
      <c r="L99" s="9" t="n">
        <v>49028</v>
      </c>
      <c r="N99" s="9" t="n">
        <v>47203</v>
      </c>
      <c r="P99" s="10" t="n">
        <v>45000</v>
      </c>
      <c r="Q99" s="10">
        <f>P99</f>
        <v/>
      </c>
      <c r="S99" s="10" t="n">
        <v>39000</v>
      </c>
      <c r="T99" s="10">
        <f>S99</f>
        <v/>
      </c>
      <c r="U99" s="27" t="n">
        <v>45000</v>
      </c>
      <c r="V99" s="10">
        <f>U99</f>
        <v/>
      </c>
      <c r="W99" s="277">
        <f>S99/G99</f>
        <v/>
      </c>
      <c r="X99" s="10" t="inlineStr">
        <is>
          <t>D</t>
        </is>
      </c>
      <c r="Y99" s="60" t="n"/>
      <c r="Z99" s="394" t="n"/>
      <c r="AA99" s="14" t="inlineStr">
        <is>
          <t>No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9" t="n">
        <v>45282</v>
      </c>
      <c r="P100" s="10" t="n">
        <v>0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E</t>
        </is>
      </c>
      <c r="Y100" s="60" t="n"/>
      <c r="Z100" s="394" t="n"/>
      <c r="AA100" s="14" t="inlineStr">
        <is>
          <t>No</t>
        </is>
      </c>
      <c r="AB100" s="29" t="inlineStr">
        <is>
          <t>Under offer</t>
        </is>
      </c>
      <c r="AC100" s="303" t="n">
        <v>58</v>
      </c>
      <c r="AE100" s="278" t="n">
        <v>1</v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8" t="n">
        <v>45698</v>
      </c>
      <c r="L101" s="9" t="n">
        <v>46427</v>
      </c>
      <c r="P101" s="10" t="n">
        <v>22069</v>
      </c>
      <c r="Q101" s="10">
        <f>P101</f>
        <v/>
      </c>
      <c r="S101" s="10" t="n">
        <v>17100</v>
      </c>
      <c r="T101" s="10">
        <f>S101</f>
        <v/>
      </c>
      <c r="U101" s="27" t="n">
        <v>17100</v>
      </c>
      <c r="V101" s="10">
        <f>U101</f>
        <v/>
      </c>
      <c r="W101" s="277">
        <f>S101/G101</f>
        <v/>
      </c>
      <c r="X101" s="10" t="inlineStr">
        <is>
          <t>D</t>
        </is>
      </c>
      <c r="Y101" s="60" t="n"/>
      <c r="Z101" s="394" t="n"/>
      <c r="AA101" s="14" t="inlineStr">
        <is>
          <t>No</t>
        </is>
      </c>
      <c r="AB101" s="4" t="inlineStr">
        <is>
          <t>Rent all inclusive (excl rates).</t>
        </is>
      </c>
      <c r="AE101" s="278" t="n">
        <v>1</v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9" t="n">
        <v>44714</v>
      </c>
      <c r="P102" s="10" t="n">
        <v>0</v>
      </c>
      <c r="Q102" s="10">
        <f>P102</f>
        <v/>
      </c>
      <c r="S102" s="10" t="n">
        <v>16300</v>
      </c>
      <c r="T102" s="10">
        <f>S102</f>
        <v/>
      </c>
      <c r="U102" s="27" t="n">
        <v>16300</v>
      </c>
      <c r="V102" s="10">
        <f>U102</f>
        <v/>
      </c>
      <c r="W102" s="277">
        <f>S102/G102</f>
        <v/>
      </c>
      <c r="X102" s="10" t="inlineStr">
        <is>
          <t>C</t>
        </is>
      </c>
      <c r="Y102" s="60" t="n"/>
      <c r="Z102" s="394" t="n"/>
      <c r="AA102" s="14" t="inlineStr">
        <is>
          <t>No</t>
        </is>
      </c>
      <c r="AB102" s="29" t="inlineStr">
        <is>
          <t>Refurbishement completed. LEM marketing.</t>
        </is>
      </c>
      <c r="AC102" s="303" t="n">
        <v>52.5</v>
      </c>
      <c r="AE102" s="278" t="n"/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388" t="n">
        <v>45832</v>
      </c>
      <c r="L103" s="387" t="n">
        <v>49483</v>
      </c>
      <c r="M103" s="387" t="n"/>
      <c r="N103" s="387" t="n">
        <v>47658</v>
      </c>
      <c r="O103" s="387" t="n">
        <v>47657</v>
      </c>
      <c r="P103" s="27" t="n">
        <v>24210</v>
      </c>
      <c r="Q103" s="10">
        <f>P103</f>
        <v/>
      </c>
      <c r="S103" s="10" t="n">
        <v>34320</v>
      </c>
      <c r="T103" s="10">
        <f>S103</f>
        <v/>
      </c>
      <c r="U103" s="27" t="n">
        <v>48420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29" t="inlineStr">
        <is>
          <t>Lease renewal completed. Rent increases to £48,420 wef 24/12/25. Tenant break on 6 months notice.</t>
        </is>
      </c>
      <c r="AE103" s="278" t="n"/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8" t="n">
        <v>44075</v>
      </c>
      <c r="L104" s="9" t="n">
        <v>45900</v>
      </c>
      <c r="P104" s="10" t="n">
        <v>12500</v>
      </c>
      <c r="Q104" s="10">
        <f>P104</f>
        <v/>
      </c>
      <c r="S104" s="10" t="n">
        <v>12000</v>
      </c>
      <c r="T104" s="10">
        <f>S104</f>
        <v/>
      </c>
      <c r="U104" s="27" t="n">
        <v>12000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4" t="inlineStr">
        <is>
          <t>All Inclusive. Lease renewal being discussed.</t>
        </is>
      </c>
      <c r="AE104" s="278" t="n"/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43738</v>
      </c>
      <c r="P105" s="10" t="n">
        <v>0</v>
      </c>
      <c r="Q105" s="10">
        <f>P105</f>
        <v/>
      </c>
      <c r="S105" s="10" t="n">
        <v>18500</v>
      </c>
      <c r="T105" s="10">
        <f>S105</f>
        <v/>
      </c>
      <c r="U105" s="27" t="n">
        <v>18500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52.5</v>
      </c>
      <c r="AE105" s="278" t="n">
        <v>1</v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45379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17062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</row>
    <row r="107">
      <c r="A107" s="11" t="inlineStr">
        <is>
          <t>WS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9" t="n">
        <v>45170</v>
      </c>
      <c r="P107" s="10" t="n">
        <v>0</v>
      </c>
      <c r="Q107" s="10">
        <f>P107</f>
        <v/>
      </c>
      <c r="S107" s="10" t="n">
        <v>17000</v>
      </c>
      <c r="T107" s="10">
        <f>S107</f>
        <v/>
      </c>
      <c r="U107" s="27" t="n">
        <v>16852</v>
      </c>
      <c r="V107" s="10">
        <f>U107</f>
        <v/>
      </c>
      <c r="W107" s="277">
        <f>S107/G107</f>
        <v/>
      </c>
      <c r="X107" s="10" t="inlineStr">
        <is>
          <t>E</t>
        </is>
      </c>
      <c r="Y107" s="60" t="n"/>
      <c r="Z107" s="394" t="n"/>
      <c r="AA107" s="14" t="inlineStr">
        <is>
          <t>No</t>
        </is>
      </c>
      <c r="AB107" s="29" t="inlineStr">
        <is>
          <t>Refurbishment completed. LEM marketing.</t>
        </is>
      </c>
      <c r="AC107" s="303" t="n">
        <v>53</v>
      </c>
      <c r="AE107" s="278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27000</v>
      </c>
      <c r="Q108" s="10">
        <f>P108</f>
        <v/>
      </c>
      <c r="S108" s="10" t="n">
        <v>25000</v>
      </c>
      <c r="T108" s="10">
        <f>S108</f>
        <v/>
      </c>
      <c r="U108" s="27" t="n">
        <v>27000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 xml:space="preserve">Tenant break on 6 months notice. </t>
        </is>
      </c>
      <c r="AE108" s="278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8" t="n">
        <v>45706</v>
      </c>
      <c r="L109" s="9" t="n">
        <v>49357</v>
      </c>
      <c r="N109" s="9" t="n">
        <v>47532</v>
      </c>
      <c r="O109" s="9" t="n">
        <v>47531</v>
      </c>
      <c r="P109" s="10" t="n">
        <v>22000</v>
      </c>
      <c r="Q109" s="10">
        <f>P109</f>
        <v/>
      </c>
      <c r="S109" s="10" t="n">
        <v>20000</v>
      </c>
      <c r="T109" s="10">
        <f>S109</f>
        <v/>
      </c>
      <c r="U109" s="27" t="n">
        <v>22000</v>
      </c>
      <c r="V109" s="10">
        <f>U109</f>
        <v/>
      </c>
      <c r="W109" s="277">
        <f>S109/G109</f>
        <v/>
      </c>
      <c r="X109" s="10" t="inlineStr">
        <is>
          <t>B</t>
        </is>
      </c>
      <c r="Y109" s="60" t="n"/>
      <c r="Z109" s="394" t="n"/>
      <c r="AA109" s="14" t="inlineStr">
        <is>
          <t>No</t>
        </is>
      </c>
      <c r="AB109" s="4" t="inlineStr">
        <is>
          <t>Tenant break on 6 months notice.</t>
        </is>
      </c>
      <c r="AE109" s="278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9" t="n">
        <v>43256</v>
      </c>
      <c r="P110" s="10" t="n">
        <v>0</v>
      </c>
      <c r="Q110" s="10">
        <f>P110</f>
        <v/>
      </c>
      <c r="S110" s="10" t="n">
        <v>90000</v>
      </c>
      <c r="T110" s="10">
        <f>S110</f>
        <v/>
      </c>
      <c r="U110" s="27" t="n">
        <v>84000</v>
      </c>
      <c r="V110" s="10">
        <f>U110</f>
        <v/>
      </c>
      <c r="W110" s="277">
        <f>S110/G110</f>
        <v/>
      </c>
      <c r="X110" s="10" t="n"/>
      <c r="Y110" s="60" t="n"/>
      <c r="Z110" s="394" t="n"/>
      <c r="AA110" s="14" t="inlineStr">
        <is>
          <t>No</t>
        </is>
      </c>
      <c r="AB110" s="4" t="inlineStr">
        <is>
          <t>Mothballed.</t>
        </is>
      </c>
      <c r="AD110" s="29" t="n"/>
      <c r="AE110" s="279" t="n"/>
      <c r="AF110" s="29" t="n"/>
    </row>
    <row r="111">
      <c r="A111" s="11" t="inlineStr">
        <is>
          <t>WS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10">
        <f>G111</f>
        <v/>
      </c>
      <c r="I111" s="10" t="n">
        <v>1250</v>
      </c>
      <c r="J111" s="4" t="inlineStr">
        <is>
          <t>Tikkas Group Ltd</t>
        </is>
      </c>
      <c r="K111" s="8" t="n">
        <v>45748</v>
      </c>
      <c r="L111" s="9" t="n">
        <v>49399</v>
      </c>
      <c r="N111" s="9" t="n">
        <v>47574</v>
      </c>
      <c r="O111" s="9" t="n">
        <v>47573</v>
      </c>
      <c r="P111" s="10" t="n">
        <v>0</v>
      </c>
      <c r="Q111" s="10">
        <f>P111</f>
        <v/>
      </c>
      <c r="R111" s="19">
        <f>Q111</f>
        <v/>
      </c>
      <c r="S111" s="19" t="n">
        <v>90000</v>
      </c>
      <c r="T111" s="10">
        <f>S111</f>
        <v/>
      </c>
      <c r="U111" s="36" t="n">
        <v>90000</v>
      </c>
      <c r="V111" s="10">
        <f>U111</f>
        <v/>
      </c>
      <c r="W111" s="277">
        <f>S111/G111</f>
        <v/>
      </c>
      <c r="X111" s="10" t="inlineStr">
        <is>
          <t>D</t>
        </is>
      </c>
      <c r="Y111" s="60" t="n"/>
      <c r="Z111" s="361" t="n">
        <v>1450000</v>
      </c>
      <c r="AA111" s="14" t="inlineStr">
        <is>
          <t>No</t>
        </is>
      </c>
      <c r="AB111" s="4" t="inlineStr">
        <is>
          <t>Rent £90,000 wef 01/09/25. Tenant break on 6 months notice. 2 months rent free if break not exercised.</t>
        </is>
      </c>
      <c r="AC111" s="303" t="n">
        <v>69</v>
      </c>
      <c r="AE111" s="278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2" t="n">
        <v>1440</v>
      </c>
      <c r="H112" s="10">
        <f>G112</f>
        <v/>
      </c>
      <c r="I112" s="10" t="n">
        <v>1500</v>
      </c>
      <c r="J112" s="4" t="inlineStr">
        <is>
          <t>Pho Trading Ltd.</t>
        </is>
      </c>
      <c r="K112" s="9" t="n">
        <v>43430</v>
      </c>
      <c r="L112" s="9" t="n">
        <v>47082</v>
      </c>
      <c r="N112" s="9" t="n">
        <v>45256</v>
      </c>
      <c r="P112" s="10" t="n">
        <v>100000</v>
      </c>
      <c r="Q112" s="10">
        <f>P112</f>
        <v/>
      </c>
      <c r="S112" s="10" t="n">
        <v>100000</v>
      </c>
      <c r="T112" s="10">
        <f>S112</f>
        <v/>
      </c>
      <c r="U112" s="27" t="n">
        <v>100000</v>
      </c>
      <c r="V112" s="10">
        <f>U112</f>
        <v/>
      </c>
      <c r="W112" s="277">
        <f>S112/G112</f>
        <v/>
      </c>
      <c r="X112" s="10" t="inlineStr">
        <is>
          <t>C</t>
        </is>
      </c>
      <c r="Y112" s="60" t="n"/>
      <c r="Z112" s="394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278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10">
        <f>G113</f>
        <v/>
      </c>
      <c r="I113" s="10" t="n">
        <v>1000</v>
      </c>
      <c r="J113" s="25" t="inlineStr">
        <is>
          <t>Hewson Independent Trading Company Ltd</t>
        </is>
      </c>
      <c r="K113" s="9" t="n">
        <v>45065</v>
      </c>
      <c r="L113" s="9" t="n">
        <v>46160</v>
      </c>
      <c r="P113" s="10" t="n">
        <v>88400</v>
      </c>
      <c r="Q113" s="10">
        <f>P113</f>
        <v/>
      </c>
      <c r="S113" s="10" t="n">
        <v>58968</v>
      </c>
      <c r="T113" s="10">
        <f>S113</f>
        <v/>
      </c>
      <c r="U113" s="27" t="n">
        <v>88400</v>
      </c>
      <c r="V113" s="10">
        <f>U113</f>
        <v/>
      </c>
      <c r="W113" s="10" t="n"/>
      <c r="X113" s="10" t="inlineStr">
        <is>
          <t>D</t>
        </is>
      </c>
      <c r="Y113" s="60" t="n"/>
      <c r="Z113" s="394" t="n"/>
      <c r="AA113" s="14" t="inlineStr">
        <is>
          <t>No</t>
        </is>
      </c>
      <c r="AE113" s="278" t="n"/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8" t="n">
        <v>45247</v>
      </c>
      <c r="L114" s="9" t="n">
        <v>48899</v>
      </c>
      <c r="N114" s="9" t="n">
        <v>47074</v>
      </c>
      <c r="O114" s="9" t="n">
        <v>47073</v>
      </c>
      <c r="P114" s="10" t="n">
        <v>100000</v>
      </c>
      <c r="Q114" s="10">
        <f>P114</f>
        <v/>
      </c>
      <c r="S114" s="10" t="n">
        <v>71800</v>
      </c>
      <c r="T114" s="10">
        <f>S114</f>
        <v/>
      </c>
      <c r="U114" s="27" t="n">
        <v>100000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278" t="n"/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8" t="n">
        <v>44497</v>
      </c>
      <c r="L115" s="9" t="n">
        <v>46322</v>
      </c>
      <c r="P115" s="10" t="n">
        <v>96000</v>
      </c>
      <c r="Q115" s="10">
        <f>P115</f>
        <v/>
      </c>
      <c r="S115" s="10" t="n">
        <v>78600</v>
      </c>
      <c r="T115" s="10">
        <f>S115</f>
        <v/>
      </c>
      <c r="U115" s="27" t="n">
        <v>96000</v>
      </c>
      <c r="V115" s="10">
        <f>U115</f>
        <v/>
      </c>
      <c r="W115" s="277">
        <f>S115/G115</f>
        <v/>
      </c>
      <c r="X115" s="10" t="inlineStr">
        <is>
          <t>C</t>
        </is>
      </c>
      <c r="Y115" s="60" t="n"/>
      <c r="Z115" s="394" t="n"/>
      <c r="AA115" s="14" t="inlineStr">
        <is>
          <t>No</t>
        </is>
      </c>
      <c r="AE115" s="278" t="n"/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388" t="n">
        <v>45748</v>
      </c>
      <c r="L116" s="387" t="n">
        <v>45930</v>
      </c>
      <c r="P116" s="27" t="n">
        <v>96000</v>
      </c>
      <c r="Q116" s="10">
        <f>P116</f>
        <v/>
      </c>
      <c r="S116" s="10" t="n">
        <v>121900</v>
      </c>
      <c r="T116" s="10">
        <f>S116</f>
        <v/>
      </c>
      <c r="U116" s="27" t="n">
        <v>133400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Short term lease renewal completed. Rent inclusive of service charge.</t>
        </is>
      </c>
      <c r="AD116" s="29" t="n"/>
      <c r="AE116" s="279" t="n"/>
      <c r="AF116" s="29" t="n"/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29" t="inlineStr">
        <is>
          <t>Vacant</t>
        </is>
      </c>
      <c r="K117" s="387" t="n"/>
      <c r="L117" s="387" t="n"/>
      <c r="M117" s="387" t="n">
        <v>45864</v>
      </c>
      <c r="P117" s="27" t="n">
        <v>0</v>
      </c>
      <c r="Q117" s="10">
        <f>P117</f>
        <v/>
      </c>
      <c r="S117" s="10" t="n">
        <v>121800</v>
      </c>
      <c r="T117" s="10">
        <f>S117</f>
        <v/>
      </c>
      <c r="U117" s="27" t="n">
        <v>130800</v>
      </c>
      <c r="V117" s="10">
        <f>U117</f>
        <v/>
      </c>
      <c r="W117" s="277">
        <f>S117/G117</f>
        <v/>
      </c>
      <c r="X117" s="10" t="inlineStr">
        <is>
          <t>D</t>
        </is>
      </c>
      <c r="Y117" s="60" t="n"/>
      <c r="Z117" s="394" t="n"/>
      <c r="AA117" s="14" t="inlineStr">
        <is>
          <t>No</t>
        </is>
      </c>
      <c r="AB117" s="29" t="inlineStr">
        <is>
          <t>LEM marketing.</t>
        </is>
      </c>
      <c r="AE117" s="278" t="n"/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8" t="n">
        <v>45357</v>
      </c>
      <c r="L118" s="9" t="n">
        <v>47182</v>
      </c>
      <c r="P118" s="10" t="n">
        <v>137025</v>
      </c>
      <c r="Q118" s="10">
        <f>P118</f>
        <v/>
      </c>
      <c r="S118" s="10" t="n">
        <v>121800</v>
      </c>
      <c r="T118" s="10">
        <f>S118</f>
        <v/>
      </c>
      <c r="U118" s="27" t="n">
        <v>137025</v>
      </c>
      <c r="V118" s="10">
        <f>U118</f>
        <v/>
      </c>
      <c r="W118" s="277">
        <f>S118/G118</f>
        <v/>
      </c>
      <c r="X118" s="10" t="inlineStr">
        <is>
          <t>B</t>
        </is>
      </c>
      <c r="Y118" s="60" t="n"/>
      <c r="Z118" s="394" t="n"/>
      <c r="AA118" s="14" t="inlineStr">
        <is>
          <t>No</t>
        </is>
      </c>
      <c r="AE118" s="278" t="n"/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9" t="n"/>
      <c r="M119" s="9" t="n">
        <v>45596</v>
      </c>
      <c r="P119" s="10" t="n">
        <v>0</v>
      </c>
      <c r="Q119" s="10">
        <f>P119</f>
        <v/>
      </c>
      <c r="S119" s="10" t="n">
        <v>117300</v>
      </c>
      <c r="T119" s="10">
        <f>S119</f>
        <v/>
      </c>
      <c r="U119" s="27" t="n">
        <v>129500</v>
      </c>
      <c r="V119" s="10">
        <f>U119</f>
        <v/>
      </c>
      <c r="W119" s="277">
        <f>S119/G119</f>
        <v/>
      </c>
      <c r="X119" s="10" t="inlineStr">
        <is>
          <t>D</t>
        </is>
      </c>
      <c r="Y119" s="60" t="n"/>
      <c r="Z119" s="394" t="n"/>
      <c r="AA119" s="14" t="inlineStr">
        <is>
          <t>No</t>
        </is>
      </c>
      <c r="AB119" s="29" t="inlineStr">
        <is>
          <t>LEM marketing.</t>
        </is>
      </c>
      <c r="AC119" s="303" t="n">
        <v>72.5</v>
      </c>
      <c r="AE119" s="278" t="n">
        <v>2</v>
      </c>
      <c r="AF119" s="4" t="inlineStr">
        <is>
          <t>LEM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359" t="n">
        <v>1674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8" t="n">
        <v>44805</v>
      </c>
      <c r="L120" s="9" t="n">
        <v>46630</v>
      </c>
      <c r="O120" s="9" t="n">
        <v>45900</v>
      </c>
      <c r="P120" s="10" t="n">
        <v>98280</v>
      </c>
      <c r="Q120" s="10">
        <f>P120</f>
        <v/>
      </c>
      <c r="S120" s="10" t="n">
        <v>100400</v>
      </c>
      <c r="T120" s="10">
        <f>S120</f>
        <v/>
      </c>
      <c r="U120" s="27" t="n">
        <v>113000</v>
      </c>
      <c r="V120" s="10">
        <f>U120</f>
        <v/>
      </c>
      <c r="W120" s="277">
        <f>S120/G120</f>
        <v/>
      </c>
      <c r="X120" s="27" t="inlineStr">
        <is>
          <t>B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 3 month rent free wef 01/09/25 to 30/11/25 granted to reflect cost of tenant installing air-con. Unit remeasured.</t>
        </is>
      </c>
      <c r="AE120" s="278" t="n"/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Fiorentino Ltd</t>
        </is>
      </c>
      <c r="K121" s="8" t="n">
        <v>45504</v>
      </c>
      <c r="L121" s="9" t="n">
        <v>47329</v>
      </c>
      <c r="O121" s="9" t="n">
        <v>46599</v>
      </c>
      <c r="P121" s="10" t="n">
        <v>65000</v>
      </c>
      <c r="Q121" s="10">
        <f>P121</f>
        <v/>
      </c>
      <c r="S121" s="10" t="n">
        <v>50400</v>
      </c>
      <c r="T121" s="10">
        <f>S121</f>
        <v/>
      </c>
      <c r="U121" s="27" t="n">
        <v>63500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4" t="inlineStr">
        <is>
          <t>Tenant break on 6 months notice.</t>
        </is>
      </c>
      <c r="AD121" s="29" t="n"/>
      <c r="AE121" s="279" t="n"/>
      <c r="AF121" s="29" t="n"/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8" t="n">
        <v>45439</v>
      </c>
      <c r="L122" s="9" t="n">
        <v>47264</v>
      </c>
      <c r="P122" s="10" t="n">
        <v>16000</v>
      </c>
      <c r="Q122" s="10">
        <f>P122</f>
        <v/>
      </c>
      <c r="S122" s="10" t="n">
        <v>13100</v>
      </c>
      <c r="T122" s="10">
        <f>S122</f>
        <v/>
      </c>
      <c r="U122" s="27" t="n">
        <v>14600</v>
      </c>
      <c r="V122" s="10">
        <f>U122</f>
        <v/>
      </c>
      <c r="W122" s="277">
        <f>S122/G122</f>
        <v/>
      </c>
      <c r="X122" s="10" t="inlineStr">
        <is>
          <t>C</t>
        </is>
      </c>
      <c r="Y122" s="60" t="n"/>
      <c r="Z122" s="394" t="n"/>
      <c r="AA122" s="14" t="inlineStr">
        <is>
          <t>No</t>
        </is>
      </c>
      <c r="AB122" s="13" t="n"/>
      <c r="AD122" s="13" t="n"/>
      <c r="AE122" s="282" t="n"/>
      <c r="AF122" s="13" t="n"/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8" t="n">
        <v>44515</v>
      </c>
      <c r="L123" s="9" t="n">
        <v>46340</v>
      </c>
      <c r="P123" s="10" t="n">
        <v>48000</v>
      </c>
      <c r="Q123" s="10">
        <f>P123</f>
        <v/>
      </c>
      <c r="S123" s="10" t="n">
        <v>48000</v>
      </c>
      <c r="T123" s="10">
        <f>S123</f>
        <v/>
      </c>
      <c r="U123" s="27" t="n">
        <v>48000</v>
      </c>
      <c r="V123" s="10">
        <f>U123</f>
        <v/>
      </c>
      <c r="W123" s="277">
        <f>S123/G123</f>
        <v/>
      </c>
      <c r="X123" s="10" t="inlineStr">
        <is>
          <t>D</t>
        </is>
      </c>
      <c r="Y123" s="60" t="n"/>
      <c r="Z123" s="394" t="n"/>
      <c r="AA123" s="14" t="inlineStr">
        <is>
          <t>No</t>
        </is>
      </c>
      <c r="AE123" s="278" t="n"/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8" t="n">
        <v>45709</v>
      </c>
      <c r="L124" s="9" t="n">
        <v>47066</v>
      </c>
      <c r="P124" s="10" t="n">
        <v>25310</v>
      </c>
      <c r="Q124" s="10">
        <f>P124</f>
        <v/>
      </c>
      <c r="S124" s="10" t="n">
        <v>28000</v>
      </c>
      <c r="T124" s="10">
        <f>S124</f>
        <v/>
      </c>
      <c r="U124" s="27" t="n">
        <v>20000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All inclusive excluding rates.</t>
        </is>
      </c>
      <c r="AE124" s="278" t="n">
        <v>1</v>
      </c>
      <c r="AF124" s="4" t="inlineStr">
        <is>
          <t>LEM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8" t="n">
        <v>45624</v>
      </c>
      <c r="L125" s="9" t="n">
        <v>47449</v>
      </c>
      <c r="O125" s="9" t="n">
        <v>46718</v>
      </c>
      <c r="P125" s="10" t="n">
        <v>40200</v>
      </c>
      <c r="Q125" s="10">
        <f>P125</f>
        <v/>
      </c>
      <c r="S125" s="10" t="n">
        <v>73700</v>
      </c>
      <c r="T125" s="10">
        <f>S125</f>
        <v/>
      </c>
      <c r="U125" s="27" t="n">
        <v>80400</v>
      </c>
      <c r="V125" s="10">
        <f>U125</f>
        <v/>
      </c>
      <c r="W125" s="277">
        <f>S125/G125</f>
        <v/>
      </c>
      <c r="X125" s="27" t="inlineStr">
        <is>
          <t>B</t>
        </is>
      </c>
      <c r="Y125" s="60" t="n"/>
      <c r="Z125" s="394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278" t="n">
        <v>1</v>
      </c>
      <c r="AF125" s="4" t="inlineStr">
        <is>
          <t>LEM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9" t="n">
        <v>44536</v>
      </c>
      <c r="P126" s="10" t="n">
        <v>0</v>
      </c>
      <c r="Q126" s="10">
        <f>P126</f>
        <v/>
      </c>
      <c r="S126" s="10" t="n">
        <v>28900</v>
      </c>
      <c r="T126" s="10">
        <f>S126</f>
        <v/>
      </c>
      <c r="U126" s="27" t="n">
        <v>30600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B126" s="29" t="inlineStr">
        <is>
          <t>Refurbishement completed. LEM marketing.</t>
        </is>
      </c>
      <c r="AE126" s="278" t="n"/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44490</v>
      </c>
      <c r="L127" s="9" t="n">
        <v>45930</v>
      </c>
      <c r="N127" s="9" t="n">
        <v>45258</v>
      </c>
      <c r="P127" s="10" t="n">
        <v>78800</v>
      </c>
      <c r="Q127" s="10">
        <f>P127</f>
        <v/>
      </c>
      <c r="S127" s="10" t="n">
        <v>79100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E127" s="278" t="n"/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8" t="n">
        <v>45259</v>
      </c>
      <c r="L128" s="9" t="n">
        <v>45930</v>
      </c>
      <c r="M128" s="9" t="n"/>
      <c r="N128" s="9" t="n"/>
      <c r="O128" s="9" t="n">
        <v>45930</v>
      </c>
      <c r="P128" s="10" t="n">
        <v>78800</v>
      </c>
      <c r="Q128" s="10">
        <f>P128</f>
        <v/>
      </c>
      <c r="R128" s="10" t="n"/>
      <c r="S128" s="10" t="n">
        <v>79600</v>
      </c>
      <c r="T128" s="10">
        <f>S128</f>
        <v/>
      </c>
      <c r="U128" s="27" t="n">
        <v>87800</v>
      </c>
      <c r="V128" s="10">
        <f>U128</f>
        <v/>
      </c>
      <c r="W128" s="277">
        <f>S128/G128</f>
        <v/>
      </c>
      <c r="X128" s="10" t="inlineStr">
        <is>
          <t>C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303" t="n"/>
      <c r="AD128" s="4" t="n"/>
      <c r="AE128" s="278" t="n"/>
      <c r="AF128" s="4" t="n"/>
    </row>
    <row r="129">
      <c r="A129" s="11" t="inlineStr">
        <is>
          <t>WS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4" t="inlineStr">
        <is>
          <t>Autonomous UK Operations Ltd</t>
        </is>
      </c>
      <c r="K129" s="8" t="n">
        <v>45762</v>
      </c>
      <c r="L129" s="9" t="n">
        <v>47587</v>
      </c>
      <c r="M129" s="9" t="n"/>
      <c r="N129" s="9" t="n"/>
      <c r="O129" s="9" t="n">
        <v>46857</v>
      </c>
      <c r="P129" s="10" t="n">
        <v>86450</v>
      </c>
      <c r="Q129" s="10">
        <f>P129</f>
        <v/>
      </c>
      <c r="R129" s="10" t="n"/>
      <c r="S129" s="10" t="n">
        <v>78200</v>
      </c>
      <c r="T129" s="10">
        <f>S129</f>
        <v/>
      </c>
      <c r="U129" s="27" t="n">
        <v>86500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</t>
        </is>
      </c>
      <c r="AC129" s="303" t="n">
        <v>63</v>
      </c>
      <c r="AD129" s="4" t="n"/>
      <c r="AE129" s="278" t="n">
        <v>4</v>
      </c>
      <c r="AF129" s="4" t="inlineStr">
        <is>
          <t>LEM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8" t="n">
        <v>44348</v>
      </c>
      <c r="L130" s="9" t="n">
        <v>47999</v>
      </c>
      <c r="N130" s="9" t="n">
        <v>46174</v>
      </c>
      <c r="O130" s="9" t="n">
        <v>46173</v>
      </c>
      <c r="P130" s="10" t="n">
        <v>75000</v>
      </c>
      <c r="Q130" s="10">
        <f>P130</f>
        <v/>
      </c>
      <c r="S130" s="10" t="n">
        <v>75800</v>
      </c>
      <c r="T130" s="10">
        <f>S130</f>
        <v/>
      </c>
      <c r="U130" s="27" t="n">
        <v>75000</v>
      </c>
      <c r="V130" s="10">
        <f>U130</f>
        <v/>
      </c>
      <c r="W130" s="277">
        <f>S130/G130</f>
        <v/>
      </c>
      <c r="X130" s="10" t="inlineStr">
        <is>
          <t>B</t>
        </is>
      </c>
      <c r="Y130" s="60" t="n"/>
      <c r="Z130" s="394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278" t="n"/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9" t="n">
        <v>45154</v>
      </c>
      <c r="P131" s="10" t="n">
        <v>0</v>
      </c>
      <c r="Q131" s="10">
        <f>P131</f>
        <v/>
      </c>
      <c r="S131" s="10" t="n">
        <v>113900</v>
      </c>
      <c r="T131" s="10">
        <f>S131</f>
        <v/>
      </c>
      <c r="U131" s="27" t="n">
        <v>116800</v>
      </c>
      <c r="V131" s="10">
        <f>U131</f>
        <v/>
      </c>
      <c r="W131" s="277">
        <f>S131/G131</f>
        <v/>
      </c>
      <c r="X131" s="10" t="inlineStr">
        <is>
          <t>E</t>
        </is>
      </c>
      <c r="Y131" s="60" t="n"/>
      <c r="Z131" s="394" t="n"/>
      <c r="AA131" s="14" t="inlineStr">
        <is>
          <t>No</t>
        </is>
      </c>
      <c r="AB131" s="4" t="inlineStr">
        <is>
          <t>Unit under offer.</t>
        </is>
      </c>
      <c r="AC131" s="303" t="n">
        <v>60</v>
      </c>
      <c r="AE131" s="278" t="n">
        <v>6</v>
      </c>
      <c r="AF131" s="4" t="inlineStr">
        <is>
          <t>LEM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8" t="n">
        <v>44839</v>
      </c>
      <c r="L132" s="9" t="n">
        <v>46664</v>
      </c>
      <c r="O132" s="9" t="n">
        <v>45935</v>
      </c>
      <c r="P132" s="10" t="n">
        <v>153216</v>
      </c>
      <c r="Q132" s="10">
        <f>P132</f>
        <v/>
      </c>
      <c r="S132" s="10" t="n">
        <v>153600</v>
      </c>
      <c r="T132" s="10">
        <f>S132</f>
        <v/>
      </c>
      <c r="U132" s="27" t="n">
        <v>151900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Rent reducing to £134,064 wef 05/10/25. Tenant break on 6 months notice.</t>
        </is>
      </c>
      <c r="AE132" s="278" t="n"/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8" t="n">
        <v>44879</v>
      </c>
      <c r="L133" s="9" t="n">
        <v>46704</v>
      </c>
      <c r="O133" s="9" t="n">
        <v>45974</v>
      </c>
      <c r="P133" s="10" t="n">
        <v>310500</v>
      </c>
      <c r="Q133" s="10">
        <f>P133</f>
        <v/>
      </c>
      <c r="S133" s="10" t="n">
        <v>310800</v>
      </c>
      <c r="T133" s="10">
        <f>S133</f>
        <v/>
      </c>
      <c r="U133" s="27" t="n">
        <v>316400</v>
      </c>
      <c r="V133" s="10">
        <f>U133</f>
        <v/>
      </c>
      <c r="W133" s="277">
        <f>S133/G133</f>
        <v/>
      </c>
      <c r="X133" s="10" t="inlineStr">
        <is>
          <t>D</t>
        </is>
      </c>
      <c r="Y133" s="60" t="n"/>
      <c r="Z133" s="394" t="n"/>
      <c r="AA133" s="14" t="inlineStr">
        <is>
          <t>No</t>
        </is>
      </c>
      <c r="AB133" s="4" t="inlineStr">
        <is>
          <t>Tenant break on 6 months notice. 3 months rent free if not exercised. Break notice served. Ongoing discussions regarding renewal of one floor.</t>
        </is>
      </c>
      <c r="AE133" s="278" t="n"/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8" t="n">
        <v>44883</v>
      </c>
      <c r="L134" s="9" t="n">
        <v>47074</v>
      </c>
      <c r="P134" s="10" t="n">
        <v>151875</v>
      </c>
      <c r="Q134" s="10">
        <f>P134</f>
        <v/>
      </c>
      <c r="S134" s="10" t="n">
        <v>152900</v>
      </c>
      <c r="T134" s="10">
        <f>S134</f>
        <v/>
      </c>
      <c r="U134" s="27" t="n">
        <v>157500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B134" s="4" t="inlineStr">
        <is>
          <t>Rent free wef 18/11/25 to 17/05/26</t>
        </is>
      </c>
      <c r="AE134" s="278" t="n"/>
    </row>
    <row r="135">
      <c r="A135" s="11" t="inlineStr">
        <is>
          <t>SH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8" t="n">
        <v>44470</v>
      </c>
      <c r="L135" s="9" t="n">
        <v>46295</v>
      </c>
      <c r="P135" s="10" t="n">
        <v>120750</v>
      </c>
      <c r="Q135" s="10">
        <f>P135</f>
        <v/>
      </c>
      <c r="S135" s="10" t="n">
        <v>141800</v>
      </c>
      <c r="T135" s="10">
        <f>S135</f>
        <v/>
      </c>
      <c r="U135" s="27" t="n">
        <v>142500</v>
      </c>
      <c r="V135" s="10">
        <f>U135</f>
        <v/>
      </c>
      <c r="W135" s="277">
        <f>S135/G135</f>
        <v/>
      </c>
      <c r="X135" s="10" t="inlineStr">
        <is>
          <t>E</t>
        </is>
      </c>
      <c r="Y135" s="60" t="n"/>
      <c r="Z135" s="394" t="n"/>
      <c r="AA135" s="14" t="inlineStr">
        <is>
          <t>No</t>
        </is>
      </c>
      <c r="AE135" s="278" t="n"/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8" t="n">
        <v>44941</v>
      </c>
      <c r="L136" s="9" t="n">
        <v>47057</v>
      </c>
      <c r="P136" s="10" t="n">
        <v>80000</v>
      </c>
      <c r="Q136" s="10">
        <f>P136</f>
        <v/>
      </c>
      <c r="S136" s="10" t="n">
        <v>80000</v>
      </c>
      <c r="T136" s="10">
        <f>S136</f>
        <v/>
      </c>
      <c r="U136" s="27" t="n">
        <v>70000</v>
      </c>
      <c r="V136" s="10">
        <f>U136</f>
        <v/>
      </c>
      <c r="W136" s="277">
        <f>S136/G136</f>
        <v/>
      </c>
      <c r="X136" s="10" t="inlineStr">
        <is>
          <t>D</t>
        </is>
      </c>
      <c r="Y136" s="60" t="n"/>
      <c r="Z136" s="394" t="n"/>
      <c r="AA136" s="14" t="inlineStr">
        <is>
          <t>No</t>
        </is>
      </c>
      <c r="AB136" s="4" t="inlineStr">
        <is>
          <t>Fixed increases 01/05/26 wef £85,000, 01/05/27 wef £90,000 and 01/05/28 wef £95,000.</t>
        </is>
      </c>
      <c r="AE136" s="278" t="n"/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8" t="n">
        <v>45586</v>
      </c>
      <c r="L137" s="9" t="n">
        <v>46827</v>
      </c>
      <c r="O137" s="9" t="n">
        <v>46097</v>
      </c>
      <c r="P137" s="10" t="n">
        <v>117500</v>
      </c>
      <c r="Q137" s="10">
        <f>P137</f>
        <v/>
      </c>
      <c r="S137" s="10" t="n">
        <v>115000</v>
      </c>
      <c r="T137" s="10">
        <f>S137</f>
        <v/>
      </c>
      <c r="U137" s="27" t="n">
        <v>115000</v>
      </c>
      <c r="V137" s="10">
        <f>U137</f>
        <v/>
      </c>
      <c r="W137" s="277">
        <f>S137/G137</f>
        <v/>
      </c>
      <c r="X137" s="10" t="inlineStr">
        <is>
          <t>B</t>
        </is>
      </c>
      <c r="Y137" s="60" t="n"/>
      <c r="Z137" s="394" t="n"/>
      <c r="AA137" s="14" t="inlineStr">
        <is>
          <t>No</t>
        </is>
      </c>
      <c r="AB137" s="4" t="inlineStr">
        <is>
          <t>Tenant break on 6 months notice.</t>
        </is>
      </c>
      <c r="AE137" s="278" t="n"/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8" t="n">
        <v>45687</v>
      </c>
      <c r="L138" s="9" t="n">
        <v>49338</v>
      </c>
      <c r="N138" s="9" t="n">
        <v>47513</v>
      </c>
      <c r="P138" s="10" t="n">
        <v>59000</v>
      </c>
      <c r="Q138" s="10">
        <f>P138</f>
        <v/>
      </c>
      <c r="S138" s="10" t="n">
        <v>91000</v>
      </c>
      <c r="T138" s="10">
        <f>S138</f>
        <v/>
      </c>
      <c r="U138" s="27" t="n">
        <v>114800</v>
      </c>
      <c r="V138" s="10">
        <f>U138</f>
        <v/>
      </c>
      <c r="W138" s="277">
        <f>S138/G138</f>
        <v/>
      </c>
      <c r="X138" s="10" t="inlineStr">
        <is>
          <t>D</t>
        </is>
      </c>
      <c r="Y138" s="60" t="n"/>
      <c r="Z138" s="394" t="n"/>
      <c r="AA138" s="14" t="inlineStr">
        <is>
          <t>No</t>
        </is>
      </c>
      <c r="AB138" s="4" t="inlineStr">
        <is>
          <t>Rent increasing to £118,000 wef 30/04/26.</t>
        </is>
      </c>
      <c r="AE138" s="278" t="n">
        <v>3</v>
      </c>
      <c r="AF138" s="4" t="inlineStr">
        <is>
          <t>LEM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8" t="n">
        <v>44722</v>
      </c>
      <c r="L139" s="9" t="n">
        <v>48374</v>
      </c>
      <c r="N139" s="9" t="n">
        <v>46548</v>
      </c>
      <c r="O139" s="9" t="n">
        <v>46547</v>
      </c>
      <c r="P139" s="10" t="n">
        <v>230000</v>
      </c>
      <c r="Q139" s="10">
        <f>P139</f>
        <v/>
      </c>
      <c r="S139" s="10" t="n">
        <v>230000</v>
      </c>
      <c r="T139" s="10">
        <f>S139</f>
        <v/>
      </c>
      <c r="U139" s="27" t="n">
        <v>230000</v>
      </c>
      <c r="V139" s="10">
        <f>U139</f>
        <v/>
      </c>
      <c r="W139" s="277">
        <f>S139/G139</f>
        <v/>
      </c>
      <c r="X139" s="10" t="inlineStr">
        <is>
          <t>B</t>
        </is>
      </c>
      <c r="Y139" s="60" t="n"/>
      <c r="Z139" s="394" t="n"/>
      <c r="AA139" s="14" t="inlineStr">
        <is>
          <t>No</t>
        </is>
      </c>
      <c r="AB139" s="13" t="inlineStr">
        <is>
          <t xml:space="preserve">Tenant break on 6 months notice. </t>
        </is>
      </c>
      <c r="AD139" s="13" t="n"/>
      <c r="AE139" s="282" t="n"/>
      <c r="AF139" s="13" t="n"/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9" t="n">
        <v>44121</v>
      </c>
      <c r="P140" s="10" t="n">
        <v>0</v>
      </c>
      <c r="Q140" s="10">
        <f>P140</f>
        <v/>
      </c>
      <c r="S140" s="10" t="n">
        <v>87800</v>
      </c>
      <c r="T140" s="10">
        <f>S140</f>
        <v/>
      </c>
      <c r="U140" s="27" t="n">
        <v>93800</v>
      </c>
      <c r="V140" s="10">
        <f>U140</f>
        <v/>
      </c>
      <c r="W140" s="277">
        <f>S140/G140</f>
        <v/>
      </c>
      <c r="X140" s="10" t="inlineStr">
        <is>
          <t>D</t>
        </is>
      </c>
      <c r="Y140" s="60" t="n"/>
      <c r="Z140" s="394" t="n"/>
      <c r="AA140" s="14" t="inlineStr">
        <is>
          <t>No</t>
        </is>
      </c>
      <c r="AB140" s="4" t="inlineStr">
        <is>
          <t>To be refurbished.</t>
        </is>
      </c>
      <c r="AC140" s="303" t="n">
        <v>65</v>
      </c>
      <c r="AE140" s="278" t="n">
        <v>1</v>
      </c>
      <c r="AF140" s="4" t="inlineStr">
        <is>
          <t>LEM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29" t="inlineStr">
        <is>
          <t>Vacant</t>
        </is>
      </c>
      <c r="M141" s="387" t="n">
        <v>45845</v>
      </c>
      <c r="P141" s="27" t="n">
        <v>0</v>
      </c>
      <c r="Q141" s="10">
        <f>P141</f>
        <v/>
      </c>
      <c r="S141" s="10" t="n">
        <v>151300</v>
      </c>
      <c r="T141" s="10">
        <f>S141</f>
        <v/>
      </c>
      <c r="U141" s="27" t="n">
        <v>185300</v>
      </c>
      <c r="V141" s="10">
        <f>U141</f>
        <v/>
      </c>
      <c r="W141" s="277">
        <f>S141/G141</f>
        <v/>
      </c>
      <c r="X141" s="10" t="inlineStr">
        <is>
          <t>C</t>
        </is>
      </c>
      <c r="Y141" s="60" t="n"/>
      <c r="Z141" s="394" t="n"/>
      <c r="AA141" s="14" t="inlineStr">
        <is>
          <t>No</t>
        </is>
      </c>
      <c r="AB141" s="29" t="inlineStr">
        <is>
          <t>LEM marketing.</t>
        </is>
      </c>
      <c r="AE141" s="278" t="n"/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8" t="n">
        <v>44272</v>
      </c>
      <c r="L142" s="9" t="n">
        <v>46097</v>
      </c>
      <c r="P142" s="10" t="n">
        <v>52200</v>
      </c>
      <c r="Q142" s="10">
        <f>P142</f>
        <v/>
      </c>
      <c r="S142" s="10" t="n">
        <v>54900</v>
      </c>
      <c r="T142" s="10">
        <f>S142</f>
        <v/>
      </c>
      <c r="U142" s="27" t="n">
        <v>31400</v>
      </c>
      <c r="V142" s="10">
        <f>U142</f>
        <v/>
      </c>
      <c r="W142" s="277">
        <f>S142/G142</f>
        <v/>
      </c>
      <c r="X142" s="10" t="inlineStr">
        <is>
          <t>E</t>
        </is>
      </c>
      <c r="Y142" s="60" t="n"/>
      <c r="Z142" s="394" t="n"/>
      <c r="AA142" s="14" t="inlineStr">
        <is>
          <t>No</t>
        </is>
      </c>
      <c r="AE142" s="278" t="n"/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InPost UK Limited</t>
        </is>
      </c>
      <c r="K143" s="8" t="n">
        <v>45807</v>
      </c>
      <c r="L143" s="9" t="n">
        <v>47143</v>
      </c>
      <c r="O143" s="9" t="n">
        <v>46408</v>
      </c>
      <c r="P143" s="10" t="n">
        <v>231000</v>
      </c>
      <c r="Q143" s="10">
        <f>P143</f>
        <v/>
      </c>
      <c r="S143" s="10" t="n">
        <v>193200</v>
      </c>
      <c r="T143" s="10">
        <f>S143</f>
        <v/>
      </c>
      <c r="U143" s="27" t="n">
        <v>231000</v>
      </c>
      <c r="V143" s="10">
        <f>U143</f>
        <v/>
      </c>
      <c r="W143" s="277">
        <f>S143/G143</f>
        <v/>
      </c>
      <c r="X143" s="27" t="inlineStr">
        <is>
          <t>B</t>
        </is>
      </c>
      <c r="Y143" s="60" t="n"/>
      <c r="Z143" s="394" t="n"/>
      <c r="AA143" s="14" t="inlineStr">
        <is>
          <t>No</t>
        </is>
      </c>
      <c r="AB143" s="4" t="inlineStr">
        <is>
          <t>Tenant break on 6 months notice. 1 month rent free wef 22/01/27 if not exercised.</t>
        </is>
      </c>
      <c r="AE143" s="278" t="n"/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8" t="n">
        <v>45114</v>
      </c>
      <c r="L144" s="9" t="n">
        <v>46209</v>
      </c>
      <c r="P144" s="10" t="n">
        <v>56225</v>
      </c>
      <c r="Q144" s="10">
        <f>P144</f>
        <v/>
      </c>
      <c r="S144" s="10" t="n">
        <v>52800</v>
      </c>
      <c r="T144" s="10">
        <f>S144</f>
        <v/>
      </c>
      <c r="U144" s="27" t="n">
        <v>58200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 xml:space="preserve">Rent free @ 07/07/25 to 20/09/25 if not exercised. </t>
        </is>
      </c>
      <c r="AE144" s="278" t="n"/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8" t="n">
        <v>43378</v>
      </c>
      <c r="L145" s="9" t="n">
        <v>47030</v>
      </c>
      <c r="N145" s="9" t="n">
        <v>45204</v>
      </c>
      <c r="P145" s="10" t="n">
        <v>257635</v>
      </c>
      <c r="Q145" s="10">
        <f>P145</f>
        <v/>
      </c>
      <c r="S145" s="10" t="n">
        <v>264100</v>
      </c>
      <c r="T145" s="10">
        <f>S145</f>
        <v/>
      </c>
      <c r="U145" s="27" t="n">
        <v>281400</v>
      </c>
      <c r="V145" s="10">
        <f>U145</f>
        <v/>
      </c>
      <c r="W145" s="277">
        <f>S145/G145</f>
        <v/>
      </c>
      <c r="X145" s="10" t="inlineStr">
        <is>
          <t>D</t>
        </is>
      </c>
      <c r="Y145" s="60" t="n"/>
      <c r="Z145" s="394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278" t="n"/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8" t="n">
        <v>45317</v>
      </c>
      <c r="L146" s="9" t="n">
        <v>47143</v>
      </c>
      <c r="O146" s="9" t="n">
        <v>46047</v>
      </c>
      <c r="P146" s="10" t="n">
        <v>304500</v>
      </c>
      <c r="Q146" s="10">
        <f>P146</f>
        <v/>
      </c>
      <c r="S146" s="10" t="n">
        <v>255600</v>
      </c>
      <c r="T146" s="10">
        <f>S146</f>
        <v/>
      </c>
      <c r="U146" s="27" t="n">
        <v>304500</v>
      </c>
      <c r="V146" s="10">
        <f>U146</f>
        <v/>
      </c>
      <c r="W146" s="277">
        <f>S146/G146</f>
        <v/>
      </c>
      <c r="X146" s="10" t="inlineStr">
        <is>
          <t>B</t>
        </is>
      </c>
      <c r="Y146" s="60" t="n"/>
      <c r="Z146" s="394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278" t="n"/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8" t="n">
        <v>45086</v>
      </c>
      <c r="L147" s="9" t="n">
        <v>46912</v>
      </c>
      <c r="O147" s="9" t="n">
        <v>46181</v>
      </c>
      <c r="P147" s="10" t="n">
        <v>225875</v>
      </c>
      <c r="Q147" s="10">
        <f>P147</f>
        <v/>
      </c>
      <c r="S147" s="10" t="n">
        <v>196883</v>
      </c>
      <c r="T147" s="10">
        <f>S147</f>
        <v/>
      </c>
      <c r="U147" s="27" t="n">
        <v>230500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278" t="n"/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8" t="n">
        <v>45019</v>
      </c>
      <c r="L148" s="9" t="n">
        <v>46845</v>
      </c>
      <c r="O148" s="9" t="n">
        <v>46114</v>
      </c>
      <c r="P148" s="10" t="n">
        <v>133250</v>
      </c>
      <c r="Q148" s="10">
        <f>P148</f>
        <v/>
      </c>
      <c r="S148" s="10" t="n">
        <v>135167</v>
      </c>
      <c r="T148" s="10">
        <f>S148</f>
        <v/>
      </c>
      <c r="U148" s="27" t="n">
        <v>152200</v>
      </c>
      <c r="V148" s="10">
        <f>U148</f>
        <v/>
      </c>
      <c r="W148" s="277">
        <f>S148/G148</f>
        <v/>
      </c>
      <c r="X148" s="10" t="inlineStr">
        <is>
          <t>D</t>
        </is>
      </c>
      <c r="Y148" s="60" t="n"/>
      <c r="Z148" s="394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278" t="n"/>
    </row>
    <row r="149">
      <c r="A149" s="11" t="inlineStr">
        <is>
          <t>WS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8" t="n">
        <v>45546</v>
      </c>
      <c r="L149" s="9" t="n">
        <v>45910</v>
      </c>
      <c r="P149" s="10" t="n">
        <v>42016</v>
      </c>
      <c r="Q149" s="10">
        <f>P149</f>
        <v/>
      </c>
      <c r="S149" s="10" t="n">
        <v>26496</v>
      </c>
      <c r="T149" s="10">
        <f>S149</f>
        <v/>
      </c>
      <c r="U149" s="27" t="n">
        <v>42016</v>
      </c>
      <c r="V149" s="10">
        <f>U149</f>
        <v/>
      </c>
      <c r="W149" s="277">
        <f>S149/G149</f>
        <v/>
      </c>
      <c r="X149" s="10" t="inlineStr">
        <is>
          <t>E</t>
        </is>
      </c>
      <c r="Y149" s="60" t="n"/>
      <c r="Z149" s="394" t="n"/>
      <c r="AA149" s="14" t="inlineStr">
        <is>
          <t>No</t>
        </is>
      </c>
      <c r="AB149" s="29" t="inlineStr">
        <is>
          <t>12 month lease renewal agreed.</t>
        </is>
      </c>
      <c r="AD149" s="29" t="n"/>
      <c r="AE149" s="279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10">
        <f>G150</f>
        <v/>
      </c>
      <c r="I150" s="10" t="n">
        <v>2750</v>
      </c>
      <c r="J150" s="4" t="inlineStr">
        <is>
          <t>Morplan Ltd.</t>
        </is>
      </c>
      <c r="K150" s="8" t="n">
        <v>39814</v>
      </c>
      <c r="L150" s="9" t="n">
        <v>45747</v>
      </c>
      <c r="P150" s="19" t="n">
        <v>104500</v>
      </c>
      <c r="Q150" s="10">
        <f>P150</f>
        <v/>
      </c>
      <c r="R150" s="19">
        <f>Q150</f>
        <v/>
      </c>
      <c r="S150" s="19" t="n">
        <v>94400</v>
      </c>
      <c r="T150" s="10">
        <f>S150</f>
        <v/>
      </c>
      <c r="U150" s="36" t="n">
        <v>94400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>
        <v>1375000</v>
      </c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39814</v>
      </c>
      <c r="L151" s="9" t="n">
        <v>45747</v>
      </c>
      <c r="P151" s="10" t="n">
        <v>50425</v>
      </c>
      <c r="Q151" s="10">
        <f>P151</f>
        <v/>
      </c>
      <c r="S151" s="10" t="n">
        <v>41000</v>
      </c>
      <c r="T151" s="10">
        <f>S151</f>
        <v/>
      </c>
      <c r="U151" s="27" t="n">
        <v>41000</v>
      </c>
      <c r="V151" s="10">
        <f>U151</f>
        <v/>
      </c>
      <c r="W151" s="277">
        <f>S151/G151</f>
        <v/>
      </c>
      <c r="X151" s="10" t="inlineStr">
        <is>
          <t>B</t>
        </is>
      </c>
      <c r="Y151" s="60" t="n"/>
      <c r="Z151" s="36" t="n"/>
      <c r="AA151" s="14" t="inlineStr">
        <is>
          <t>Yes</t>
        </is>
      </c>
      <c r="AB151" s="4" t="inlineStr">
        <is>
          <t>Tenant holding over. S25 served terminating tenancy @ 12/10/24. Lease renewal agreed. Awaiting completion. Lease extension agreed to 31/03/25</t>
        </is>
      </c>
      <c r="AE151" s="278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10">
        <f>G152</f>
        <v/>
      </c>
      <c r="I152" s="10" t="n">
        <v>1000</v>
      </c>
      <c r="J152" s="4" t="inlineStr">
        <is>
          <t>Morplan Ltd.</t>
        </is>
      </c>
      <c r="K152" s="8" t="n">
        <v>45292</v>
      </c>
      <c r="P152" s="10" t="n">
        <v>61575</v>
      </c>
      <c r="Q152" s="10">
        <f>P152</f>
        <v/>
      </c>
      <c r="S152" s="10" t="n">
        <v>58800</v>
      </c>
      <c r="T152" s="10">
        <f>S152</f>
        <v/>
      </c>
      <c r="U152" s="27" t="n">
        <v>58800</v>
      </c>
      <c r="V152" s="10">
        <f>U152</f>
        <v/>
      </c>
      <c r="W152" s="10" t="n"/>
      <c r="X152" s="10" t="inlineStr">
        <is>
          <t>E</t>
        </is>
      </c>
      <c r="Y152" s="60" t="n"/>
      <c r="Z152" s="36" t="n"/>
      <c r="AA152" s="14" t="inlineStr">
        <is>
          <t>No</t>
        </is>
      </c>
      <c r="AB152" s="4" t="inlineStr">
        <is>
          <t>Lease renewal terms being discussed.</t>
        </is>
      </c>
      <c r="AE152" s="278" t="n"/>
    </row>
    <row r="153">
      <c r="A153" s="11" t="inlineStr">
        <is>
          <t>WS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10">
        <f>G153</f>
        <v/>
      </c>
      <c r="I153" s="10" t="n">
        <v>4250</v>
      </c>
      <c r="J153" s="4" t="inlineStr">
        <is>
          <t>Vacant</t>
        </is>
      </c>
      <c r="M153" s="9" t="n">
        <v>44387</v>
      </c>
      <c r="P153" s="19" t="n">
        <v>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n"/>
      <c r="Y153" s="60" t="n"/>
      <c r="Z153" s="36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279" t="n"/>
      <c r="AF153" s="29" t="n"/>
    </row>
    <row r="154">
      <c r="A154" s="11" t="inlineStr">
        <is>
          <t>WS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10">
        <f>G154</f>
        <v/>
      </c>
      <c r="I154" s="10" t="n">
        <v>23500</v>
      </c>
      <c r="J154" s="4" t="inlineStr">
        <is>
          <t>Wesdom Investments Ltd.</t>
        </is>
      </c>
      <c r="K154" s="8" t="n">
        <v>45651</v>
      </c>
      <c r="L154" s="9" t="n">
        <v>49302</v>
      </c>
      <c r="N154" s="8" t="n">
        <v>47477</v>
      </c>
      <c r="O154" s="8" t="n"/>
      <c r="P154" s="19" t="n">
        <v>660000</v>
      </c>
      <c r="Q154" s="10">
        <f>P154</f>
        <v/>
      </c>
      <c r="R154" s="19">
        <f>Q154</f>
        <v/>
      </c>
      <c r="S154" s="19" t="n">
        <v>0</v>
      </c>
      <c r="T154" s="10">
        <f>S154</f>
        <v/>
      </c>
      <c r="U154" s="36" t="n">
        <v>0</v>
      </c>
      <c r="V154" s="10">
        <f>U154</f>
        <v/>
      </c>
      <c r="W154" s="10" t="n"/>
      <c r="X154" s="10" t="inlineStr">
        <is>
          <t>B</t>
        </is>
      </c>
      <c r="Y154" s="60" t="n"/>
      <c r="Z154" s="36" t="n">
        <v>17100000</v>
      </c>
      <c r="AA154" s="14" t="inlineStr">
        <is>
          <t>No</t>
        </is>
      </c>
      <c r="AB154" s="136" t="inlineStr">
        <is>
          <t>Internal Lease to another Lee Family Group Company. CBRE value on a DCF basis and do not adopt ERV for valuation purposes. Guide ERV is £660,000 pa. Rent review is CPI indexed.</t>
        </is>
      </c>
      <c r="AC154" s="308" t="n"/>
      <c r="AD154" s="136" t="n"/>
      <c r="AE154" s="283" t="n"/>
      <c r="AF154" s="136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10">
        <f>G155</f>
        <v/>
      </c>
      <c r="I155" s="10" t="n">
        <v>500</v>
      </c>
      <c r="J155" s="4" t="inlineStr">
        <is>
          <t>Miss Julia Tressler</t>
        </is>
      </c>
      <c r="K155" s="8" t="n">
        <v>45664</v>
      </c>
      <c r="L155" s="9" t="n">
        <v>46028</v>
      </c>
      <c r="P155" s="19" t="n">
        <v>25220</v>
      </c>
      <c r="Q155" s="10">
        <f>P155</f>
        <v/>
      </c>
      <c r="R155" s="19">
        <f>Q155</f>
        <v/>
      </c>
      <c r="S155" s="19" t="n">
        <v>27000</v>
      </c>
      <c r="T155" s="10">
        <f>S155</f>
        <v/>
      </c>
      <c r="U155" s="36" t="n">
        <v>25220</v>
      </c>
      <c r="V155" s="10">
        <f>U155</f>
        <v/>
      </c>
      <c r="W155" s="10" t="n"/>
      <c r="X155" s="10" t="inlineStr">
        <is>
          <t>D</t>
        </is>
      </c>
      <c r="Y155" s="60" t="n"/>
      <c r="Z155" s="36" t="n">
        <v>575000</v>
      </c>
      <c r="AA155" s="14" t="inlineStr">
        <is>
          <t>No</t>
        </is>
      </c>
      <c r="AD155" s="29" t="n"/>
      <c r="AE155" s="279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8" t="n">
        <v>44774</v>
      </c>
      <c r="L156" s="9" t="n">
        <v>46599</v>
      </c>
      <c r="O156" s="9" t="n">
        <v>45870</v>
      </c>
      <c r="P156" s="10" t="n">
        <v>44735</v>
      </c>
      <c r="Q156" s="10">
        <f>P156</f>
        <v/>
      </c>
      <c r="S156" s="10" t="n">
        <v>45700</v>
      </c>
      <c r="T156" s="10">
        <f>S156</f>
        <v/>
      </c>
      <c r="U156" s="27" t="n">
        <v>47800</v>
      </c>
      <c r="V156" s="10">
        <f>U156</f>
        <v/>
      </c>
      <c r="W156" s="277">
        <f>S156/G156</f>
        <v/>
      </c>
      <c r="X156" s="10" t="inlineStr">
        <is>
          <t>E</t>
        </is>
      </c>
      <c r="Y156" s="60" t="n"/>
      <c r="Z156" s="394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278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9" t="n">
        <v>45456</v>
      </c>
      <c r="P157" s="10" t="n">
        <v>0</v>
      </c>
      <c r="Q157" s="10">
        <f>P157</f>
        <v/>
      </c>
      <c r="S157" s="10" t="n">
        <v>0</v>
      </c>
      <c r="T157" s="10">
        <f>S157</f>
        <v/>
      </c>
      <c r="U157" s="27" t="n">
        <v>0</v>
      </c>
      <c r="V157" s="10">
        <f>U157</f>
        <v/>
      </c>
      <c r="W157" s="277" t="n"/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8" t="n">
        <v>45010</v>
      </c>
      <c r="L158" s="9" t="n">
        <v>48662</v>
      </c>
      <c r="N158" s="9" t="n">
        <v>46837</v>
      </c>
      <c r="P158" s="10" t="n">
        <v>35000</v>
      </c>
      <c r="Q158" s="10">
        <f>P158</f>
        <v/>
      </c>
      <c r="S158" s="10" t="n">
        <v>35400</v>
      </c>
      <c r="T158" s="10">
        <f>S158</f>
        <v/>
      </c>
      <c r="U158" s="27" t="n">
        <v>35000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E158" s="278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8" t="n">
        <v>43549</v>
      </c>
      <c r="L159" s="9" t="n">
        <v>46836</v>
      </c>
      <c r="N159" s="9" t="n">
        <v>45010</v>
      </c>
      <c r="P159" s="10" t="n">
        <v>28200</v>
      </c>
      <c r="Q159" s="10">
        <f>P159</f>
        <v/>
      </c>
      <c r="S159" s="10" t="n">
        <v>32000</v>
      </c>
      <c r="T159" s="10">
        <f>S159</f>
        <v/>
      </c>
      <c r="U159" s="27" t="n">
        <v>21000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278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8" t="n">
        <v>45001</v>
      </c>
      <c r="L160" s="9" t="n">
        <v>46827</v>
      </c>
      <c r="M160" s="9" t="n"/>
      <c r="O160" s="9" t="n">
        <v>46097</v>
      </c>
      <c r="P160" s="10" t="n">
        <v>148590</v>
      </c>
      <c r="Q160" s="10">
        <f>P160</f>
        <v/>
      </c>
      <c r="S160" s="10" t="n">
        <v>148600</v>
      </c>
      <c r="T160" s="10">
        <f>S160</f>
        <v/>
      </c>
      <c r="U160" s="27" t="n">
        <v>148590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8" t="n">
        <v>45000</v>
      </c>
      <c r="L161" s="9" t="n">
        <v>46827</v>
      </c>
      <c r="M161" s="9" t="n"/>
      <c r="O161" s="9" t="n">
        <v>46097</v>
      </c>
      <c r="P161" s="10" t="n">
        <v>218325</v>
      </c>
      <c r="Q161" s="10">
        <f>P161</f>
        <v/>
      </c>
      <c r="S161" s="10" t="n">
        <v>218300</v>
      </c>
      <c r="T161" s="10">
        <f>S161</f>
        <v/>
      </c>
      <c r="U161" s="27" t="n">
        <v>218325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278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8" t="n">
        <v>45200</v>
      </c>
      <c r="L162" s="9" t="n">
        <v>46827</v>
      </c>
      <c r="M162" s="9" t="n"/>
      <c r="O162" s="9" t="n">
        <v>46097</v>
      </c>
      <c r="P162" s="10" t="n">
        <v>92250</v>
      </c>
      <c r="Q162" s="10">
        <f>P162</f>
        <v/>
      </c>
      <c r="S162" s="10" t="n">
        <v>92300</v>
      </c>
      <c r="T162" s="10">
        <f>S162</f>
        <v/>
      </c>
      <c r="U162" s="27" t="n">
        <v>92250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278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9" t="n">
        <v>45173</v>
      </c>
      <c r="P163" s="10" t="n">
        <v>0</v>
      </c>
      <c r="Q163" s="10">
        <f>P163</f>
        <v/>
      </c>
      <c r="S163" s="10" t="n">
        <v>8120</v>
      </c>
      <c r="T163" s="10">
        <f>S163</f>
        <v/>
      </c>
      <c r="U163" s="27" t="n">
        <v>8260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n"/>
      <c r="Z163" s="394" t="n"/>
      <c r="AA163" s="14" t="inlineStr">
        <is>
          <t>No</t>
        </is>
      </c>
      <c r="AB163" s="4" t="inlineStr">
        <is>
          <t>Unit under offer.</t>
        </is>
      </c>
      <c r="AE163" s="278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17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9" t="n">
        <v>45003</v>
      </c>
      <c r="P164" s="10" t="n">
        <v>0</v>
      </c>
      <c r="Q164" s="10">
        <f>P164</f>
        <v/>
      </c>
      <c r="S164" s="10" t="n">
        <v>72100</v>
      </c>
      <c r="T164" s="10">
        <f>S164</f>
        <v/>
      </c>
      <c r="U164" s="27" t="n">
        <v>68200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inlineStr">
        <is>
          <t>*</t>
        </is>
      </c>
      <c r="Z164" s="394" t="n"/>
      <c r="AA164" s="14" t="inlineStr">
        <is>
          <t>No</t>
        </is>
      </c>
      <c r="AB164" s="4" t="inlineStr">
        <is>
          <t>Unit under offer.</t>
        </is>
      </c>
      <c r="AC164" s="303" t="n">
        <v>67.5</v>
      </c>
      <c r="AE164" s="278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8" t="n">
        <v>45456</v>
      </c>
      <c r="L165" s="9" t="n">
        <v>47281</v>
      </c>
      <c r="O165" s="9" t="n">
        <v>46550</v>
      </c>
      <c r="P165" s="10" t="n">
        <v>140315</v>
      </c>
      <c r="Q165" s="10">
        <f>P165</f>
        <v/>
      </c>
      <c r="S165" s="10" t="n">
        <v>129800</v>
      </c>
      <c r="T165" s="10">
        <f>S165</f>
        <v/>
      </c>
      <c r="U165" s="27" t="n">
        <v>140315</v>
      </c>
      <c r="V165" s="10">
        <f>U165</f>
        <v/>
      </c>
      <c r="W165" s="277">
        <f>S165/G165</f>
        <v/>
      </c>
      <c r="X165" s="10" t="inlineStr">
        <is>
          <t>E</t>
        </is>
      </c>
      <c r="Y165" s="60" t="n"/>
      <c r="Z165" s="394" t="n"/>
      <c r="AA165" s="14" t="inlineStr">
        <is>
          <t>No</t>
        </is>
      </c>
      <c r="AB165" s="4" t="inlineStr">
        <is>
          <t>Tenant break on 6 months notice.</t>
        </is>
      </c>
      <c r="AE165" s="278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8" t="n">
        <v>43866</v>
      </c>
      <c r="L166" s="9" t="n">
        <v>47518</v>
      </c>
      <c r="N166" s="9" t="n">
        <v>45693</v>
      </c>
      <c r="P166" s="10" t="n">
        <v>1000</v>
      </c>
      <c r="Q166" s="10">
        <f>P166</f>
        <v/>
      </c>
      <c r="S166" s="10" t="n">
        <v>1000</v>
      </c>
      <c r="T166" s="10">
        <f>S166</f>
        <v/>
      </c>
      <c r="U166" s="27" t="n">
        <v>1000</v>
      </c>
      <c r="V166" s="10">
        <f>U166</f>
        <v/>
      </c>
      <c r="W166" s="277" t="n"/>
      <c r="X166" s="10" t="n"/>
      <c r="Y166" s="60" t="n"/>
      <c r="Z166" s="394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278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10">
        <f>G167</f>
        <v/>
      </c>
      <c r="I167" s="10" t="n">
        <v>2500</v>
      </c>
      <c r="J167" s="4" t="inlineStr">
        <is>
          <t>The Social Little Portland Street Ltd.</t>
        </is>
      </c>
      <c r="K167" s="8" t="n">
        <v>43571</v>
      </c>
      <c r="L167" s="9" t="n">
        <v>47223</v>
      </c>
      <c r="N167" s="9" t="n">
        <v>45398</v>
      </c>
      <c r="P167" s="10" t="n">
        <v>82500</v>
      </c>
      <c r="Q167" s="10">
        <f>P167</f>
        <v/>
      </c>
      <c r="S167" s="10" t="n">
        <v>70000</v>
      </c>
      <c r="T167" s="10">
        <f>S167</f>
        <v/>
      </c>
      <c r="U167" s="27" t="n">
        <v>70000</v>
      </c>
      <c r="V167" s="10">
        <f>U167</f>
        <v/>
      </c>
      <c r="W167" s="277">
        <f>S167/G167</f>
        <v/>
      </c>
      <c r="X167" s="10" t="inlineStr">
        <is>
          <t>B</t>
        </is>
      </c>
      <c r="Y167" s="60" t="n"/>
      <c r="Z167" s="36" t="n"/>
      <c r="AA167" s="14" t="inlineStr">
        <is>
          <t>No</t>
        </is>
      </c>
      <c r="AE167" s="278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10">
        <f>G168</f>
        <v/>
      </c>
      <c r="I168" s="10" t="n">
        <v>2000</v>
      </c>
      <c r="J168" s="4" t="inlineStr">
        <is>
          <t>Oaxaca Ltd.</t>
        </is>
      </c>
      <c r="K168" s="8" t="n">
        <v>43398</v>
      </c>
      <c r="L168" s="9" t="n">
        <v>47050</v>
      </c>
      <c r="N168" s="9" t="n">
        <v>45955</v>
      </c>
      <c r="O168" s="9" t="n">
        <v>45954</v>
      </c>
      <c r="P168" s="10" t="n">
        <v>101200</v>
      </c>
      <c r="Q168" s="10">
        <f>P168</f>
        <v/>
      </c>
      <c r="S168" s="10" t="n">
        <v>117100</v>
      </c>
      <c r="T168" s="10">
        <f>S168</f>
        <v/>
      </c>
      <c r="U168" s="27" t="n">
        <v>128000</v>
      </c>
      <c r="V168" s="10">
        <f>U168</f>
        <v/>
      </c>
      <c r="W168" s="277">
        <f>S168/G168</f>
        <v/>
      </c>
      <c r="X168" s="10" t="inlineStr">
        <is>
          <t>E</t>
        </is>
      </c>
      <c r="Y168" s="60" t="n"/>
      <c r="Z168" s="36" t="n"/>
      <c r="AA168" s="14" t="inlineStr">
        <is>
          <t>No</t>
        </is>
      </c>
      <c r="AB168" s="29" t="inlineStr">
        <is>
          <t>Tenant has a concession to continue paying rent of £101,200 until expiry. Tenant break option removed.</t>
        </is>
      </c>
      <c r="AE168" s="278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10">
        <f>G169</f>
        <v/>
      </c>
      <c r="I169" s="10" t="n">
        <v>4500</v>
      </c>
      <c r="J169" s="4" t="inlineStr">
        <is>
          <t>Burger &amp; Lobster Restaurant Group Ltd.</t>
        </is>
      </c>
      <c r="K169" s="8" t="n">
        <v>41585</v>
      </c>
      <c r="L169" s="9" t="n">
        <v>47063</v>
      </c>
      <c r="N169" s="9" t="n">
        <v>45237</v>
      </c>
      <c r="P169" s="10" t="n">
        <v>170000</v>
      </c>
      <c r="Q169" s="10">
        <f>P169</f>
        <v/>
      </c>
      <c r="S169" s="10" t="n">
        <v>146900</v>
      </c>
      <c r="T169" s="10">
        <f>S169</f>
        <v/>
      </c>
      <c r="U169" s="27" t="n">
        <v>152100</v>
      </c>
      <c r="V169" s="10">
        <f>U169</f>
        <v/>
      </c>
      <c r="W169" s="277">
        <f>S169/G169</f>
        <v/>
      </c>
      <c r="X169" s="10" t="inlineStr">
        <is>
          <t>B</t>
        </is>
      </c>
      <c r="Y169" s="60" t="n"/>
      <c r="Z169" s="36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278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10">
        <f>G170</f>
        <v/>
      </c>
      <c r="I170" s="10" t="n">
        <v>10500</v>
      </c>
      <c r="J170" s="4" t="inlineStr">
        <is>
          <t>Exposure Promotions Ltd.</t>
        </is>
      </c>
      <c r="K170" s="8" t="n">
        <v>44552</v>
      </c>
      <c r="L170" s="9" t="n">
        <v>46377</v>
      </c>
      <c r="P170" s="10" t="n">
        <v>573565</v>
      </c>
      <c r="Q170" s="10">
        <f>P170</f>
        <v/>
      </c>
      <c r="S170" s="10" t="n">
        <v>572700</v>
      </c>
      <c r="T170" s="10">
        <f>S170</f>
        <v/>
      </c>
      <c r="U170" s="27" t="n">
        <v>589700</v>
      </c>
      <c r="V170" s="10">
        <f>U170</f>
        <v/>
      </c>
      <c r="W170" s="10" t="n"/>
      <c r="X170" s="10" t="inlineStr">
        <is>
          <t>C</t>
        </is>
      </c>
      <c r="Y170" s="60" t="n"/>
      <c r="Z170" s="36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278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10">
        <f>G171</f>
        <v/>
      </c>
      <c r="I171" s="10" t="n">
        <v>750</v>
      </c>
      <c r="J171" s="4" t="inlineStr">
        <is>
          <t>Order Line Ltd</t>
        </is>
      </c>
      <c r="K171" s="8" t="n">
        <v>44724</v>
      </c>
      <c r="P171" s="10" t="n">
        <v>45000</v>
      </c>
      <c r="Q171" s="10">
        <f>P171</f>
        <v/>
      </c>
      <c r="S171" s="10" t="n">
        <v>41700</v>
      </c>
      <c r="T171" s="10">
        <f>S171</f>
        <v/>
      </c>
      <c r="U171" s="27" t="n">
        <v>45000</v>
      </c>
      <c r="V171" s="10">
        <f>U171</f>
        <v/>
      </c>
      <c r="W171" s="277">
        <f>S171/G171</f>
        <v/>
      </c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Tenancy at will granted based at existing rent.</t>
        </is>
      </c>
      <c r="AE171" s="278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24900</v>
      </c>
      <c r="T172" s="10">
        <f>S172</f>
        <v/>
      </c>
      <c r="U172" s="27" t="n">
        <v>24900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10">
        <f>G173</f>
        <v/>
      </c>
      <c r="I173" s="10" t="n">
        <v>500</v>
      </c>
      <c r="J173" s="4" t="inlineStr">
        <is>
          <t>Vacant</t>
        </is>
      </c>
      <c r="M173" s="9" t="n">
        <v>43466</v>
      </c>
      <c r="P173" s="10" t="n">
        <v>0</v>
      </c>
      <c r="Q173" s="10">
        <f>P173</f>
        <v/>
      </c>
      <c r="S173" s="10" t="n">
        <v>24000</v>
      </c>
      <c r="T173" s="10">
        <f>S173</f>
        <v/>
      </c>
      <c r="U173" s="27" t="n">
        <v>24000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To be refurbished.</t>
        </is>
      </c>
      <c r="AE173" s="278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10">
        <f>G174</f>
        <v/>
      </c>
      <c r="I174" s="10" t="n">
        <v>500</v>
      </c>
      <c r="J174" s="4" t="inlineStr">
        <is>
          <t>Skynet Ltd</t>
        </is>
      </c>
      <c r="K174" s="8" t="n">
        <v>44724</v>
      </c>
      <c r="P174" s="10" t="n">
        <v>21060</v>
      </c>
      <c r="Q174" s="10">
        <f>P174</f>
        <v/>
      </c>
      <c r="S174" s="10" t="n">
        <v>19300</v>
      </c>
      <c r="T174" s="10">
        <f>S174</f>
        <v/>
      </c>
      <c r="U174" s="27" t="n">
        <v>19300</v>
      </c>
      <c r="V174" s="10">
        <f>U174</f>
        <v/>
      </c>
      <c r="W174" s="10" t="n"/>
      <c r="X174" s="10" t="inlineStr">
        <is>
          <t>E</t>
        </is>
      </c>
      <c r="Y174" s="60" t="n"/>
      <c r="Z174" s="394" t="n"/>
      <c r="AA174" s="14" t="inlineStr">
        <is>
          <t>No</t>
        </is>
      </c>
      <c r="AB174" s="4" t="inlineStr">
        <is>
          <t>Tenancy at will granted based at existing rent.</t>
        </is>
      </c>
      <c r="AE174" s="278" t="n"/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10">
        <f>G175</f>
        <v/>
      </c>
      <c r="I175" s="10" t="n">
        <v>3000</v>
      </c>
      <c r="J175" s="4" t="inlineStr">
        <is>
          <t>FRIBA Limited</t>
        </is>
      </c>
      <c r="K175" s="8" t="n">
        <v>43794</v>
      </c>
      <c r="L175" s="9" t="n">
        <v>47446</v>
      </c>
      <c r="N175" s="9" t="n">
        <v>45621</v>
      </c>
      <c r="P175" s="10" t="n">
        <v>124773</v>
      </c>
      <c r="Q175" s="10">
        <f>P175</f>
        <v/>
      </c>
      <c r="S175" s="10" t="n">
        <v>126900</v>
      </c>
      <c r="T175" s="10">
        <f>S175</f>
        <v/>
      </c>
      <c r="U175" s="27" t="n">
        <v>155100</v>
      </c>
      <c r="V175" s="10">
        <f>U175</f>
        <v/>
      </c>
      <c r="W175" s="277">
        <f>S175/G175</f>
        <v/>
      </c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278" t="n"/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10">
        <f>G176</f>
        <v/>
      </c>
      <c r="I176" s="10" t="n">
        <v>1250</v>
      </c>
      <c r="J176" s="4" t="inlineStr">
        <is>
          <t>Vacant</t>
        </is>
      </c>
      <c r="M176" s="9" t="n">
        <v>44747</v>
      </c>
      <c r="P176" s="10" t="n">
        <v>0</v>
      </c>
      <c r="Q176" s="10">
        <f>P176</f>
        <v/>
      </c>
      <c r="S176" s="10" t="n">
        <v>70500</v>
      </c>
      <c r="T176" s="10">
        <f>S176</f>
        <v/>
      </c>
      <c r="U176" s="27" t="n">
        <v>76900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29" t="inlineStr">
        <is>
          <t>Refurbishment completed. Under offer.</t>
        </is>
      </c>
      <c r="AC176" s="303" t="n">
        <v>67.5</v>
      </c>
      <c r="AE176" s="278" t="n">
        <v>1</v>
      </c>
      <c r="AF176" s="4" t="inlineStr">
        <is>
          <t>LEM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10">
        <f>G177</f>
        <v/>
      </c>
      <c r="I177" s="10" t="n">
        <v>1250</v>
      </c>
      <c r="J177" s="4" t="inlineStr">
        <is>
          <t>Spanx UK Ltd</t>
        </is>
      </c>
      <c r="K177" s="8" t="n">
        <v>44733</v>
      </c>
      <c r="L177" s="9" t="n">
        <v>46558</v>
      </c>
      <c r="O177" s="9" t="n">
        <v>45828</v>
      </c>
      <c r="P177" s="10" t="n">
        <v>71000</v>
      </c>
      <c r="Q177" s="10">
        <f>P177</f>
        <v/>
      </c>
      <c r="S177" s="10" t="n">
        <v>71000</v>
      </c>
      <c r="T177" s="10">
        <f>S177</f>
        <v/>
      </c>
      <c r="U177" s="27" t="n">
        <v>75900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B177" s="4" t="inlineStr">
        <is>
          <t>Mutual break @ 20/06/25 on 6 months notice. Tenant break exercised. Break conditions not met. Lease to continue.</t>
        </is>
      </c>
      <c r="AE177" s="278" t="n"/>
    </row>
    <row r="178">
      <c r="A178" s="11" t="inlineStr">
        <is>
          <t>WS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10">
        <f>G178</f>
        <v/>
      </c>
      <c r="I178" s="10" t="n">
        <v>1250</v>
      </c>
      <c r="J178" s="4" t="inlineStr">
        <is>
          <t>Caneparo Associates Ltd</t>
        </is>
      </c>
      <c r="K178" s="8" t="n">
        <v>44605</v>
      </c>
      <c r="L178" s="9" t="n">
        <v>46430</v>
      </c>
      <c r="P178" s="10" t="n">
        <v>63000</v>
      </c>
      <c r="Q178" s="10">
        <f>P178</f>
        <v/>
      </c>
      <c r="S178" s="10" t="n">
        <v>63100</v>
      </c>
      <c r="T178" s="10">
        <f>S178</f>
        <v/>
      </c>
      <c r="U178" s="27" t="n">
        <v>67400</v>
      </c>
      <c r="V178" s="10">
        <f>U178</f>
        <v/>
      </c>
      <c r="W178" s="10" t="n"/>
      <c r="X178" s="10" t="inlineStr">
        <is>
          <t>D</t>
        </is>
      </c>
      <c r="Y178" s="60" t="n"/>
      <c r="Z178" s="361" t="n"/>
      <c r="AA178" s="14" t="inlineStr">
        <is>
          <t>No</t>
        </is>
      </c>
      <c r="AE178" s="278" t="n"/>
    </row>
    <row r="179">
      <c r="A179" s="11" t="inlineStr">
        <is>
          <t>WS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10">
        <f>G179</f>
        <v/>
      </c>
      <c r="I179" s="10" t="n">
        <v>10000</v>
      </c>
      <c r="J179" s="4" t="inlineStr">
        <is>
          <t>David Chipperfield Architects Ltd</t>
        </is>
      </c>
      <c r="K179" s="8" t="n">
        <v>45463</v>
      </c>
      <c r="L179" s="9" t="n">
        <v>49114</v>
      </c>
      <c r="N179" s="9" t="n">
        <v>47289</v>
      </c>
      <c r="O179" s="9" t="n">
        <v>47288</v>
      </c>
      <c r="P179" s="19" t="n">
        <v>715000</v>
      </c>
      <c r="Q179" s="19">
        <f>P179</f>
        <v/>
      </c>
      <c r="R179" s="19">
        <f>Q179</f>
        <v/>
      </c>
      <c r="S179" s="19" t="n">
        <v>715000</v>
      </c>
      <c r="T179" s="10">
        <f>S179</f>
        <v/>
      </c>
      <c r="U179" s="36" t="n">
        <v>715000</v>
      </c>
      <c r="V179" s="10">
        <f>U179</f>
        <v/>
      </c>
      <c r="W179" s="277">
        <f>S179/G179</f>
        <v/>
      </c>
      <c r="X179" s="10" t="inlineStr">
        <is>
          <t>A</t>
        </is>
      </c>
      <c r="Y179" s="60" t="n"/>
      <c r="Z179" s="361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278" t="n"/>
    </row>
    <row r="180">
      <c r="A180" s="11" t="inlineStr">
        <is>
          <t>WS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10">
        <f>G180</f>
        <v/>
      </c>
      <c r="I180" s="10" t="n">
        <v>5000</v>
      </c>
      <c r="J180" s="4" t="inlineStr">
        <is>
          <t>Racoon Media Services Limited</t>
        </is>
      </c>
      <c r="K180" s="8" t="n">
        <v>45198</v>
      </c>
      <c r="L180" s="9" t="n">
        <v>48850</v>
      </c>
      <c r="N180" s="9" t="n">
        <v>47025</v>
      </c>
      <c r="O180" s="9" t="n">
        <v>46293</v>
      </c>
      <c r="P180" s="19" t="n">
        <v>315000</v>
      </c>
      <c r="Q180" s="10">
        <f>P180</f>
        <v/>
      </c>
      <c r="R180" s="19">
        <f>Q180</f>
        <v/>
      </c>
      <c r="S180" s="19" t="n">
        <v>266600</v>
      </c>
      <c r="T180" s="10">
        <f>S180</f>
        <v/>
      </c>
      <c r="U180" s="36" t="n">
        <v>324500</v>
      </c>
      <c r="V180" s="10">
        <f>U180</f>
        <v/>
      </c>
      <c r="W180" s="277">
        <f>S180/G180</f>
        <v/>
      </c>
      <c r="X180" s="10" t="inlineStr">
        <is>
          <t>C</t>
        </is>
      </c>
      <c r="Y180" s="60" t="n"/>
      <c r="Z180" s="361" t="n">
        <v>5400000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278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2400</v>
      </c>
      <c r="Q181" s="10">
        <f>P181</f>
        <v/>
      </c>
      <c r="S181" s="10" t="n">
        <v>2000</v>
      </c>
      <c r="T181" s="10">
        <f>S181</f>
        <v/>
      </c>
      <c r="U181" s="27" t="n">
        <v>2000</v>
      </c>
      <c r="V181" s="10">
        <f>U181</f>
        <v/>
      </c>
      <c r="W181" s="277">
        <f>S181/G181</f>
        <v/>
      </c>
      <c r="X181" s="10" t="n"/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24500</v>
      </c>
      <c r="Q182" s="10">
        <f>P182</f>
        <v/>
      </c>
      <c r="S182" s="10" t="n">
        <v>17500</v>
      </c>
      <c r="T182" s="10">
        <f>S182</f>
        <v/>
      </c>
      <c r="U182" s="27" t="n">
        <v>26200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9" t="n">
        <v>43184</v>
      </c>
      <c r="L183" s="9" t="n">
        <v>46836</v>
      </c>
      <c r="N183" s="9" t="n">
        <v>45010</v>
      </c>
      <c r="P183" s="10" t="n">
        <v>15600</v>
      </c>
      <c r="Q183" s="10">
        <f>P183</f>
        <v/>
      </c>
      <c r="S183" s="10" t="n">
        <v>12500</v>
      </c>
      <c r="T183" s="10">
        <f>S183</f>
        <v/>
      </c>
      <c r="U183" s="27" t="n">
        <v>18700</v>
      </c>
      <c r="V183" s="10">
        <f>U183</f>
        <v/>
      </c>
      <c r="W183" s="10" t="n"/>
      <c r="X183" s="10" t="inlineStr">
        <is>
          <t>D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9" t="n">
        <v>45010</v>
      </c>
      <c r="L184" s="9" t="n">
        <v>46836</v>
      </c>
      <c r="P184" s="10" t="n">
        <v>84600</v>
      </c>
      <c r="Q184" s="10">
        <f>P184</f>
        <v/>
      </c>
      <c r="S184" s="10" t="n">
        <v>86100</v>
      </c>
      <c r="T184" s="10">
        <f>S184</f>
        <v/>
      </c>
      <c r="U184" s="27" t="n">
        <v>89800</v>
      </c>
      <c r="V184" s="10">
        <f>U184</f>
        <v/>
      </c>
      <c r="W184" s="10" t="n"/>
      <c r="X184" s="10" t="inlineStr">
        <is>
          <t>C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8" t="n">
        <v>45269</v>
      </c>
      <c r="L185" s="9" t="n">
        <v>46836</v>
      </c>
      <c r="P185" s="10" t="n">
        <v>87750</v>
      </c>
      <c r="Q185" s="10">
        <f>P185</f>
        <v/>
      </c>
      <c r="S185" s="10" t="n">
        <v>89300</v>
      </c>
      <c r="T185" s="10">
        <f>S185</f>
        <v/>
      </c>
      <c r="U185" s="27" t="n">
        <v>93200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79500</v>
      </c>
      <c r="Q186" s="10">
        <f>P186</f>
        <v/>
      </c>
      <c r="S186" s="10" t="n">
        <v>86700</v>
      </c>
      <c r="T186" s="10">
        <f>S186</f>
        <v/>
      </c>
      <c r="U186" s="27" t="n">
        <v>90300</v>
      </c>
      <c r="V186" s="10">
        <f>U186</f>
        <v/>
      </c>
      <c r="W186" s="10" t="n"/>
      <c r="X186" s="10" t="inlineStr">
        <is>
          <t>D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66000</v>
      </c>
      <c r="Q187" s="10">
        <f>P187</f>
        <v/>
      </c>
      <c r="S187" s="10" t="n">
        <v>72000</v>
      </c>
      <c r="T187" s="10">
        <f>S187</f>
        <v/>
      </c>
      <c r="U187" s="27" t="n">
        <v>75000</v>
      </c>
      <c r="V187" s="10">
        <f>U187</f>
        <v/>
      </c>
      <c r="W187" s="10" t="n"/>
      <c r="X187" s="10" t="inlineStr">
        <is>
          <t>C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18650</v>
      </c>
      <c r="Q188" s="10">
        <f>P188</f>
        <v/>
      </c>
      <c r="S188" s="10" t="n">
        <v>22400</v>
      </c>
      <c r="T188" s="10">
        <f>S188</f>
        <v/>
      </c>
      <c r="U188" s="27" t="n">
        <v>23300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9" t="n">
        <v>43184</v>
      </c>
      <c r="L189" s="9" t="n">
        <v>46836</v>
      </c>
      <c r="N189" s="9" t="n">
        <v>45010</v>
      </c>
      <c r="P189" s="10" t="n">
        <v>18150</v>
      </c>
      <c r="Q189" s="10">
        <f>P189</f>
        <v/>
      </c>
      <c r="S189" s="10" t="n">
        <v>20800</v>
      </c>
      <c r="T189" s="10">
        <f>S189</f>
        <v/>
      </c>
      <c r="U189" s="27" t="n">
        <v>21600</v>
      </c>
      <c r="V189" s="10">
        <f>U189</f>
        <v/>
      </c>
      <c r="W189" s="10" t="n"/>
      <c r="X189" s="10" t="inlineStr">
        <is>
          <t>D</t>
        </is>
      </c>
      <c r="Y189" s="60" t="n"/>
      <c r="Z189" s="394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278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10">
        <f>G190</f>
        <v/>
      </c>
      <c r="I190" s="10" t="n">
        <v>8500</v>
      </c>
      <c r="J190" s="4" t="inlineStr">
        <is>
          <t>DMR Film Ventures (Facilities) Ltd.</t>
        </is>
      </c>
      <c r="K190" s="8" t="n">
        <v>44390</v>
      </c>
      <c r="L190" s="9" t="n">
        <v>48041</v>
      </c>
      <c r="N190" s="9" t="n">
        <v>46216</v>
      </c>
      <c r="O190" s="9" t="n">
        <v>46215</v>
      </c>
      <c r="P190" s="10" t="n">
        <v>450500</v>
      </c>
      <c r="Q190" s="10">
        <f>P190</f>
        <v/>
      </c>
      <c r="S190" s="10" t="n">
        <v>450500</v>
      </c>
      <c r="T190" s="10">
        <f>S190</f>
        <v/>
      </c>
      <c r="U190" s="27" t="n">
        <v>495300</v>
      </c>
      <c r="V190" s="10">
        <f>U190</f>
        <v/>
      </c>
      <c r="W190" s="277">
        <f>S190/G190</f>
        <v/>
      </c>
      <c r="X190" s="10" t="inlineStr">
        <is>
          <t>C</t>
        </is>
      </c>
      <c r="Y190" s="60" t="n"/>
      <c r="Z190" s="36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278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10">
        <f>G191</f>
        <v/>
      </c>
      <c r="I191" s="10" t="n"/>
      <c r="J191" s="4" t="inlineStr">
        <is>
          <t>London Power Networks Plc</t>
        </is>
      </c>
      <c r="K191" s="8" t="n">
        <v>38840</v>
      </c>
      <c r="L191" s="9" t="n">
        <v>46144</v>
      </c>
      <c r="P191" s="10" t="n">
        <v>1100</v>
      </c>
      <c r="Q191" s="10">
        <f>P191</f>
        <v/>
      </c>
      <c r="S191" s="10" t="n">
        <v>1100</v>
      </c>
      <c r="T191" s="10">
        <f>S191</f>
        <v/>
      </c>
      <c r="U191" s="27" t="n">
        <v>1100</v>
      </c>
      <c r="V191" s="10">
        <f>U191</f>
        <v/>
      </c>
      <c r="W191" s="10" t="n"/>
      <c r="X191" s="10" t="n"/>
      <c r="Y191" s="60" t="n"/>
      <c r="Z191" s="36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278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10">
        <f>G192</f>
        <v/>
      </c>
      <c r="I192" s="10" t="n">
        <v>6500</v>
      </c>
      <c r="J192" s="4" t="inlineStr">
        <is>
          <t>Wimbledon Business Centre Ltd.</t>
        </is>
      </c>
      <c r="K192" s="8" t="n">
        <v>45062</v>
      </c>
      <c r="L192" s="9" t="n">
        <v>48714</v>
      </c>
      <c r="N192" s="9" t="n">
        <v>46889</v>
      </c>
      <c r="P192" s="19" t="n">
        <v>350000</v>
      </c>
      <c r="Q192" s="10">
        <f>P192</f>
        <v/>
      </c>
      <c r="R192" s="19">
        <f>Q192</f>
        <v/>
      </c>
      <c r="S192" s="19" t="n">
        <v>350000</v>
      </c>
      <c r="T192" s="10">
        <f>S192</f>
        <v/>
      </c>
      <c r="U192" s="36" t="n">
        <v>372700</v>
      </c>
      <c r="V192" s="10">
        <f>U192</f>
        <v/>
      </c>
      <c r="W192" s="277">
        <f>S192/G192</f>
        <v/>
      </c>
      <c r="X192" s="10" t="inlineStr">
        <is>
          <t>D</t>
        </is>
      </c>
      <c r="Y192" s="60" t="n"/>
      <c r="Z192" s="364" t="n">
        <v>6300000</v>
      </c>
      <c r="AA192" s="14" t="inlineStr">
        <is>
          <t>No</t>
        </is>
      </c>
      <c r="AE192" s="278" t="n"/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10">
        <f>G193</f>
        <v/>
      </c>
      <c r="I193" s="10" t="n">
        <v>5750</v>
      </c>
      <c r="J193" s="4" t="inlineStr">
        <is>
          <t>Arlettie London Ltd.</t>
        </is>
      </c>
      <c r="K193" s="8" t="n">
        <v>45240</v>
      </c>
      <c r="L193" s="9" t="n">
        <v>48892</v>
      </c>
      <c r="N193" s="9" t="n">
        <v>47067</v>
      </c>
      <c r="O193" s="9" t="n">
        <v>47066</v>
      </c>
      <c r="P193" s="10" t="n">
        <v>282288</v>
      </c>
      <c r="Q193" s="10">
        <f>P193</f>
        <v/>
      </c>
      <c r="R193" s="19" t="n"/>
      <c r="S193" s="10" t="n">
        <v>258600</v>
      </c>
      <c r="T193" s="10">
        <f>S193</f>
        <v/>
      </c>
      <c r="U193" s="27" t="n">
        <v>282288</v>
      </c>
      <c r="V193" s="10">
        <f>U193</f>
        <v/>
      </c>
      <c r="W193" s="277">
        <f>S193/G193</f>
        <v/>
      </c>
      <c r="X193" s="10" t="inlineStr">
        <is>
          <t>C</t>
        </is>
      </c>
      <c r="Y193" s="60" t="n"/>
      <c r="Z193" s="364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278" t="n"/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44665</v>
      </c>
      <c r="L194" s="9" t="n">
        <v>48852</v>
      </c>
      <c r="N194" s="9" t="n">
        <v>46491</v>
      </c>
      <c r="O194" s="9" t="n">
        <v>47026</v>
      </c>
      <c r="P194" s="10" t="n">
        <v>152500</v>
      </c>
      <c r="Q194" s="10">
        <f>P194</f>
        <v/>
      </c>
      <c r="R194" s="19" t="n"/>
      <c r="S194" s="10" t="n">
        <v>152400</v>
      </c>
      <c r="T194" s="10">
        <f>S194</f>
        <v/>
      </c>
      <c r="U194" s="27" t="n">
        <v>152400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B194" s="4" t="inlineStr">
        <is>
          <t xml:space="preserve">Tenant break on 6 months notice. </t>
        </is>
      </c>
      <c r="AE194" s="278" t="n"/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10">
        <f>G195</f>
        <v/>
      </c>
      <c r="I195" s="10" t="n">
        <v>2500</v>
      </c>
      <c r="J195" s="4" t="inlineStr">
        <is>
          <t>Final Cut Ltd.</t>
        </is>
      </c>
      <c r="K195" s="8" t="n">
        <v>44445</v>
      </c>
      <c r="L195" s="9" t="n">
        <v>47026</v>
      </c>
      <c r="N195" s="9" t="n">
        <v>46271</v>
      </c>
      <c r="P195" s="10" t="n">
        <v>150000</v>
      </c>
      <c r="Q195" s="10">
        <f>P195</f>
        <v/>
      </c>
      <c r="R195" s="19" t="n"/>
      <c r="S195" s="10" t="n">
        <v>158800</v>
      </c>
      <c r="T195" s="10">
        <f>S195</f>
        <v/>
      </c>
      <c r="U195" s="27" t="n">
        <v>159800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10">
        <f>G196</f>
        <v/>
      </c>
      <c r="I196" s="10" t="n">
        <v>5000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307687</v>
      </c>
      <c r="Q196" s="10">
        <f>P196</f>
        <v/>
      </c>
      <c r="R196" s="19" t="n"/>
      <c r="S196" s="10" t="n">
        <v>314300</v>
      </c>
      <c r="T196" s="10">
        <f>S196</f>
        <v/>
      </c>
      <c r="U196" s="27" t="n">
        <v>311300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</row>
    <row r="197">
      <c r="A197" s="11" t="inlineStr">
        <is>
          <t>WS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10">
        <f>G197</f>
        <v/>
      </c>
      <c r="I197" s="10" t="n">
        <v>2250</v>
      </c>
      <c r="J197" s="4" t="inlineStr">
        <is>
          <t>Final Cut Ltd.</t>
        </is>
      </c>
      <c r="K197" s="8" t="n">
        <v>45259</v>
      </c>
      <c r="L197" s="9" t="n">
        <v>47026</v>
      </c>
      <c r="P197" s="10" t="n">
        <v>138500</v>
      </c>
      <c r="Q197" s="10">
        <f>P197</f>
        <v/>
      </c>
      <c r="R197" s="19" t="n"/>
      <c r="S197" s="10" t="n">
        <v>138500</v>
      </c>
      <c r="T197" s="10">
        <f>S197</f>
        <v/>
      </c>
      <c r="U197" s="27" t="n">
        <v>140700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E197" s="278" t="n"/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29" t="inlineStr">
        <is>
          <t>Ludorum Club Ltd</t>
        </is>
      </c>
      <c r="K198" s="388" t="n">
        <v>45887</v>
      </c>
      <c r="L198" s="387" t="n">
        <v>49538</v>
      </c>
      <c r="M198" s="387" t="n"/>
      <c r="N198" s="387" t="n">
        <v>47713</v>
      </c>
      <c r="O198" s="387" t="n">
        <v>47712</v>
      </c>
      <c r="P198" s="27" t="n">
        <v>0</v>
      </c>
      <c r="Q198" s="10">
        <f>P198</f>
        <v/>
      </c>
      <c r="S198" s="10" t="n">
        <v>53800</v>
      </c>
      <c r="T198" s="10">
        <f>S198</f>
        <v/>
      </c>
      <c r="U198" s="27" t="n">
        <v>54000</v>
      </c>
      <c r="V198" s="10">
        <f>U198</f>
        <v/>
      </c>
      <c r="W198" s="277">
        <f>S198/G198</f>
        <v/>
      </c>
      <c r="X198" s="10" t="inlineStr">
        <is>
          <t>E</t>
        </is>
      </c>
      <c r="Y198" s="60" t="n"/>
      <c r="Z198" s="364" t="n"/>
      <c r="AA198" s="14" t="inlineStr">
        <is>
          <t>No</t>
        </is>
      </c>
      <c r="AB198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8" s="4" t="n">
        <v>2</v>
      </c>
      <c r="AE198" s="278" t="n">
        <v>8</v>
      </c>
      <c r="AF198" s="4" t="inlineStr">
        <is>
          <t>LEM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8" t="n">
        <v>45240</v>
      </c>
      <c r="L199" s="9" t="n">
        <v>48892</v>
      </c>
      <c r="N199" s="9" t="n">
        <v>47067</v>
      </c>
      <c r="O199" s="9" t="n">
        <v>47066</v>
      </c>
      <c r="P199" s="10" t="n">
        <v>132000</v>
      </c>
      <c r="Q199" s="10">
        <f>P199</f>
        <v/>
      </c>
      <c r="S199" s="10" t="n">
        <v>130000</v>
      </c>
      <c r="T199" s="10">
        <f>S199</f>
        <v/>
      </c>
      <c r="U199" s="27" t="n">
        <v>132000</v>
      </c>
      <c r="V199" s="10">
        <f>U199</f>
        <v/>
      </c>
      <c r="W199" s="277">
        <f>S199/G199</f>
        <v/>
      </c>
      <c r="X199" s="10" t="inlineStr">
        <is>
          <t>C</t>
        </is>
      </c>
      <c r="Y199" s="60" t="n"/>
      <c r="Z199" s="364" t="n"/>
      <c r="AA199" s="14" t="inlineStr">
        <is>
          <t>No</t>
        </is>
      </c>
      <c r="AB199" s="4" t="inlineStr">
        <is>
          <t>Tenant break on 6 months notice</t>
        </is>
      </c>
      <c r="AE199" s="278" t="n"/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9" t="n">
        <v>44403</v>
      </c>
      <c r="P200" s="10" t="n">
        <v>0</v>
      </c>
      <c r="Q200" s="10">
        <f>P200</f>
        <v/>
      </c>
      <c r="S200" s="10" t="n">
        <v>85800</v>
      </c>
      <c r="T200" s="10">
        <f>S200</f>
        <v/>
      </c>
      <c r="U200" s="27" t="n">
        <v>106800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B200" s="4" t="inlineStr">
        <is>
          <t>Unit under offer.</t>
        </is>
      </c>
      <c r="AC200" s="303" t="n">
        <v>65</v>
      </c>
      <c r="AE200" s="278" t="n">
        <v>1</v>
      </c>
      <c r="AF200" s="4" t="inlineStr">
        <is>
          <t>LEM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8" t="n">
        <v>44798</v>
      </c>
      <c r="L201" s="9" t="n">
        <v>46623</v>
      </c>
      <c r="P201" s="10" t="n">
        <v>73700</v>
      </c>
      <c r="Q201" s="10">
        <f>P201</f>
        <v/>
      </c>
      <c r="S201" s="10" t="n">
        <v>73500</v>
      </c>
      <c r="T201" s="10">
        <f>S201</f>
        <v/>
      </c>
      <c r="U201" s="27" t="n">
        <v>86200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E201" s="278" t="n"/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44097</v>
      </c>
      <c r="P202" s="10" t="n">
        <v>0</v>
      </c>
      <c r="Q202" s="10">
        <f>P202</f>
        <v/>
      </c>
      <c r="S202" s="10" t="n">
        <v>65600</v>
      </c>
      <c r="T202" s="10">
        <f>S202</f>
        <v/>
      </c>
      <c r="U202" s="27" t="n">
        <v>75100</v>
      </c>
      <c r="V202" s="10">
        <f>U202</f>
        <v/>
      </c>
      <c r="W202" s="277">
        <f>S202/G202</f>
        <v/>
      </c>
      <c r="X202" s="10" t="inlineStr">
        <is>
          <t>D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9" t="n">
        <v>44814</v>
      </c>
      <c r="P203" s="10" t="n">
        <v>0</v>
      </c>
      <c r="Q203" s="10">
        <f>P203</f>
        <v/>
      </c>
      <c r="S203" s="10" t="n">
        <v>45000</v>
      </c>
      <c r="T203" s="10">
        <f>S203</f>
        <v/>
      </c>
      <c r="U203" s="27" t="n">
        <v>55200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</row>
    <row r="204">
      <c r="A204" s="11" t="inlineStr">
        <is>
          <t>WS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9" t="n">
        <v>44063</v>
      </c>
      <c r="P204" s="10" t="n">
        <v>0</v>
      </c>
      <c r="Q204" s="10">
        <f>P204</f>
        <v/>
      </c>
      <c r="S204" s="10" t="n">
        <v>39300</v>
      </c>
      <c r="T204" s="10">
        <f>S204</f>
        <v/>
      </c>
      <c r="U204" s="27" t="n">
        <v>44500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64" t="n"/>
      <c r="AA204" s="14" t="inlineStr">
        <is>
          <t>No</t>
        </is>
      </c>
      <c r="AB204" s="4" t="inlineStr">
        <is>
          <t>LEM marketing</t>
        </is>
      </c>
      <c r="AC204" s="303" t="n">
        <v>65</v>
      </c>
      <c r="AE204" s="278" t="n"/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6" t="inlineStr">
        <is>
          <t>Arrow International Media Ltd.</t>
        </is>
      </c>
      <c r="K205" s="8" t="n">
        <v>44758</v>
      </c>
      <c r="L205" s="9" t="n">
        <v>46583</v>
      </c>
      <c r="P205" s="10" t="n">
        <v>69440</v>
      </c>
      <c r="Q205" s="10">
        <f>P205</f>
        <v/>
      </c>
      <c r="S205" s="10" t="n">
        <v>69500</v>
      </c>
      <c r="T205" s="10">
        <f>S205</f>
        <v/>
      </c>
      <c r="U205" s="27" t="n">
        <v>69500</v>
      </c>
      <c r="V205" s="10">
        <f>U205</f>
        <v/>
      </c>
      <c r="W205" s="277">
        <f>S205/G205</f>
        <v/>
      </c>
      <c r="X205" s="10" t="inlineStr">
        <is>
          <t>E</t>
        </is>
      </c>
      <c r="Y205" s="60" t="n"/>
      <c r="Z205" s="394" t="n"/>
      <c r="AA205" s="14" t="inlineStr">
        <is>
          <t>No</t>
        </is>
      </c>
      <c r="AE205" s="278" t="n"/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8" t="n">
        <v>45240</v>
      </c>
      <c r="L206" s="9" t="n">
        <v>48892</v>
      </c>
      <c r="N206" s="9" t="n">
        <v>47067</v>
      </c>
      <c r="O206" s="9" t="n">
        <v>47066</v>
      </c>
      <c r="P206" s="10" t="n">
        <v>85500</v>
      </c>
      <c r="Q206" s="10">
        <f>P206</f>
        <v/>
      </c>
      <c r="S206" s="10" t="n">
        <v>84800</v>
      </c>
      <c r="T206" s="10">
        <f>S206</f>
        <v/>
      </c>
      <c r="U206" s="27" t="n">
        <v>85000</v>
      </c>
      <c r="V206" s="10">
        <f>U206</f>
        <v/>
      </c>
      <c r="W206" s="277">
        <f>S206/G206</f>
        <v/>
      </c>
      <c r="X206" s="10" t="inlineStr">
        <is>
          <t>D</t>
        </is>
      </c>
      <c r="Y206" s="60" t="n"/>
      <c r="Z206" s="394" t="n"/>
      <c r="AA206" s="14" t="inlineStr">
        <is>
          <t>No</t>
        </is>
      </c>
      <c r="AB206" s="4" t="inlineStr">
        <is>
          <t>Tenant break on 6 months notice</t>
        </is>
      </c>
      <c r="AE206" s="278" t="n"/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8" t="n">
        <v>45525</v>
      </c>
      <c r="L207" s="9" t="n">
        <v>47350</v>
      </c>
      <c r="O207" s="9" t="n">
        <v>46620</v>
      </c>
      <c r="P207" s="10" t="n">
        <v>90000</v>
      </c>
      <c r="Q207" s="10">
        <f>P207</f>
        <v/>
      </c>
      <c r="S207" s="10" t="n">
        <v>78000</v>
      </c>
      <c r="T207" s="10">
        <f>S207</f>
        <v/>
      </c>
      <c r="U207" s="27" t="n">
        <v>90000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278" t="n"/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106663</v>
      </c>
      <c r="Q208" s="10">
        <f>P208</f>
        <v/>
      </c>
      <c r="S208" s="10" t="n">
        <v>106700</v>
      </c>
      <c r="T208" s="10">
        <f>S208</f>
        <v/>
      </c>
      <c r="U208" s="27" t="n">
        <v>108500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8" t="n">
        <v>44758</v>
      </c>
      <c r="L209" s="9" t="n">
        <v>46583</v>
      </c>
      <c r="P209" s="10" t="n">
        <v>41975</v>
      </c>
      <c r="Q209" s="10">
        <f>P209</f>
        <v/>
      </c>
      <c r="S209" s="10" t="n">
        <v>41700</v>
      </c>
      <c r="T209" s="10">
        <f>S209</f>
        <v/>
      </c>
      <c r="U209" s="27" t="n">
        <v>42500</v>
      </c>
      <c r="V209" s="10">
        <f>U209</f>
        <v/>
      </c>
      <c r="W209" s="277">
        <f>S209/G209</f>
        <v/>
      </c>
      <c r="X209" s="10" t="inlineStr">
        <is>
          <t>E</t>
        </is>
      </c>
      <c r="Y209" s="60" t="n"/>
      <c r="Z209" s="394" t="n"/>
      <c r="AA209" s="14" t="inlineStr">
        <is>
          <t>No</t>
        </is>
      </c>
      <c r="AE209" s="278" t="n"/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8" t="n">
        <v>45438</v>
      </c>
      <c r="L210" s="9" t="n">
        <v>47263</v>
      </c>
      <c r="O210" s="9" t="n">
        <v>46532</v>
      </c>
      <c r="P210" s="10" t="n">
        <v>70200</v>
      </c>
      <c r="Q210" s="10">
        <f>P210</f>
        <v/>
      </c>
      <c r="S210" s="10" t="n">
        <v>70200</v>
      </c>
      <c r="T210" s="10">
        <f>S210</f>
        <v/>
      </c>
      <c r="U210" s="27" t="n">
        <v>71400</v>
      </c>
      <c r="V210" s="10">
        <f>U210</f>
        <v/>
      </c>
      <c r="W210" s="277">
        <f>S210/G210</f>
        <v/>
      </c>
      <c r="X210" s="10" t="inlineStr">
        <is>
          <t>D</t>
        </is>
      </c>
      <c r="Y210" s="60" t="n"/>
      <c r="Z210" s="394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278" t="n"/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8" t="n">
        <v>44758</v>
      </c>
      <c r="L211" s="9" t="n">
        <v>46583</v>
      </c>
      <c r="P211" s="10" t="n">
        <v>107965</v>
      </c>
      <c r="Q211" s="10">
        <f>P211</f>
        <v/>
      </c>
      <c r="S211" s="10" t="n">
        <v>108000</v>
      </c>
      <c r="T211" s="10">
        <f>S211</f>
        <v/>
      </c>
      <c r="U211" s="27" t="n">
        <v>108000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n"/>
      <c r="Z211" s="394" t="n"/>
      <c r="AA211" s="14" t="inlineStr">
        <is>
          <t>No</t>
        </is>
      </c>
      <c r="AE211" s="278" t="n"/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8" t="n">
        <v>45735</v>
      </c>
      <c r="L212" s="9" t="n">
        <v>47560</v>
      </c>
      <c r="P212" s="10" t="n">
        <v>7200</v>
      </c>
      <c r="Q212" s="10">
        <f>P212</f>
        <v/>
      </c>
      <c r="S212" s="10" t="n">
        <v>5410</v>
      </c>
      <c r="T212" s="10">
        <f>S212</f>
        <v/>
      </c>
      <c r="U212" s="27" t="n">
        <v>7200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inlineStr">
        <is>
          <t>No</t>
        </is>
      </c>
      <c r="AB212" s="4" t="inlineStr">
        <is>
          <t xml:space="preserve">All inclusive rent (excl rates). </t>
        </is>
      </c>
      <c r="AE212" s="278" t="n"/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9" t="n">
        <v>43909</v>
      </c>
      <c r="P213" s="10" t="n">
        <v>0</v>
      </c>
      <c r="Q213" s="10">
        <f>P213</f>
        <v/>
      </c>
      <c r="S213" s="10" t="n">
        <v>16300</v>
      </c>
      <c r="T213" s="10">
        <f>S213</f>
        <v/>
      </c>
      <c r="U213" s="27" t="n">
        <v>16300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inlineStr">
        <is>
          <t>*</t>
        </is>
      </c>
      <c r="Z213" s="394" t="n"/>
      <c r="AA213" s="14" t="n"/>
      <c r="AB213" s="4" t="inlineStr">
        <is>
          <t>To be refurbished.</t>
        </is>
      </c>
      <c r="AE213" s="278" t="n"/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9" t="n">
        <v>45678</v>
      </c>
      <c r="P214" s="10" t="n">
        <v>0</v>
      </c>
      <c r="Q214" s="10">
        <f>P214</f>
        <v/>
      </c>
      <c r="S214" s="10" t="n">
        <v>35600</v>
      </c>
      <c r="T214" s="10">
        <f>S214</f>
        <v/>
      </c>
      <c r="U214" s="27" t="n">
        <v>35600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LEM marketing.</t>
        </is>
      </c>
      <c r="AE214" s="278" t="n"/>
    </row>
    <row r="215">
      <c r="A215" s="11" t="inlineStr">
        <is>
          <t>WS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9" t="n">
        <v>44555</v>
      </c>
      <c r="P215" s="10" t="n">
        <v>0</v>
      </c>
      <c r="Q215" s="10">
        <f>P215</f>
        <v/>
      </c>
      <c r="S215" s="10" t="n">
        <v>37500</v>
      </c>
      <c r="T215" s="10">
        <f>S215</f>
        <v/>
      </c>
      <c r="U215" s="27" t="n">
        <v>37500</v>
      </c>
      <c r="V215" s="10">
        <f>U215</f>
        <v/>
      </c>
      <c r="W215" s="277">
        <f>S215/G215</f>
        <v/>
      </c>
      <c r="X215" s="10" t="inlineStr">
        <is>
          <t>E</t>
        </is>
      </c>
      <c r="Y215" s="60" t="n"/>
      <c r="Z215" s="394" t="n"/>
      <c r="AA215" s="14" t="inlineStr">
        <is>
          <t>No</t>
        </is>
      </c>
      <c r="AB215" s="4" t="inlineStr">
        <is>
          <t>To be refurbished.</t>
        </is>
      </c>
      <c r="AC215" s="303" t="n">
        <v>62.5</v>
      </c>
      <c r="AE215" s="278" t="n">
        <v>1</v>
      </c>
      <c r="AF215" s="4" t="inlineStr">
        <is>
          <t>LEM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8" t="n">
        <v>43794</v>
      </c>
      <c r="L216" s="9" t="n">
        <v>47446</v>
      </c>
      <c r="N216" s="9" t="n">
        <v>45621</v>
      </c>
      <c r="P216" s="10" t="n">
        <v>104885</v>
      </c>
      <c r="Q216" s="10">
        <f>P216</f>
        <v/>
      </c>
      <c r="S216" s="10" t="n">
        <v>100700</v>
      </c>
      <c r="T216" s="10">
        <f>S216</f>
        <v/>
      </c>
      <c r="U216" s="27" t="n">
        <v>142200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278" t="n"/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9" t="n">
        <v>43323</v>
      </c>
      <c r="P217" s="10" t="n">
        <v>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D</t>
        </is>
      </c>
      <c r="Y217" s="60" t="n"/>
      <c r="Z217" s="36" t="n"/>
      <c r="AA217" s="14" t="inlineStr">
        <is>
          <t>No</t>
        </is>
      </c>
      <c r="AB217" s="4" t="inlineStr">
        <is>
          <t>LEM Marketing.</t>
        </is>
      </c>
      <c r="AC217" s="303" t="n">
        <v>61.5</v>
      </c>
      <c r="AE217" s="278" t="n"/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8" t="n">
        <v>45210</v>
      </c>
      <c r="L218" s="9" t="n">
        <v>46305</v>
      </c>
      <c r="P218" s="10" t="n">
        <v>52800</v>
      </c>
      <c r="Q218" s="10">
        <f>P218</f>
        <v/>
      </c>
      <c r="S218" s="10" t="n">
        <v>53900</v>
      </c>
      <c r="T218" s="10">
        <f>S218</f>
        <v/>
      </c>
      <c r="U218" s="27" t="n">
        <v>56400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E218" s="278" t="n"/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44869</v>
      </c>
      <c r="L219" s="9" t="n">
        <v>46694</v>
      </c>
      <c r="O219" s="9" t="n">
        <v>45964</v>
      </c>
      <c r="P219" s="10" t="n">
        <v>48300</v>
      </c>
      <c r="Q219" s="10">
        <f>P219</f>
        <v/>
      </c>
      <c r="S219" s="10" t="n">
        <v>46000</v>
      </c>
      <c r="T219" s="10">
        <f>S219</f>
        <v/>
      </c>
      <c r="U219" s="27" t="n">
        <v>48100</v>
      </c>
      <c r="V219" s="10">
        <f>U219</f>
        <v/>
      </c>
      <c r="W219" s="277">
        <f>S219/G219</f>
        <v/>
      </c>
      <c r="X219" s="10" t="inlineStr">
        <is>
          <t>E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8" t="n">
        <v>45436</v>
      </c>
      <c r="L220" s="9" t="n">
        <v>46694</v>
      </c>
      <c r="O220" s="9" t="n">
        <v>45964</v>
      </c>
      <c r="P220" s="10" t="n">
        <v>47725</v>
      </c>
      <c r="Q220" s="10">
        <f>P220</f>
        <v/>
      </c>
      <c r="S220" s="10" t="n">
        <v>45700</v>
      </c>
      <c r="T220" s="10">
        <f>S220</f>
        <v/>
      </c>
      <c r="U220" s="27" t="n">
        <v>47700</v>
      </c>
      <c r="V220" s="10">
        <f>U220</f>
        <v/>
      </c>
      <c r="W220" s="277">
        <f>S220/G220</f>
        <v/>
      </c>
      <c r="X220" s="10" t="inlineStr">
        <is>
          <t>D</t>
        </is>
      </c>
      <c r="Y220" s="60" t="n"/>
      <c r="Z220" s="36" t="n"/>
      <c r="AA220" s="14" t="inlineStr">
        <is>
          <t>No</t>
        </is>
      </c>
      <c r="AB220" s="4" t="inlineStr">
        <is>
          <t>Tenant break on 6 months notice.</t>
        </is>
      </c>
      <c r="AE220" s="278" t="n"/>
    </row>
    <row r="221">
      <c r="A221" s="11" t="inlineStr">
        <is>
          <t>WS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9" t="n">
        <v>45627</v>
      </c>
      <c r="P221" s="10" t="n">
        <v>0</v>
      </c>
      <c r="Q221" s="10">
        <f>P221</f>
        <v/>
      </c>
      <c r="S221" s="10" t="n">
        <v>37700</v>
      </c>
      <c r="T221" s="10">
        <f>S221</f>
        <v/>
      </c>
      <c r="U221" s="27" t="n">
        <v>39400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6" t="n"/>
      <c r="AA221" s="14" t="inlineStr">
        <is>
          <t>No</t>
        </is>
      </c>
      <c r="AB221" s="4" t="inlineStr">
        <is>
          <t>LEM marketing.</t>
        </is>
      </c>
      <c r="AE221" s="278" t="n"/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8" t="n">
        <v>45457</v>
      </c>
      <c r="L222" s="9" t="n">
        <v>47282</v>
      </c>
      <c r="O222" s="9" t="n">
        <v>46186</v>
      </c>
      <c r="P222" s="10" t="n">
        <v>94417</v>
      </c>
      <c r="Q222" s="10">
        <f>P222</f>
        <v/>
      </c>
      <c r="S222" s="10" t="n">
        <v>86800</v>
      </c>
      <c r="T222" s="10">
        <f>S222</f>
        <v/>
      </c>
      <c r="U222" s="27" t="n">
        <v>94000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278" t="n"/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43132</v>
      </c>
      <c r="P223" s="10" t="n">
        <v>0</v>
      </c>
      <c r="Q223" s="10">
        <f>P223</f>
        <v/>
      </c>
      <c r="S223" s="10" t="n">
        <v>44200</v>
      </c>
      <c r="T223" s="10">
        <f>S223</f>
        <v/>
      </c>
      <c r="U223" s="27" t="n">
        <v>46200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9" t="n">
        <v>42819</v>
      </c>
      <c r="P224" s="10" t="n">
        <v>0</v>
      </c>
      <c r="Q224" s="10">
        <f>P224</f>
        <v/>
      </c>
      <c r="R224" s="25" t="n"/>
      <c r="S224" s="10" t="n">
        <v>44700</v>
      </c>
      <c r="T224" s="10">
        <f>S224</f>
        <v/>
      </c>
      <c r="U224" s="27" t="n">
        <v>46700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B224" s="29" t="inlineStr">
        <is>
          <t>Unit under refurbishment</t>
        </is>
      </c>
      <c r="AC224" s="303" t="n">
        <v>62.5</v>
      </c>
      <c r="AD224" s="4" t="n">
        <v>1</v>
      </c>
      <c r="AE224" s="278" t="n">
        <v>2</v>
      </c>
      <c r="AF224" s="4" t="inlineStr">
        <is>
          <t>LEM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8" t="n">
        <v>45533</v>
      </c>
      <c r="L225" s="9" t="n">
        <v>47358</v>
      </c>
      <c r="P225" s="10" t="n">
        <v>46273</v>
      </c>
      <c r="Q225" s="10">
        <f>P225</f>
        <v/>
      </c>
      <c r="S225" s="10" t="n">
        <v>43500</v>
      </c>
      <c r="T225" s="10">
        <f>S225</f>
        <v/>
      </c>
      <c r="U225" s="27" t="n">
        <v>45500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D225" s="29" t="n"/>
      <c r="AE225" s="279" t="n"/>
      <c r="AF225" s="29" t="n"/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9" t="n">
        <v>44439</v>
      </c>
      <c r="P226" s="10" t="n">
        <v>0</v>
      </c>
      <c r="Q226" s="10">
        <f>P226</f>
        <v/>
      </c>
      <c r="S226" s="10" t="n">
        <v>43800</v>
      </c>
      <c r="T226" s="10">
        <f>S226</f>
        <v/>
      </c>
      <c r="U226" s="27" t="n">
        <v>45800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B226" s="29" t="inlineStr">
        <is>
          <t>Unit under refurbishment</t>
        </is>
      </c>
      <c r="AC226" s="303" t="n">
        <v>62.5</v>
      </c>
      <c r="AD226" s="4" t="n">
        <v>1</v>
      </c>
      <c r="AE226" s="278" t="n">
        <v>2</v>
      </c>
      <c r="AF226" s="4" t="inlineStr">
        <is>
          <t>LEM</t>
        </is>
      </c>
    </row>
    <row r="227">
      <c r="A227" s="11" t="inlineStr">
        <is>
          <t>WS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8" t="n">
        <v>45553</v>
      </c>
      <c r="L227" s="9" t="n">
        <v>46282</v>
      </c>
      <c r="P227" s="10" t="n">
        <v>41250</v>
      </c>
      <c r="Q227" s="10">
        <f>P227</f>
        <v/>
      </c>
      <c r="S227" s="10" t="n">
        <v>39200</v>
      </c>
      <c r="T227" s="10">
        <f>S227</f>
        <v/>
      </c>
      <c r="U227" s="27" t="n">
        <v>41250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94" t="n"/>
      <c r="AA227" s="14" t="inlineStr">
        <is>
          <t>No</t>
        </is>
      </c>
      <c r="AE227" s="278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8" t="n">
        <v>45262</v>
      </c>
      <c r="L228" s="9" t="n">
        <v>47088</v>
      </c>
      <c r="P228" s="10" t="n">
        <v>11872</v>
      </c>
      <c r="Q228" s="10">
        <f>P228</f>
        <v/>
      </c>
      <c r="S228" s="10" t="n">
        <v>11660</v>
      </c>
      <c r="T228" s="10">
        <f>S228</f>
        <v/>
      </c>
      <c r="U228" s="27" t="n">
        <v>11660</v>
      </c>
      <c r="V228" s="10">
        <f>U228</f>
        <v/>
      </c>
      <c r="W228" s="277">
        <f>S228/G228</f>
        <v/>
      </c>
      <c r="X228" s="10" t="inlineStr">
        <is>
          <t>E</t>
        </is>
      </c>
      <c r="Y228" s="60" t="n"/>
      <c r="Z228" s="36" t="n"/>
      <c r="AA228" s="14" t="inlineStr">
        <is>
          <t>No</t>
        </is>
      </c>
      <c r="AC228" s="305" t="n"/>
      <c r="AE228" s="278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8" t="n">
        <v>44756</v>
      </c>
      <c r="L229" s="9" t="n">
        <v>47154</v>
      </c>
      <c r="N229" s="9" t="n">
        <v>45328</v>
      </c>
      <c r="P229" s="10" t="n">
        <v>37500</v>
      </c>
      <c r="Q229" s="10">
        <f>P229</f>
        <v/>
      </c>
      <c r="S229" s="10" t="n">
        <v>37502</v>
      </c>
      <c r="T229" s="10">
        <f>S229</f>
        <v/>
      </c>
      <c r="U229" s="27" t="n">
        <v>37500</v>
      </c>
      <c r="V229" s="10">
        <f>U229</f>
        <v/>
      </c>
      <c r="W229" s="277">
        <f>S229/G229</f>
        <v/>
      </c>
      <c r="X229" s="10" t="inlineStr">
        <is>
          <t>B</t>
        </is>
      </c>
      <c r="Y229" s="60" t="n"/>
      <c r="Z229" s="36" t="n"/>
      <c r="AA229" s="14" t="inlineStr">
        <is>
          <t>No</t>
        </is>
      </c>
      <c r="AE229" s="278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8" t="n">
        <v>44750</v>
      </c>
      <c r="L230" s="9" t="n">
        <v>46575</v>
      </c>
      <c r="P230" s="10" t="n">
        <v>9400</v>
      </c>
      <c r="Q230" s="10">
        <f>P230</f>
        <v/>
      </c>
      <c r="S230" s="10" t="n">
        <v>9460</v>
      </c>
      <c r="T230" s="10">
        <f>S230</f>
        <v/>
      </c>
      <c r="U230" s="27" t="n">
        <v>11180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E230" s="278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8" t="n">
        <v>45194</v>
      </c>
      <c r="L231" s="9" t="n">
        <v>47020</v>
      </c>
      <c r="O231" s="9" t="n">
        <v>46289</v>
      </c>
      <c r="P231" s="10" t="n">
        <v>7100</v>
      </c>
      <c r="Q231" s="10">
        <f>P231</f>
        <v/>
      </c>
      <c r="S231" s="10" t="n">
        <v>7000</v>
      </c>
      <c r="T231" s="10">
        <f>S231</f>
        <v/>
      </c>
      <c r="U231" s="27" t="n">
        <v>7605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on 6 months notice.</t>
        </is>
      </c>
      <c r="AE231" s="278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8" t="n">
        <v>45632</v>
      </c>
      <c r="L232" s="9" t="n">
        <v>47457</v>
      </c>
      <c r="O232" s="9" t="n">
        <v>46519</v>
      </c>
      <c r="P232" s="10" t="n">
        <v>9400</v>
      </c>
      <c r="Q232" s="10">
        <f>P232</f>
        <v/>
      </c>
      <c r="S232" s="10" t="n">
        <v>8925</v>
      </c>
      <c r="T232" s="10">
        <f>S232</f>
        <v/>
      </c>
      <c r="U232" s="27" t="n">
        <v>11050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B232" s="4" t="inlineStr">
        <is>
          <t>Tenant break 12/05/27 on 6 months notice.</t>
        </is>
      </c>
      <c r="AE232" s="278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8" t="n">
        <v>44762</v>
      </c>
      <c r="L233" s="9" t="n">
        <v>46587</v>
      </c>
      <c r="P233" s="10" t="n">
        <v>7605</v>
      </c>
      <c r="Q233" s="10">
        <f>P233</f>
        <v/>
      </c>
      <c r="S233" s="10" t="n">
        <v>7605</v>
      </c>
      <c r="T233" s="10">
        <f>S233</f>
        <v/>
      </c>
      <c r="U233" s="27" t="n">
        <v>8450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8" t="n">
        <v>45866</v>
      </c>
      <c r="L234" s="9" t="n">
        <v>46230</v>
      </c>
      <c r="P234" s="10" t="n">
        <v>41600</v>
      </c>
      <c r="Q234" s="10">
        <f>P234</f>
        <v/>
      </c>
      <c r="S234" s="10" t="n">
        <v>36140</v>
      </c>
      <c r="T234" s="10">
        <f>S234</f>
        <v/>
      </c>
      <c r="U234" s="27" t="n">
        <v>41600</v>
      </c>
      <c r="V234" s="10">
        <f>U234</f>
        <v/>
      </c>
      <c r="W234" s="277">
        <f>S234/G234</f>
        <v/>
      </c>
      <c r="X234" s="10" t="inlineStr">
        <is>
          <t>E</t>
        </is>
      </c>
      <c r="Y234" s="60" t="n"/>
      <c r="Z234" s="36" t="n"/>
      <c r="AA234" s="14" t="inlineStr">
        <is>
          <t>No</t>
        </is>
      </c>
      <c r="AE234" s="278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8" t="n">
        <v>40946</v>
      </c>
      <c r="L235" s="8" t="n">
        <v>46424</v>
      </c>
      <c r="M235" s="8" t="n"/>
      <c r="P235" s="10" t="n">
        <v>230000</v>
      </c>
      <c r="Q235" s="10">
        <f>P235</f>
        <v/>
      </c>
      <c r="S235" s="10" t="n">
        <v>225000</v>
      </c>
      <c r="T235" s="10">
        <f>S235</f>
        <v/>
      </c>
      <c r="U235" s="27" t="n">
        <v>201500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Rent rises to £232,500 @ 07/02/26.</t>
        </is>
      </c>
      <c r="AE235" s="278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8" t="n">
        <v>45178</v>
      </c>
      <c r="L236" s="9" t="n">
        <v>47004</v>
      </c>
      <c r="M236" s="9" t="n"/>
      <c r="P236" s="10" t="n">
        <v>53200</v>
      </c>
      <c r="Q236" s="10">
        <f>P236</f>
        <v/>
      </c>
      <c r="S236" s="10" t="n">
        <v>53200</v>
      </c>
      <c r="T236" s="10">
        <f>S236</f>
        <v/>
      </c>
      <c r="U236" s="27" t="n">
        <v>58000</v>
      </c>
      <c r="V236" s="10">
        <f>U236</f>
        <v/>
      </c>
      <c r="W236" s="277">
        <f>S236/G236</f>
        <v/>
      </c>
      <c r="X236" s="10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Landlord break @ 08/09/26 on 6 months notice</t>
        </is>
      </c>
      <c r="AE236" s="278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8" t="n">
        <v>44663</v>
      </c>
      <c r="L237" s="9" t="n">
        <v>50141</v>
      </c>
      <c r="N237" s="9" t="n">
        <v>46489</v>
      </c>
      <c r="O237" s="9" t="n">
        <v>48315</v>
      </c>
      <c r="P237" s="10" t="n">
        <v>95000</v>
      </c>
      <c r="Q237" s="10">
        <f>P237</f>
        <v/>
      </c>
      <c r="S237" s="10" t="n">
        <v>100500</v>
      </c>
      <c r="T237" s="10">
        <f>S237</f>
        <v/>
      </c>
      <c r="U237" s="27" t="n">
        <v>95500</v>
      </c>
      <c r="V237" s="10">
        <f>U237</f>
        <v/>
      </c>
      <c r="W237" s="277">
        <f>S237/G237</f>
        <v/>
      </c>
      <c r="X237" s="27" t="inlineStr">
        <is>
          <t>B</t>
        </is>
      </c>
      <c r="Y237" s="60" t="n"/>
      <c r="Z237" s="394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278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8" t="n">
        <v>45111</v>
      </c>
      <c r="L238" s="9" t="n">
        <v>48763</v>
      </c>
      <c r="N238" s="9" t="n">
        <v>46938</v>
      </c>
      <c r="P238" s="10" t="n">
        <v>105000</v>
      </c>
      <c r="Q238" s="10">
        <f>P238</f>
        <v/>
      </c>
      <c r="S238" s="10" t="n">
        <v>96300</v>
      </c>
      <c r="T238" s="10">
        <f>S238</f>
        <v/>
      </c>
      <c r="U238" s="27" t="n">
        <v>102200</v>
      </c>
      <c r="V238" s="10">
        <f>U238</f>
        <v/>
      </c>
      <c r="W238" s="277">
        <f>S238/G238</f>
        <v/>
      </c>
      <c r="X238" s="10" t="inlineStr">
        <is>
          <t>B</t>
        </is>
      </c>
      <c r="Y238" s="60" t="n"/>
      <c r="Z238" s="394" t="n"/>
      <c r="AA238" s="14" t="inlineStr">
        <is>
          <t>No</t>
        </is>
      </c>
      <c r="AE238" s="278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8" t="n">
        <v>45329</v>
      </c>
      <c r="L239" s="9" t="n">
        <v>46059</v>
      </c>
      <c r="P239" s="10" t="n">
        <v>150000</v>
      </c>
      <c r="Q239" s="10">
        <f>P239</f>
        <v/>
      </c>
      <c r="S239" s="10" t="n">
        <v>180000</v>
      </c>
      <c r="T239" s="10">
        <f>S239</f>
        <v/>
      </c>
      <c r="U239" s="27" t="n">
        <v>177300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E239" s="278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8" t="n">
        <v>45429</v>
      </c>
      <c r="L240" s="9" t="n">
        <v>47254</v>
      </c>
      <c r="O240" s="9" t="n">
        <v>46158</v>
      </c>
      <c r="P240" s="10" t="n">
        <v>20520</v>
      </c>
      <c r="Q240" s="10">
        <f>P240</f>
        <v/>
      </c>
      <c r="S240" s="10" t="n">
        <v>19000</v>
      </c>
      <c r="T240" s="10">
        <f>S240</f>
        <v/>
      </c>
      <c r="U240" s="27" t="n">
        <v>21000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</t>
        </is>
      </c>
      <c r="AE240" s="278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8" t="n">
        <v>45450</v>
      </c>
      <c r="L241" s="9" t="n">
        <v>47275</v>
      </c>
      <c r="O241" s="9" t="n">
        <v>46574</v>
      </c>
      <c r="P241" s="10" t="n">
        <v>21850</v>
      </c>
      <c r="Q241" s="10">
        <f>P241</f>
        <v/>
      </c>
      <c r="S241" s="10" t="n">
        <v>18900</v>
      </c>
      <c r="T241" s="10">
        <f>S241</f>
        <v/>
      </c>
      <c r="U241" s="27" t="n">
        <v>22700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Tenant break on 6 months notice. One month rent free from 07/06/27 if break not exercised.</t>
        </is>
      </c>
      <c r="AE241" s="278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Fitzrovia IT Ltd</t>
        </is>
      </c>
      <c r="K242" s="8" t="n">
        <v>45846</v>
      </c>
      <c r="L242" s="9" t="n">
        <v>48402</v>
      </c>
      <c r="N242" s="9" t="n">
        <v>47672</v>
      </c>
      <c r="O242" s="9" t="n">
        <v>47671</v>
      </c>
      <c r="P242" s="10" t="n">
        <v>0</v>
      </c>
      <c r="Q242" s="10">
        <f>P242</f>
        <v/>
      </c>
      <c r="S242" s="10" t="n">
        <v>182500</v>
      </c>
      <c r="T242" s="10">
        <f>S242</f>
        <v/>
      </c>
      <c r="U242" s="27" t="n">
        <v>151400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B242" s="4" t="inlineStr">
        <is>
          <t>Rent £75,980 wef 08/11/25 increasing to £151,960 wef 08/01/27. Tenant break on 6 months notice. Penalty of £25,327 if exercised.</t>
        </is>
      </c>
      <c r="AC242" s="303" t="n">
        <v>72.5</v>
      </c>
      <c r="AD242" s="4" t="n">
        <v>1</v>
      </c>
      <c r="AE242" s="278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9" t="n">
        <v>45504</v>
      </c>
      <c r="P243" s="10" t="n">
        <v>0</v>
      </c>
      <c r="Q243" s="10">
        <f>P243</f>
        <v/>
      </c>
      <c r="S243" s="10" t="n">
        <v>138800</v>
      </c>
      <c r="T243" s="10">
        <f>S243</f>
        <v/>
      </c>
      <c r="U243" s="27" t="n">
        <v>141700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C243" s="303" t="n">
        <v>72.5</v>
      </c>
      <c r="AD243" s="29" t="n">
        <v>1</v>
      </c>
      <c r="AE243" s="279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9" t="n">
        <v>45635</v>
      </c>
      <c r="P244" s="10" t="n">
        <v>0</v>
      </c>
      <c r="Q244" s="10">
        <f>P244</f>
        <v/>
      </c>
      <c r="S244" s="10" t="n">
        <v>19500</v>
      </c>
      <c r="T244" s="10">
        <f>S244</f>
        <v/>
      </c>
      <c r="U244" s="27" t="n">
        <v>22400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LEM marketing.</t>
        </is>
      </c>
      <c r="AC244" s="305" t="n"/>
      <c r="AE244" s="278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8" t="n">
        <v>45680</v>
      </c>
      <c r="L245" s="9" t="n">
        <v>47505</v>
      </c>
      <c r="M245" s="9" t="n"/>
      <c r="N245" s="9" t="n"/>
      <c r="O245" s="9" t="n">
        <v>46774</v>
      </c>
      <c r="P245" s="10" t="n">
        <v>21060</v>
      </c>
      <c r="Q245" s="10">
        <f>P245</f>
        <v/>
      </c>
      <c r="R245" s="10" t="n"/>
      <c r="S245" s="10" t="n">
        <v>0</v>
      </c>
      <c r="T245" s="10">
        <f>S245</f>
        <v/>
      </c>
      <c r="U245" s="27" t="n">
        <v>19500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Tenant break on 6 months notice.</t>
        </is>
      </c>
      <c r="AC245" s="303" t="n"/>
      <c r="AD245" s="4" t="n"/>
      <c r="AE245" s="278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8" t="n"/>
      <c r="L246" s="9" t="n"/>
      <c r="M246" s="9" t="n">
        <v>45434</v>
      </c>
      <c r="N246" s="9" t="n"/>
      <c r="O246" s="9" t="n"/>
      <c r="P246" s="10" t="n">
        <v>0</v>
      </c>
      <c r="Q246" s="10">
        <f>P246</f>
        <v/>
      </c>
      <c r="R246" s="10" t="n"/>
      <c r="S246" s="10" t="n">
        <v>42000</v>
      </c>
      <c r="T246" s="10">
        <f>S246</f>
        <v/>
      </c>
      <c r="U246" s="27" t="n">
        <v>41500</v>
      </c>
      <c r="V246" s="10">
        <f>U246</f>
        <v/>
      </c>
      <c r="W246" s="277">
        <f>S246/G246</f>
        <v/>
      </c>
      <c r="X246" s="10" t="inlineStr">
        <is>
          <t>C</t>
        </is>
      </c>
      <c r="Y246" s="60" t="n"/>
      <c r="Z246" s="394" t="n"/>
      <c r="AA246" s="14" t="inlineStr">
        <is>
          <t>No</t>
        </is>
      </c>
      <c r="AB246" s="4" t="inlineStr">
        <is>
          <t>LEM marketing.</t>
        </is>
      </c>
      <c r="AC246" s="303" t="n">
        <v>62.5</v>
      </c>
      <c r="AD246" s="4" t="n"/>
      <c r="AE246" s="278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8" t="n">
        <v>43881</v>
      </c>
      <c r="L247" s="8" t="n">
        <v>47240</v>
      </c>
      <c r="M247" s="8" t="n"/>
      <c r="P247" s="10" t="n">
        <v>0</v>
      </c>
      <c r="Q247" s="10">
        <f>P247</f>
        <v/>
      </c>
      <c r="S247" s="10" t="n">
        <v>0</v>
      </c>
      <c r="T247" s="10">
        <f>S247</f>
        <v/>
      </c>
      <c r="U247" s="27" t="n">
        <v>0</v>
      </c>
      <c r="V247" s="10">
        <f>U247</f>
        <v/>
      </c>
      <c r="W247" s="277">
        <f>S247/G247</f>
        <v/>
      </c>
      <c r="X247" s="10" t="n"/>
      <c r="Y247" s="60" t="inlineStr">
        <is>
          <t>*</t>
        </is>
      </c>
      <c r="Z247" s="394" t="n"/>
      <c r="AA247" s="14" t="inlineStr">
        <is>
          <t>No</t>
        </is>
      </c>
      <c r="AB247" s="4" t="inlineStr">
        <is>
          <t>The rent is a peppercorn.</t>
        </is>
      </c>
      <c r="AE247" s="278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>
        <f>H248</f>
        <v/>
      </c>
      <c r="J248" s="4" t="inlineStr">
        <is>
          <t>Kiss The Hippo Fritzrovia Ltd.</t>
        </is>
      </c>
      <c r="K248" s="8" t="n">
        <v>43588</v>
      </c>
      <c r="L248" s="8" t="n">
        <v>47240</v>
      </c>
      <c r="M248" s="8" t="n"/>
      <c r="P248" s="10" t="n">
        <v>70000</v>
      </c>
      <c r="Q248" s="10">
        <f>P248</f>
        <v/>
      </c>
      <c r="S248" s="10" t="n">
        <v>57500</v>
      </c>
      <c r="T248" s="10">
        <f>S248</f>
        <v/>
      </c>
      <c r="U248" s="27" t="n">
        <v>57500</v>
      </c>
      <c r="V248" s="10">
        <f>U248</f>
        <v/>
      </c>
      <c r="W248" s="277">
        <f>S248/G248</f>
        <v/>
      </c>
      <c r="X248" s="10" t="inlineStr">
        <is>
          <t>A</t>
        </is>
      </c>
      <c r="Y248" s="60" t="n"/>
      <c r="Z248" s="394" t="n"/>
      <c r="AA248" s="14" t="inlineStr">
        <is>
          <t>No</t>
        </is>
      </c>
      <c r="AE248" s="278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Vault</t>
        </is>
      </c>
      <c r="F249" s="14" t="inlineStr">
        <is>
          <t>Storage</t>
        </is>
      </c>
      <c r="G249" s="7" t="n">
        <v>90</v>
      </c>
      <c r="H249" s="7">
        <f>G249</f>
        <v/>
      </c>
      <c r="I249" s="7">
        <f>H249</f>
        <v/>
      </c>
      <c r="J249" s="4" t="inlineStr">
        <is>
          <t>Vacant / Landlord</t>
        </is>
      </c>
      <c r="L249" s="9" t="n"/>
      <c r="M249" s="9" t="n">
        <v>44681</v>
      </c>
      <c r="P249" s="10" t="n">
        <v>0</v>
      </c>
      <c r="Q249" s="10">
        <f>P249</f>
        <v/>
      </c>
      <c r="S249" s="10" t="n">
        <v>5665</v>
      </c>
      <c r="T249" s="10">
        <f>S249</f>
        <v/>
      </c>
      <c r="U249" s="27" t="n">
        <v>900</v>
      </c>
      <c r="V249" s="10">
        <f>U249</f>
        <v/>
      </c>
      <c r="W249" s="277">
        <f>S249/G249</f>
        <v/>
      </c>
      <c r="X249" s="10" t="n"/>
      <c r="Y249" s="60" t="n"/>
      <c r="Z249" s="394" t="n"/>
      <c r="AA249" s="14" t="inlineStr">
        <is>
          <t>No</t>
        </is>
      </c>
      <c r="AE249" s="278" t="n"/>
    </row>
    <row r="250">
      <c r="A250" s="355" t="inlineStr">
        <is>
          <t>SH</t>
        </is>
      </c>
      <c r="B250" s="355" t="inlineStr">
        <is>
          <t>MEL</t>
        </is>
      </c>
      <c r="C250" s="356" t="n">
        <v>550510</v>
      </c>
      <c r="D250" s="357" t="inlineStr">
        <is>
          <t>51-53 Margaret Street</t>
        </is>
      </c>
      <c r="E250" s="4" t="inlineStr">
        <is>
          <t>Basement &amp; Ground Floor (East)</t>
        </is>
      </c>
      <c r="F250" s="22" t="inlineStr">
        <is>
          <t>Shop</t>
        </is>
      </c>
      <c r="G250" s="359" t="n">
        <v>1922</v>
      </c>
      <c r="H250" s="7">
        <f>G250</f>
        <v/>
      </c>
      <c r="I250" s="7">
        <f>H250</f>
        <v/>
      </c>
      <c r="J250" s="4" t="inlineStr">
        <is>
          <t>Fred Bakery Ltd.</t>
        </is>
      </c>
      <c r="K250" s="8" t="n">
        <v>45845</v>
      </c>
      <c r="L250" s="9" t="n">
        <v>51323</v>
      </c>
      <c r="N250" s="9" t="n">
        <v>47671</v>
      </c>
      <c r="O250" s="9" t="n">
        <v>47670</v>
      </c>
      <c r="P250" s="10" t="n">
        <v>0</v>
      </c>
      <c r="Q250" s="10">
        <f>P250</f>
        <v/>
      </c>
      <c r="S250" s="10" t="n">
        <v>126000</v>
      </c>
      <c r="T250" s="10">
        <f>S250</f>
        <v/>
      </c>
      <c r="U250" s="27" t="n">
        <v>132000</v>
      </c>
      <c r="V250" s="10">
        <f>U250</f>
        <v/>
      </c>
      <c r="W250" s="277">
        <f>S250/G250</f>
        <v/>
      </c>
      <c r="X250" s="10" t="inlineStr">
        <is>
          <t>D</t>
        </is>
      </c>
      <c r="Y250" s="60" t="n"/>
      <c r="Z250" s="394" t="n"/>
      <c r="AA250" s="14" t="inlineStr">
        <is>
          <t>No</t>
        </is>
      </c>
      <c r="AB250" s="4" t="inlineStr">
        <is>
          <t>Rent £66,000 wef 07/11/25 increasing to £132,000 wef 07/05/26. Mutual break on 6 months notice.</t>
        </is>
      </c>
      <c r="AE250" s="278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(East)</t>
        </is>
      </c>
      <c r="F251" s="22" t="inlineStr">
        <is>
          <t>Office</t>
        </is>
      </c>
      <c r="G251" s="7" t="n">
        <v>635</v>
      </c>
      <c r="H251" s="7">
        <f>G251</f>
        <v/>
      </c>
      <c r="I251" s="7" t="n">
        <v>750</v>
      </c>
      <c r="J251" s="4" t="inlineStr">
        <is>
          <t>More &amp; More Studio Limited</t>
        </is>
      </c>
      <c r="K251" s="8" t="n">
        <v>45431</v>
      </c>
      <c r="L251" s="9" t="n">
        <v>46525</v>
      </c>
      <c r="P251" s="10" t="n">
        <v>36500</v>
      </c>
      <c r="Q251" s="10">
        <f>P251</f>
        <v/>
      </c>
      <c r="S251" s="10" t="n">
        <v>36500</v>
      </c>
      <c r="T251" s="10">
        <f>S251</f>
        <v/>
      </c>
      <c r="U251" s="27" t="n">
        <v>38100</v>
      </c>
      <c r="V251" s="10">
        <f>U251</f>
        <v/>
      </c>
      <c r="W251" s="277">
        <f>S251/G251</f>
        <v/>
      </c>
      <c r="X251" s="10" t="inlineStr">
        <is>
          <t>E</t>
        </is>
      </c>
      <c r="Y251" s="60" t="n"/>
      <c r="Z251" s="394" t="n"/>
      <c r="AA251" s="14" t="inlineStr">
        <is>
          <t>No</t>
        </is>
      </c>
      <c r="AE251" s="278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(West)</t>
        </is>
      </c>
      <c r="F252" s="14" t="inlineStr">
        <is>
          <t>Office</t>
        </is>
      </c>
      <c r="G252" s="42" t="n">
        <v>450</v>
      </c>
      <c r="H252" s="7">
        <f>G252</f>
        <v/>
      </c>
      <c r="I252" s="7" t="n">
        <v>500</v>
      </c>
      <c r="J252" s="4" t="inlineStr">
        <is>
          <t>Vacant</t>
        </is>
      </c>
      <c r="M252" s="9" t="n">
        <v>42943</v>
      </c>
      <c r="P252" s="10" t="n">
        <v>0</v>
      </c>
      <c r="Q252" s="10">
        <f>P252</f>
        <v/>
      </c>
      <c r="S252" s="10" t="n">
        <v>23600</v>
      </c>
      <c r="T252" s="10">
        <f>S252</f>
        <v/>
      </c>
      <c r="U252" s="27" t="n">
        <v>25900</v>
      </c>
      <c r="V252" s="10">
        <f>U252</f>
        <v/>
      </c>
      <c r="W252" s="277">
        <f>S252/G252</f>
        <v/>
      </c>
      <c r="X252" s="10" t="inlineStr">
        <is>
          <t>B</t>
        </is>
      </c>
      <c r="Y252" s="60" t="n"/>
      <c r="Z252" s="394" t="n"/>
      <c r="AA252" s="14" t="inlineStr">
        <is>
          <t>No</t>
        </is>
      </c>
      <c r="AE252" s="278" t="n">
        <v>2</v>
      </c>
      <c r="AF252" s="4" t="inlineStr">
        <is>
          <t>LEM / RIB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(East)</t>
        </is>
      </c>
      <c r="F253" s="14" t="inlineStr">
        <is>
          <t>Office</t>
        </is>
      </c>
      <c r="G253" s="7" t="n">
        <v>615</v>
      </c>
      <c r="H253" s="7">
        <f>G253</f>
        <v/>
      </c>
      <c r="I253" s="7" t="n">
        <v>500</v>
      </c>
      <c r="J253" s="4" t="inlineStr">
        <is>
          <t>G. McGonagle &amp; I. Robertson</t>
        </is>
      </c>
      <c r="K253" s="8" t="n">
        <v>45092</v>
      </c>
      <c r="L253" s="9" t="n">
        <v>46918</v>
      </c>
      <c r="O253" s="9" t="n">
        <v>46187</v>
      </c>
      <c r="P253" s="10" t="n">
        <v>35363</v>
      </c>
      <c r="Q253" s="10">
        <f>P253</f>
        <v/>
      </c>
      <c r="S253" s="10" t="n">
        <v>32300</v>
      </c>
      <c r="T253" s="10">
        <f>S253</f>
        <v/>
      </c>
      <c r="U253" s="27" t="n">
        <v>35363</v>
      </c>
      <c r="V253" s="10">
        <f>U253</f>
        <v/>
      </c>
      <c r="W253" s="277">
        <f>S253/G253</f>
        <v/>
      </c>
      <c r="X253" s="10" t="n"/>
      <c r="Y253" s="60" t="n"/>
      <c r="Z253" s="394" t="n"/>
      <c r="AA253" s="14" t="inlineStr">
        <is>
          <t>No</t>
        </is>
      </c>
      <c r="AB253" s="4" t="inlineStr">
        <is>
          <t>Tenant break on 6 months notice. 2 months rent free if not exercised.</t>
        </is>
      </c>
      <c r="AE253" s="278" t="n"/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(West)</t>
        </is>
      </c>
      <c r="F254" s="14" t="inlineStr">
        <is>
          <t>Office</t>
        </is>
      </c>
      <c r="G254" s="7" t="n">
        <v>500</v>
      </c>
      <c r="H254" s="7">
        <f>G254</f>
        <v/>
      </c>
      <c r="I254" s="7" t="n">
        <v>500</v>
      </c>
      <c r="J254" s="4" t="inlineStr">
        <is>
          <t>Vacant</t>
        </is>
      </c>
      <c r="M254" s="9" t="n">
        <v>43820</v>
      </c>
      <c r="P254" s="10" t="n">
        <v>0</v>
      </c>
      <c r="Q254" s="10">
        <f>P254</f>
        <v/>
      </c>
      <c r="S254" s="10" t="n">
        <v>26300</v>
      </c>
      <c r="T254" s="10">
        <f>S254</f>
        <v/>
      </c>
      <c r="U254" s="27" t="n">
        <v>28800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LEM marketing.</t>
        </is>
      </c>
      <c r="AC254" s="303" t="n">
        <v>58.5</v>
      </c>
      <c r="AE254" s="278" t="n">
        <v>1</v>
      </c>
      <c r="AF254" s="4" t="inlineStr">
        <is>
          <t>LEM / RIB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(West)</t>
        </is>
      </c>
      <c r="F255" s="14" t="inlineStr">
        <is>
          <t>Office</t>
        </is>
      </c>
      <c r="G255" s="7" t="n">
        <v>504</v>
      </c>
      <c r="H255" s="7">
        <f>G255</f>
        <v/>
      </c>
      <c r="I255" s="7" t="n">
        <v>500</v>
      </c>
      <c r="J255" s="4" t="inlineStr">
        <is>
          <t>Reishi Clinic Ltd</t>
        </is>
      </c>
      <c r="K255" s="8" t="n">
        <v>45601</v>
      </c>
      <c r="L255" s="9" t="n">
        <v>47426</v>
      </c>
      <c r="O255" s="9" t="n">
        <v>46330</v>
      </c>
      <c r="P255" s="10" t="n">
        <v>28050</v>
      </c>
      <c r="Q255" s="10">
        <f>P255</f>
        <v/>
      </c>
      <c r="S255" s="10" t="n">
        <v>26500</v>
      </c>
      <c r="T255" s="10">
        <f>S255</f>
        <v/>
      </c>
      <c r="U255" s="27" t="n">
        <v>29000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Tenant break on 6 months notice.</t>
        </is>
      </c>
      <c r="AC255" s="305" t="n"/>
      <c r="AE255" s="278" t="n"/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(East)</t>
        </is>
      </c>
      <c r="F256" s="14" t="inlineStr">
        <is>
          <t>Office</t>
        </is>
      </c>
      <c r="G256" s="7" t="n">
        <v>591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44119</v>
      </c>
      <c r="P256" s="10" t="n">
        <v>0</v>
      </c>
      <c r="Q256" s="10">
        <f>P256</f>
        <v/>
      </c>
      <c r="S256" s="10" t="n">
        <v>31000</v>
      </c>
      <c r="T256" s="10">
        <f>S256</f>
        <v/>
      </c>
      <c r="U256" s="27" t="n">
        <v>34000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>
        <v>1</v>
      </c>
      <c r="AF256" s="4" t="inlineStr">
        <is>
          <t>LEM/LDG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(West)</t>
        </is>
      </c>
      <c r="F257" s="14" t="inlineStr">
        <is>
          <t>Office</t>
        </is>
      </c>
      <c r="G257" s="7" t="n">
        <v>450</v>
      </c>
      <c r="H257" s="7">
        <f>G257</f>
        <v/>
      </c>
      <c r="I257" s="7" t="n">
        <v>500</v>
      </c>
      <c r="J257" s="4" t="inlineStr">
        <is>
          <t>Vacant</t>
        </is>
      </c>
      <c r="M257" s="9" t="n">
        <v>43389</v>
      </c>
      <c r="P257" s="10" t="n">
        <v>0</v>
      </c>
      <c r="Q257" s="10">
        <f>P257</f>
        <v/>
      </c>
      <c r="S257" s="10" t="n">
        <v>23600</v>
      </c>
      <c r="T257" s="10">
        <f>S257</f>
        <v/>
      </c>
      <c r="U257" s="27" t="n">
        <v>25900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LEM marketing.</t>
        </is>
      </c>
      <c r="AC257" s="303" t="n">
        <v>58.5</v>
      </c>
      <c r="AE257" s="278" t="n"/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(East)</t>
        </is>
      </c>
      <c r="F258" s="14" t="inlineStr">
        <is>
          <t>Office</t>
        </is>
      </c>
      <c r="G258" s="7" t="n">
        <v>582</v>
      </c>
      <c r="H258" s="7">
        <f>G258</f>
        <v/>
      </c>
      <c r="I258" s="7" t="n">
        <v>500</v>
      </c>
      <c r="J258" s="4" t="inlineStr">
        <is>
          <t>MDB Sarl</t>
        </is>
      </c>
      <c r="K258" s="8" t="n">
        <v>45614</v>
      </c>
      <c r="L258" s="9" t="n">
        <v>46343</v>
      </c>
      <c r="P258" s="10" t="n">
        <v>42282</v>
      </c>
      <c r="Q258" s="10">
        <f>P258</f>
        <v/>
      </c>
      <c r="S258" s="10" t="n">
        <v>34000</v>
      </c>
      <c r="T258" s="10">
        <f>S258</f>
        <v/>
      </c>
      <c r="U258" s="27" t="n">
        <v>35500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All inclusive Service charge &amp; Insurance.</t>
        </is>
      </c>
      <c r="AC258" s="305" t="n"/>
      <c r="AE258" s="278" t="n"/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Floor &amp; Basement (East)</t>
        </is>
      </c>
      <c r="F259" s="14" t="inlineStr">
        <is>
          <t>Showroom/ Educational</t>
        </is>
      </c>
      <c r="G259" s="7" t="n">
        <v>2047</v>
      </c>
      <c r="H259" s="7">
        <f>G259</f>
        <v/>
      </c>
      <c r="I259" s="7" t="n">
        <v>2000</v>
      </c>
      <c r="J259" s="4" t="inlineStr">
        <is>
          <t>Apollo Galleries Limited</t>
        </is>
      </c>
      <c r="K259" s="8" t="n">
        <v>45100</v>
      </c>
      <c r="L259" s="9" t="n">
        <v>48752</v>
      </c>
      <c r="N259" s="9" t="n">
        <v>46926</v>
      </c>
      <c r="O259" s="9" t="n">
        <v>46195</v>
      </c>
      <c r="P259" s="10" t="n">
        <v>105000</v>
      </c>
      <c r="Q259" s="10">
        <f>P259</f>
        <v/>
      </c>
      <c r="S259" s="10" t="n">
        <v>100000</v>
      </c>
      <c r="T259" s="10">
        <f>S259</f>
        <v/>
      </c>
      <c r="U259" s="27" t="n">
        <v>105000</v>
      </c>
      <c r="V259" s="10">
        <f>U259</f>
        <v/>
      </c>
      <c r="W259" s="277">
        <f>S259/G259</f>
        <v/>
      </c>
      <c r="X259" s="10" t="inlineStr">
        <is>
          <t>E</t>
        </is>
      </c>
      <c r="Y259" s="60" t="n"/>
      <c r="Z259" s="394" t="n"/>
      <c r="AA259" s="14" t="inlineStr">
        <is>
          <t>No</t>
        </is>
      </c>
      <c r="AB259" s="4" t="inlineStr">
        <is>
          <t>Tenant break on 6 months notice.</t>
        </is>
      </c>
      <c r="AE259" s="278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 &amp; Basement (West) &amp; Rear Block</t>
        </is>
      </c>
      <c r="F260" s="14" t="inlineStr">
        <is>
          <t>Retail</t>
        </is>
      </c>
      <c r="G260" s="7" t="n">
        <v>2185</v>
      </c>
      <c r="H260" s="7">
        <f>G260</f>
        <v/>
      </c>
      <c r="I260" s="7" t="n">
        <v>2000</v>
      </c>
      <c r="J260" s="4" t="inlineStr">
        <is>
          <t>Margaret Howell Ltd</t>
        </is>
      </c>
      <c r="K260" s="8" t="n">
        <v>42655</v>
      </c>
      <c r="L260" s="9" t="n">
        <v>46306</v>
      </c>
      <c r="P260" s="10" t="n">
        <v>100000</v>
      </c>
      <c r="Q260" s="10">
        <f>P260</f>
        <v/>
      </c>
      <c r="S260" s="10" t="n">
        <v>90000</v>
      </c>
      <c r="T260" s="10">
        <f>S260</f>
        <v/>
      </c>
      <c r="U260" s="27" t="n">
        <v>100000</v>
      </c>
      <c r="V260" s="10">
        <f>U260</f>
        <v/>
      </c>
      <c r="W260" s="277">
        <f>S260/G260</f>
        <v/>
      </c>
      <c r="X260" s="10" t="inlineStr">
        <is>
          <t>C</t>
        </is>
      </c>
      <c r="Y260" s="60" t="n"/>
      <c r="Z260" s="394" t="n"/>
      <c r="AA260" s="14" t="inlineStr">
        <is>
          <t>No</t>
        </is>
      </c>
      <c r="AB260" s="4" t="inlineStr">
        <is>
          <t xml:space="preserve">Tenant break on 6 months notice and a Landlord Redevelopment Break @ 01/09/22 on 6 months notice. Break not exercised. </t>
        </is>
      </c>
      <c r="AE260" s="278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(East)</t>
        </is>
      </c>
      <c r="F261" s="14" t="inlineStr">
        <is>
          <t>Office</t>
        </is>
      </c>
      <c r="G261" s="7" t="n">
        <v>727</v>
      </c>
      <c r="H261" s="7">
        <f>G261</f>
        <v/>
      </c>
      <c r="I261" s="7" t="n">
        <v>250</v>
      </c>
      <c r="J261" s="4" t="inlineStr">
        <is>
          <t>Kipas London Ltd</t>
        </is>
      </c>
      <c r="K261" s="8" t="n">
        <v>44703</v>
      </c>
      <c r="L261" s="9" t="n">
        <v>46528</v>
      </c>
      <c r="P261" s="10" t="n">
        <v>42350</v>
      </c>
      <c r="Q261" s="10">
        <f>P261</f>
        <v/>
      </c>
      <c r="S261" s="10" t="n">
        <v>40000</v>
      </c>
      <c r="T261" s="10">
        <f>S261</f>
        <v/>
      </c>
      <c r="U261" s="27" t="n">
        <v>48700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E261" s="278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(Front)</t>
        </is>
      </c>
      <c r="F262" s="14" t="inlineStr">
        <is>
          <t>Office</t>
        </is>
      </c>
      <c r="G262" s="7" t="n">
        <v>710</v>
      </c>
      <c r="H262" s="7">
        <f>G262</f>
        <v/>
      </c>
      <c r="I262" s="7" t="n">
        <v>750</v>
      </c>
      <c r="J262" s="4" t="inlineStr">
        <is>
          <t>Staybrook Asset Management Ltd</t>
        </is>
      </c>
      <c r="K262" s="8" t="n">
        <v>45551</v>
      </c>
      <c r="L262" s="9" t="n">
        <v>46645</v>
      </c>
      <c r="O262" s="9" t="n">
        <v>46280</v>
      </c>
      <c r="P262" s="10" t="n">
        <v>47250</v>
      </c>
      <c r="Q262" s="10">
        <f>P262</f>
        <v/>
      </c>
      <c r="S262" s="10" t="n">
        <v>35000</v>
      </c>
      <c r="T262" s="10">
        <f>S262</f>
        <v/>
      </c>
      <c r="U262" s="27" t="n">
        <v>47600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 1 month rent free if not exercised.</t>
        </is>
      </c>
      <c r="AD262" s="29" t="n"/>
      <c r="AE262" s="279" t="n"/>
      <c r="AF262" s="29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(Rear)</t>
        </is>
      </c>
      <c r="F263" s="14" t="inlineStr">
        <is>
          <t>Office</t>
        </is>
      </c>
      <c r="G263" s="7" t="n">
        <v>130</v>
      </c>
      <c r="H263" s="7">
        <f>G263</f>
        <v/>
      </c>
      <c r="I263" s="7" t="n">
        <v>250</v>
      </c>
      <c r="J263" s="4" t="inlineStr">
        <is>
          <t>Face2Face Counselling Services Ltd</t>
        </is>
      </c>
      <c r="K263" s="8" t="n">
        <v>45456</v>
      </c>
      <c r="L263" s="9" t="n">
        <v>47085</v>
      </c>
      <c r="O263" s="9" t="n">
        <v>46354</v>
      </c>
      <c r="P263" s="10" t="n">
        <v>7320</v>
      </c>
      <c r="Q263" s="10">
        <f>P263</f>
        <v/>
      </c>
      <c r="S263" s="10" t="n">
        <v>7000</v>
      </c>
      <c r="T263" s="10">
        <f>S263</f>
        <v/>
      </c>
      <c r="U263" s="27" t="n">
        <v>7360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B263" s="4" t="inlineStr">
        <is>
          <t>Tenant break on 6 months notice.</t>
        </is>
      </c>
      <c r="AE263" s="278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(East)</t>
        </is>
      </c>
      <c r="F264" s="39" t="inlineStr">
        <is>
          <t>Office</t>
        </is>
      </c>
      <c r="G264" s="7" t="n">
        <v>710</v>
      </c>
      <c r="H264" s="7">
        <f>G264</f>
        <v/>
      </c>
      <c r="I264" s="7" t="n">
        <v>750</v>
      </c>
      <c r="J264" s="4" t="inlineStr">
        <is>
          <t>Cihangir Group Limited.</t>
        </is>
      </c>
      <c r="K264" s="8" t="n">
        <v>45253</v>
      </c>
      <c r="L264" s="9" t="n">
        <v>46348</v>
      </c>
      <c r="P264" s="10" t="n">
        <v>42350</v>
      </c>
      <c r="Q264" s="10">
        <f>P264</f>
        <v/>
      </c>
      <c r="S264" s="10" t="n">
        <v>38700</v>
      </c>
      <c r="T264" s="10">
        <f>S264</f>
        <v/>
      </c>
      <c r="U264" s="27" t="n">
        <v>45100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E264" s="278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(Rear)</t>
        </is>
      </c>
      <c r="F265" s="39" t="inlineStr">
        <is>
          <t>Office</t>
        </is>
      </c>
      <c r="G265" s="7" t="n">
        <v>130</v>
      </c>
      <c r="H265" s="7">
        <f>G265</f>
        <v/>
      </c>
      <c r="I265" s="7" t="n">
        <v>250</v>
      </c>
      <c r="J265" s="4" t="inlineStr">
        <is>
          <t>Face2Face Counselling Services Ltd</t>
        </is>
      </c>
      <c r="K265" s="8" t="n">
        <v>45259</v>
      </c>
      <c r="L265" s="9" t="n">
        <v>47085</v>
      </c>
      <c r="O265" s="9" t="n">
        <v>46354</v>
      </c>
      <c r="P265" s="10" t="n">
        <v>7320</v>
      </c>
      <c r="Q265" s="10">
        <f>P265</f>
        <v/>
      </c>
      <c r="S265" s="10" t="n">
        <v>6300</v>
      </c>
      <c r="T265" s="10">
        <f>S265</f>
        <v/>
      </c>
      <c r="U265" s="27" t="n">
        <v>8700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Tenant break on 6 months notice.</t>
        </is>
      </c>
      <c r="AE265" s="278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(West)</t>
        </is>
      </c>
      <c r="F266" s="14" t="inlineStr">
        <is>
          <t>Office</t>
        </is>
      </c>
      <c r="G266" s="7" t="n">
        <v>727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43080</v>
      </c>
      <c r="P266" s="10" t="n">
        <v>0</v>
      </c>
      <c r="Q266" s="10">
        <f>P266</f>
        <v/>
      </c>
      <c r="S266" s="10" t="n">
        <v>35000</v>
      </c>
      <c r="T266" s="10">
        <f>S266</f>
        <v/>
      </c>
      <c r="U266" s="27" t="n">
        <v>41800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E266" s="278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(East)</t>
        </is>
      </c>
      <c r="F267" s="14" t="inlineStr">
        <is>
          <t>Office</t>
        </is>
      </c>
      <c r="G267" s="7" t="n">
        <v>760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43593</v>
      </c>
      <c r="P267" s="10" t="n">
        <v>0</v>
      </c>
      <c r="Q267" s="10">
        <f>P267</f>
        <v/>
      </c>
      <c r="S267" s="10" t="n">
        <v>40000</v>
      </c>
      <c r="T267" s="10">
        <f>S267</f>
        <v/>
      </c>
      <c r="U267" s="27" t="n">
        <v>43700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2</v>
      </c>
      <c r="AE267" s="278" t="n">
        <v>3</v>
      </c>
      <c r="AF267" s="4" t="inlineStr">
        <is>
          <t>LEM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(West)</t>
        </is>
      </c>
      <c r="F268" s="14" t="inlineStr">
        <is>
          <t>Office</t>
        </is>
      </c>
      <c r="G268" s="7" t="n">
        <v>666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42905</v>
      </c>
      <c r="P268" s="10" t="n">
        <v>0</v>
      </c>
      <c r="Q268" s="10">
        <f>P268</f>
        <v/>
      </c>
      <c r="S268" s="10" t="n">
        <v>35000</v>
      </c>
      <c r="T268" s="10">
        <f>S268</f>
        <v/>
      </c>
      <c r="U268" s="27" t="n">
        <v>38300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C268" s="303" t="n">
        <v>62.5</v>
      </c>
      <c r="AD268" s="4" t="n">
        <v>0</v>
      </c>
      <c r="AE268" s="278" t="n">
        <v>1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(East)</t>
        </is>
      </c>
      <c r="F269" s="14" t="inlineStr">
        <is>
          <t>Office</t>
        </is>
      </c>
      <c r="G269" s="7" t="n">
        <v>767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45719</v>
      </c>
      <c r="P269" s="10" t="n">
        <v>0</v>
      </c>
      <c r="Q269" s="10">
        <f>P269</f>
        <v/>
      </c>
      <c r="S269" s="10" t="n">
        <v>40000</v>
      </c>
      <c r="T269" s="10">
        <f>S269</f>
        <v/>
      </c>
      <c r="U269" s="27" t="n">
        <v>44100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D269" s="29" t="n"/>
      <c r="AE269" s="279" t="n"/>
      <c r="AF269" s="29" t="n"/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(West)</t>
        </is>
      </c>
      <c r="F270" s="14" t="inlineStr">
        <is>
          <t>Office</t>
        </is>
      </c>
      <c r="G270" s="7" t="n">
        <v>645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35000</v>
      </c>
      <c r="T270" s="10">
        <f>S270</f>
        <v/>
      </c>
      <c r="U270" s="27" t="n">
        <v>37100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(East)</t>
        </is>
      </c>
      <c r="F271" s="14" t="inlineStr">
        <is>
          <t>Office</t>
        </is>
      </c>
      <c r="G271" s="7" t="n">
        <v>767</v>
      </c>
      <c r="H271" s="7">
        <f>G271</f>
        <v/>
      </c>
      <c r="I271" s="7" t="n">
        <v>750</v>
      </c>
      <c r="J271" s="4" t="inlineStr">
        <is>
          <t>Vacant</t>
        </is>
      </c>
      <c r="M271" s="9" t="n">
        <v>44263</v>
      </c>
      <c r="P271" s="10" t="n">
        <v>0</v>
      </c>
      <c r="Q271" s="10">
        <f>P271</f>
        <v/>
      </c>
      <c r="S271" s="10" t="n">
        <v>40000</v>
      </c>
      <c r="T271" s="10">
        <f>S271</f>
        <v/>
      </c>
      <c r="U271" s="27" t="n">
        <v>44100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(West)</t>
        </is>
      </c>
      <c r="F272" s="14" t="inlineStr">
        <is>
          <t>Office</t>
        </is>
      </c>
      <c r="G272" s="7" t="n">
        <v>534</v>
      </c>
      <c r="H272" s="7">
        <f>G272</f>
        <v/>
      </c>
      <c r="I272" s="7" t="n">
        <v>500</v>
      </c>
      <c r="J272" s="4" t="inlineStr">
        <is>
          <t>Vacant</t>
        </is>
      </c>
      <c r="M272" s="9" t="n">
        <v>43061</v>
      </c>
      <c r="P272" s="10" t="n">
        <v>0</v>
      </c>
      <c r="Q272" s="10">
        <f>P272</f>
        <v/>
      </c>
      <c r="S272" s="10" t="n">
        <v>0</v>
      </c>
      <c r="T272" s="10">
        <f>S272</f>
        <v/>
      </c>
      <c r="U272" s="27" t="n">
        <v>30700</v>
      </c>
      <c r="V272" s="10">
        <f>U272</f>
        <v/>
      </c>
      <c r="W272" s="277">
        <f>S272/G272</f>
        <v/>
      </c>
      <c r="X272" s="10" t="inlineStr">
        <is>
          <t>D</t>
        </is>
      </c>
      <c r="Y272" s="60" t="n"/>
      <c r="Z272" s="394" t="n"/>
      <c r="AA272" s="14" t="inlineStr">
        <is>
          <t>No</t>
        </is>
      </c>
      <c r="AB272" s="4" t="inlineStr">
        <is>
          <t>To be refurbished.</t>
        </is>
      </c>
      <c r="AC272" s="303" t="n">
        <v>60</v>
      </c>
      <c r="AE272" s="278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Ground Floor &amp; Basement</t>
        </is>
      </c>
      <c r="F273" s="14" t="inlineStr">
        <is>
          <t>A1/D1</t>
        </is>
      </c>
      <c r="G273" s="7" t="n">
        <v>930</v>
      </c>
      <c r="H273" s="7">
        <f>G273</f>
        <v/>
      </c>
      <c r="I273" s="7" t="n">
        <v>1000</v>
      </c>
      <c r="J273" s="4" t="inlineStr">
        <is>
          <t>Advanced Beauty Medical Clinics Ltd</t>
        </is>
      </c>
      <c r="K273" s="8" t="n">
        <v>45588</v>
      </c>
      <c r="L273" s="9" t="n">
        <v>46132</v>
      </c>
      <c r="P273" s="10" t="n">
        <v>46500</v>
      </c>
      <c r="Q273" s="10">
        <f>P273</f>
        <v/>
      </c>
      <c r="S273" s="10" t="n">
        <v>45350</v>
      </c>
      <c r="T273" s="10">
        <f>S273</f>
        <v/>
      </c>
      <c r="U273" s="27" t="n">
        <v>45350</v>
      </c>
      <c r="V273" s="10">
        <f>U273</f>
        <v/>
      </c>
      <c r="W273" s="277">
        <f>S273/G273</f>
        <v/>
      </c>
      <c r="X273" s="27" t="inlineStr">
        <is>
          <t>B</t>
        </is>
      </c>
      <c r="Y273" s="60" t="n"/>
      <c r="Z273" s="36" t="n"/>
      <c r="AA273" s="14" t="inlineStr">
        <is>
          <t>No</t>
        </is>
      </c>
      <c r="AE273" s="278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First Floor</t>
        </is>
      </c>
      <c r="F274" s="14" t="inlineStr">
        <is>
          <t>Office</t>
        </is>
      </c>
      <c r="G274" s="7" t="n">
        <v>360</v>
      </c>
      <c r="H274" s="7">
        <f>G274</f>
        <v/>
      </c>
      <c r="I274" s="7" t="n">
        <v>250</v>
      </c>
      <c r="J274" s="4" t="inlineStr">
        <is>
          <t>Advanced Beauty Medical Clinics Ltd</t>
        </is>
      </c>
      <c r="K274" s="8" t="n">
        <v>44307</v>
      </c>
      <c r="L274" s="9" t="n">
        <v>46132</v>
      </c>
      <c r="P274" s="10" t="n">
        <v>18500</v>
      </c>
      <c r="Q274" s="10">
        <f>P274</f>
        <v/>
      </c>
      <c r="S274" s="10" t="n">
        <v>20200</v>
      </c>
      <c r="T274" s="10">
        <f>S274</f>
        <v/>
      </c>
      <c r="U274" s="27" t="n">
        <v>21200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E274" s="278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Second Floor</t>
        </is>
      </c>
      <c r="F275" s="14" t="inlineStr">
        <is>
          <t>Office</t>
        </is>
      </c>
      <c r="G275" s="7" t="n">
        <v>375</v>
      </c>
      <c r="H275" s="7">
        <f>G275</f>
        <v/>
      </c>
      <c r="I275" s="7" t="n">
        <v>500</v>
      </c>
      <c r="J275" s="29" t="inlineStr">
        <is>
          <t>Olga Mantsiou</t>
        </is>
      </c>
      <c r="K275" s="388" t="n">
        <v>45891</v>
      </c>
      <c r="L275" s="387" t="n">
        <v>46986</v>
      </c>
      <c r="M275" s="387" t="n"/>
      <c r="N275" s="387" t="n"/>
      <c r="O275" s="387" t="n">
        <v>46440</v>
      </c>
      <c r="P275" s="27" t="n">
        <v>0</v>
      </c>
      <c r="Q275" s="10">
        <f>P275</f>
        <v/>
      </c>
      <c r="S275" s="10" t="n">
        <v>21000</v>
      </c>
      <c r="T275" s="10">
        <f>S275</f>
        <v/>
      </c>
      <c r="U275" s="27" t="n">
        <v>22100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29" t="inlineStr">
        <is>
          <t>New letting completed. Rent £18,529 wef 22/09/25. Fixed increase to £18,667 wef 22/02/27. Tenant break on 6 months notice. 2 months rent free if not exercised.</t>
        </is>
      </c>
      <c r="AE275" s="278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Third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Leap Productions Limited</t>
        </is>
      </c>
      <c r="K276" s="8" t="n">
        <v>44974</v>
      </c>
      <c r="L276" s="9" t="n">
        <v>46799</v>
      </c>
      <c r="O276" s="9" t="n">
        <v>46069</v>
      </c>
      <c r="P276" s="10" t="n">
        <v>19600</v>
      </c>
      <c r="Q276" s="10">
        <f>P276</f>
        <v/>
      </c>
      <c r="S276" s="10" t="n">
        <v>19600</v>
      </c>
      <c r="T276" s="10">
        <f>S276</f>
        <v/>
      </c>
      <c r="U276" s="27" t="n">
        <v>20700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</t>
        </is>
      </c>
      <c r="AE276" s="278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Fourth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Philips Lockhart Ltd.</t>
        </is>
      </c>
      <c r="K277" s="8" t="n">
        <v>45359</v>
      </c>
      <c r="L277" s="9" t="n">
        <v>46453</v>
      </c>
      <c r="O277" s="9" t="n">
        <v>45907</v>
      </c>
      <c r="P277" s="10" t="n">
        <v>19600</v>
      </c>
      <c r="Q277" s="10">
        <f>P277</f>
        <v/>
      </c>
      <c r="S277" s="10" t="n">
        <v>17500</v>
      </c>
      <c r="T277" s="10">
        <f>S277</f>
        <v/>
      </c>
      <c r="U277" s="27" t="n">
        <v>20000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at 08/09/25 if break not exercised.</t>
        </is>
      </c>
      <c r="AE277" s="278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Fifth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Mercury Creations Limited</t>
        </is>
      </c>
      <c r="K278" s="8" t="n">
        <v>45744</v>
      </c>
      <c r="L278" s="9" t="n">
        <v>47569</v>
      </c>
      <c r="O278" s="9" t="n">
        <v>46839</v>
      </c>
      <c r="P278" s="10" t="n">
        <v>19950</v>
      </c>
      <c r="Q278" s="10">
        <f>P278</f>
        <v/>
      </c>
      <c r="S278" s="10" t="n">
        <v>17500</v>
      </c>
      <c r="T278" s="10">
        <f>S278</f>
        <v/>
      </c>
      <c r="U278" s="27" t="n">
        <v>20300</v>
      </c>
      <c r="V278" s="10">
        <f>U278</f>
        <v/>
      </c>
      <c r="W278" s="277">
        <f>S278/G278</f>
        <v/>
      </c>
      <c r="X278" s="10" t="inlineStr">
        <is>
          <t>D</t>
        </is>
      </c>
      <c r="Y278" s="60" t="n"/>
      <c r="Z278" s="36" t="n"/>
      <c r="AA278" s="14" t="inlineStr">
        <is>
          <t>No</t>
        </is>
      </c>
      <c r="AB278" s="4" t="inlineStr">
        <is>
          <t>Tenant break on 6 months notice. 2 months rent free if not exercised.</t>
        </is>
      </c>
      <c r="AD278" s="4" t="n">
        <v>1</v>
      </c>
      <c r="AE278" s="278" t="n">
        <v>3</v>
      </c>
      <c r="AF278" s="4" t="inlineStr">
        <is>
          <t>LEM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Sub-Basement</t>
        </is>
      </c>
      <c r="F279" s="14" t="inlineStr">
        <is>
          <t>Office</t>
        </is>
      </c>
      <c r="G279" s="7" t="n">
        <v>3760</v>
      </c>
      <c r="H279" s="7">
        <f>G279</f>
        <v/>
      </c>
      <c r="I279" s="7" t="n">
        <v>2750</v>
      </c>
      <c r="J279" s="4" t="inlineStr">
        <is>
          <t>M&amp;C Saatchi World Services Ltd.</t>
        </is>
      </c>
      <c r="K279" s="8" t="n">
        <v>44769</v>
      </c>
      <c r="L279" s="9" t="n">
        <v>46594</v>
      </c>
      <c r="P279" s="10" t="n">
        <v>95000</v>
      </c>
      <c r="Q279" s="10">
        <f>P279</f>
        <v/>
      </c>
      <c r="S279" s="10" t="n">
        <v>95000</v>
      </c>
      <c r="T279" s="10">
        <f>S279</f>
        <v/>
      </c>
      <c r="U279" s="27" t="n">
        <v>95000</v>
      </c>
      <c r="V279" s="10">
        <f>U279</f>
        <v/>
      </c>
      <c r="W279" s="277">
        <f>S279/G279</f>
        <v/>
      </c>
      <c r="X279" s="10" t="inlineStr">
        <is>
          <t>E</t>
        </is>
      </c>
      <c r="Y279" s="60" t="n"/>
      <c r="Z279" s="394" t="n"/>
      <c r="AA279" s="14" t="inlineStr">
        <is>
          <t>No</t>
        </is>
      </c>
      <c r="AE279" s="278" t="n"/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Lower Ground Floor</t>
        </is>
      </c>
      <c r="F280" s="14" t="inlineStr">
        <is>
          <t>Retail / Showroom</t>
        </is>
      </c>
      <c r="G280" s="7" t="n">
        <v>7994</v>
      </c>
      <c r="H280" s="7">
        <f>G280</f>
        <v/>
      </c>
      <c r="I280" s="7" t="n">
        <v>8000</v>
      </c>
      <c r="J280" s="4" t="inlineStr">
        <is>
          <t>EDC2 Ltd.</t>
        </is>
      </c>
      <c r="K280" s="8" t="n">
        <v>45417</v>
      </c>
      <c r="L280" s="9" t="n">
        <v>49068</v>
      </c>
      <c r="N280" s="9" t="n">
        <v>47243</v>
      </c>
      <c r="O280" s="9" t="n">
        <v>47242</v>
      </c>
      <c r="P280" s="10" t="n">
        <v>424275</v>
      </c>
      <c r="Q280" s="10">
        <f>P280</f>
        <v/>
      </c>
      <c r="S280" s="10" t="n">
        <v>379100</v>
      </c>
      <c r="T280" s="10">
        <f>S280</f>
        <v/>
      </c>
      <c r="U280" s="27" t="n">
        <v>424275</v>
      </c>
      <c r="V280" s="10">
        <f>U280</f>
        <v/>
      </c>
      <c r="W280" s="277">
        <f>S280/G280</f>
        <v/>
      </c>
      <c r="X280" s="10" t="inlineStr">
        <is>
          <t>B</t>
        </is>
      </c>
      <c r="Y280" s="60" t="n"/>
      <c r="Z280" s="394" t="n"/>
      <c r="AA280" s="14" t="inlineStr">
        <is>
          <t>No</t>
        </is>
      </c>
      <c r="AB280" s="4" t="inlineStr">
        <is>
          <t>Tenant break on 6 months notice. Half rent for 1year from 05/05/29 if break not exercised. Penalty clause of £106k if exercised.</t>
        </is>
      </c>
      <c r="AE280" s="278" t="n"/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(Front)</t>
        </is>
      </c>
      <c r="F281" s="14" t="inlineStr">
        <is>
          <t>Office</t>
        </is>
      </c>
      <c r="G281" s="7" t="n">
        <v>2106</v>
      </c>
      <c r="H281" s="7">
        <f>G281</f>
        <v/>
      </c>
      <c r="I281" s="7" t="n">
        <v>2000</v>
      </c>
      <c r="J281" s="4" t="inlineStr">
        <is>
          <t>Maxguard Limited</t>
        </is>
      </c>
      <c r="K281" s="8" t="n">
        <v>44317</v>
      </c>
      <c r="L281" s="9" t="n">
        <v>46142</v>
      </c>
      <c r="P281" s="10" t="n">
        <v>115500</v>
      </c>
      <c r="Q281" s="10">
        <f>P281</f>
        <v/>
      </c>
      <c r="S281" s="10" t="n">
        <v>120700</v>
      </c>
      <c r="T281" s="10">
        <f>S281</f>
        <v/>
      </c>
      <c r="U281" s="27" t="n">
        <v>133700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E281" s="278" t="n"/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(Rear)</t>
        </is>
      </c>
      <c r="F282" s="14" t="inlineStr">
        <is>
          <t>Office</t>
        </is>
      </c>
      <c r="G282" s="7" t="n">
        <v>1218</v>
      </c>
      <c r="H282" s="7">
        <f>G282</f>
        <v/>
      </c>
      <c r="I282" s="7" t="n">
        <v>1250</v>
      </c>
      <c r="J282" s="4" t="inlineStr">
        <is>
          <t>Vacant</t>
        </is>
      </c>
      <c r="M282" s="9" t="n">
        <v>42705</v>
      </c>
      <c r="P282" s="10" t="n">
        <v>0</v>
      </c>
      <c r="Q282" s="10">
        <f>P282</f>
        <v/>
      </c>
      <c r="S282" s="10" t="n">
        <v>61500</v>
      </c>
      <c r="T282" s="10">
        <f>S282</f>
        <v/>
      </c>
      <c r="U282" s="27" t="n">
        <v>67000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E282" s="278" t="n"/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(Front)</t>
        </is>
      </c>
      <c r="F283" s="14" t="inlineStr">
        <is>
          <t>Office</t>
        </is>
      </c>
      <c r="G283" s="7" t="n">
        <v>2256</v>
      </c>
      <c r="H283" s="7">
        <f>G283</f>
        <v/>
      </c>
      <c r="I283" s="7" t="n">
        <v>2250</v>
      </c>
      <c r="J283" s="4" t="inlineStr">
        <is>
          <t>Vacant</t>
        </is>
      </c>
      <c r="M283" s="9" t="n">
        <v>44782</v>
      </c>
      <c r="P283" s="10" t="n">
        <v>0</v>
      </c>
      <c r="Q283" s="10">
        <f>P283</f>
        <v/>
      </c>
      <c r="S283" s="10" t="n">
        <v>129200</v>
      </c>
      <c r="T283" s="10">
        <f>S283</f>
        <v/>
      </c>
      <c r="U283" s="27" t="n">
        <v>135400</v>
      </c>
      <c r="V283" s="10">
        <f>U283</f>
        <v/>
      </c>
      <c r="W283" s="277">
        <f>S283/G283</f>
        <v/>
      </c>
      <c r="X283" s="10" t="inlineStr">
        <is>
          <t>D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D283" s="4" t="n">
        <v>1</v>
      </c>
      <c r="AE283" s="278" t="n">
        <v>1</v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(Rear)</t>
        </is>
      </c>
      <c r="F284" s="14" t="inlineStr">
        <is>
          <t>Office</t>
        </is>
      </c>
      <c r="G284" s="7" t="n">
        <v>1218</v>
      </c>
      <c r="H284" s="7">
        <f>G284</f>
        <v/>
      </c>
      <c r="I284" s="7" t="n">
        <v>1250</v>
      </c>
      <c r="J284" s="4" t="inlineStr">
        <is>
          <t>Vacant</t>
        </is>
      </c>
      <c r="M284" s="9" t="n">
        <v>42513</v>
      </c>
      <c r="P284" s="10" t="n">
        <v>0</v>
      </c>
      <c r="Q284" s="10">
        <f>P284</f>
        <v/>
      </c>
      <c r="S284" s="10" t="n">
        <v>59700</v>
      </c>
      <c r="T284" s="10">
        <f>S284</f>
        <v/>
      </c>
      <c r="U284" s="27" t="n">
        <v>67000</v>
      </c>
      <c r="V284" s="10">
        <f>U284</f>
        <v/>
      </c>
      <c r="W284" s="277">
        <f>S284/G284</f>
        <v/>
      </c>
      <c r="X284" s="10" t="inlineStr">
        <is>
          <t>E</t>
        </is>
      </c>
      <c r="Y284" s="60" t="n"/>
      <c r="Z284" s="394" t="n"/>
      <c r="AA284" s="14" t="inlineStr">
        <is>
          <t>No</t>
        </is>
      </c>
      <c r="AB284" s="4" t="inlineStr">
        <is>
          <t>To be refurbished.</t>
        </is>
      </c>
      <c r="AC284" s="303" t="n">
        <v>62.5</v>
      </c>
      <c r="AE284" s="278" t="n"/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Third Floor</t>
        </is>
      </c>
      <c r="F285" s="14" t="inlineStr">
        <is>
          <t>Office</t>
        </is>
      </c>
      <c r="G285" s="7" t="n">
        <v>2194</v>
      </c>
      <c r="H285" s="7">
        <f>G285</f>
        <v/>
      </c>
      <c r="I285" s="7" t="n">
        <v>2000</v>
      </c>
      <c r="J285" s="4" t="inlineStr">
        <is>
          <t>Major League Baseball Europe Ltd.</t>
        </is>
      </c>
      <c r="K285" s="8" t="n">
        <v>45082</v>
      </c>
      <c r="L285" s="9" t="n">
        <v>46908</v>
      </c>
      <c r="O285" s="9" t="n">
        <v>46177</v>
      </c>
      <c r="P285" s="10" t="n">
        <v>130980</v>
      </c>
      <c r="Q285" s="10">
        <f>P285</f>
        <v/>
      </c>
      <c r="S285" s="10" t="n">
        <v>122200</v>
      </c>
      <c r="T285" s="10">
        <f>S285</f>
        <v/>
      </c>
      <c r="U285" s="27" t="n">
        <v>134900</v>
      </c>
      <c r="V285" s="10">
        <f>U285</f>
        <v/>
      </c>
      <c r="W285" s="277">
        <f>S285/G285</f>
        <v/>
      </c>
      <c r="X285" s="10" t="inlineStr">
        <is>
          <t>C</t>
        </is>
      </c>
      <c r="Y285" s="60" t="n"/>
      <c r="Z285" s="394" t="n"/>
      <c r="AA285" s="14" t="inlineStr">
        <is>
          <t>No</t>
        </is>
      </c>
      <c r="AB285" s="4" t="inlineStr">
        <is>
          <t>Tenant break on 6 months notice.</t>
        </is>
      </c>
      <c r="AD285" s="29" t="n"/>
      <c r="AE285" s="279" t="n"/>
      <c r="AF285" s="29" t="n"/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Fourth Floor</t>
        </is>
      </c>
      <c r="F286" s="14" t="inlineStr">
        <is>
          <t>Office</t>
        </is>
      </c>
      <c r="G286" s="7" t="n">
        <v>2080</v>
      </c>
      <c r="H286" s="7">
        <f>G286</f>
        <v/>
      </c>
      <c r="I286" s="7" t="n">
        <v>2000</v>
      </c>
      <c r="J286" s="4" t="inlineStr">
        <is>
          <t>Vacant</t>
        </is>
      </c>
      <c r="M286" s="9" t="n">
        <v>44647</v>
      </c>
      <c r="P286" s="10" t="n">
        <v>0</v>
      </c>
      <c r="Q286" s="10">
        <f>P286</f>
        <v/>
      </c>
      <c r="S286" s="10" t="n">
        <v>117900</v>
      </c>
      <c r="T286" s="10">
        <f>S286</f>
        <v/>
      </c>
      <c r="U286" s="27" t="n">
        <v>127900</v>
      </c>
      <c r="V286" s="10">
        <f>U286</f>
        <v/>
      </c>
      <c r="W286" s="277">
        <f>S286/G286</f>
        <v/>
      </c>
      <c r="X286" s="10" t="inlineStr">
        <is>
          <t>D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63</v>
      </c>
      <c r="AD286" s="4" t="n">
        <v>1</v>
      </c>
      <c r="AE286" s="278" t="n">
        <v>4</v>
      </c>
      <c r="AF286" s="4" t="inlineStr">
        <is>
          <t>LEM / LDG</t>
        </is>
      </c>
    </row>
    <row r="287">
      <c r="A287" s="11" t="inlineStr">
        <is>
          <t>CD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Fifth Floor</t>
        </is>
      </c>
      <c r="F287" s="14" t="inlineStr">
        <is>
          <t>Office</t>
        </is>
      </c>
      <c r="G287" s="7" t="n">
        <v>1713</v>
      </c>
      <c r="H287" s="7">
        <f>G287</f>
        <v/>
      </c>
      <c r="I287" s="7" t="n">
        <v>1750</v>
      </c>
      <c r="J287" s="4" t="inlineStr">
        <is>
          <t>Vacant</t>
        </is>
      </c>
      <c r="M287" s="9" t="n">
        <v>45195</v>
      </c>
      <c r="P287" s="10" t="n">
        <v>0</v>
      </c>
      <c r="Q287" s="10">
        <f>P287</f>
        <v/>
      </c>
      <c r="S287" s="10" t="n">
        <v>94300</v>
      </c>
      <c r="T287" s="10">
        <f>S287</f>
        <v/>
      </c>
      <c r="U287" s="27" t="n">
        <v>105300</v>
      </c>
      <c r="V287" s="10">
        <f>U287</f>
        <v/>
      </c>
      <c r="W287" s="277">
        <f>S287/G287</f>
        <v/>
      </c>
      <c r="X287" s="10" t="inlineStr">
        <is>
          <t>E</t>
        </is>
      </c>
      <c r="Y287" s="60" t="n"/>
      <c r="Z287" s="394" t="n"/>
      <c r="AA287" s="14" t="inlineStr">
        <is>
          <t>No</t>
        </is>
      </c>
      <c r="AB287" s="4" t="inlineStr">
        <is>
          <t>To be refurbished.</t>
        </is>
      </c>
      <c r="AC287" s="303" t="n">
        <v>65</v>
      </c>
      <c r="AD287" s="4" t="n">
        <v>1</v>
      </c>
      <c r="AE287" s="278" t="n">
        <v>1</v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Basement</t>
        </is>
      </c>
      <c r="F288" s="14" t="inlineStr">
        <is>
          <t>Storage</t>
        </is>
      </c>
      <c r="G288" s="7" t="n">
        <v>927</v>
      </c>
      <c r="H288" s="7">
        <f>G288</f>
        <v/>
      </c>
      <c r="I288" s="7" t="n">
        <v>1000</v>
      </c>
      <c r="J288" s="4" t="inlineStr">
        <is>
          <t>Vacant</t>
        </is>
      </c>
      <c r="K288" s="4" t="n"/>
      <c r="L288" s="4" t="n"/>
      <c r="M288" s="9" t="n">
        <v>45785</v>
      </c>
      <c r="P288" s="10" t="n">
        <v>0</v>
      </c>
      <c r="Q288" s="10">
        <f>P288</f>
        <v/>
      </c>
      <c r="S288" s="10" t="n">
        <v>13900</v>
      </c>
      <c r="T288" s="10">
        <f>S288</f>
        <v/>
      </c>
      <c r="U288" s="27" t="n">
        <v>18500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Ground</t>
        </is>
      </c>
      <c r="F289" s="14" t="inlineStr">
        <is>
          <t>Office</t>
        </is>
      </c>
      <c r="G289" s="7" t="n">
        <v>1010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42794</v>
      </c>
      <c r="P289" s="10" t="n">
        <v>0</v>
      </c>
      <c r="Q289" s="10">
        <f>P289</f>
        <v/>
      </c>
      <c r="S289" s="10" t="n">
        <v>55600</v>
      </c>
      <c r="T289" s="10">
        <f>S289</f>
        <v/>
      </c>
      <c r="U289" s="27" t="n">
        <v>60600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First Floor</t>
        </is>
      </c>
      <c r="F290" s="14" t="inlineStr">
        <is>
          <t>Office</t>
        </is>
      </c>
      <c r="G290" s="7" t="n">
        <v>971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44071</v>
      </c>
      <c r="P290" s="10" t="n">
        <v>0</v>
      </c>
      <c r="Q290" s="10">
        <f>P290</f>
        <v/>
      </c>
      <c r="S290" s="10" t="n">
        <v>53400</v>
      </c>
      <c r="T290" s="10">
        <f>S290</f>
        <v/>
      </c>
      <c r="U290" s="27" t="n">
        <v>58300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Second Floor</t>
        </is>
      </c>
      <c r="F291" s="14" t="inlineStr">
        <is>
          <t>Office</t>
        </is>
      </c>
      <c r="G291" s="7" t="n">
        <v>1000</v>
      </c>
      <c r="H291" s="7">
        <f>G291</f>
        <v/>
      </c>
      <c r="I291" s="7" t="n">
        <v>1000</v>
      </c>
      <c r="J291" s="4" t="inlineStr">
        <is>
          <t>Vacant</t>
        </is>
      </c>
      <c r="M291" s="9" t="n">
        <v>43261</v>
      </c>
      <c r="P291" s="10" t="n">
        <v>0</v>
      </c>
      <c r="Q291" s="10">
        <f>P291</f>
        <v/>
      </c>
      <c r="S291" s="10" t="n">
        <v>52500</v>
      </c>
      <c r="T291" s="10">
        <f>S291</f>
        <v/>
      </c>
      <c r="U291" s="27" t="n">
        <v>57500</v>
      </c>
      <c r="V291" s="10">
        <f>U291</f>
        <v/>
      </c>
      <c r="W291" s="277">
        <f>S291/G291</f>
        <v/>
      </c>
      <c r="X291" s="10" t="inlineStr">
        <is>
          <t>D</t>
        </is>
      </c>
      <c r="Y291" s="60" t="n"/>
      <c r="Z291" s="36" t="n"/>
      <c r="AA291" s="14" t="inlineStr">
        <is>
          <t>No</t>
        </is>
      </c>
      <c r="AB291" s="4" t="inlineStr">
        <is>
          <t>Mothballed.</t>
        </is>
      </c>
      <c r="AD291" s="29" t="n"/>
      <c r="AE291" s="279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>Basement (E)</t>
        </is>
      </c>
      <c r="F292" s="39" t="inlineStr">
        <is>
          <t>Office</t>
        </is>
      </c>
      <c r="G292" s="7" t="n">
        <v>1519</v>
      </c>
      <c r="H292" s="7">
        <f>G292</f>
        <v/>
      </c>
      <c r="I292" s="7" t="n">
        <v>1500</v>
      </c>
      <c r="J292" s="4" t="inlineStr">
        <is>
          <t>Jewells Retail Ltd</t>
        </is>
      </c>
      <c r="K292" s="8" t="n">
        <v>45824</v>
      </c>
      <c r="L292" s="9" t="n">
        <v>46188</v>
      </c>
      <c r="P292" s="10" t="n">
        <v>61812</v>
      </c>
      <c r="Q292" s="10">
        <f>P292</f>
        <v/>
      </c>
      <c r="S292" s="10" t="n">
        <v>53600</v>
      </c>
      <c r="T292" s="10">
        <f>S292</f>
        <v/>
      </c>
      <c r="U292" s="27" t="n">
        <v>54700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inlineStr">
        <is>
          <t>*</t>
        </is>
      </c>
      <c r="Z292" s="394" t="n"/>
      <c r="AA292" s="14" t="inlineStr">
        <is>
          <t>No</t>
        </is>
      </c>
      <c r="AB292" s="4" t="inlineStr">
        <is>
          <t>Rent all inclusive (excl rates).</t>
        </is>
      </c>
      <c r="AD292" s="4" t="n">
        <v>1</v>
      </c>
      <c r="AE292" s="278" t="n">
        <v>4</v>
      </c>
      <c r="AF292" s="4" t="inlineStr">
        <is>
          <t>LEM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 xml:space="preserve">Ground (East) </t>
        </is>
      </c>
      <c r="F293" s="14" t="inlineStr">
        <is>
          <t>Office</t>
        </is>
      </c>
      <c r="G293" s="7" t="n">
        <v>1525</v>
      </c>
      <c r="H293" s="7">
        <f>G293</f>
        <v/>
      </c>
      <c r="I293" s="7" t="n">
        <v>1500</v>
      </c>
      <c r="J293" s="4" t="inlineStr">
        <is>
          <t xml:space="preserve">Lualdi UK </t>
        </is>
      </c>
      <c r="K293" s="8" t="n">
        <v>45834</v>
      </c>
      <c r="L293" s="9" t="n">
        <v>47659</v>
      </c>
      <c r="P293" s="10" t="n">
        <v>0</v>
      </c>
      <c r="Q293" s="10">
        <f>P293</f>
        <v/>
      </c>
      <c r="S293" s="10" t="n">
        <v>90600</v>
      </c>
      <c r="T293" s="10">
        <f>S293</f>
        <v/>
      </c>
      <c r="U293" s="27" t="n">
        <v>91500</v>
      </c>
      <c r="V293" s="10">
        <f>U293</f>
        <v/>
      </c>
      <c r="W293" s="277">
        <f>S293/G293</f>
        <v/>
      </c>
      <c r="X293" s="10" t="inlineStr">
        <is>
          <t>E</t>
        </is>
      </c>
      <c r="Y293" s="60" t="n"/>
      <c r="Z293" s="394" t="n"/>
      <c r="AA293" s="14" t="inlineStr">
        <is>
          <t>No</t>
        </is>
      </c>
      <c r="AB293" s="4" t="inlineStr">
        <is>
          <t>Stepped rent. Rent £62,500 wef 26/09/25. Fixed increases to £72,500 wef 26/06/26, £82,000 wef 26/06/27, £90,000 wef 26/06/28 and £93,000 wef 26/06/29.</t>
        </is>
      </c>
      <c r="AE293" s="278" t="n"/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Ground (West) &amp; Part Basement</t>
        </is>
      </c>
      <c r="F294" s="14" t="inlineStr">
        <is>
          <t>Showroom</t>
        </is>
      </c>
      <c r="G294" s="7" t="n">
        <v>1989</v>
      </c>
      <c r="H294" s="7">
        <f>G294</f>
        <v/>
      </c>
      <c r="I294" s="7" t="n">
        <v>2000</v>
      </c>
      <c r="J294" s="4" t="inlineStr">
        <is>
          <t>Edwards Cheshire Company Ltd.</t>
        </is>
      </c>
      <c r="K294" s="8" t="n">
        <v>42874</v>
      </c>
      <c r="L294" s="9" t="n">
        <v>46525</v>
      </c>
      <c r="N294" s="9" t="n">
        <v>44700</v>
      </c>
      <c r="P294" s="10" t="n">
        <v>82575</v>
      </c>
      <c r="Q294" s="10">
        <f>P294</f>
        <v/>
      </c>
      <c r="S294" s="10" t="n">
        <v>75000</v>
      </c>
      <c r="T294" s="10">
        <f>S294</f>
        <v/>
      </c>
      <c r="U294" s="27" t="n">
        <v>87300</v>
      </c>
      <c r="V294" s="10">
        <f>U294</f>
        <v/>
      </c>
      <c r="W294" s="277">
        <f>S294/G294</f>
        <v/>
      </c>
      <c r="X294" s="10" t="inlineStr">
        <is>
          <t>C</t>
        </is>
      </c>
      <c r="Y294" s="60" t="n"/>
      <c r="Z294" s="394" t="n"/>
      <c r="AA294" s="14" t="inlineStr">
        <is>
          <t>No</t>
        </is>
      </c>
      <c r="AE294" s="278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(East)</t>
        </is>
      </c>
      <c r="F295" s="14" t="inlineStr">
        <is>
          <t>Showroom/ Office</t>
        </is>
      </c>
      <c r="G295" s="7" t="n">
        <v>1143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44293</v>
      </c>
      <c r="P295" s="10" t="n">
        <v>0</v>
      </c>
      <c r="Q295" s="10">
        <f>P295</f>
        <v/>
      </c>
      <c r="S295" s="10" t="n">
        <v>73600</v>
      </c>
      <c r="T295" s="10">
        <f>S295</f>
        <v/>
      </c>
      <c r="U295" s="27" t="n">
        <v>74300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(West)</t>
        </is>
      </c>
      <c r="F296" s="14" t="inlineStr">
        <is>
          <t>Office</t>
        </is>
      </c>
      <c r="G296" s="7" t="n">
        <v>805</v>
      </c>
      <c r="H296" s="7">
        <f>G296</f>
        <v/>
      </c>
      <c r="I296" s="7" t="n">
        <v>1000</v>
      </c>
      <c r="J296" s="4" t="inlineStr">
        <is>
          <t>Vacant</t>
        </is>
      </c>
      <c r="M296" s="9" t="n">
        <v>44336</v>
      </c>
      <c r="P296" s="10" t="n">
        <v>0</v>
      </c>
      <c r="Q296" s="10">
        <f>P296</f>
        <v/>
      </c>
      <c r="S296" s="10" t="n">
        <v>45600</v>
      </c>
      <c r="T296" s="10">
        <f>S296</f>
        <v/>
      </c>
      <c r="U296" s="27" t="n">
        <v>52300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(East)</t>
        </is>
      </c>
      <c r="F297" s="14" t="inlineStr">
        <is>
          <t>Office</t>
        </is>
      </c>
      <c r="G297" s="7" t="n">
        <v>1171</v>
      </c>
      <c r="H297" s="7">
        <f>G297</f>
        <v/>
      </c>
      <c r="I297" s="7" t="n">
        <v>1000</v>
      </c>
      <c r="J297" s="4" t="inlineStr">
        <is>
          <t>Vacant</t>
        </is>
      </c>
      <c r="L297" s="9" t="n"/>
      <c r="M297" s="9" t="n">
        <v>44049</v>
      </c>
      <c r="P297" s="10" t="n">
        <v>0</v>
      </c>
      <c r="Q297" s="10">
        <f>P297</f>
        <v/>
      </c>
      <c r="S297" s="10" t="n">
        <v>72300</v>
      </c>
      <c r="T297" s="10">
        <f>S297</f>
        <v/>
      </c>
      <c r="U297" s="27" t="n">
        <v>76100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(West)</t>
        </is>
      </c>
      <c r="F298" s="14" t="inlineStr">
        <is>
          <t>Office</t>
        </is>
      </c>
      <c r="G298" s="7" t="n">
        <v>793</v>
      </c>
      <c r="H298" s="7">
        <f>G298</f>
        <v/>
      </c>
      <c r="I298" s="7" t="n">
        <v>750</v>
      </c>
      <c r="J298" s="4" t="inlineStr">
        <is>
          <t>Vacant</t>
        </is>
      </c>
      <c r="L298" s="9" t="n"/>
      <c r="M298" s="9" t="n">
        <v>44805</v>
      </c>
      <c r="P298" s="10" t="n">
        <v>0</v>
      </c>
      <c r="Q298" s="10">
        <f>P298</f>
        <v/>
      </c>
      <c r="S298" s="10" t="n">
        <v>46300</v>
      </c>
      <c r="T298" s="10">
        <f>S298</f>
        <v/>
      </c>
      <c r="U298" s="27" t="n">
        <v>51500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(East)</t>
        </is>
      </c>
      <c r="F299" s="14" t="inlineStr">
        <is>
          <t>Office</t>
        </is>
      </c>
      <c r="G299" s="7" t="n">
        <v>1030</v>
      </c>
      <c r="H299" s="7">
        <f>G299</f>
        <v/>
      </c>
      <c r="I299" s="7" t="n">
        <v>1000</v>
      </c>
      <c r="J299" s="4" t="inlineStr">
        <is>
          <t>Vacant</t>
        </is>
      </c>
      <c r="M299" s="9" t="n">
        <v>43914</v>
      </c>
      <c r="P299" s="10" t="n">
        <v>0</v>
      </c>
      <c r="Q299" s="10">
        <f>P299</f>
        <v/>
      </c>
      <c r="S299" s="10" t="n">
        <v>63800</v>
      </c>
      <c r="T299" s="10">
        <f>S299</f>
        <v/>
      </c>
      <c r="U299" s="27" t="n">
        <v>67000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(West)</t>
        </is>
      </c>
      <c r="F300" s="14" t="inlineStr">
        <is>
          <t>Office</t>
        </is>
      </c>
      <c r="G300" s="7" t="n">
        <v>731</v>
      </c>
      <c r="H300" s="7">
        <f>G300</f>
        <v/>
      </c>
      <c r="I300" s="7" t="n">
        <v>750</v>
      </c>
      <c r="J300" s="4" t="inlineStr">
        <is>
          <t>Vacant</t>
        </is>
      </c>
      <c r="M300" s="9" t="n">
        <v>44321</v>
      </c>
      <c r="P300" s="10" t="n">
        <v>0</v>
      </c>
      <c r="Q300" s="10">
        <f>P300</f>
        <v/>
      </c>
      <c r="S300" s="10" t="n">
        <v>46100</v>
      </c>
      <c r="T300" s="10">
        <f>S300</f>
        <v/>
      </c>
      <c r="U300" s="27" t="n">
        <v>47500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(East)</t>
        </is>
      </c>
      <c r="F301" s="14" t="inlineStr">
        <is>
          <t>Office</t>
        </is>
      </c>
      <c r="G301" s="7" t="n">
        <v>949</v>
      </c>
      <c r="H301" s="7">
        <f>G301</f>
        <v/>
      </c>
      <c r="I301" s="7" t="n">
        <v>1000</v>
      </c>
      <c r="J301" s="4" t="inlineStr">
        <is>
          <t>Vacant</t>
        </is>
      </c>
      <c r="M301" s="9" t="n">
        <v>42550</v>
      </c>
      <c r="P301" s="10" t="n">
        <v>0</v>
      </c>
      <c r="Q301" s="10">
        <f>P301</f>
        <v/>
      </c>
      <c r="S301" s="10" t="n">
        <v>55600</v>
      </c>
      <c r="T301" s="10">
        <f>S301</f>
        <v/>
      </c>
      <c r="U301" s="27" t="n">
        <v>59300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(West)</t>
        </is>
      </c>
      <c r="F302" s="14" t="inlineStr">
        <is>
          <t>Office</t>
        </is>
      </c>
      <c r="G302" s="7" t="n">
        <v>601</v>
      </c>
      <c r="H302" s="7">
        <f>G302</f>
        <v/>
      </c>
      <c r="I302" s="7" t="n">
        <v>500</v>
      </c>
      <c r="J302" s="4" t="inlineStr">
        <is>
          <t>Vacant</t>
        </is>
      </c>
      <c r="L302" s="9" t="n"/>
      <c r="M302" s="9" t="n">
        <v>44027</v>
      </c>
      <c r="P302" s="10" t="n">
        <v>0</v>
      </c>
      <c r="Q302" s="10">
        <f>P302</f>
        <v/>
      </c>
      <c r="S302" s="10" t="n">
        <v>36800</v>
      </c>
      <c r="T302" s="10">
        <f>S302</f>
        <v/>
      </c>
      <c r="U302" s="27" t="n">
        <v>37600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(East)</t>
        </is>
      </c>
      <c r="F303" s="14" t="inlineStr">
        <is>
          <t>Office</t>
        </is>
      </c>
      <c r="G303" s="7" t="n">
        <v>730</v>
      </c>
      <c r="H303" s="7">
        <f>G303</f>
        <v/>
      </c>
      <c r="I303" s="7" t="n">
        <v>750</v>
      </c>
      <c r="J303" s="4" t="inlineStr">
        <is>
          <t>Vacant</t>
        </is>
      </c>
      <c r="M303" s="9" t="n">
        <v>42723</v>
      </c>
      <c r="P303" s="10" t="n">
        <v>0</v>
      </c>
      <c r="Q303" s="10">
        <f>P303</f>
        <v/>
      </c>
      <c r="S303" s="10" t="n">
        <v>44700</v>
      </c>
      <c r="T303" s="10">
        <f>S303</f>
        <v/>
      </c>
      <c r="U303" s="27" t="n">
        <v>45600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(West)</t>
        </is>
      </c>
      <c r="F304" s="14" t="inlineStr">
        <is>
          <t>Office</t>
        </is>
      </c>
      <c r="G304" s="7" t="n">
        <v>462</v>
      </c>
      <c r="H304" s="7">
        <f>G304</f>
        <v/>
      </c>
      <c r="I304" s="7" t="n">
        <v>500</v>
      </c>
      <c r="J304" s="4" t="inlineStr">
        <is>
          <t>Vacant</t>
        </is>
      </c>
      <c r="M304" s="9" t="n">
        <v>43824</v>
      </c>
      <c r="P304" s="10" t="n">
        <v>0</v>
      </c>
      <c r="Q304" s="10">
        <f>P304</f>
        <v/>
      </c>
      <c r="S304" s="10" t="n">
        <v>27300</v>
      </c>
      <c r="T304" s="10">
        <f>S304</f>
        <v/>
      </c>
      <c r="U304" s="27" t="n">
        <v>28900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94" t="n"/>
      <c r="AA304" s="14" t="inlineStr">
        <is>
          <t>No</t>
        </is>
      </c>
      <c r="AB304" s="4" t="inlineStr">
        <is>
          <t>Mothballed.</t>
        </is>
      </c>
      <c r="AD304" s="29" t="n"/>
      <c r="AE304" s="279" t="n"/>
      <c r="AF304" s="29" t="n"/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Ground, Basement &amp; Vaults</t>
        </is>
      </c>
      <c r="F305" s="14" t="inlineStr">
        <is>
          <t>Restaurant</t>
        </is>
      </c>
      <c r="G305" s="7" t="n">
        <v>1190</v>
      </c>
      <c r="H305" s="7">
        <f>G305</f>
        <v/>
      </c>
      <c r="I305" s="7" t="n">
        <v>1000</v>
      </c>
      <c r="J305" s="4" t="inlineStr">
        <is>
          <t>Honest Burgers Ltd</t>
        </is>
      </c>
      <c r="K305" s="8" t="n">
        <v>41673</v>
      </c>
      <c r="L305" s="9" t="n">
        <v>47151</v>
      </c>
      <c r="P305" s="10" t="n">
        <v>115000</v>
      </c>
      <c r="Q305" s="10">
        <f>P305</f>
        <v/>
      </c>
      <c r="S305" s="10" t="n">
        <v>106000</v>
      </c>
      <c r="T305" s="10">
        <f>S305</f>
        <v/>
      </c>
      <c r="U305" s="27" t="n">
        <v>115000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 xml:space="preserve">Landlords redevelopment break @ 02/02/24 on 6 months notice. </t>
        </is>
      </c>
      <c r="AE305" s="278" t="n"/>
    </row>
    <row r="306">
      <c r="A306" s="11" t="inlineStr">
        <is>
          <t>WS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First to Third Floors</t>
        </is>
      </c>
      <c r="F306" s="14" t="inlineStr">
        <is>
          <t>Office</t>
        </is>
      </c>
      <c r="G306" s="7" t="n">
        <v>1044</v>
      </c>
      <c r="H306" s="7">
        <f>G306</f>
        <v/>
      </c>
      <c r="I306" s="7" t="n">
        <v>1000</v>
      </c>
      <c r="J306" s="4" t="inlineStr">
        <is>
          <t>Feel Films Ltd.</t>
        </is>
      </c>
      <c r="K306" s="8" t="n">
        <v>45413</v>
      </c>
      <c r="L306" s="9" t="n">
        <v>47238</v>
      </c>
      <c r="O306" s="9" t="n">
        <v>46326</v>
      </c>
      <c r="P306" s="10" t="n">
        <v>52500</v>
      </c>
      <c r="Q306" s="10">
        <f>P306</f>
        <v/>
      </c>
      <c r="S306" s="10" t="n">
        <v>53800</v>
      </c>
      <c r="T306" s="10">
        <f>S306</f>
        <v/>
      </c>
      <c r="U306" s="27" t="n">
        <v>53800</v>
      </c>
      <c r="V306" s="10">
        <f>U306</f>
        <v/>
      </c>
      <c r="W306" s="277">
        <f>S306/G306</f>
        <v/>
      </c>
      <c r="X306" s="10" t="inlineStr">
        <is>
          <t>D</t>
        </is>
      </c>
      <c r="Y306" s="60" t="n"/>
      <c r="Z306" s="36" t="n"/>
      <c r="AA306" s="14" t="inlineStr">
        <is>
          <t>No</t>
        </is>
      </c>
      <c r="AB306" s="4" t="inlineStr">
        <is>
          <t>Tenant break on 6 months notice.</t>
        </is>
      </c>
      <c r="AE306" s="278" t="n"/>
    </row>
    <row r="307">
      <c r="A307" s="11" t="inlineStr">
        <is>
          <t>WS</t>
        </is>
      </c>
      <c r="B307" s="11" t="inlineStr">
        <is>
          <t>MEL</t>
        </is>
      </c>
      <c r="C307" s="2" t="n">
        <v>550490</v>
      </c>
      <c r="D307" s="4" t="inlineStr">
        <is>
          <t>11-13 Market Place</t>
        </is>
      </c>
      <c r="E307" s="4" t="inlineStr">
        <is>
          <t>Whole Building</t>
        </is>
      </c>
      <c r="F307" s="14" t="inlineStr">
        <is>
          <t>Bar &amp; Office</t>
        </is>
      </c>
      <c r="G307" s="18" t="n">
        <v>6979</v>
      </c>
      <c r="H307" s="10">
        <f>G307</f>
        <v/>
      </c>
      <c r="I307" s="10" t="n">
        <v>7000</v>
      </c>
      <c r="J307" s="4" t="inlineStr">
        <is>
          <t>Market Place (London) Holdings Ltd</t>
        </is>
      </c>
      <c r="K307" s="8" t="n">
        <v>44185</v>
      </c>
      <c r="L307" s="9" t="n">
        <v>47836</v>
      </c>
      <c r="N307" s="9" t="n">
        <v>46011</v>
      </c>
      <c r="P307" s="19" t="n">
        <v>420000</v>
      </c>
      <c r="Q307" s="10">
        <f>P307</f>
        <v/>
      </c>
      <c r="R307" s="19">
        <f>Q307</f>
        <v/>
      </c>
      <c r="S307" s="19" t="n">
        <v>364600</v>
      </c>
      <c r="T307" s="10">
        <f>S307</f>
        <v/>
      </c>
      <c r="U307" s="36" t="n">
        <v>420000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6" t="n">
        <v>7550000</v>
      </c>
      <c r="AA307" s="14" t="inlineStr">
        <is>
          <t>No</t>
        </is>
      </c>
      <c r="AB307" s="4" t="inlineStr">
        <is>
          <t>Upper floors sublet.</t>
        </is>
      </c>
      <c r="AE307" s="278" t="n"/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(34)</t>
        </is>
      </c>
      <c r="F308" s="14" t="inlineStr">
        <is>
          <t>Showroom/Studio</t>
        </is>
      </c>
      <c r="G308" s="7" t="n">
        <v>2662</v>
      </c>
      <c r="H308" s="7">
        <f>G308</f>
        <v/>
      </c>
      <c r="I308" s="7" t="n">
        <v>2500</v>
      </c>
      <c r="J308" s="4" t="inlineStr">
        <is>
          <t>Ab-Anbar Limited</t>
        </is>
      </c>
      <c r="K308" s="8" t="n">
        <v>44942</v>
      </c>
      <c r="L308" s="9" t="n">
        <v>46767</v>
      </c>
      <c r="O308" s="9" t="n">
        <v>46037</v>
      </c>
      <c r="P308" s="10" t="n">
        <v>100000</v>
      </c>
      <c r="Q308" s="10">
        <f>P308</f>
        <v/>
      </c>
      <c r="S308" s="7" t="n">
        <v>100000</v>
      </c>
      <c r="T308" s="10">
        <f>S308</f>
        <v/>
      </c>
      <c r="U308" s="359" t="n">
        <v>100000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 3 months rent free if not exercised.</t>
        </is>
      </c>
      <c r="AE308" s="278" t="n"/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(36-38)</t>
        </is>
      </c>
      <c r="F309" s="14" t="inlineStr">
        <is>
          <t>Office</t>
        </is>
      </c>
      <c r="G309" s="7" t="n">
        <v>3452</v>
      </c>
      <c r="H309" s="7">
        <f>G309</f>
        <v/>
      </c>
      <c r="I309" s="7" t="n">
        <v>3500</v>
      </c>
      <c r="J309" s="4" t="inlineStr">
        <is>
          <t>Europride Ltd.</t>
        </is>
      </c>
      <c r="K309" s="8" t="n">
        <v>45707</v>
      </c>
      <c r="L309" s="9" t="n">
        <v>46071</v>
      </c>
      <c r="O309" s="9" t="n">
        <v>45887</v>
      </c>
      <c r="P309" s="7" t="n">
        <v>138440</v>
      </c>
      <c r="Q309" s="10">
        <f>P309</f>
        <v/>
      </c>
      <c r="S309" s="7" t="n">
        <v>109600</v>
      </c>
      <c r="T309" s="10">
        <f>S309</f>
        <v/>
      </c>
      <c r="U309" s="359" t="n">
        <v>112000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No</t>
        </is>
      </c>
      <c r="AB309" s="4" t="inlineStr">
        <is>
          <t>Tenant break on 6 months notice.</t>
        </is>
      </c>
      <c r="AE309" s="278" t="n"/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Part Ground, First to Fourth Floor (34)</t>
        </is>
      </c>
      <c r="F310" s="14" t="inlineStr">
        <is>
          <t>Office</t>
        </is>
      </c>
      <c r="G310" s="7" t="n">
        <v>2274</v>
      </c>
      <c r="H310" s="7">
        <f>G310</f>
        <v/>
      </c>
      <c r="I310" s="7" t="n">
        <v>2250</v>
      </c>
      <c r="J310" s="4" t="inlineStr">
        <is>
          <t>Vacant</t>
        </is>
      </c>
      <c r="M310" s="9" t="n">
        <v>44280</v>
      </c>
      <c r="P310" s="10" t="n">
        <v>0</v>
      </c>
      <c r="Q310" s="10">
        <f>P310</f>
        <v/>
      </c>
      <c r="S310" s="7" t="n">
        <v>124700</v>
      </c>
      <c r="T310" s="10">
        <f>S310</f>
        <v/>
      </c>
      <c r="U310" s="359" t="n">
        <v>125100</v>
      </c>
      <c r="V310" s="10">
        <f>U310</f>
        <v/>
      </c>
      <c r="W310" s="277">
        <f>S310/G310</f>
        <v/>
      </c>
      <c r="X310" s="10" t="inlineStr">
        <is>
          <t>E</t>
        </is>
      </c>
      <c r="Y310" s="60" t="n"/>
      <c r="Z310" s="394" t="n"/>
      <c r="AA310" s="14" t="inlineStr">
        <is>
          <t>Yes</t>
        </is>
      </c>
      <c r="AB310" s="4" t="inlineStr">
        <is>
          <t>LEM marketing.</t>
        </is>
      </c>
      <c r="AC310" s="305" t="n"/>
      <c r="AE310" s="278" t="n"/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First (36-38)</t>
        </is>
      </c>
      <c r="F311" s="14" t="inlineStr">
        <is>
          <t>Office</t>
        </is>
      </c>
      <c r="G311" s="7" t="n">
        <v>1201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45521</v>
      </c>
      <c r="P311" s="10" t="n">
        <v>0</v>
      </c>
      <c r="Q311" s="10">
        <f>P311</f>
        <v/>
      </c>
      <c r="S311" s="7" t="n">
        <v>64100</v>
      </c>
      <c r="T311" s="10">
        <f>S311</f>
        <v/>
      </c>
      <c r="U311" s="359" t="n">
        <v>63100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LEM marketing.</t>
        </is>
      </c>
      <c r="AD311" s="29" t="n"/>
      <c r="AE311" s="279" t="n"/>
      <c r="AF311" s="29" t="n"/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Second (36-38)</t>
        </is>
      </c>
      <c r="F312" s="14" t="inlineStr">
        <is>
          <t>Office</t>
        </is>
      </c>
      <c r="G312" s="7" t="n">
        <v>1255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44320</v>
      </c>
      <c r="P312" s="10" t="n">
        <v>0</v>
      </c>
      <c r="Q312" s="10">
        <f>P312</f>
        <v/>
      </c>
      <c r="S312" s="7" t="n">
        <v>67300</v>
      </c>
      <c r="T312" s="10">
        <f>S312</f>
        <v/>
      </c>
      <c r="U312" s="359" t="n">
        <v>69000</v>
      </c>
      <c r="V312" s="10">
        <f>U312</f>
        <v/>
      </c>
      <c r="W312" s="277">
        <f>S312/G312</f>
        <v/>
      </c>
      <c r="X312" s="10" t="inlineStr">
        <is>
          <t>D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Third (36-38)</t>
        </is>
      </c>
      <c r="F313" s="14" t="inlineStr">
        <is>
          <t>Office</t>
        </is>
      </c>
      <c r="G313" s="7" t="n">
        <v>1252</v>
      </c>
      <c r="H313" s="7">
        <f>G313</f>
        <v/>
      </c>
      <c r="I313" s="7" t="n">
        <v>1250</v>
      </c>
      <c r="J313" s="4" t="inlineStr">
        <is>
          <t>Vacant</t>
        </is>
      </c>
      <c r="M313" s="9" t="n">
        <v>44622</v>
      </c>
      <c r="P313" s="10" t="n">
        <v>0</v>
      </c>
      <c r="Q313" s="10">
        <f>P313</f>
        <v/>
      </c>
      <c r="S313" s="7" t="n">
        <v>67600</v>
      </c>
      <c r="T313" s="10">
        <f>S313</f>
        <v/>
      </c>
      <c r="U313" s="359" t="n">
        <v>68900</v>
      </c>
      <c r="V313" s="10">
        <f>U313</f>
        <v/>
      </c>
      <c r="W313" s="277">
        <f>S313/G313</f>
        <v/>
      </c>
      <c r="X313" s="10" t="inlineStr">
        <is>
          <t>E</t>
        </is>
      </c>
      <c r="Y313" s="60" t="n"/>
      <c r="Z313" s="394" t="n"/>
      <c r="AA313" s="14" t="inlineStr">
        <is>
          <t>No</t>
        </is>
      </c>
      <c r="AB313" s="4" t="inlineStr">
        <is>
          <t>To be refurbished.</t>
        </is>
      </c>
      <c r="AE313" s="278" t="n"/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Fourth (36-38)</t>
        </is>
      </c>
      <c r="F314" s="14" t="inlineStr">
        <is>
          <t>Office</t>
        </is>
      </c>
      <c r="G314" s="7" t="n">
        <v>1055</v>
      </c>
      <c r="H314" s="7">
        <f>G314</f>
        <v/>
      </c>
      <c r="I314" s="7" t="n">
        <v>1000</v>
      </c>
      <c r="J314" s="4" t="inlineStr">
        <is>
          <t>Carver Associates Ltd.</t>
        </is>
      </c>
      <c r="K314" s="8" t="n">
        <v>44887</v>
      </c>
      <c r="L314" s="9" t="n">
        <v>46712</v>
      </c>
      <c r="N314" s="9" t="n">
        <v>45983</v>
      </c>
      <c r="O314" s="9" t="n">
        <v>45982</v>
      </c>
      <c r="P314" s="7" t="n">
        <v>63070</v>
      </c>
      <c r="Q314" s="10">
        <f>P314</f>
        <v/>
      </c>
      <c r="S314" s="7" t="n">
        <v>61000</v>
      </c>
      <c r="T314" s="10">
        <f>S314</f>
        <v/>
      </c>
      <c r="U314" s="359" t="n">
        <v>60700</v>
      </c>
      <c r="V314" s="10">
        <f>U314</f>
        <v/>
      </c>
      <c r="W314" s="277">
        <f>S314/G314</f>
        <v/>
      </c>
      <c r="X314" s="10" t="inlineStr">
        <is>
          <t>D</t>
        </is>
      </c>
      <c r="Y314" s="60" t="n"/>
      <c r="Z314" s="394" t="n"/>
      <c r="AA314" s="14" t="inlineStr">
        <is>
          <t>No</t>
        </is>
      </c>
      <c r="AB314" s="4" t="inlineStr">
        <is>
          <t xml:space="preserve">Tenant has annual breaks on 6 months notice. </t>
        </is>
      </c>
      <c r="AE314" s="278" t="n"/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Ground &amp; Basement, 3-4 Bywell Place</t>
        </is>
      </c>
      <c r="F315" s="11" t="inlineStr">
        <is>
          <t>Office</t>
        </is>
      </c>
      <c r="G315" s="7" t="n">
        <v>1167</v>
      </c>
      <c r="H315" s="7">
        <f>G315</f>
        <v/>
      </c>
      <c r="I315" s="7" t="n">
        <v>1000</v>
      </c>
      <c r="J315" s="4" t="inlineStr">
        <is>
          <t>Solo60 Ltd</t>
        </is>
      </c>
      <c r="K315" s="8" t="n">
        <v>45573</v>
      </c>
      <c r="L315" s="9" t="n">
        <v>47398</v>
      </c>
      <c r="P315" s="10" t="n">
        <v>46800</v>
      </c>
      <c r="Q315" s="10">
        <f>P315</f>
        <v/>
      </c>
      <c r="S315" s="7" t="n">
        <v>37700</v>
      </c>
      <c r="T315" s="10">
        <f>S315</f>
        <v/>
      </c>
      <c r="U315" s="359" t="n">
        <v>49600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First , 3-4 Bywell Place</t>
        </is>
      </c>
      <c r="F316" s="11" t="inlineStr">
        <is>
          <t>Office</t>
        </is>
      </c>
      <c r="G316" s="7" t="n">
        <v>922</v>
      </c>
      <c r="H316" s="7">
        <f>G316</f>
        <v/>
      </c>
      <c r="I316" s="7" t="n">
        <v>1000</v>
      </c>
      <c r="J316" s="4" t="inlineStr">
        <is>
          <t>Olsen UK Limited</t>
        </is>
      </c>
      <c r="K316" s="8" t="n">
        <v>45204</v>
      </c>
      <c r="L316" s="9" t="n">
        <v>46299</v>
      </c>
      <c r="P316" s="7" t="n">
        <v>45800</v>
      </c>
      <c r="Q316" s="10">
        <f>P316</f>
        <v/>
      </c>
      <c r="S316" s="7" t="n">
        <v>39100</v>
      </c>
      <c r="T316" s="10">
        <f>S316</f>
        <v/>
      </c>
      <c r="U316" s="359" t="n">
        <v>39200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E316" s="278" t="n"/>
    </row>
    <row r="317">
      <c r="A317" s="11" t="inlineStr">
        <is>
          <t>JM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Second, 3-4 Bywell Place</t>
        </is>
      </c>
      <c r="F317" s="11" t="inlineStr">
        <is>
          <t>Office</t>
        </is>
      </c>
      <c r="G317" s="7" t="n">
        <v>781</v>
      </c>
      <c r="H317" s="7">
        <f>G317</f>
        <v/>
      </c>
      <c r="I317" s="7" t="n">
        <v>750</v>
      </c>
      <c r="J317" s="4" t="inlineStr">
        <is>
          <t>Vacant</t>
        </is>
      </c>
      <c r="M317" s="9" t="n">
        <v>45383</v>
      </c>
      <c r="P317" s="10" t="n">
        <v>0</v>
      </c>
      <c r="Q317" s="10">
        <f>P317</f>
        <v/>
      </c>
      <c r="S317" s="7" t="n">
        <v>37300</v>
      </c>
      <c r="T317" s="10">
        <f>S317</f>
        <v/>
      </c>
      <c r="U317" s="359" t="n">
        <v>33200</v>
      </c>
      <c r="V317" s="10">
        <f>U317</f>
        <v/>
      </c>
      <c r="W317" s="277">
        <f>S317/G317</f>
        <v/>
      </c>
      <c r="X317" s="10" t="inlineStr">
        <is>
          <t>B</t>
        </is>
      </c>
      <c r="Y317" s="60" t="inlineStr">
        <is>
          <t>*</t>
        </is>
      </c>
      <c r="Z317" s="394" t="n"/>
      <c r="AA317" s="14" t="inlineStr">
        <is>
          <t>No</t>
        </is>
      </c>
      <c r="AB317" s="4" t="inlineStr">
        <is>
          <t>LEM marketing.</t>
        </is>
      </c>
      <c r="AE317" s="278" t="n"/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Basement &amp; Part Ground Floor - 36 Gt Titchfield St</t>
        </is>
      </c>
      <c r="F318" s="14" t="inlineStr">
        <is>
          <t>Medical</t>
        </is>
      </c>
      <c r="G318" s="7" t="n">
        <v>6542</v>
      </c>
      <c r="H318" s="10">
        <f>G318</f>
        <v/>
      </c>
      <c r="I318" s="10" t="n">
        <v>6500</v>
      </c>
      <c r="J318" s="4" t="inlineStr">
        <is>
          <t>The Central London Clinic Ltd.</t>
        </is>
      </c>
      <c r="K318" s="8" t="n">
        <v>44609</v>
      </c>
      <c r="L318" s="9" t="n">
        <v>50087</v>
      </c>
      <c r="N318" s="8" t="n">
        <v>46435</v>
      </c>
      <c r="O318" s="8" t="n">
        <v>48260</v>
      </c>
      <c r="P318" s="10" t="n">
        <v>210000</v>
      </c>
      <c r="Q318" s="10">
        <f>P318</f>
        <v/>
      </c>
      <c r="S318" s="235" t="n">
        <v>210000</v>
      </c>
      <c r="T318" s="10">
        <f>S318</f>
        <v/>
      </c>
      <c r="U318" s="378" t="n">
        <v>232000</v>
      </c>
      <c r="V318" s="10">
        <f>U318</f>
        <v/>
      </c>
      <c r="W318" s="277">
        <f>S318/G318</f>
        <v/>
      </c>
      <c r="X318" s="10" t="inlineStr">
        <is>
          <t>A</t>
        </is>
      </c>
      <c r="Y318" s="60" t="n"/>
      <c r="Z318" s="361" t="n"/>
      <c r="AA318" s="14" t="inlineStr">
        <is>
          <t>No</t>
        </is>
      </c>
      <c r="AB318" s="4" t="inlineStr">
        <is>
          <t>Mutual break on 6 months notice.</t>
        </is>
      </c>
      <c r="AE318" s="278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Ground to Fifth Floors</t>
        </is>
      </c>
      <c r="F319" s="14" t="inlineStr">
        <is>
          <t>Office</t>
        </is>
      </c>
      <c r="G319" s="7" t="n">
        <v>20993</v>
      </c>
      <c r="H319" s="10">
        <f>G319</f>
        <v/>
      </c>
      <c r="I319" s="10" t="n">
        <v>21000</v>
      </c>
      <c r="J319" s="4" t="inlineStr">
        <is>
          <t>Gilmoora House Ltd</t>
        </is>
      </c>
      <c r="K319" s="8" t="n">
        <v>45564</v>
      </c>
      <c r="L319" s="9" t="n">
        <v>47389</v>
      </c>
      <c r="P319" s="10" t="n">
        <v>1000000</v>
      </c>
      <c r="Q319" s="10">
        <f>P319</f>
        <v/>
      </c>
      <c r="S319" s="10" t="n">
        <v>1688000</v>
      </c>
      <c r="T319" s="10">
        <f>S319</f>
        <v/>
      </c>
      <c r="U319" s="27" t="n">
        <v>2005000</v>
      </c>
      <c r="V319" s="10">
        <f>U319</f>
        <v/>
      </c>
      <c r="W319" s="277">
        <f>S319/G319</f>
        <v/>
      </c>
      <c r="X319" s="10" t="inlineStr">
        <is>
          <t>E</t>
        </is>
      </c>
      <c r="Y319" s="60" t="n"/>
      <c r="Z319" s="361" t="n"/>
      <c r="AA319" s="14" t="inlineStr">
        <is>
          <t>No</t>
        </is>
      </c>
      <c r="AB319" s="4" t="inlineStr">
        <is>
          <t>Internal Lease to another Lee Family Group Company.</t>
        </is>
      </c>
      <c r="AE319" s="278" t="n"/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(No.67)</t>
        </is>
      </c>
      <c r="F320" s="14" t="inlineStr">
        <is>
          <t>Shop</t>
        </is>
      </c>
      <c r="G320" s="7" t="n">
        <v>1330</v>
      </c>
      <c r="H320" s="7">
        <f>G320</f>
        <v/>
      </c>
      <c r="I320" s="7" t="n">
        <v>1250</v>
      </c>
      <c r="J320" s="4" t="inlineStr">
        <is>
          <t>Status Beauty Limited</t>
        </is>
      </c>
      <c r="K320" s="8" t="n">
        <v>44936</v>
      </c>
      <c r="L320" s="9" t="n">
        <v>46761</v>
      </c>
      <c r="O320" s="9" t="n">
        <v>46031</v>
      </c>
      <c r="P320" s="10" t="n">
        <v>70000</v>
      </c>
      <c r="Q320" s="10">
        <f>P320</f>
        <v/>
      </c>
      <c r="S320" s="10" t="n">
        <v>69900</v>
      </c>
      <c r="T320" s="10">
        <f>S320</f>
        <v/>
      </c>
      <c r="U320" s="27" t="n">
        <v>69900</v>
      </c>
      <c r="V320" s="10">
        <f>U320</f>
        <v/>
      </c>
      <c r="W320" s="277">
        <f>S320/G320</f>
        <v/>
      </c>
      <c r="X320" s="10" t="inlineStr">
        <is>
          <t>D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months notice. Rent free from 10/01/26 to 28/03/26 if not exercised.</t>
        </is>
      </c>
      <c r="AE320" s="278" t="n"/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(No.69)</t>
        </is>
      </c>
      <c r="F321" s="14" t="inlineStr">
        <is>
          <t>Shop/ Showroom</t>
        </is>
      </c>
      <c r="G321" s="7" t="n">
        <v>1486</v>
      </c>
      <c r="H321" s="7">
        <f>G321</f>
        <v/>
      </c>
      <c r="I321" s="7" t="n">
        <v>1500</v>
      </c>
      <c r="J321" s="4" t="inlineStr">
        <is>
          <t>ABC Smile Limited</t>
        </is>
      </c>
      <c r="K321" s="8" t="n">
        <v>44314</v>
      </c>
      <c r="L321" s="9" t="n">
        <v>47965</v>
      </c>
      <c r="O321" s="9" t="n">
        <v>46139</v>
      </c>
      <c r="P321" s="10" t="n">
        <v>59500</v>
      </c>
      <c r="Q321" s="10">
        <f>P321</f>
        <v/>
      </c>
      <c r="S321" s="10" t="n">
        <v>64900</v>
      </c>
      <c r="T321" s="10">
        <f>S321</f>
        <v/>
      </c>
      <c r="U321" s="27" t="n">
        <v>64900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Tenant break on 6 month notice.</t>
        </is>
      </c>
      <c r="AE321" s="278" t="n"/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(No.71)</t>
        </is>
      </c>
      <c r="F322" s="14" t="inlineStr">
        <is>
          <t>Shop/ Showroom</t>
        </is>
      </c>
      <c r="G322" s="7" t="n">
        <v>1204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O322" s="9" t="n">
        <v>46106</v>
      </c>
      <c r="P322" s="10" t="n">
        <v>0</v>
      </c>
      <c r="Q322" s="10">
        <f>P322</f>
        <v/>
      </c>
      <c r="S322" s="10" t="n">
        <v>53100</v>
      </c>
      <c r="T322" s="10">
        <f>S322</f>
        <v/>
      </c>
      <c r="U322" s="27" t="n">
        <v>55800</v>
      </c>
      <c r="V322" s="10">
        <f>U322</f>
        <v/>
      </c>
      <c r="W322" s="277">
        <f>S322/G322</f>
        <v/>
      </c>
      <c r="X322" s="10" t="inlineStr">
        <is>
          <t>C</t>
        </is>
      </c>
      <c r="Y322" s="60" t="n"/>
      <c r="Z322" s="394" t="n"/>
      <c r="AA322" s="14" t="inlineStr">
        <is>
          <t>No</t>
        </is>
      </c>
      <c r="AB322" s="4" t="inlineStr">
        <is>
          <t>Rent £55,000 wef 6 weeks after landlord works completed. Works delayed and date of tenant return end of Sept-25. Further tenant break 25/03/27.</t>
        </is>
      </c>
      <c r="AC322" s="303" t="n"/>
      <c r="AD322" s="4" t="n"/>
      <c r="AE322" s="278" t="n"/>
      <c r="AF322" s="4" t="n"/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 77)</t>
        </is>
      </c>
      <c r="F323" s="14" t="inlineStr">
        <is>
          <t>Shop/ Showroom</t>
        </is>
      </c>
      <c r="G323" s="7" t="n">
        <v>1119</v>
      </c>
      <c r="H323" s="7">
        <f>G323</f>
        <v/>
      </c>
      <c r="I323" s="7" t="n">
        <v>1250</v>
      </c>
      <c r="J323" s="4" t="inlineStr">
        <is>
          <t>Folia Ltd.</t>
        </is>
      </c>
      <c r="K323" s="8" t="n">
        <v>45741</v>
      </c>
      <c r="L323" s="9" t="n">
        <v>46836</v>
      </c>
      <c r="P323" s="10" t="n">
        <v>55000</v>
      </c>
      <c r="Q323" s="10">
        <f>P323</f>
        <v/>
      </c>
      <c r="S323" s="10" t="n">
        <v>51200</v>
      </c>
      <c r="T323" s="10">
        <f>S323</f>
        <v/>
      </c>
      <c r="U323" s="27" t="n">
        <v>53900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No</t>
        </is>
      </c>
      <c r="AB323" s="4" t="n"/>
      <c r="AC323" s="303" t="n"/>
      <c r="AD323" s="4" t="n"/>
      <c r="AE323" s="278" t="n"/>
      <c r="AF323" s="4" t="n"/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(No.79-81)</t>
        </is>
      </c>
      <c r="F324" s="14" t="inlineStr">
        <is>
          <t>Restaurant</t>
        </is>
      </c>
      <c r="G324" s="7" t="n">
        <v>3114</v>
      </c>
      <c r="H324" s="7">
        <f>G324</f>
        <v/>
      </c>
      <c r="I324" s="7" t="n">
        <v>3000</v>
      </c>
      <c r="J324" s="4" t="inlineStr">
        <is>
          <t>PHBB Restaurants Ltd.</t>
        </is>
      </c>
      <c r="K324" s="8" t="n">
        <v>44143</v>
      </c>
      <c r="L324" s="9" t="n">
        <v>49620</v>
      </c>
      <c r="N324" s="9" t="n">
        <v>45969</v>
      </c>
      <c r="P324" s="10" t="n">
        <v>175000</v>
      </c>
      <c r="Q324" s="10">
        <f>P324</f>
        <v/>
      </c>
      <c r="S324" s="10" t="n">
        <v>146200</v>
      </c>
      <c r="T324" s="10">
        <f>S324</f>
        <v/>
      </c>
      <c r="U324" s="27" t="n">
        <v>146200</v>
      </c>
      <c r="V324" s="10">
        <f>U324</f>
        <v/>
      </c>
      <c r="W324" s="277">
        <f>S324/G324</f>
        <v/>
      </c>
      <c r="X324" s="10" t="inlineStr">
        <is>
          <t>D</t>
        </is>
      </c>
      <c r="Y324" s="60" t="n"/>
      <c r="Z324" s="394" t="n"/>
      <c r="AA324" s="14" t="inlineStr">
        <is>
          <t>Yes</t>
        </is>
      </c>
      <c r="AB324" s="4" t="inlineStr">
        <is>
          <t xml:space="preserve">54 Act protected lease. All Inclusive (excl rates). </t>
        </is>
      </c>
      <c r="AC324" s="303" t="n"/>
      <c r="AD324" s="4" t="n"/>
      <c r="AE324" s="278" t="n"/>
      <c r="AF324" s="4" t="n"/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(East)</t>
        </is>
      </c>
      <c r="F325" s="14" t="inlineStr">
        <is>
          <t>Office</t>
        </is>
      </c>
      <c r="G325" s="7" t="n">
        <v>1560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44732</v>
      </c>
      <c r="L325" s="9" t="n">
        <v>46557</v>
      </c>
      <c r="N325" s="8" t="n"/>
      <c r="O325" s="8" t="n"/>
      <c r="P325" s="10" t="n">
        <v>67146</v>
      </c>
      <c r="Q325" s="10">
        <f>P325</f>
        <v/>
      </c>
      <c r="S325" s="10" t="n">
        <v>85800</v>
      </c>
      <c r="T325" s="10">
        <f>S325</f>
        <v/>
      </c>
      <c r="U325" s="27" t="n">
        <v>85800</v>
      </c>
      <c r="V325" s="10">
        <f>U325</f>
        <v/>
      </c>
      <c r="W325" s="277">
        <f>S325/G325</f>
        <v/>
      </c>
      <c r="X325" s="10" t="inlineStr">
        <is>
          <t>C</t>
        </is>
      </c>
      <c r="Y325" s="60" t="n"/>
      <c r="Z325" s="394" t="n"/>
      <c r="AA325" s="14" t="inlineStr">
        <is>
          <t>No</t>
        </is>
      </c>
      <c r="AB325" s="4" t="inlineStr">
        <is>
          <t>Rent reverts to £84,816 wef 20/06/26</t>
        </is>
      </c>
      <c r="AE325" s="278" t="n"/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(West)</t>
        </is>
      </c>
      <c r="F326" s="14" t="inlineStr">
        <is>
          <t>Office</t>
        </is>
      </c>
      <c r="G326" s="7" t="n">
        <v>1454</v>
      </c>
      <c r="H326" s="7">
        <f>G326</f>
        <v/>
      </c>
      <c r="I326" s="7" t="n">
        <v>1500</v>
      </c>
      <c r="J326" s="4" t="inlineStr">
        <is>
          <t>Feel Films Ltd.</t>
        </is>
      </c>
      <c r="K326" s="8" t="n">
        <v>44419</v>
      </c>
      <c r="L326" s="9" t="n">
        <v>46244</v>
      </c>
      <c r="N326" s="8" t="n"/>
      <c r="O326" s="8" t="n"/>
      <c r="P326" s="27" t="n">
        <v>83950</v>
      </c>
      <c r="Q326" s="10">
        <f>P326</f>
        <v/>
      </c>
      <c r="S326" s="10" t="n">
        <v>80000</v>
      </c>
      <c r="T326" s="10">
        <f>S326</f>
        <v/>
      </c>
      <c r="U326" s="27" t="n">
        <v>80000</v>
      </c>
      <c r="V326" s="10">
        <f>U326</f>
        <v/>
      </c>
      <c r="W326" s="277">
        <f>S326/G326</f>
        <v/>
      </c>
      <c r="X326" s="10" t="inlineStr">
        <is>
          <t>D</t>
        </is>
      </c>
      <c r="Y326" s="60" t="n"/>
      <c r="Z326" s="394" t="n"/>
      <c r="AA326" s="14" t="inlineStr">
        <is>
          <t>No</t>
        </is>
      </c>
      <c r="AE326" s="278" t="n"/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(West)</t>
        </is>
      </c>
      <c r="F327" s="14" t="inlineStr">
        <is>
          <t>Office</t>
        </is>
      </c>
      <c r="G327" s="7" t="n">
        <v>1395</v>
      </c>
      <c r="H327" s="7">
        <f>G327</f>
        <v/>
      </c>
      <c r="I327" s="7" t="n">
        <v>1500</v>
      </c>
      <c r="J327" s="4" t="inlineStr">
        <is>
          <t>Vacant</t>
        </is>
      </c>
      <c r="M327" s="9" t="n">
        <v>45837</v>
      </c>
      <c r="N327" s="8" t="n"/>
      <c r="O327" s="8" t="n"/>
      <c r="P327" s="10" t="n">
        <v>0</v>
      </c>
      <c r="Q327" s="10">
        <f>P327</f>
        <v/>
      </c>
      <c r="S327" s="10" t="n">
        <v>76700</v>
      </c>
      <c r="T327" s="10">
        <f>S327</f>
        <v/>
      </c>
      <c r="U327" s="27" t="n">
        <v>76700</v>
      </c>
      <c r="V327" s="10">
        <f>U327</f>
        <v/>
      </c>
      <c r="W327" s="277">
        <f>S327/G327</f>
        <v/>
      </c>
      <c r="X327" s="10" t="inlineStr">
        <is>
          <t>E</t>
        </is>
      </c>
      <c r="Y327" s="60" t="n"/>
      <c r="Z327" s="394" t="n"/>
      <c r="AA327" s="14" t="inlineStr">
        <is>
          <t>No</t>
        </is>
      </c>
      <c r="AB327" s="4" t="inlineStr">
        <is>
          <t>Unit Under offer.</t>
        </is>
      </c>
      <c r="AE327" s="278" t="n"/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(East)</t>
        </is>
      </c>
      <c r="F328" s="14" t="inlineStr">
        <is>
          <t>Office</t>
        </is>
      </c>
      <c r="G328" s="7" t="n">
        <v>1281</v>
      </c>
      <c r="H328" s="7">
        <f>G328</f>
        <v/>
      </c>
      <c r="I328" s="7" t="n">
        <v>1250</v>
      </c>
      <c r="J328" s="4" t="inlineStr">
        <is>
          <t>Feel Films Ltd.</t>
        </is>
      </c>
      <c r="K328" s="8" t="n">
        <v>45393</v>
      </c>
      <c r="L328" s="9" t="n">
        <v>47218</v>
      </c>
      <c r="O328" s="9" t="n">
        <v>46488</v>
      </c>
      <c r="P328" s="10" t="n">
        <v>72800</v>
      </c>
      <c r="Q328" s="10">
        <f>P328</f>
        <v/>
      </c>
      <c r="S328" s="10" t="n">
        <v>70500</v>
      </c>
      <c r="T328" s="10">
        <f>S328</f>
        <v/>
      </c>
      <c r="U328" s="27" t="n">
        <v>70500</v>
      </c>
      <c r="V328" s="10">
        <f>U328</f>
        <v/>
      </c>
      <c r="W328" s="277">
        <f>S328/G328</f>
        <v/>
      </c>
      <c r="X328" s="10" t="inlineStr">
        <is>
          <t>D</t>
        </is>
      </c>
      <c r="Y328" s="60" t="n"/>
      <c r="Z328" s="394" t="n"/>
      <c r="AA328" s="14" t="inlineStr">
        <is>
          <t>No</t>
        </is>
      </c>
      <c r="AB328" s="4" t="inlineStr">
        <is>
          <t>Tenant break on 6 months notice. 3 months rent free if break not exercised.</t>
        </is>
      </c>
      <c r="AE328" s="278" t="n"/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(East)</t>
        </is>
      </c>
      <c r="F329" s="14" t="inlineStr">
        <is>
          <t>Office</t>
        </is>
      </c>
      <c r="G329" s="7" t="n">
        <v>1371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44647</v>
      </c>
      <c r="N329" s="8" t="n"/>
      <c r="O329" s="8" t="n"/>
      <c r="P329" s="10" t="n">
        <v>0</v>
      </c>
      <c r="Q329" s="10">
        <f>P329</f>
        <v/>
      </c>
      <c r="S329" s="10" t="n">
        <v>75400</v>
      </c>
      <c r="T329" s="10">
        <f>S329</f>
        <v/>
      </c>
      <c r="U329" s="27" t="n">
        <v>75400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</row>
    <row r="330">
      <c r="A330" s="11" t="inlineStr">
        <is>
          <t>WS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(West)</t>
        </is>
      </c>
      <c r="F330" s="14" t="inlineStr">
        <is>
          <t>Office</t>
        </is>
      </c>
      <c r="G330" s="7" t="n">
        <v>1204</v>
      </c>
      <c r="H330" s="7">
        <f>G330</f>
        <v/>
      </c>
      <c r="I330" s="7" t="n">
        <v>1250</v>
      </c>
      <c r="J330" s="4" t="inlineStr">
        <is>
          <t>Vacant</t>
        </is>
      </c>
      <c r="M330" s="9" t="n">
        <v>42983</v>
      </c>
      <c r="N330" s="8" t="n"/>
      <c r="O330" s="8" t="n"/>
      <c r="P330" s="10" t="n">
        <v>0</v>
      </c>
      <c r="Q330" s="10">
        <f>P330</f>
        <v/>
      </c>
      <c r="S330" s="10" t="n">
        <v>66200</v>
      </c>
      <c r="T330" s="10">
        <f>S330</f>
        <v/>
      </c>
      <c r="U330" s="27" t="n">
        <v>66200</v>
      </c>
      <c r="V330" s="10">
        <f>U330</f>
        <v/>
      </c>
      <c r="W330" s="277">
        <f>S330/G330</f>
        <v/>
      </c>
      <c r="X330" s="27" t="inlineStr">
        <is>
          <t>B</t>
        </is>
      </c>
      <c r="Y330" s="60" t="n"/>
      <c r="Z330" s="394" t="n"/>
      <c r="AA330" s="14" t="inlineStr">
        <is>
          <t>No</t>
        </is>
      </c>
      <c r="AB330" s="4" t="inlineStr">
        <is>
          <t>Under offer</t>
        </is>
      </c>
      <c r="AC330" s="303" t="n">
        <v>62</v>
      </c>
      <c r="AD330" s="4" t="n"/>
      <c r="AE330" s="278" t="n"/>
      <c r="AF330" s="4" t="n"/>
    </row>
    <row r="331">
      <c r="A331" s="11" t="inlineStr">
        <is>
          <t>WS</t>
        </is>
      </c>
      <c r="B331" s="11" t="inlineStr">
        <is>
          <t>MEL</t>
        </is>
      </c>
      <c r="C331" s="2" t="n">
        <v>550980</v>
      </c>
      <c r="D331" s="4" t="inlineStr">
        <is>
          <t>93 Mortimer Street &amp; 43 Great Portland Street</t>
        </is>
      </c>
      <c r="E331" s="4" t="inlineStr">
        <is>
          <t>Whole</t>
        </is>
      </c>
      <c r="F331" s="14" t="inlineStr">
        <is>
          <t>Gallery</t>
        </is>
      </c>
      <c r="G331" s="18" t="n">
        <v>10112</v>
      </c>
      <c r="H331" s="19">
        <f>G331</f>
        <v/>
      </c>
      <c r="I331" s="19" t="n"/>
      <c r="J331" s="4" t="inlineStr">
        <is>
          <t>IBRAAZ</t>
        </is>
      </c>
      <c r="K331" s="8" t="n">
        <v>45708</v>
      </c>
      <c r="L331" s="9" t="n">
        <v>51185</v>
      </c>
      <c r="N331" s="9" t="n">
        <v>47534</v>
      </c>
      <c r="O331" s="9" t="n">
        <v>47898</v>
      </c>
      <c r="P331" s="19" t="n">
        <v>550000</v>
      </c>
      <c r="Q331" s="19">
        <f>P331</f>
        <v/>
      </c>
      <c r="R331" s="19">
        <f>Q331</f>
        <v/>
      </c>
      <c r="S331" s="19" t="n">
        <v>750000</v>
      </c>
      <c r="T331" s="19">
        <f>S331</f>
        <v/>
      </c>
      <c r="U331" s="36" t="n">
        <v>700000</v>
      </c>
      <c r="V331" s="19">
        <f>U331</f>
        <v/>
      </c>
      <c r="W331" s="277">
        <f>S331/G331</f>
        <v/>
      </c>
      <c r="X331" s="19" t="inlineStr">
        <is>
          <t>A</t>
        </is>
      </c>
      <c r="Y331" s="61" t="n"/>
      <c r="Z331" s="36" t="n">
        <v>11850000</v>
      </c>
      <c r="AA331" s="14" t="inlineStr">
        <is>
          <t>No</t>
        </is>
      </c>
      <c r="AB331" s="4" t="inlineStr">
        <is>
          <t>Rent increases reverts to £700,000 wef 20/02/30 subject to rent review.</t>
        </is>
      </c>
      <c r="AD331" s="4" t="n">
        <v>1</v>
      </c>
      <c r="AE331" s="278" t="n">
        <v>1</v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Basement, Ground &amp; First Floors</t>
        </is>
      </c>
      <c r="F332" s="14" t="inlineStr">
        <is>
          <t>Retail/ Ancillary</t>
        </is>
      </c>
      <c r="G332" s="7" t="n">
        <v>5200</v>
      </c>
      <c r="H332" s="7">
        <f>G332</f>
        <v/>
      </c>
      <c r="I332" s="7" t="n">
        <v>5000</v>
      </c>
      <c r="J332" s="4" t="inlineStr">
        <is>
          <t>Telefonica UK Ltd</t>
        </is>
      </c>
      <c r="K332" s="8" t="n">
        <v>45776</v>
      </c>
      <c r="L332" s="9" t="n">
        <v>49427</v>
      </c>
      <c r="N332" s="9" t="n">
        <v>47602</v>
      </c>
      <c r="O332" s="9" t="n">
        <v>47601</v>
      </c>
      <c r="P332" s="10" t="n">
        <v>352500</v>
      </c>
      <c r="Q332" s="10">
        <f>P332</f>
        <v/>
      </c>
      <c r="S332" s="7" t="n">
        <v>616000</v>
      </c>
      <c r="T332" s="10">
        <f>S332</f>
        <v/>
      </c>
      <c r="U332" s="359" t="n">
        <v>746500</v>
      </c>
      <c r="V332" s="10">
        <f>U332</f>
        <v/>
      </c>
      <c r="W332" s="277">
        <f>S332/G332</f>
        <v/>
      </c>
      <c r="X332" s="10" t="inlineStr">
        <is>
          <t>B</t>
        </is>
      </c>
      <c r="Y332" s="60" t="n"/>
      <c r="Z332" s="36" t="n"/>
      <c r="AA332" s="14" t="inlineStr">
        <is>
          <t>No</t>
        </is>
      </c>
      <c r="AB332" s="4" t="inlineStr">
        <is>
          <t>Rent increasing to £705,000 wef 24/07/26. Tenant break on 6 months notice.</t>
        </is>
      </c>
      <c r="AC332" s="303" t="n"/>
      <c r="AD332" s="4" t="n">
        <v>1</v>
      </c>
      <c r="AE332" s="278" t="n">
        <v>1</v>
      </c>
      <c r="AF332" s="4" t="inlineStr">
        <is>
          <t>LEM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Kiosk in Adam and Eve Court</t>
        </is>
      </c>
      <c r="F333" s="14" t="inlineStr">
        <is>
          <t>Kiosk</t>
        </is>
      </c>
      <c r="G333" s="42" t="n">
        <v>85</v>
      </c>
      <c r="H333" s="7">
        <f>G333</f>
        <v/>
      </c>
      <c r="J333" s="30" t="inlineStr">
        <is>
          <t>The Prudential Assurance Company Ltd.</t>
        </is>
      </c>
      <c r="K333" s="8" t="n">
        <v>45589</v>
      </c>
      <c r="L333" s="8" t="n">
        <v>45953</v>
      </c>
      <c r="M333" s="8" t="n"/>
      <c r="P333" s="10" t="n">
        <v>68250</v>
      </c>
      <c r="Q333" s="10">
        <f>P333</f>
        <v/>
      </c>
      <c r="S333" s="7" t="n">
        <v>65000</v>
      </c>
      <c r="T333" s="10">
        <f>S333</f>
        <v/>
      </c>
      <c r="U333" s="359" t="n">
        <v>0</v>
      </c>
      <c r="V333" s="10">
        <f>U333</f>
        <v/>
      </c>
      <c r="W333" s="277">
        <f>S333/G333</f>
        <v/>
      </c>
      <c r="X333" s="10" t="n"/>
      <c r="Y333" s="60" t="n"/>
      <c r="Z333" s="36" t="n"/>
      <c r="AA333" s="14" t="inlineStr">
        <is>
          <t>No</t>
        </is>
      </c>
      <c r="AB333" s="30" t="inlineStr">
        <is>
          <t>Tenant rolling break on 3 months notice. Tenant has renewal option at stepped rent. Landlord redevelopment break @ 16/01/27 on 6 months notice.</t>
        </is>
      </c>
      <c r="AD333" s="30" t="n"/>
      <c r="AE333" s="284" t="n"/>
      <c r="AF333" s="30" t="n"/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Flats 1 - 9 Inclusive</t>
        </is>
      </c>
      <c r="F334" s="14" t="inlineStr">
        <is>
          <t>Residential</t>
        </is>
      </c>
      <c r="G334" s="42" t="n">
        <v>4011</v>
      </c>
      <c r="H334" s="7">
        <f>G334</f>
        <v/>
      </c>
      <c r="I334" s="7" t="n">
        <v>4000</v>
      </c>
      <c r="J334" s="4" t="inlineStr">
        <is>
          <t>Advan Capital Limited</t>
        </is>
      </c>
      <c r="K334" s="8" t="n">
        <v>44204</v>
      </c>
      <c r="L334" s="9" t="n">
        <v>47855</v>
      </c>
      <c r="N334" s="9" t="n">
        <v>46030</v>
      </c>
      <c r="P334" s="10" t="n">
        <v>130000</v>
      </c>
      <c r="Q334" s="10">
        <f>P334</f>
        <v/>
      </c>
      <c r="S334" s="7" t="n">
        <v>130000</v>
      </c>
      <c r="T334" s="10">
        <f>S334</f>
        <v/>
      </c>
      <c r="U334" s="359" t="n">
        <v>130000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6" t="n"/>
      <c r="AA334" s="14" t="inlineStr">
        <is>
          <t>No</t>
        </is>
      </c>
      <c r="AB334" s="30" t="n"/>
      <c r="AD334" s="30" t="n"/>
      <c r="AE334" s="284" t="n"/>
      <c r="AF334" s="30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Vaults, Basement &amp; Ground Floors</t>
        </is>
      </c>
      <c r="F335" s="14" t="inlineStr">
        <is>
          <t>Retail</t>
        </is>
      </c>
      <c r="G335" s="7" t="n">
        <v>3348</v>
      </c>
      <c r="H335" s="10">
        <f>G335</f>
        <v/>
      </c>
      <c r="I335" s="10" t="n">
        <v>3250</v>
      </c>
      <c r="J335" s="4" t="inlineStr">
        <is>
          <t>Holland &amp; Barrett Retail Ltd</t>
        </is>
      </c>
      <c r="K335" s="8" t="n">
        <v>45600</v>
      </c>
      <c r="L335" s="9" t="n">
        <v>49251</v>
      </c>
      <c r="N335" s="9" t="n">
        <v>47426</v>
      </c>
      <c r="O335" s="9" t="n">
        <v>47790</v>
      </c>
      <c r="P335" s="10" t="n">
        <v>260000</v>
      </c>
      <c r="Q335" s="10">
        <f>P335</f>
        <v/>
      </c>
      <c r="S335" s="10" t="n">
        <v>522500</v>
      </c>
      <c r="T335" s="10">
        <f>S335</f>
        <v/>
      </c>
      <c r="U335" s="27" t="n">
        <v>661800</v>
      </c>
      <c r="V335" s="10">
        <f>U335</f>
        <v/>
      </c>
      <c r="W335" s="277">
        <f>S335/G335</f>
        <v/>
      </c>
      <c r="X335" s="10" t="inlineStr">
        <is>
          <t>B</t>
        </is>
      </c>
      <c r="Y335" s="60" t="n"/>
      <c r="Z335" s="395" t="n"/>
      <c r="AA335" s="14" t="inlineStr">
        <is>
          <t>No</t>
        </is>
      </c>
      <c r="AB335" s="4" t="inlineStr">
        <is>
          <t xml:space="preserve">Rent increases to £520,000 wef 04/08/26. Tenant break on 6 months notice. </t>
        </is>
      </c>
      <c r="AC335" s="305" t="n"/>
      <c r="AD335" s="29" t="n"/>
      <c r="AE335" s="279" t="n"/>
      <c r="AF335" s="29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First to Fourth Floors</t>
        </is>
      </c>
      <c r="F336" s="14" t="inlineStr">
        <is>
          <t>Educational</t>
        </is>
      </c>
      <c r="G336" s="7" t="n">
        <v>2964</v>
      </c>
      <c r="H336" s="10">
        <f>G336</f>
        <v/>
      </c>
      <c r="I336" s="10" t="n">
        <v>3000</v>
      </c>
      <c r="J336" s="4" t="inlineStr">
        <is>
          <t>Vacant</t>
        </is>
      </c>
      <c r="M336" s="9" t="n">
        <v>42593</v>
      </c>
      <c r="P336" s="10" t="n">
        <v>0</v>
      </c>
      <c r="Q336" s="10">
        <f>P336</f>
        <v/>
      </c>
      <c r="S336" s="10" t="n">
        <v>115000</v>
      </c>
      <c r="T336" s="10">
        <f>S336</f>
        <v/>
      </c>
      <c r="U336" s="27" t="n">
        <v>115000</v>
      </c>
      <c r="V336" s="10">
        <f>U336</f>
        <v/>
      </c>
      <c r="W336" s="277">
        <f>S336/G336</f>
        <v/>
      </c>
      <c r="X336" s="10" t="inlineStr">
        <is>
          <t>E</t>
        </is>
      </c>
      <c r="Y336" s="60" t="n"/>
      <c r="Z336" s="395" t="n"/>
      <c r="AA336" s="14" t="inlineStr">
        <is>
          <t>No</t>
        </is>
      </c>
      <c r="AB336" s="4" t="inlineStr">
        <is>
          <t>Unit being stripped back to shell.</t>
        </is>
      </c>
      <c r="AE336" s="278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150/154 Oxford Street</t>
        </is>
      </c>
      <c r="E337" s="4" t="inlineStr">
        <is>
          <t>Part Basement to Second Floors &amp; Rooftop Switch Room</t>
        </is>
      </c>
      <c r="F337" s="14" t="inlineStr">
        <is>
          <t>Retail</t>
        </is>
      </c>
      <c r="G337" s="18" t="n">
        <v>61433</v>
      </c>
      <c r="H337" s="10">
        <f>G337</f>
        <v/>
      </c>
      <c r="I337" s="10" t="n">
        <v>60000</v>
      </c>
      <c r="J337" s="4" t="inlineStr">
        <is>
          <t>Sportsdirect.com Retail Ltd</t>
        </is>
      </c>
      <c r="K337" s="8" t="n">
        <v>40925</v>
      </c>
      <c r="L337" s="9" t="n">
        <v>46403</v>
      </c>
      <c r="N337" s="9" t="n">
        <v>44578</v>
      </c>
      <c r="P337" s="19" t="n">
        <v>4275000</v>
      </c>
      <c r="Q337" s="10">
        <f>P337</f>
        <v/>
      </c>
      <c r="R337" s="19">
        <f>Q337</f>
        <v/>
      </c>
      <c r="S337" s="19" t="n">
        <v>2569000</v>
      </c>
      <c r="T337" s="10">
        <f>S337</f>
        <v/>
      </c>
      <c r="U337" s="36" t="n">
        <v>3490000</v>
      </c>
      <c r="V337" s="10">
        <f>U337</f>
        <v/>
      </c>
      <c r="W337" s="277">
        <f>S337/G337</f>
        <v/>
      </c>
      <c r="X337" s="10" t="inlineStr">
        <is>
          <t>B</t>
        </is>
      </c>
      <c r="Y337" s="60" t="n"/>
      <c r="Z337" s="36" t="n">
        <v>72800000</v>
      </c>
      <c r="AA337" s="14" t="inlineStr">
        <is>
          <t>Yes</t>
        </is>
      </c>
      <c r="AB337" s="4" t="inlineStr">
        <is>
          <t xml:space="preserve">Electricity Substation sublet by Sportsdirect.com. Rent review not yet activated. </t>
        </is>
      </c>
      <c r="AC337" s="303" t="n"/>
      <c r="AD337" s="4" t="n"/>
      <c r="AE337" s="278" t="n"/>
      <c r="AF337" s="4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(South East)</t>
        </is>
      </c>
      <c r="F338" s="14" t="inlineStr">
        <is>
          <t>Storage</t>
        </is>
      </c>
      <c r="G338" s="7" t="n">
        <v>114</v>
      </c>
      <c r="H338" s="7">
        <f>G338</f>
        <v/>
      </c>
      <c r="J338" s="4" t="inlineStr">
        <is>
          <t>Building Workshop</t>
        </is>
      </c>
      <c r="P338" s="10" t="n">
        <v>0</v>
      </c>
      <c r="Q338" s="10">
        <f>P338</f>
        <v/>
      </c>
      <c r="S338" s="10" t="n">
        <v>2007</v>
      </c>
      <c r="T338" s="10">
        <f>S338</f>
        <v/>
      </c>
      <c r="U338" s="27" t="n">
        <v>2000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inlineStr">
        <is>
          <t>No</t>
        </is>
      </c>
      <c r="AE338" s="278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Store A</t>
        </is>
      </c>
      <c r="F339" s="14" t="inlineStr">
        <is>
          <t>Storage</t>
        </is>
      </c>
      <c r="G339" s="7" t="n">
        <v>454</v>
      </c>
      <c r="H339" s="7">
        <f>G339</f>
        <v/>
      </c>
      <c r="J339" s="4" t="inlineStr">
        <is>
          <t>Hope93 Ltd.</t>
        </is>
      </c>
      <c r="K339" s="8" t="n">
        <v>45685</v>
      </c>
      <c r="L339" s="9" t="n">
        <v>47358</v>
      </c>
      <c r="O339" s="9" t="n">
        <v>46627</v>
      </c>
      <c r="P339" s="10" t="n">
        <v>18000</v>
      </c>
      <c r="Q339" s="10">
        <f>P339</f>
        <v/>
      </c>
      <c r="S339" s="10" t="n">
        <v>7993</v>
      </c>
      <c r="T339" s="10" t="n"/>
      <c r="U339" s="27" t="n">
        <v>18000</v>
      </c>
      <c r="V339" s="10">
        <f>U339</f>
        <v/>
      </c>
      <c r="W339" s="277">
        <f>S339/G339</f>
        <v/>
      </c>
      <c r="X339" s="10" t="n"/>
      <c r="Y339" s="60" t="n"/>
      <c r="Z339" s="394" t="n"/>
      <c r="AA339" s="14" t="n"/>
      <c r="AB339" s="4" t="inlineStr">
        <is>
          <t>Tenant break on 6 months notice.</t>
        </is>
      </c>
      <c r="AE339" s="278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(West)</t>
        </is>
      </c>
      <c r="F340" s="14" t="inlineStr">
        <is>
          <t>Building Managers Office</t>
        </is>
      </c>
      <c r="G340" s="7" t="n">
        <v>780</v>
      </c>
      <c r="H340" s="7">
        <f>G340</f>
        <v/>
      </c>
      <c r="I340" s="7" t="n">
        <v>750</v>
      </c>
      <c r="J340" s="4" t="inlineStr">
        <is>
          <t>Langham Estate Management Ltd</t>
        </is>
      </c>
      <c r="K340" s="8" t="n">
        <v>44562</v>
      </c>
      <c r="L340" s="9" t="n">
        <v>46752</v>
      </c>
      <c r="N340" s="9" t="n">
        <v>45292</v>
      </c>
      <c r="P340" s="10" t="n">
        <v>17100</v>
      </c>
      <c r="Q340" s="10">
        <f>P340</f>
        <v/>
      </c>
      <c r="S340" s="10" t="n">
        <v>12500</v>
      </c>
      <c r="T340" s="10">
        <f>S340</f>
        <v/>
      </c>
      <c r="U340" s="27" t="n">
        <v>12500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B340" s="4" t="inlineStr">
        <is>
          <t>2 yearly rent reviews. Mutual rolling break on 6 months notice. Internal Lease to another Lee Family Group Company.</t>
        </is>
      </c>
      <c r="AE340" s="278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Grnd/Basement  - 10 &amp; 12 Winsley St.</t>
        </is>
      </c>
      <c r="F341" s="14" t="inlineStr">
        <is>
          <t>Restaurant</t>
        </is>
      </c>
      <c r="G341" s="7" t="n">
        <v>3661</v>
      </c>
      <c r="H341" s="7">
        <f>G341</f>
        <v/>
      </c>
      <c r="I341" s="7" t="n">
        <v>3500</v>
      </c>
      <c r="J341" s="4" t="inlineStr">
        <is>
          <t>Comptoir Group Plc</t>
        </is>
      </c>
      <c r="K341" s="8" t="n">
        <v>44115</v>
      </c>
      <c r="L341" s="9" t="n">
        <v>46670</v>
      </c>
      <c r="P341" s="10" t="n">
        <v>170000</v>
      </c>
      <c r="Q341" s="10">
        <f>P341</f>
        <v/>
      </c>
      <c r="S341" s="10" t="n">
        <v>216700</v>
      </c>
      <c r="T341" s="10">
        <f>S341</f>
        <v/>
      </c>
      <c r="U341" s="27" t="n">
        <v>216700</v>
      </c>
      <c r="V341" s="10">
        <f>U341</f>
        <v/>
      </c>
      <c r="W341" s="277">
        <f>S341/G341</f>
        <v/>
      </c>
      <c r="X341" s="10" t="inlineStr">
        <is>
          <t>D</t>
        </is>
      </c>
      <c r="Y341" s="60" t="n"/>
      <c r="Z341" s="394" t="n"/>
      <c r="AA341" s="14" t="inlineStr">
        <is>
          <t>No</t>
        </is>
      </c>
      <c r="AE341" s="278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Basement 56-57 Eastcastle St.</t>
        </is>
      </c>
      <c r="F342" s="14" t="inlineStr">
        <is>
          <t>Showroom</t>
        </is>
      </c>
      <c r="G342" s="7" t="n">
        <v>1716</v>
      </c>
      <c r="H342" s="7">
        <f>G342</f>
        <v/>
      </c>
      <c r="I342" s="7" t="n">
        <v>1750</v>
      </c>
      <c r="J342" s="4" t="inlineStr">
        <is>
          <t>Vacant</t>
        </is>
      </c>
      <c r="P342" s="10" t="n">
        <v>0</v>
      </c>
      <c r="Q342" s="10">
        <f>P342</f>
        <v/>
      </c>
      <c r="S342" s="10" t="n">
        <v>107600</v>
      </c>
      <c r="T342" s="10">
        <f>S342</f>
        <v/>
      </c>
      <c r="U342" s="27" t="n">
        <v>0</v>
      </c>
      <c r="V342" s="10">
        <f>U342</f>
        <v/>
      </c>
      <c r="W342" s="277">
        <f>S342/G342</f>
        <v/>
      </c>
      <c r="X342" s="10" t="n"/>
      <c r="Y342" s="60" t="n"/>
      <c r="Z342" s="394" t="n"/>
      <c r="AA342" s="14" t="inlineStr">
        <is>
          <t>No</t>
        </is>
      </c>
      <c r="AB342" s="4" t="inlineStr">
        <is>
          <t>Mothballed.</t>
        </is>
      </c>
      <c r="AE342" s="278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Ground 56-57 Eastcastle St.</t>
        </is>
      </c>
      <c r="F343" s="14" t="inlineStr">
        <is>
          <t>Showroom</t>
        </is>
      </c>
      <c r="G343" s="7" t="n">
        <v>1952</v>
      </c>
      <c r="H343" s="7">
        <f>G343</f>
        <v/>
      </c>
      <c r="I343" s="7" t="n">
        <v>2000</v>
      </c>
      <c r="J343" s="4" t="inlineStr">
        <is>
          <t>YG Group Ltd</t>
        </is>
      </c>
      <c r="K343" s="8" t="n">
        <v>45450</v>
      </c>
      <c r="L343" s="9" t="n">
        <v>49101</v>
      </c>
      <c r="N343" s="9" t="n">
        <v>47276</v>
      </c>
      <c r="O343" s="9" t="n">
        <v>47275</v>
      </c>
      <c r="P343" s="10" t="n">
        <v>159500</v>
      </c>
      <c r="Q343" s="10">
        <f>P343</f>
        <v/>
      </c>
      <c r="S343" s="10" t="n">
        <v>122400</v>
      </c>
      <c r="T343" s="10">
        <f>S343</f>
        <v/>
      </c>
      <c r="U343" s="27" t="n">
        <v>136600</v>
      </c>
      <c r="V343" s="10">
        <f>U343</f>
        <v/>
      </c>
      <c r="W343" s="277">
        <f>S343/G343</f>
        <v/>
      </c>
      <c r="X343" s="10" t="inlineStr">
        <is>
          <t>C</t>
        </is>
      </c>
      <c r="Y343" s="60" t="n"/>
      <c r="Z343" s="394" t="n"/>
      <c r="AA343" s="14" t="inlineStr">
        <is>
          <t>No</t>
        </is>
      </c>
      <c r="AB343" s="4" t="inlineStr">
        <is>
          <t>Mutual break on 6 months notice. 5 months rent free amortised over 1yr if break not exercised.</t>
        </is>
      </c>
      <c r="AE343" s="278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- 55 Eastcastle St.</t>
        </is>
      </c>
      <c r="F344" s="14" t="inlineStr">
        <is>
          <t>Art Gallery</t>
        </is>
      </c>
      <c r="G344" s="7" t="n">
        <v>1710</v>
      </c>
      <c r="H344" s="7">
        <f>G344</f>
        <v/>
      </c>
      <c r="I344" s="7" t="n">
        <v>1750</v>
      </c>
      <c r="J344" s="29" t="inlineStr">
        <is>
          <t>Vacant</t>
        </is>
      </c>
      <c r="K344" s="388" t="n"/>
      <c r="L344" s="387" t="n"/>
      <c r="M344" s="387" t="n">
        <v>45874</v>
      </c>
      <c r="N344" s="387" t="n"/>
      <c r="O344" s="387" t="n"/>
      <c r="P344" s="27" t="n">
        <v>0</v>
      </c>
      <c r="Q344" s="10">
        <f>P344</f>
        <v/>
      </c>
      <c r="S344" s="10" t="n">
        <v>85500</v>
      </c>
      <c r="T344" s="10">
        <f>S344</f>
        <v/>
      </c>
      <c r="U344" s="27" t="n">
        <v>100000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4" t="n"/>
      <c r="AA344" s="14" t="inlineStr">
        <is>
          <t>No</t>
        </is>
      </c>
      <c r="AB344" s="29" t="inlineStr">
        <is>
          <t>LEM marketing.</t>
        </is>
      </c>
      <c r="AE344" s="278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- 54 Eastcastle St</t>
        </is>
      </c>
      <c r="F345" s="14" t="inlineStr">
        <is>
          <t>Art Gallery</t>
        </is>
      </c>
      <c r="G345" s="7" t="n">
        <v>3601</v>
      </c>
      <c r="H345" s="7">
        <f>G345</f>
        <v/>
      </c>
      <c r="I345" s="7" t="n">
        <v>3500</v>
      </c>
      <c r="J345" s="4" t="inlineStr">
        <is>
          <t>Hope93 Ltd.</t>
        </is>
      </c>
      <c r="K345" s="8" t="n">
        <v>45533</v>
      </c>
      <c r="L345" s="9" t="n">
        <v>49184</v>
      </c>
      <c r="N345" s="9" t="n">
        <v>47359</v>
      </c>
      <c r="O345" s="9" t="n">
        <v>46627</v>
      </c>
      <c r="P345" s="10" t="n">
        <v>83500</v>
      </c>
      <c r="Q345" s="10">
        <f>P345</f>
        <v/>
      </c>
      <c r="S345" s="10" t="n">
        <v>144000</v>
      </c>
      <c r="T345" s="10">
        <f>S345</f>
        <v/>
      </c>
      <c r="U345" s="27" t="n">
        <v>167400</v>
      </c>
      <c r="V345" s="10">
        <f>U345</f>
        <v/>
      </c>
      <c r="W345" s="277">
        <f>S345/G345</f>
        <v/>
      </c>
      <c r="X345" s="10" t="inlineStr">
        <is>
          <t>D</t>
        </is>
      </c>
      <c r="Y345" s="60" t="n"/>
      <c r="Z345" s="395" t="n"/>
      <c r="AA345" s="14" t="inlineStr">
        <is>
          <t>No</t>
        </is>
      </c>
      <c r="AB345" s="4" t="inlineStr">
        <is>
          <t>Rent increasing to £167,000 pa wef 29/08/29. Further break @ 28/08/29 on 6 months notice. Penalty clause of £27,833 for first break.</t>
        </is>
      </c>
      <c r="AD345" s="29" t="n"/>
      <c r="AE345" s="279" t="n"/>
      <c r="AF345" s="29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- 51, 52 &amp; 53 Eastcastle St.</t>
        </is>
      </c>
      <c r="F346" s="14" t="inlineStr">
        <is>
          <t>Restaurant</t>
        </is>
      </c>
      <c r="G346" s="7" t="n">
        <v>6889</v>
      </c>
      <c r="H346" s="7">
        <f>G346</f>
        <v/>
      </c>
      <c r="I346" s="7" t="n">
        <v>7000</v>
      </c>
      <c r="J346" s="4" t="inlineStr">
        <is>
          <t>Stay On Target Ltd</t>
        </is>
      </c>
      <c r="K346" s="8" t="n">
        <v>44630</v>
      </c>
      <c r="L346" s="9" t="n">
        <v>48282</v>
      </c>
      <c r="N346" s="9" t="n">
        <v>46456</v>
      </c>
      <c r="P346" s="10" t="n">
        <v>385000</v>
      </c>
      <c r="Q346" s="10">
        <f>P346</f>
        <v/>
      </c>
      <c r="S346" s="10" t="n">
        <v>390000</v>
      </c>
      <c r="T346" s="10">
        <f>S346</f>
        <v/>
      </c>
      <c r="U346" s="27" t="n">
        <v>390000</v>
      </c>
      <c r="V346" s="10">
        <f>U346</f>
        <v/>
      </c>
      <c r="W346" s="277">
        <f>S346/G346</f>
        <v/>
      </c>
      <c r="X346" s="10" t="inlineStr">
        <is>
          <t>A</t>
        </is>
      </c>
      <c r="Y346" s="60" t="n"/>
      <c r="Z346" s="395" t="n"/>
      <c r="AA346" s="14" t="inlineStr">
        <is>
          <t>No</t>
        </is>
      </c>
      <c r="AB346" s="4" t="inlineStr">
        <is>
          <t>Stepped rent. £390,000 wef 10/03/26. Penalty of £27,833 if first break activated. Parent company (Whistle Punks Ltd) in liquidation.</t>
        </is>
      </c>
      <c r="AE346" s="278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>First Floor</t>
        </is>
      </c>
      <c r="F347" s="14" t="inlineStr">
        <is>
          <t>Showroom/ Office</t>
        </is>
      </c>
      <c r="G347" s="359" t="n">
        <v>13294</v>
      </c>
      <c r="H347" s="7">
        <f>G347</f>
        <v/>
      </c>
      <c r="I347" s="7" t="n">
        <v>13294</v>
      </c>
      <c r="J347" s="4" t="inlineStr">
        <is>
          <t>Vacant</t>
        </is>
      </c>
      <c r="M347" s="9" t="n">
        <v>44682</v>
      </c>
      <c r="P347" s="10" t="n">
        <v>0</v>
      </c>
      <c r="Q347" s="10">
        <f>P347</f>
        <v/>
      </c>
      <c r="S347" s="7" t="n">
        <v>670700</v>
      </c>
      <c r="T347" s="10">
        <f>S347</f>
        <v/>
      </c>
      <c r="U347" s="27" t="n">
        <v>897300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All four units combined. Floor area remeasured</t>
        </is>
      </c>
      <c r="AE347" s="278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29" t="inlineStr">
        <is>
          <t xml:space="preserve">Second Floor </t>
        </is>
      </c>
      <c r="F348" s="14" t="inlineStr">
        <is>
          <t>Office</t>
        </is>
      </c>
      <c r="G348" s="359" t="n">
        <v>18378</v>
      </c>
      <c r="H348" s="7">
        <f>G348</f>
        <v/>
      </c>
      <c r="I348" s="7">
        <f>H348</f>
        <v/>
      </c>
      <c r="J348" s="4" t="inlineStr">
        <is>
          <t>Vacant</t>
        </is>
      </c>
      <c r="K348" s="8" t="n"/>
      <c r="L348" s="9" t="n"/>
      <c r="M348" s="9" t="n">
        <v>44849</v>
      </c>
      <c r="N348" s="9" t="n"/>
      <c r="O348" s="9" t="n"/>
      <c r="P348" s="10" t="n">
        <v>0</v>
      </c>
      <c r="Q348" s="10">
        <f>P348</f>
        <v/>
      </c>
      <c r="R348" s="10" t="n"/>
      <c r="S348" s="10" t="n">
        <v>1161100</v>
      </c>
      <c r="T348" s="10">
        <f>S348</f>
        <v/>
      </c>
      <c r="U348" s="27" t="n">
        <v>1294400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5" t="n"/>
      <c r="AA348" s="14" t="inlineStr">
        <is>
          <t>No</t>
        </is>
      </c>
      <c r="AB348" s="29" t="inlineStr">
        <is>
          <t>Under refurb. Three units combined. Floor area remeasured</t>
        </is>
      </c>
      <c r="AC348" s="303" t="n"/>
      <c r="AD348" s="4" t="n"/>
      <c r="AE348" s="278" t="n">
        <v>1</v>
      </c>
      <c r="AF348" s="4" t="inlineStr">
        <is>
          <t>LEM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Second Floor (Centre)</t>
        </is>
      </c>
      <c r="F349" s="14" t="inlineStr">
        <is>
          <t>Office</t>
        </is>
      </c>
      <c r="G349" s="7" t="n">
        <v>5350</v>
      </c>
      <c r="H349" s="7">
        <f>G349</f>
        <v/>
      </c>
      <c r="I349" s="7" t="n">
        <v>5250</v>
      </c>
      <c r="J349" s="4" t="inlineStr">
        <is>
          <t>Fintech Partners Limited.</t>
        </is>
      </c>
      <c r="K349" s="8" t="n">
        <v>44986</v>
      </c>
      <c r="L349" s="9" t="n">
        <v>46081</v>
      </c>
      <c r="P349" s="10" t="n">
        <v>320000</v>
      </c>
      <c r="Q349" s="10">
        <f>P349</f>
        <v/>
      </c>
      <c r="S349" s="10" t="n">
        <v>321000</v>
      </c>
      <c r="T349" s="10">
        <f>S349</f>
        <v/>
      </c>
      <c r="U349" s="27" t="n">
        <v>307600</v>
      </c>
      <c r="V349" s="10">
        <f>U349</f>
        <v/>
      </c>
      <c r="W349" s="277">
        <f>S349/G349</f>
        <v/>
      </c>
      <c r="X349" s="10" t="inlineStr">
        <is>
          <t>D</t>
        </is>
      </c>
      <c r="Y349" s="60" t="n"/>
      <c r="Z349" s="396" t="n"/>
      <c r="AA349" s="14" t="inlineStr">
        <is>
          <t>No</t>
        </is>
      </c>
      <c r="AE349" s="278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Third Floor (305)</t>
        </is>
      </c>
      <c r="F350" s="14" t="inlineStr">
        <is>
          <t>Office</t>
        </is>
      </c>
      <c r="G350" s="7" t="n">
        <v>1929</v>
      </c>
      <c r="H350" s="7">
        <f>G350</f>
        <v/>
      </c>
      <c r="I350" s="7" t="n">
        <v>2000</v>
      </c>
      <c r="J350" s="46" t="inlineStr">
        <is>
          <t>Property Management Recruitment Ltd.</t>
        </is>
      </c>
      <c r="K350" s="8" t="n">
        <v>45096</v>
      </c>
      <c r="L350" s="9" t="n">
        <v>46191</v>
      </c>
      <c r="P350" s="10" t="n">
        <v>111825</v>
      </c>
      <c r="Q350" s="10">
        <f>P350</f>
        <v/>
      </c>
      <c r="S350" s="10" t="n">
        <v>110900</v>
      </c>
      <c r="T350" s="10">
        <f>S350</f>
        <v/>
      </c>
      <c r="U350" s="27" t="n">
        <v>144700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4" t="inlineStr">
        <is>
          <t>To be refurbished.</t>
        </is>
      </c>
      <c r="AE350" s="278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29" t="inlineStr">
        <is>
          <t>Third Floor (303 &amp; 320)</t>
        </is>
      </c>
      <c r="F351" s="14" t="inlineStr">
        <is>
          <t>Offices</t>
        </is>
      </c>
      <c r="G351" s="359" t="n">
        <v>7676</v>
      </c>
      <c r="H351" s="7">
        <f>G351</f>
        <v/>
      </c>
      <c r="I351" s="7" t="n">
        <v>7676</v>
      </c>
      <c r="J351" s="4" t="inlineStr">
        <is>
          <t>Vacant</t>
        </is>
      </c>
      <c r="M351" s="9" t="n">
        <v>44340</v>
      </c>
      <c r="P351" s="10" t="n">
        <v>0</v>
      </c>
      <c r="Q351" s="10">
        <f>P351</f>
        <v/>
      </c>
      <c r="S351" s="10" t="n">
        <v>441300</v>
      </c>
      <c r="T351" s="10">
        <f>S351</f>
        <v/>
      </c>
      <c r="U351" s="27" t="n">
        <v>518100</v>
      </c>
      <c r="V351" s="10">
        <f>U351</f>
        <v/>
      </c>
      <c r="W351" s="277">
        <f>S351/G351</f>
        <v/>
      </c>
      <c r="X351" s="10" t="inlineStr">
        <is>
          <t>E</t>
        </is>
      </c>
      <c r="Y351" s="60" t="n"/>
      <c r="Z351" s="395" t="n"/>
      <c r="AA351" s="14" t="inlineStr">
        <is>
          <t>No</t>
        </is>
      </c>
      <c r="AB351" s="29" t="inlineStr">
        <is>
          <t>Under refurb. Unit combined</t>
        </is>
      </c>
      <c r="AD351" s="4" t="n">
        <v>1</v>
      </c>
      <c r="AE351" s="278" t="n">
        <v>1</v>
      </c>
      <c r="AF351" s="4" t="inlineStr">
        <is>
          <t>LEM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(325)</t>
        </is>
      </c>
      <c r="F352" s="14" t="inlineStr">
        <is>
          <t>Showroom/ Office</t>
        </is>
      </c>
      <c r="G352" s="7" t="n">
        <v>363</v>
      </c>
      <c r="H352" s="7">
        <f>G352</f>
        <v/>
      </c>
      <c r="I352" s="7" t="n">
        <v>500</v>
      </c>
      <c r="J352" s="4" t="inlineStr">
        <is>
          <t>Vacant</t>
        </is>
      </c>
      <c r="M352" s="9" t="n">
        <v>45139</v>
      </c>
      <c r="P352" s="10" t="n">
        <v>0</v>
      </c>
      <c r="Q352" s="10">
        <f>P352</f>
        <v/>
      </c>
      <c r="S352" s="10" t="n">
        <v>20900</v>
      </c>
      <c r="T352" s="10">
        <f>S352</f>
        <v/>
      </c>
      <c r="U352" s="27" t="n">
        <v>27200</v>
      </c>
      <c r="V352" s="10">
        <f>U352</f>
        <v/>
      </c>
      <c r="W352" s="277">
        <f>S352/G352</f>
        <v/>
      </c>
      <c r="X352" s="10" t="inlineStr">
        <is>
          <t>D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(335, 390)</t>
        </is>
      </c>
      <c r="F353" s="14" t="inlineStr">
        <is>
          <t>Showroom/ Office</t>
        </is>
      </c>
      <c r="G353" s="7" t="n">
        <v>933</v>
      </c>
      <c r="H353" s="7">
        <f>G353</f>
        <v/>
      </c>
      <c r="I353" s="7" t="n">
        <v>1000</v>
      </c>
      <c r="J353" s="4" t="inlineStr">
        <is>
          <t>Vacant</t>
        </is>
      </c>
      <c r="M353" s="9" t="n">
        <v>44340</v>
      </c>
      <c r="P353" s="10" t="n">
        <v>0</v>
      </c>
      <c r="Q353" s="10">
        <f>P353</f>
        <v/>
      </c>
      <c r="S353" s="10" t="n">
        <v>53600</v>
      </c>
      <c r="T353" s="10">
        <f>S353</f>
        <v/>
      </c>
      <c r="U353" s="27" t="n">
        <v>70000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B353" s="4" t="inlineStr">
        <is>
          <t>To be refurbished.</t>
        </is>
      </c>
      <c r="AE353" s="278" t="n">
        <v>1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(330)</t>
        </is>
      </c>
      <c r="F354" s="14" t="inlineStr">
        <is>
          <t>Showroom/ Office</t>
        </is>
      </c>
      <c r="G354" s="7" t="n">
        <v>1350</v>
      </c>
      <c r="H354" s="7">
        <f>G354</f>
        <v/>
      </c>
      <c r="I354" s="7" t="n">
        <v>1350</v>
      </c>
      <c r="J354" s="4" t="inlineStr">
        <is>
          <t>Brand Murray Fuller Services Ltd.</t>
        </is>
      </c>
      <c r="K354" s="8" t="n">
        <v>44501</v>
      </c>
      <c r="L354" s="9" t="n">
        <v>46326</v>
      </c>
      <c r="P354" s="10" t="n">
        <v>74250</v>
      </c>
      <c r="Q354" s="10">
        <f>P354</f>
        <v/>
      </c>
      <c r="S354" s="7" t="n">
        <v>77600</v>
      </c>
      <c r="T354" s="10">
        <f>S354</f>
        <v/>
      </c>
      <c r="U354" s="27" t="n">
        <v>101300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E354" s="278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(340)</t>
        </is>
      </c>
      <c r="F355" s="14" t="inlineStr">
        <is>
          <t>Office</t>
        </is>
      </c>
      <c r="G355" s="7" t="n">
        <v>688</v>
      </c>
      <c r="H355" s="7">
        <f>G355</f>
        <v/>
      </c>
      <c r="I355" s="7" t="n">
        <v>750</v>
      </c>
      <c r="J355" s="4" t="inlineStr">
        <is>
          <t>Vacant</t>
        </is>
      </c>
      <c r="M355" s="9" t="n">
        <v>45139</v>
      </c>
      <c r="P355" s="10" t="n">
        <v>0</v>
      </c>
      <c r="Q355" s="10">
        <f>P355</f>
        <v/>
      </c>
      <c r="S355" s="10" t="n">
        <v>39600</v>
      </c>
      <c r="T355" s="10">
        <f>S355</f>
        <v/>
      </c>
      <c r="U355" s="27" t="n">
        <v>51600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(345)</t>
        </is>
      </c>
      <c r="F356" s="14" t="inlineStr">
        <is>
          <t>Office</t>
        </is>
      </c>
      <c r="G356" s="7" t="n">
        <v>325</v>
      </c>
      <c r="H356" s="7">
        <f>G356</f>
        <v/>
      </c>
      <c r="I356" s="7" t="n">
        <v>500</v>
      </c>
      <c r="J356" s="4" t="inlineStr">
        <is>
          <t>Vacant</t>
        </is>
      </c>
      <c r="M356" s="9" t="n">
        <v>44340</v>
      </c>
      <c r="P356" s="10" t="n">
        <v>0</v>
      </c>
      <c r="Q356" s="10">
        <f>P356</f>
        <v/>
      </c>
      <c r="S356" s="10" t="n">
        <v>18700</v>
      </c>
      <c r="T356" s="10">
        <f>S356</f>
        <v/>
      </c>
      <c r="U356" s="27" t="n">
        <v>24400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To be refurbished.</t>
        </is>
      </c>
      <c r="AE356" s="278" t="n"/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(350)</t>
        </is>
      </c>
      <c r="F357" s="14" t="inlineStr">
        <is>
          <t>Office</t>
        </is>
      </c>
      <c r="G357" s="7" t="n">
        <v>489</v>
      </c>
      <c r="H357" s="7">
        <f>G357</f>
        <v/>
      </c>
      <c r="I357" s="7" t="n">
        <v>500</v>
      </c>
      <c r="J357" s="4" t="inlineStr">
        <is>
          <t>Jewells Retail Ltd</t>
        </is>
      </c>
      <c r="K357" s="8" t="n">
        <v>45770</v>
      </c>
      <c r="L357" s="9" t="n">
        <v>46088</v>
      </c>
      <c r="M357" s="9" t="n"/>
      <c r="P357" s="10" t="n">
        <v>36529</v>
      </c>
      <c r="Q357" s="10">
        <f>P357</f>
        <v/>
      </c>
      <c r="S357" s="10" t="n">
        <v>28100</v>
      </c>
      <c r="T357" s="10">
        <f>S357</f>
        <v/>
      </c>
      <c r="U357" s="27" t="n">
        <v>36700</v>
      </c>
      <c r="V357" s="10">
        <f>U357</f>
        <v/>
      </c>
      <c r="W357" s="277">
        <f>S357/G357</f>
        <v/>
      </c>
      <c r="X357" s="10" t="inlineStr">
        <is>
          <t>E</t>
        </is>
      </c>
      <c r="Y357" s="60" t="n"/>
      <c r="Z357" s="395" t="n"/>
      <c r="AA357" s="14" t="inlineStr">
        <is>
          <t>No</t>
        </is>
      </c>
      <c r="AB357" s="4" t="inlineStr">
        <is>
          <t>Rent inclusive of service charge and insurance.</t>
        </is>
      </c>
      <c r="AE357" s="278" t="n"/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(360 &amp; 365)</t>
        </is>
      </c>
      <c r="F358" s="14" t="inlineStr">
        <is>
          <t>Office</t>
        </is>
      </c>
      <c r="G358" s="7" t="n">
        <v>3558</v>
      </c>
      <c r="H358" s="7">
        <f>G358</f>
        <v/>
      </c>
      <c r="I358" s="7" t="n">
        <v>3500</v>
      </c>
      <c r="J358" s="4" t="inlineStr">
        <is>
          <t>TGR1.618 Limited</t>
        </is>
      </c>
      <c r="K358" s="8" t="n">
        <v>45072</v>
      </c>
      <c r="L358" s="9" t="n">
        <v>46898</v>
      </c>
      <c r="O358" s="9" t="n">
        <v>46167</v>
      </c>
      <c r="P358" s="10" t="n">
        <v>202920</v>
      </c>
      <c r="Q358" s="10">
        <f>P358</f>
        <v/>
      </c>
      <c r="S358" s="10" t="n">
        <v>204600</v>
      </c>
      <c r="T358" s="10">
        <f>S358</f>
        <v/>
      </c>
      <c r="U358" s="27" t="n">
        <v>266900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B358" s="4" t="inlineStr">
        <is>
          <t>Tenant break on 6 months notice. 2 months rent free if not exercised.</t>
        </is>
      </c>
      <c r="AE358" s="278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(395)</t>
        </is>
      </c>
      <c r="F359" s="14" t="inlineStr">
        <is>
          <t>Office</t>
        </is>
      </c>
      <c r="G359" s="7" t="n">
        <v>3500</v>
      </c>
      <c r="H359" s="7">
        <f>G359</f>
        <v/>
      </c>
      <c r="I359" s="7" t="n">
        <v>3500</v>
      </c>
      <c r="J359" s="4" t="inlineStr">
        <is>
          <t>Pixi Limited</t>
        </is>
      </c>
      <c r="K359" s="8" t="n">
        <v>44879</v>
      </c>
      <c r="L359" s="9" t="n">
        <v>46704</v>
      </c>
      <c r="P359" s="10" t="n">
        <v>200000</v>
      </c>
      <c r="Q359" s="10">
        <f>P359</f>
        <v/>
      </c>
      <c r="S359" s="10" t="n">
        <v>201300</v>
      </c>
      <c r="T359" s="10">
        <f>S359</f>
        <v/>
      </c>
      <c r="U359" s="27" t="n">
        <v>262500</v>
      </c>
      <c r="V359" s="10">
        <f>U359</f>
        <v/>
      </c>
      <c r="W359" s="277">
        <f>S359/G359</f>
        <v/>
      </c>
      <c r="X359" s="10" t="inlineStr">
        <is>
          <t>D</t>
        </is>
      </c>
      <c r="Y359" s="60" t="n"/>
      <c r="Z359" s="395" t="n"/>
      <c r="AA359" s="14" t="inlineStr">
        <is>
          <t>No</t>
        </is>
      </c>
      <c r="AE359" s="278" t="n"/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(398)</t>
        </is>
      </c>
      <c r="F360" s="14" t="inlineStr">
        <is>
          <t>Office</t>
        </is>
      </c>
      <c r="G360" s="7" t="n">
        <v>416</v>
      </c>
      <c r="H360" s="7">
        <f>G360</f>
        <v/>
      </c>
      <c r="I360" s="7" t="n">
        <v>500</v>
      </c>
      <c r="J360" s="4" t="inlineStr">
        <is>
          <t>Pixi Limited</t>
        </is>
      </c>
      <c r="K360" s="8" t="n">
        <v>45701</v>
      </c>
      <c r="L360" s="9" t="n">
        <v>46704</v>
      </c>
      <c r="P360" s="10" t="n">
        <v>15000</v>
      </c>
      <c r="Q360" s="10">
        <f>P360</f>
        <v/>
      </c>
      <c r="S360" s="10" t="n">
        <v>23900</v>
      </c>
      <c r="T360" s="10">
        <f>S360</f>
        <v/>
      </c>
      <c r="U360" s="27" t="n">
        <v>31200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B360" s="4" t="inlineStr">
        <is>
          <t>Rolling tenant break on 6 months notice.</t>
        </is>
      </c>
      <c r="AE360" s="278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(396)</t>
        </is>
      </c>
      <c r="F361" s="14" t="inlineStr">
        <is>
          <t>Showroom/ Office</t>
        </is>
      </c>
      <c r="G361" s="7" t="n">
        <v>1400</v>
      </c>
      <c r="H361" s="7">
        <f>G361</f>
        <v/>
      </c>
      <c r="I361" s="7" t="n">
        <v>1500</v>
      </c>
      <c r="J361" s="4" t="inlineStr">
        <is>
          <t>Lovisa UK Ltd</t>
        </is>
      </c>
      <c r="K361" s="8" t="n">
        <v>45359</v>
      </c>
      <c r="L361" s="9" t="n">
        <v>46088</v>
      </c>
      <c r="P361" s="10" t="n">
        <v>81900</v>
      </c>
      <c r="Q361" s="10">
        <f>P361</f>
        <v/>
      </c>
      <c r="S361" s="10" t="n">
        <v>80500</v>
      </c>
      <c r="T361" s="10">
        <f>S361</f>
        <v/>
      </c>
      <c r="U361" s="27" t="n">
        <v>105000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E361" s="278" t="n"/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(375 &amp; 380)</t>
        </is>
      </c>
      <c r="F362" s="14" t="inlineStr">
        <is>
          <t>Showroom/ Office</t>
        </is>
      </c>
      <c r="G362" s="7" t="n">
        <v>1277</v>
      </c>
      <c r="H362" s="7">
        <f>G362</f>
        <v/>
      </c>
      <c r="I362" s="7" t="n">
        <v>750</v>
      </c>
      <c r="J362" s="4" t="inlineStr">
        <is>
          <t>Jewells Retail Ltd</t>
        </is>
      </c>
      <c r="K362" s="8" t="n">
        <v>45714</v>
      </c>
      <c r="L362" s="9" t="n">
        <v>46088</v>
      </c>
      <c r="P362" s="10" t="n">
        <v>95395</v>
      </c>
      <c r="Q362" s="10">
        <f>P362</f>
        <v/>
      </c>
      <c r="S362" s="10" t="n">
        <v>73400</v>
      </c>
      <c r="T362" s="10">
        <f>S362</f>
        <v/>
      </c>
      <c r="U362" s="27" t="n">
        <v>95800</v>
      </c>
      <c r="V362" s="10">
        <f>U362</f>
        <v/>
      </c>
      <c r="W362" s="277">
        <f>S362/G362</f>
        <v/>
      </c>
      <c r="X362" s="10" t="inlineStr">
        <is>
          <t>E</t>
        </is>
      </c>
      <c r="Y362" s="60" t="n"/>
      <c r="Z362" s="395" t="n"/>
      <c r="AA362" s="14" t="inlineStr">
        <is>
          <t>No</t>
        </is>
      </c>
      <c r="AB362" s="4" t="inlineStr">
        <is>
          <t>Rent all inclusive (excluding rates).</t>
        </is>
      </c>
      <c r="AD362" s="4" t="n">
        <v>1</v>
      </c>
      <c r="AE362" s="278" t="n">
        <v>2</v>
      </c>
      <c r="AF362" s="4" t="inlineStr">
        <is>
          <t>LEM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(N)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Winsley St. Sub-station (S)</t>
        </is>
      </c>
      <c r="F364" s="14" t="inlineStr">
        <is>
          <t>Plant Room</t>
        </is>
      </c>
      <c r="G364" s="7" t="n">
        <v>0</v>
      </c>
      <c r="H364" s="7">
        <f>G364</f>
        <v/>
      </c>
      <c r="J364" s="4" t="inlineStr">
        <is>
          <t>London Power Networks Plc</t>
        </is>
      </c>
      <c r="K364" s="8" t="n">
        <v>39295</v>
      </c>
      <c r="L364" s="9" t="n">
        <v>46599</v>
      </c>
      <c r="N364" s="9" t="n">
        <v>44409</v>
      </c>
      <c r="P364" s="10" t="n">
        <v>681</v>
      </c>
      <c r="Q364" s="10">
        <f>P364</f>
        <v/>
      </c>
      <c r="S364" s="10" t="n">
        <v>700</v>
      </c>
      <c r="T364" s="10">
        <f>S364</f>
        <v/>
      </c>
      <c r="U364" s="27" t="n">
        <v>700</v>
      </c>
      <c r="V364" s="10">
        <f>U364</f>
        <v/>
      </c>
      <c r="W364" s="277" t="n"/>
      <c r="X364" s="10" t="n"/>
      <c r="Y364" s="60" t="n"/>
      <c r="Z364" s="395" t="n"/>
      <c r="AA364" s="14" t="inlineStr">
        <is>
          <t>No</t>
        </is>
      </c>
      <c r="AB364" s="4" t="inlineStr">
        <is>
          <t xml:space="preserve">Landlords redevelopment break on 6 months notice. Rent review is RPI indexation. </t>
        </is>
      </c>
      <c r="AE364" s="278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Part Basement</t>
        </is>
      </c>
      <c r="F365" s="14" t="inlineStr">
        <is>
          <t>Storage</t>
        </is>
      </c>
      <c r="G365" s="11" t="n">
        <v>0</v>
      </c>
      <c r="H365" s="7">
        <f>G365</f>
        <v/>
      </c>
      <c r="J365" s="4" t="inlineStr">
        <is>
          <t>Vincere NK Group Ltd</t>
        </is>
      </c>
      <c r="K365" s="8" t="n">
        <v>44736</v>
      </c>
      <c r="L365" s="9" t="n">
        <v>46657</v>
      </c>
      <c r="P365" s="10" t="n">
        <v>1000</v>
      </c>
      <c r="Q365" s="10">
        <f>P365</f>
        <v/>
      </c>
      <c r="S365" s="10" t="n">
        <v>1000</v>
      </c>
      <c r="T365" s="10">
        <f>S365</f>
        <v/>
      </c>
      <c r="U365" s="27" t="n">
        <v>0</v>
      </c>
      <c r="V365" s="10">
        <f>U365</f>
        <v/>
      </c>
      <c r="W365" s="277" t="n"/>
      <c r="X365" s="10" t="n"/>
      <c r="Y365" s="60" t="n"/>
      <c r="Z365" s="394" t="n"/>
      <c r="AA365" s="14" t="inlineStr">
        <is>
          <t>No</t>
        </is>
      </c>
      <c r="AB365" s="4" t="inlineStr">
        <is>
          <t>Landlord can terminate on 1 months notice.</t>
        </is>
      </c>
      <c r="AE365" s="278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Ground Floor &amp; Basement                           Winsley Street</t>
        </is>
      </c>
      <c r="F366" s="14" t="inlineStr">
        <is>
          <t>Nightclub</t>
        </is>
      </c>
      <c r="G366" s="7" t="n">
        <v>7079</v>
      </c>
      <c r="H366" s="7">
        <f>G366</f>
        <v/>
      </c>
      <c r="I366" s="7" t="n">
        <v>7000</v>
      </c>
      <c r="J366" s="4" t="inlineStr">
        <is>
          <t>Vincere NK Group Ltd</t>
        </is>
      </c>
      <c r="K366" s="8" t="n">
        <v>41180</v>
      </c>
      <c r="L366" s="9" t="n">
        <v>46657</v>
      </c>
      <c r="P366" s="10" t="n">
        <v>425033</v>
      </c>
      <c r="Q366" s="10">
        <f>P366</f>
        <v/>
      </c>
      <c r="S366" s="10" t="n">
        <v>447350</v>
      </c>
      <c r="T366" s="10">
        <f>S366</f>
        <v/>
      </c>
      <c r="U366" s="27" t="n">
        <v>425600</v>
      </c>
      <c r="V366" s="10">
        <f>U366</f>
        <v/>
      </c>
      <c r="W366" s="277">
        <f>S366/G366</f>
        <v/>
      </c>
      <c r="X366" s="10" t="inlineStr">
        <is>
          <t>B</t>
        </is>
      </c>
      <c r="Y366" s="60" t="n"/>
      <c r="Z366" s="395" t="n"/>
      <c r="AA366" s="14" t="inlineStr">
        <is>
          <t>Yes</t>
        </is>
      </c>
      <c r="AE366" s="278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Basement - 158 Oxford Street</t>
        </is>
      </c>
      <c r="F367" s="14" t="inlineStr">
        <is>
          <t>Storage</t>
        </is>
      </c>
      <c r="G367" s="7" t="n">
        <v>0</v>
      </c>
      <c r="H367" s="7">
        <f>G367</f>
        <v/>
      </c>
      <c r="J367" s="4" t="inlineStr">
        <is>
          <t>Vincere NK Group Ltd</t>
        </is>
      </c>
      <c r="K367" s="8" t="n">
        <v>42114</v>
      </c>
      <c r="L367" s="9" t="n">
        <v>46657</v>
      </c>
      <c r="P367" s="10" t="n">
        <v>22317</v>
      </c>
      <c r="Q367" s="10">
        <f>P367</f>
        <v/>
      </c>
      <c r="S367" s="10" t="n">
        <v>21000</v>
      </c>
      <c r="T367" s="10">
        <f>S367</f>
        <v/>
      </c>
      <c r="U367" s="27" t="n">
        <v>0</v>
      </c>
      <c r="V367" s="10">
        <f>U367</f>
        <v/>
      </c>
      <c r="W367" s="277" t="n"/>
      <c r="X367" s="10" t="n"/>
      <c r="Y367" s="60" t="n"/>
      <c r="Z367" s="395" t="n"/>
      <c r="AA367" s="14" t="inlineStr">
        <is>
          <t>No</t>
        </is>
      </c>
      <c r="AE367" s="278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&amp; Basement                           162 Oxford Street</t>
        </is>
      </c>
      <c r="F368" s="11" t="inlineStr">
        <is>
          <t>Retail</t>
        </is>
      </c>
      <c r="G368" s="7" t="n">
        <v>3030</v>
      </c>
      <c r="H368" s="7">
        <f>G368</f>
        <v/>
      </c>
      <c r="I368" s="7" t="n">
        <v>3000</v>
      </c>
      <c r="J368" s="4" t="inlineStr">
        <is>
          <t>Dune Group Ltd.</t>
        </is>
      </c>
      <c r="K368" s="8" t="n">
        <v>45711</v>
      </c>
      <c r="L368" s="9" t="n">
        <v>49362</v>
      </c>
      <c r="P368" s="10" t="n">
        <v>500000</v>
      </c>
      <c r="Q368" s="10">
        <f>P368</f>
        <v/>
      </c>
      <c r="S368" s="10" t="n">
        <v>393300</v>
      </c>
      <c r="T368" s="10">
        <f>S368</f>
        <v/>
      </c>
      <c r="U368" s="27" t="n">
        <v>604900</v>
      </c>
      <c r="V368" s="10">
        <f>U368</f>
        <v/>
      </c>
      <c r="W368" s="277">
        <f>S368/G368</f>
        <v/>
      </c>
      <c r="X368" s="10" t="inlineStr">
        <is>
          <t>C</t>
        </is>
      </c>
      <c r="Y368" s="60" t="n"/>
      <c r="Z368" s="395" t="n"/>
      <c r="AA368" s="14" t="inlineStr">
        <is>
          <t>No</t>
        </is>
      </c>
      <c r="AB368" s="4" t="inlineStr">
        <is>
          <t>Tenant break on 6 months notice.</t>
        </is>
      </c>
      <c r="AC368" s="303" t="n"/>
      <c r="AD368" s="4" t="n"/>
      <c r="AE368" s="278" t="n"/>
      <c r="AF368" s="4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- 160 Oxford Street</t>
        </is>
      </c>
      <c r="F369" s="14" t="inlineStr">
        <is>
          <t>Retail</t>
        </is>
      </c>
      <c r="G369" s="7" t="n">
        <v>1296</v>
      </c>
      <c r="H369" s="7">
        <f>G369</f>
        <v/>
      </c>
      <c r="I369" s="7" t="n">
        <v>1250</v>
      </c>
      <c r="J369" s="4" t="inlineStr">
        <is>
          <t>Hutchison 3 G UK Ltd</t>
        </is>
      </c>
      <c r="K369" s="8" t="n">
        <v>44908</v>
      </c>
      <c r="L369" s="9" t="n">
        <v>46003</v>
      </c>
      <c r="P369" s="10" t="n">
        <v>295000</v>
      </c>
      <c r="Q369" s="10">
        <f>P369</f>
        <v/>
      </c>
      <c r="S369" s="10" t="n">
        <v>275300</v>
      </c>
      <c r="T369" s="10">
        <f>S369</f>
        <v/>
      </c>
      <c r="U369" s="27" t="n">
        <v>402000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B369" s="4" t="n"/>
      <c r="AC369" s="303" t="n"/>
      <c r="AD369" s="4" t="n"/>
      <c r="AE369" s="278" t="n"/>
      <c r="AF369" s="4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- 158 Oxford Street</t>
        </is>
      </c>
      <c r="F370" s="14" t="inlineStr">
        <is>
          <t>Retail</t>
        </is>
      </c>
      <c r="G370" s="7" t="n">
        <v>1690</v>
      </c>
      <c r="H370" s="7">
        <f>G370</f>
        <v/>
      </c>
      <c r="I370" s="7" t="n">
        <v>1500</v>
      </c>
      <c r="J370" s="4" t="inlineStr">
        <is>
          <t>VF Northern Europe Services Ltd</t>
        </is>
      </c>
      <c r="K370" s="8" t="n">
        <v>42388</v>
      </c>
      <c r="L370" s="9" t="n">
        <v>46040</v>
      </c>
      <c r="P370" s="10" t="n">
        <v>500000</v>
      </c>
      <c r="Q370" s="10">
        <f>P370</f>
        <v/>
      </c>
      <c r="S370" s="10" t="n">
        <v>337700</v>
      </c>
      <c r="T370" s="10">
        <f>S370</f>
        <v/>
      </c>
      <c r="U370" s="27" t="n">
        <v>501900</v>
      </c>
      <c r="V370" s="10">
        <f>U370</f>
        <v/>
      </c>
      <c r="W370" s="277">
        <f>S370/G370</f>
        <v/>
      </c>
      <c r="X370" s="10" t="inlineStr">
        <is>
          <t>B</t>
        </is>
      </c>
      <c r="Y370" s="60" t="n"/>
      <c r="Z370" s="395" t="n"/>
      <c r="AA370" s="14" t="inlineStr">
        <is>
          <t>No</t>
        </is>
      </c>
      <c r="AE370" s="278" t="n"/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Ground Floor - 156 Oxford Street</t>
        </is>
      </c>
      <c r="F371" s="14" t="inlineStr">
        <is>
          <t>Retail</t>
        </is>
      </c>
      <c r="G371" s="7" t="n">
        <v>2304</v>
      </c>
      <c r="H371" s="7">
        <f>G371</f>
        <v/>
      </c>
      <c r="I371" s="7" t="n">
        <v>2250</v>
      </c>
      <c r="J371" s="4" t="inlineStr">
        <is>
          <t>Hawes &amp; Curtis Ltd</t>
        </is>
      </c>
      <c r="K371" s="8" t="n">
        <v>45748</v>
      </c>
      <c r="L371" s="9" t="n">
        <v>49399</v>
      </c>
      <c r="N371" s="9" t="n">
        <v>47574</v>
      </c>
      <c r="O371" s="9" t="n">
        <v>47574</v>
      </c>
      <c r="P371" s="10" t="n">
        <v>237500</v>
      </c>
      <c r="Q371" s="10">
        <f>P371</f>
        <v/>
      </c>
      <c r="S371" s="10" t="n">
        <v>371300</v>
      </c>
      <c r="T371" s="10">
        <f>S371</f>
        <v/>
      </c>
      <c r="U371" s="27" t="n">
        <v>515100</v>
      </c>
      <c r="V371" s="10">
        <f>U371</f>
        <v/>
      </c>
      <c r="W371" s="277">
        <f>S371/G371</f>
        <v/>
      </c>
      <c r="X371" s="10" t="inlineStr">
        <is>
          <t>C</t>
        </is>
      </c>
      <c r="Y371" s="60" t="n"/>
      <c r="Z371" s="395" t="n"/>
      <c r="AA371" s="14" t="inlineStr">
        <is>
          <t>No</t>
        </is>
      </c>
      <c r="AB371" s="4" t="inlineStr">
        <is>
          <t>Rent increasing to £475,000 wef 01/01/26. Tenant break on 9 months notice.</t>
        </is>
      </c>
      <c r="AE371" s="278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Mezzanine</t>
        </is>
      </c>
      <c r="F372" s="14" t="inlineStr">
        <is>
          <t>Office</t>
        </is>
      </c>
      <c r="G372" s="7" t="n">
        <v>7519</v>
      </c>
      <c r="H372" s="7">
        <f>G372</f>
        <v/>
      </c>
      <c r="I372" s="7" t="n">
        <v>7500</v>
      </c>
      <c r="J372" s="4" t="inlineStr">
        <is>
          <t>Perry Ellis Europe Ltd.</t>
        </is>
      </c>
      <c r="K372" s="8" t="n">
        <v>45231</v>
      </c>
      <c r="L372" s="9" t="n">
        <v>45961</v>
      </c>
      <c r="P372" s="10" t="n">
        <v>450600</v>
      </c>
      <c r="Q372" s="10">
        <f>P372</f>
        <v/>
      </c>
      <c r="R372" s="115" t="n"/>
      <c r="S372" s="10" t="n">
        <v>489500</v>
      </c>
      <c r="T372" s="10">
        <f>S372</f>
        <v/>
      </c>
      <c r="U372" s="27" t="n">
        <v>469900</v>
      </c>
      <c r="V372" s="10">
        <f>U372</f>
        <v/>
      </c>
      <c r="W372" s="277">
        <f>S372/G372</f>
        <v/>
      </c>
      <c r="X372" s="10" t="inlineStr">
        <is>
          <t>D</t>
        </is>
      </c>
      <c r="Y372" s="60" t="n"/>
      <c r="Z372" s="395" t="n"/>
      <c r="AA372" s="14" t="inlineStr">
        <is>
          <t>No</t>
        </is>
      </c>
      <c r="AB372" s="29" t="inlineStr">
        <is>
          <t>Reversionary lease completed. Term 01/11/25 to 30/04/26 at £505,000. Tenant breaks on 28/02/26 &amp; 31/03/26 on 1 months notice.</t>
        </is>
      </c>
      <c r="AC372" s="303" t="n"/>
      <c r="AD372" s="4" t="n"/>
      <c r="AE372" s="278" t="n"/>
      <c r="AF372" s="4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First Floor</t>
        </is>
      </c>
      <c r="F373" s="14" t="inlineStr">
        <is>
          <t>Office</t>
        </is>
      </c>
      <c r="G373" s="7" t="n">
        <v>6890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241776</v>
      </c>
      <c r="Q373" s="10">
        <f>P373</f>
        <v/>
      </c>
      <c r="R373" s="106" t="n"/>
      <c r="S373" s="10" t="n">
        <v>438000</v>
      </c>
      <c r="T373" s="10">
        <f>S373</f>
        <v/>
      </c>
      <c r="U373" s="27" t="n">
        <v>551200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£241,776 plus revenue top up. Revenue top-up rent of £52,395 paid for 1Jul24 - 30Jun25. Rolling mutual break option after 18 months. </t>
        </is>
      </c>
      <c r="AE373" s="278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Second Floor</t>
        </is>
      </c>
      <c r="F374" s="14" t="inlineStr">
        <is>
          <t>Office</t>
        </is>
      </c>
      <c r="G374" s="7" t="n">
        <v>6973</v>
      </c>
      <c r="H374" s="7">
        <f>G374</f>
        <v/>
      </c>
      <c r="I374" s="7" t="n">
        <v>7000</v>
      </c>
      <c r="J374" s="4" t="inlineStr">
        <is>
          <t>London Mappin House Centre Ltd.</t>
        </is>
      </c>
      <c r="K374" s="8" t="n">
        <v>45672</v>
      </c>
      <c r="L374" s="9" t="n">
        <v>46766</v>
      </c>
      <c r="O374" s="9" t="n">
        <v>46218</v>
      </c>
      <c r="P374" s="10" t="n">
        <v>242259</v>
      </c>
      <c r="Q374" s="10">
        <f>P374</f>
        <v/>
      </c>
      <c r="R374" s="106" t="n"/>
      <c r="S374" s="10" t="n">
        <v>438900</v>
      </c>
      <c r="T374" s="10">
        <f>S374</f>
        <v/>
      </c>
      <c r="U374" s="27" t="n">
        <v>557800</v>
      </c>
      <c r="V374" s="10">
        <f>U374</f>
        <v/>
      </c>
      <c r="W374" s="277">
        <f>S374/G374</f>
        <v/>
      </c>
      <c r="X374" s="10" t="inlineStr">
        <is>
          <t>B</t>
        </is>
      </c>
      <c r="Y374" s="60" t="n"/>
      <c r="Z374" s="395" t="n"/>
      <c r="AA374" s="14" t="inlineStr">
        <is>
          <t>No</t>
        </is>
      </c>
      <c r="AB374" s="4" t="inlineStr">
        <is>
          <t xml:space="preserve">Guaranteed base rent of £242,259 plus revenue top up. Revenue top-up rent of £52,502 paid for 1Jul24 - 30Jun25. Rolling mutual break option after 18 months. </t>
        </is>
      </c>
      <c r="AE374" s="278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Third Floor</t>
        </is>
      </c>
      <c r="F375" s="14" t="inlineStr">
        <is>
          <t>Office</t>
        </is>
      </c>
      <c r="G375" s="7" t="n">
        <v>6999</v>
      </c>
      <c r="H375" s="7">
        <f>G375</f>
        <v/>
      </c>
      <c r="I375" s="7" t="n">
        <v>7000</v>
      </c>
      <c r="J375" s="4" t="inlineStr">
        <is>
          <t>Vacant</t>
        </is>
      </c>
      <c r="M375" s="9" t="n">
        <v>45673</v>
      </c>
      <c r="P375" s="10" t="n">
        <v>0</v>
      </c>
      <c r="Q375" s="10">
        <f>P375</f>
        <v/>
      </c>
      <c r="R375" s="106" t="n"/>
      <c r="S375" s="10" t="n">
        <v>448100</v>
      </c>
      <c r="T375" s="10">
        <f>S375</f>
        <v/>
      </c>
      <c r="U375" s="27" t="n">
        <v>489900</v>
      </c>
      <c r="V375" s="10">
        <f>U375</f>
        <v/>
      </c>
      <c r="W375" s="277">
        <f>S375/G375</f>
        <v/>
      </c>
      <c r="X375" s="10" t="inlineStr">
        <is>
          <t>D</t>
        </is>
      </c>
      <c r="Y375" s="60" t="n"/>
      <c r="Z375" s="395" t="n"/>
      <c r="AA375" s="14" t="inlineStr">
        <is>
          <t>No</t>
        </is>
      </c>
      <c r="AB375" s="4" t="inlineStr">
        <is>
          <t>LEM marketing</t>
        </is>
      </c>
      <c r="AD375" s="4" t="n">
        <v>1</v>
      </c>
      <c r="AE375" s="278" t="n">
        <v>1</v>
      </c>
      <c r="AF375" s="4" t="inlineStr">
        <is>
          <t>LEM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Fourth Floor</t>
        </is>
      </c>
      <c r="F376" s="14" t="inlineStr">
        <is>
          <t>Office</t>
        </is>
      </c>
      <c r="G376" s="7" t="n">
        <v>7007</v>
      </c>
      <c r="H376" s="7">
        <f>G376</f>
        <v/>
      </c>
      <c r="I376" s="7" t="n">
        <v>7000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252885</v>
      </c>
      <c r="Q376" s="10">
        <f>P376</f>
        <v/>
      </c>
      <c r="R376" s="106" t="n"/>
      <c r="S376" s="10" t="n">
        <v>458100</v>
      </c>
      <c r="T376" s="10">
        <f>S376</f>
        <v/>
      </c>
      <c r="U376" s="27" t="n">
        <v>560600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£252,885 plus revenue top up. Revenue top-up rent of £54,805 paid for 1Jul24 - 30Jun25. Rolling mutual break option after 18 months. </t>
        </is>
      </c>
      <c r="AE376" s="278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Fifth Floor</t>
        </is>
      </c>
      <c r="F377" s="14" t="inlineStr">
        <is>
          <t>Office</t>
        </is>
      </c>
      <c r="G377" s="7" t="n">
        <v>6662</v>
      </c>
      <c r="H377" s="7">
        <f>G377</f>
        <v/>
      </c>
      <c r="I377" s="7" t="n">
        <v>6500</v>
      </c>
      <c r="J377" s="4" t="inlineStr">
        <is>
          <t>London Mappin House Centre Ltd.</t>
        </is>
      </c>
      <c r="K377" s="8" t="n">
        <v>45672</v>
      </c>
      <c r="L377" s="9" t="n">
        <v>46766</v>
      </c>
      <c r="O377" s="9" t="n">
        <v>46218</v>
      </c>
      <c r="P377" s="10" t="n">
        <v>252394</v>
      </c>
      <c r="Q377" s="10">
        <f>P377</f>
        <v/>
      </c>
      <c r="R377" s="106" t="n"/>
      <c r="S377" s="10" t="n">
        <v>434600</v>
      </c>
      <c r="T377" s="10">
        <f>S377</f>
        <v/>
      </c>
      <c r="U377" s="27" t="n">
        <v>533000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B377" s="4" t="inlineStr">
        <is>
          <t xml:space="preserve">Guaranteed base rent of £252,393 plus revenue top up. Revenue top-up rent of £54,699 paid for 1Jul24 - 30Jun25. Rolling mutual break option after 18 months. </t>
        </is>
      </c>
      <c r="AE377" s="278" t="n"/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Lower Ground Floor</t>
        </is>
      </c>
      <c r="F378" s="14" t="inlineStr">
        <is>
          <t>Office</t>
        </is>
      </c>
      <c r="G378" s="7" t="n">
        <v>825</v>
      </c>
      <c r="H378" s="10">
        <f>G378</f>
        <v/>
      </c>
      <c r="I378" s="10" t="n">
        <v>1000</v>
      </c>
      <c r="J378" s="4" t="inlineStr">
        <is>
          <t>Vacant</t>
        </is>
      </c>
      <c r="M378" s="9" t="n">
        <v>44709</v>
      </c>
      <c r="P378" s="10" t="n">
        <v>0</v>
      </c>
      <c r="Q378" s="10">
        <f>P378</f>
        <v/>
      </c>
      <c r="S378" s="10" t="n">
        <v>27200</v>
      </c>
      <c r="T378" s="10">
        <f>S378</f>
        <v/>
      </c>
      <c r="U378" s="27" t="n">
        <v>33000</v>
      </c>
      <c r="V378" s="10">
        <f>U378</f>
        <v/>
      </c>
      <c r="W378" s="277">
        <f>S378/G378</f>
        <v/>
      </c>
      <c r="X378" s="10" t="inlineStr">
        <is>
          <t>B</t>
        </is>
      </c>
      <c r="Y378" s="60" t="n"/>
      <c r="Z378" s="395" t="n"/>
      <c r="AA378" s="14" t="inlineStr">
        <is>
          <t>No</t>
        </is>
      </c>
      <c r="AE378" s="278" t="n"/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1. Ground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Edward Davenport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2. First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V. Chamoun</t>
        </is>
      </c>
      <c r="K380" s="8" t="n">
        <v>30310</v>
      </c>
      <c r="L380" s="54" t="n">
        <v>66469</v>
      </c>
      <c r="M380" s="54" t="n"/>
      <c r="N380" s="9" t="n">
        <v>54417</v>
      </c>
      <c r="P380" s="10" t="n">
        <v>150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Rent and Service charge stop placed on unit</t>
        </is>
      </c>
      <c r="AE380" s="278" t="n"/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3. Second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C &amp; Y Hopper</t>
        </is>
      </c>
      <c r="K381" s="8" t="n">
        <v>30310</v>
      </c>
      <c r="L381" s="54" t="n">
        <v>99340</v>
      </c>
      <c r="M381" s="54" t="n"/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</row>
    <row r="382">
      <c r="A382" s="11" t="inlineStr">
        <is>
          <t>CM</t>
        </is>
      </c>
      <c r="B382" s="11" t="inlineStr">
        <is>
          <t>MEL</t>
        </is>
      </c>
      <c r="C382" s="2" t="n">
        <v>550030</v>
      </c>
      <c r="D382" s="4" t="inlineStr">
        <is>
          <t>53 Wells Street</t>
        </is>
      </c>
      <c r="E382" s="4" t="inlineStr">
        <is>
          <t>Flat 4. Third Floor</t>
        </is>
      </c>
      <c r="F382" s="14" t="inlineStr">
        <is>
          <t>One Bed Flat</t>
        </is>
      </c>
      <c r="G382" s="7" t="n">
        <v>0</v>
      </c>
      <c r="H382" s="10">
        <f>G382</f>
        <v/>
      </c>
      <c r="I382" s="10" t="n"/>
      <c r="J382" s="4" t="inlineStr">
        <is>
          <t>Lion Brand Limited</t>
        </is>
      </c>
      <c r="K382" s="8" t="n">
        <v>30310</v>
      </c>
      <c r="L382" s="54" t="n">
        <v>66469</v>
      </c>
      <c r="M382" s="54" t="n"/>
      <c r="N382" s="9" t="n">
        <v>54417</v>
      </c>
      <c r="P382" s="10" t="n">
        <v>0</v>
      </c>
      <c r="Q382" s="10">
        <f>P382</f>
        <v/>
      </c>
      <c r="S382" s="10" t="n">
        <v>150</v>
      </c>
      <c r="T382" s="10">
        <f>S382</f>
        <v/>
      </c>
      <c r="U382" s="27" t="n">
        <v>150</v>
      </c>
      <c r="V382" s="10">
        <f>U382</f>
        <v/>
      </c>
      <c r="W382" s="277" t="n"/>
      <c r="X382" s="10" t="n"/>
      <c r="Y382" s="60" t="n"/>
      <c r="Z382" s="395" t="n"/>
      <c r="AA382" s="14" t="n"/>
      <c r="AB382" s="4" t="inlineStr">
        <is>
          <t>Peppercorn.</t>
        </is>
      </c>
      <c r="AE382" s="278" t="n"/>
    </row>
    <row r="383">
      <c r="A383" s="11" t="inlineStr">
        <is>
          <t>CM</t>
        </is>
      </c>
      <c r="B383" s="11" t="inlineStr">
        <is>
          <t>MEL</t>
        </is>
      </c>
      <c r="C383" s="2" t="n">
        <v>550760</v>
      </c>
      <c r="D383" s="4" t="inlineStr">
        <is>
          <t>68 Wells Street</t>
        </is>
      </c>
      <c r="E383" s="4" t="inlineStr">
        <is>
          <t>Whole Building</t>
        </is>
      </c>
      <c r="F383" s="14" t="inlineStr">
        <is>
          <t>Showroom &amp; Office</t>
        </is>
      </c>
      <c r="G383" s="18" t="n">
        <v>2085</v>
      </c>
      <c r="H383" s="10">
        <f>G383</f>
        <v/>
      </c>
      <c r="I383" s="10" t="n">
        <v>2000</v>
      </c>
      <c r="J383" s="4" t="inlineStr">
        <is>
          <t>Voltage TV Productions Ltd</t>
        </is>
      </c>
      <c r="K383" s="8" t="n">
        <v>45741</v>
      </c>
      <c r="L383" s="9" t="n">
        <v>46836</v>
      </c>
      <c r="O383" s="9" t="n">
        <v>46289</v>
      </c>
      <c r="P383" s="19" t="n">
        <v>90000</v>
      </c>
      <c r="Q383" s="10">
        <f>P383</f>
        <v/>
      </c>
      <c r="R383" s="19">
        <f>Q383</f>
        <v/>
      </c>
      <c r="S383" s="19" t="n">
        <v>80000</v>
      </c>
      <c r="T383" s="10">
        <f>S383</f>
        <v/>
      </c>
      <c r="U383" s="36" t="n">
        <v>90000</v>
      </c>
      <c r="V383" s="10">
        <f>U383</f>
        <v/>
      </c>
      <c r="W383" s="10" t="n"/>
      <c r="X383" s="10" t="inlineStr">
        <is>
          <t>D</t>
        </is>
      </c>
      <c r="Y383" s="60" t="n"/>
      <c r="Z383" s="36" t="n">
        <v>1400000</v>
      </c>
      <c r="AA383" s="14" t="inlineStr">
        <is>
          <t>No</t>
        </is>
      </c>
      <c r="AB383" s="4" t="inlineStr">
        <is>
          <t>Rent increasing to £100,000 wef 25/03/26. Tenant break on 6 months notice.</t>
        </is>
      </c>
      <c r="AE383" s="278" t="n"/>
    </row>
    <row r="384">
      <c r="A384" s="11" t="inlineStr">
        <is>
          <t>CD</t>
        </is>
      </c>
      <c r="B384" s="11" t="inlineStr">
        <is>
          <t>OPG</t>
        </is>
      </c>
      <c r="C384" s="170" t="n">
        <v>800200</v>
      </c>
      <c r="D384" s="170" t="inlineStr">
        <is>
          <t>33 Eastcastle Street</t>
        </is>
      </c>
      <c r="E384" s="170" t="inlineStr">
        <is>
          <t>Whole Building</t>
        </is>
      </c>
      <c r="F384" s="171" t="inlineStr">
        <is>
          <t>Retail &amp; Office</t>
        </is>
      </c>
      <c r="G384" s="172" t="n">
        <v>3122</v>
      </c>
      <c r="H384" s="173">
        <f>G384</f>
        <v/>
      </c>
      <c r="I384" s="173" t="n">
        <v>3000</v>
      </c>
      <c r="J384" s="170" t="inlineStr">
        <is>
          <t>Leon Restaurants Ltd</t>
        </is>
      </c>
      <c r="K384" s="174" t="n">
        <v>42580</v>
      </c>
      <c r="L384" s="174" t="n">
        <v>46231</v>
      </c>
      <c r="M384" s="174" t="n"/>
      <c r="N384" s="174" t="n">
        <v>44406</v>
      </c>
      <c r="O384" s="174" t="n"/>
      <c r="P384" s="172" t="n">
        <v>170000</v>
      </c>
      <c r="Q384" s="172">
        <f>P384</f>
        <v/>
      </c>
      <c r="R384" s="10" t="n"/>
      <c r="S384" s="172" t="n">
        <v>124100</v>
      </c>
      <c r="T384" s="173">
        <f>S384</f>
        <v/>
      </c>
      <c r="U384" s="370" t="n">
        <v>134000</v>
      </c>
      <c r="V384" s="173">
        <f>U384</f>
        <v/>
      </c>
      <c r="W384" s="277">
        <f>S384/G384</f>
        <v/>
      </c>
      <c r="X384" s="173" t="inlineStr">
        <is>
          <t>E</t>
        </is>
      </c>
      <c r="Y384" s="171" t="n"/>
      <c r="Z384" s="370" t="n">
        <v>1325000</v>
      </c>
      <c r="AA384" s="173" t="inlineStr">
        <is>
          <t>No</t>
        </is>
      </c>
      <c r="AB384" s="170" t="n"/>
      <c r="AC384" s="313" t="n"/>
      <c r="AD384" s="170" t="n"/>
      <c r="AE384" s="289" t="n"/>
      <c r="AF384" s="170" t="n"/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Ground Floor &amp; Basement</t>
        </is>
      </c>
      <c r="F385" s="171" t="inlineStr">
        <is>
          <t>Restaurant</t>
        </is>
      </c>
      <c r="G385" s="173" t="n">
        <v>4332</v>
      </c>
      <c r="H385" s="173">
        <f>G385</f>
        <v/>
      </c>
      <c r="I385" s="173" t="n">
        <v>4250</v>
      </c>
      <c r="J385" s="117" t="inlineStr">
        <is>
          <t>Oaxaca Ltd.</t>
        </is>
      </c>
      <c r="K385" s="174" t="n">
        <v>41789</v>
      </c>
      <c r="L385" s="174" t="n">
        <v>47267</v>
      </c>
      <c r="M385" s="174" t="n"/>
      <c r="N385" s="174" t="n">
        <v>45442</v>
      </c>
      <c r="O385" s="174" t="n"/>
      <c r="P385" s="173" t="n">
        <v>255000</v>
      </c>
      <c r="Q385" s="173">
        <f>P385</f>
        <v/>
      </c>
      <c r="R385" s="10" t="n"/>
      <c r="S385" s="173" t="n">
        <v>290500</v>
      </c>
      <c r="T385" s="173">
        <f>S385</f>
        <v/>
      </c>
      <c r="U385" s="397" t="n">
        <v>255000</v>
      </c>
      <c r="V385" s="173">
        <f>U385</f>
        <v/>
      </c>
      <c r="W385" s="277">
        <f>S385/G385</f>
        <v/>
      </c>
      <c r="X385" s="173" t="inlineStr">
        <is>
          <t>B</t>
        </is>
      </c>
      <c r="Y385" s="177" t="inlineStr">
        <is>
          <t>*</t>
        </is>
      </c>
      <c r="Z385" s="371" t="n"/>
      <c r="AA385" s="173" t="inlineStr">
        <is>
          <t>No</t>
        </is>
      </c>
      <c r="AB385" s="170" t="inlineStr">
        <is>
          <t>Rent £255,000 pa with a top-up of 11% turnover up to a maximum of £300,000 pa.</t>
        </is>
      </c>
      <c r="AC385" s="313" t="n"/>
      <c r="AD385" s="170" t="n"/>
      <c r="AE385" s="289" t="n"/>
      <c r="AF385" s="170" t="n"/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First Floor</t>
        </is>
      </c>
      <c r="F386" s="171" t="inlineStr">
        <is>
          <t>Offices</t>
        </is>
      </c>
      <c r="G386" s="173" t="n">
        <v>1818</v>
      </c>
      <c r="H386" s="173">
        <f>G386</f>
        <v/>
      </c>
      <c r="I386" s="173" t="n">
        <v>2000</v>
      </c>
      <c r="J386" s="117" t="inlineStr">
        <is>
          <t>Collins Benson Goldhill LLP</t>
        </is>
      </c>
      <c r="K386" s="174" t="n">
        <v>44280</v>
      </c>
      <c r="L386" s="174" t="n">
        <v>46105</v>
      </c>
      <c r="M386" s="174" t="n"/>
      <c r="N386" s="174" t="n"/>
      <c r="O386" s="174" t="n"/>
      <c r="P386" s="173" t="n">
        <v>83000</v>
      </c>
      <c r="Q386" s="173">
        <f>P386</f>
        <v/>
      </c>
      <c r="R386" s="10" t="n"/>
      <c r="S386" s="173" t="n">
        <v>111800</v>
      </c>
      <c r="T386" s="173">
        <f>S386</f>
        <v/>
      </c>
      <c r="U386" s="397" t="n">
        <v>118200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Yes</t>
        </is>
      </c>
      <c r="AB386" s="170" t="n"/>
      <c r="AC386" s="313" t="n"/>
      <c r="AD386" s="170" t="n"/>
      <c r="AE386" s="289" t="n"/>
      <c r="AF386" s="170" t="n"/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Second Floor</t>
        </is>
      </c>
      <c r="F387" s="171" t="inlineStr">
        <is>
          <t>Offices</t>
        </is>
      </c>
      <c r="G387" s="173" t="n">
        <v>1829</v>
      </c>
      <c r="H387" s="173">
        <f>G387</f>
        <v/>
      </c>
      <c r="I387" s="173" t="n">
        <v>2000</v>
      </c>
      <c r="J387" s="117" t="inlineStr">
        <is>
          <t>Oakvale Capital LLP</t>
        </is>
      </c>
      <c r="K387" s="174" t="n">
        <v>45715</v>
      </c>
      <c r="L387" s="174" t="n">
        <v>47540</v>
      </c>
      <c r="M387" s="174" t="n"/>
      <c r="N387" s="174" t="n"/>
      <c r="O387" s="174" t="n">
        <v>46809</v>
      </c>
      <c r="P387" s="173" t="n">
        <v>120700</v>
      </c>
      <c r="Q387" s="173">
        <f>P387</f>
        <v/>
      </c>
      <c r="R387" s="10" t="n"/>
      <c r="S387" s="173" t="n">
        <v>112500</v>
      </c>
      <c r="T387" s="173">
        <f>S387</f>
        <v/>
      </c>
      <c r="U387" s="397" t="n">
        <v>118900</v>
      </c>
      <c r="V387" s="173">
        <f>U387</f>
        <v/>
      </c>
      <c r="W387" s="277">
        <f>S387/G387</f>
        <v/>
      </c>
      <c r="X387" s="173" t="inlineStr">
        <is>
          <t>D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2 months rent free if not exercised.</t>
        </is>
      </c>
      <c r="AC387" s="313" t="n"/>
      <c r="AD387" s="170" t="n"/>
      <c r="AE387" s="289" t="n"/>
      <c r="AF387" s="170" t="n"/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Third Floor</t>
        </is>
      </c>
      <c r="F388" s="171" t="inlineStr">
        <is>
          <t>Offices</t>
        </is>
      </c>
      <c r="G388" s="173" t="n">
        <v>1837</v>
      </c>
      <c r="H388" s="173">
        <f>G388</f>
        <v/>
      </c>
      <c r="I388" s="173" t="n">
        <v>2000</v>
      </c>
      <c r="J388" s="117" t="inlineStr">
        <is>
          <t>Hague Securities Limited</t>
        </is>
      </c>
      <c r="K388" s="174" t="n">
        <v>44900</v>
      </c>
      <c r="L388" s="174" t="n">
        <v>46725</v>
      </c>
      <c r="M388" s="174" t="n"/>
      <c r="N388" s="174" t="n"/>
      <c r="O388" s="174" t="n">
        <v>45995</v>
      </c>
      <c r="P388" s="173" t="n">
        <v>115731</v>
      </c>
      <c r="Q388" s="173">
        <f>P388</f>
        <v/>
      </c>
      <c r="R388" s="10" t="n"/>
      <c r="S388" s="173" t="n">
        <v>116600</v>
      </c>
      <c r="T388" s="173">
        <f>S388</f>
        <v/>
      </c>
      <c r="U388" s="397" t="n">
        <v>123100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>Tenant break on 6 months notice. 4 months rent free from 05/12/25 if break not exercised.</t>
        </is>
      </c>
      <c r="AC388" s="313" t="n"/>
      <c r="AD388" s="170" t="n"/>
      <c r="AE388" s="289" t="n"/>
      <c r="AF388" s="170" t="n"/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Fourth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Zephyrus Partners Ltd.</t>
        </is>
      </c>
      <c r="K389" s="174" t="n">
        <v>44627</v>
      </c>
      <c r="L389" s="174" t="n">
        <v>46452</v>
      </c>
      <c r="M389" s="174" t="n"/>
      <c r="N389" s="174" t="n"/>
      <c r="O389" s="174" t="n"/>
      <c r="P389" s="173" t="n">
        <v>149742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C</t>
        </is>
      </c>
      <c r="Y389" s="177" t="n"/>
      <c r="Z389" s="371" t="n"/>
      <c r="AA389" s="173" t="inlineStr">
        <is>
          <t>No</t>
        </is>
      </c>
      <c r="AB389" s="170" t="inlineStr">
        <is>
          <t xml:space="preserve">Rent rising to £151,143 wef 07/03/26. </t>
        </is>
      </c>
      <c r="AC389" s="313" t="n"/>
      <c r="AD389" s="170" t="n"/>
      <c r="AE389" s="289" t="n"/>
      <c r="AF389" s="170" t="n"/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Fifth Floor</t>
        </is>
      </c>
      <c r="F390" s="171" t="inlineStr">
        <is>
          <t>Offices</t>
        </is>
      </c>
      <c r="G390" s="173" t="n">
        <v>1815</v>
      </c>
      <c r="H390" s="173">
        <f>G390</f>
        <v/>
      </c>
      <c r="I390" s="173" t="n">
        <v>2000</v>
      </c>
      <c r="J390" s="117" t="inlineStr">
        <is>
          <t>Global Future Partnership LLP</t>
        </is>
      </c>
      <c r="K390" s="174" t="n">
        <v>45408</v>
      </c>
      <c r="L390" s="174" t="n">
        <v>47233</v>
      </c>
      <c r="M390" s="174" t="n"/>
      <c r="N390" s="174" t="n"/>
      <c r="O390" s="174" t="n"/>
      <c r="P390" s="173" t="n">
        <v>122513</v>
      </c>
      <c r="Q390" s="173">
        <f>P390</f>
        <v/>
      </c>
      <c r="R390" s="10" t="n"/>
      <c r="S390" s="173" t="n">
        <v>115300</v>
      </c>
      <c r="T390" s="173">
        <f>S390</f>
        <v/>
      </c>
      <c r="U390" s="397" t="n">
        <v>121600</v>
      </c>
      <c r="V390" s="173">
        <f>U390</f>
        <v/>
      </c>
      <c r="W390" s="277">
        <f>S390/G390</f>
        <v/>
      </c>
      <c r="X390" s="173" t="inlineStr">
        <is>
          <t>D</t>
        </is>
      </c>
      <c r="Y390" s="177" t="n"/>
      <c r="Z390" s="397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Sixth Floor</t>
        </is>
      </c>
      <c r="F391" s="171" t="inlineStr">
        <is>
          <t>Offices</t>
        </is>
      </c>
      <c r="G391" s="173" t="n">
        <v>790</v>
      </c>
      <c r="H391" s="173">
        <f>G391</f>
        <v/>
      </c>
      <c r="I391" s="173" t="n">
        <v>750</v>
      </c>
      <c r="J391" s="117" t="inlineStr">
        <is>
          <t>Heywood &amp; Partners Surveyors Ltd</t>
        </is>
      </c>
      <c r="K391" s="174" t="n">
        <v>44442</v>
      </c>
      <c r="L391" s="174" t="n">
        <v>46267</v>
      </c>
      <c r="M391" s="174" t="n"/>
      <c r="N391" s="174" t="n"/>
      <c r="O391" s="174" t="n"/>
      <c r="P391" s="173" t="n">
        <v>41080</v>
      </c>
      <c r="Q391" s="173">
        <f>P391</f>
        <v/>
      </c>
      <c r="R391" s="10" t="n"/>
      <c r="S391" s="173" t="n">
        <v>46200</v>
      </c>
      <c r="T391" s="173">
        <f>S391</f>
        <v/>
      </c>
      <c r="U391" s="397" t="n">
        <v>48600</v>
      </c>
      <c r="V391" s="173">
        <f>U391</f>
        <v/>
      </c>
      <c r="W391" s="277">
        <f>S391/G391</f>
        <v/>
      </c>
      <c r="X391" s="173" t="inlineStr">
        <is>
          <t>E</t>
        </is>
      </c>
      <c r="Y391" s="177" t="n"/>
      <c r="Z391" s="371" t="n"/>
      <c r="AA391" s="173" t="inlineStr">
        <is>
          <t>No</t>
        </is>
      </c>
      <c r="AB391" s="170" t="n"/>
      <c r="AC391" s="313" t="n"/>
      <c r="AD391" s="170" t="n"/>
      <c r="AE391" s="289" t="n"/>
      <c r="AF391" s="170" t="n"/>
    </row>
    <row r="392">
      <c r="A392" s="11" t="inlineStr">
        <is>
          <t>CD</t>
        </is>
      </c>
      <c r="B392" s="11" t="inlineStr">
        <is>
          <t>OPG</t>
        </is>
      </c>
      <c r="C392" s="170" t="n">
        <v>800100</v>
      </c>
      <c r="D392" s="170" t="inlineStr">
        <is>
          <t>Julco House, 26-28 Great Portland Street</t>
        </is>
      </c>
      <c r="E392" s="170" t="inlineStr">
        <is>
          <t>Basement Vaults</t>
        </is>
      </c>
      <c r="F392" s="178" t="inlineStr">
        <is>
          <t>Electricity Sub-Station</t>
        </is>
      </c>
      <c r="G392" s="173" t="n">
        <v>0</v>
      </c>
      <c r="H392" s="173">
        <f>G392</f>
        <v/>
      </c>
      <c r="I392" s="173" t="n"/>
      <c r="J392" s="117" t="inlineStr">
        <is>
          <t>London Power Networks Plc</t>
        </is>
      </c>
      <c r="K392" s="174" t="n">
        <v>42552</v>
      </c>
      <c r="L392" s="174" t="n">
        <v>47267</v>
      </c>
      <c r="M392" s="174" t="n"/>
      <c r="N392" s="174" t="n">
        <v>46204</v>
      </c>
      <c r="O392" s="174" t="n"/>
      <c r="P392" s="173" t="n">
        <v>1160</v>
      </c>
      <c r="Q392" s="173">
        <f>P392</f>
        <v/>
      </c>
      <c r="R392" s="10" t="n"/>
      <c r="S392" s="173" t="n">
        <v>1160</v>
      </c>
      <c r="T392" s="173">
        <f>S392</f>
        <v/>
      </c>
      <c r="U392" s="397" t="n">
        <v>1160</v>
      </c>
      <c r="V392" s="173">
        <f>U392</f>
        <v/>
      </c>
      <c r="W392" s="277" t="n"/>
      <c r="X392" s="173" t="n"/>
      <c r="Y392" s="177" t="n"/>
      <c r="Z392" s="371" t="n"/>
      <c r="AA392" s="173" t="inlineStr">
        <is>
          <t>Yes</t>
        </is>
      </c>
      <c r="AB392" s="170" t="inlineStr">
        <is>
          <t>Rent review to RPI.</t>
        </is>
      </c>
      <c r="AC392" s="313" t="n"/>
      <c r="AD392" s="170" t="n"/>
      <c r="AE392" s="289" t="n"/>
      <c r="AF392" s="170" t="n"/>
    </row>
    <row r="393">
      <c r="A393" s="11" t="inlineStr">
        <is>
          <t>CD</t>
        </is>
      </c>
      <c r="B393" s="11" t="inlineStr">
        <is>
          <t>OPG</t>
        </is>
      </c>
      <c r="C393" s="170" t="n">
        <v>800400</v>
      </c>
      <c r="D393" s="170" t="inlineStr">
        <is>
          <t>5 Margaret Street</t>
        </is>
      </c>
      <c r="E393" s="170" t="inlineStr">
        <is>
          <t>Whole Building</t>
        </is>
      </c>
      <c r="F393" s="171" t="inlineStr">
        <is>
          <t>Retail &amp; Office</t>
        </is>
      </c>
      <c r="G393" s="172" t="n">
        <v>2598</v>
      </c>
      <c r="H393" s="173">
        <f>G393</f>
        <v/>
      </c>
      <c r="I393" s="173" t="n">
        <v>2500</v>
      </c>
      <c r="J393" s="117" t="inlineStr">
        <is>
          <t>Workpad Fitzrovia Ltd</t>
        </is>
      </c>
      <c r="K393" s="174" t="n">
        <v>43070</v>
      </c>
      <c r="L393" s="174" t="n">
        <v>46721</v>
      </c>
      <c r="M393" s="174" t="n"/>
      <c r="N393" s="174" t="n">
        <v>44896</v>
      </c>
      <c r="O393" s="174" t="n"/>
      <c r="P393" s="172" t="n">
        <v>155000</v>
      </c>
      <c r="Q393" s="172">
        <f>P393</f>
        <v/>
      </c>
      <c r="R393" s="10" t="n"/>
      <c r="S393" s="172" t="n">
        <v>118500</v>
      </c>
      <c r="T393" s="173">
        <f>S393</f>
        <v/>
      </c>
      <c r="U393" s="370" t="n">
        <v>142400</v>
      </c>
      <c r="V393" s="173">
        <f>U393</f>
        <v/>
      </c>
      <c r="W393" s="173" t="n"/>
      <c r="X393" s="173" t="inlineStr">
        <is>
          <t>A</t>
        </is>
      </c>
      <c r="Y393" s="180" t="n"/>
      <c r="Z393" s="370" t="n">
        <v>2300000</v>
      </c>
      <c r="AA393" s="173" t="inlineStr">
        <is>
          <t>No</t>
        </is>
      </c>
      <c r="AB393" s="4" t="n"/>
      <c r="AC393" s="303" t="n"/>
      <c r="AD393" s="29" t="n"/>
      <c r="AE393" s="279" t="n"/>
      <c r="AF393" s="29" t="n"/>
    </row>
    <row r="394">
      <c r="A394" s="11" t="inlineStr">
        <is>
          <t>CM</t>
        </is>
      </c>
      <c r="B394" s="11" t="inlineStr">
        <is>
          <t>OPG</t>
        </is>
      </c>
      <c r="C394" s="170" t="n">
        <v>800300</v>
      </c>
      <c r="D394" s="170" t="inlineStr">
        <is>
          <t>60/62 Margaret Street</t>
        </is>
      </c>
      <c r="E394" s="170" t="inlineStr">
        <is>
          <t>Whole Building</t>
        </is>
      </c>
      <c r="F394" s="226" t="inlineStr">
        <is>
          <t>Offices</t>
        </is>
      </c>
      <c r="G394" s="172" t="n">
        <v>19812</v>
      </c>
      <c r="H394" s="182">
        <f>G394</f>
        <v/>
      </c>
      <c r="I394" s="182" t="n">
        <v>20000</v>
      </c>
      <c r="J394" s="117" t="inlineStr">
        <is>
          <t>Creo London Limited.</t>
        </is>
      </c>
      <c r="K394" s="174" t="n">
        <v>44986</v>
      </c>
      <c r="L394" s="174" t="n">
        <v>50464</v>
      </c>
      <c r="M394" s="174" t="n"/>
      <c r="N394" s="174" t="n">
        <v>46813</v>
      </c>
      <c r="O394" s="174" t="n"/>
      <c r="P394" s="172" t="n">
        <v>729167</v>
      </c>
      <c r="Q394" s="173">
        <f>P394</f>
        <v/>
      </c>
      <c r="S394" s="172" t="n">
        <v>1250000</v>
      </c>
      <c r="T394" s="173">
        <f>S394</f>
        <v/>
      </c>
      <c r="U394" s="370" t="n">
        <v>1305000</v>
      </c>
      <c r="V394" s="173">
        <f>U394</f>
        <v/>
      </c>
      <c r="W394" s="173" t="n"/>
      <c r="X394" s="173" t="inlineStr">
        <is>
          <t>B</t>
        </is>
      </c>
      <c r="Y394" s="183" t="n"/>
      <c r="Z394" s="370" t="n">
        <v>22350000</v>
      </c>
      <c r="AA394" s="173" t="inlineStr">
        <is>
          <t>No</t>
        </is>
      </c>
      <c r="AB394" s="170" t="inlineStr">
        <is>
          <t xml:space="preserve">Rent rising to £1,250,000 wef 01/03/26. </t>
        </is>
      </c>
      <c r="AC394" s="313" t="n"/>
      <c r="AD394" s="170" t="n"/>
      <c r="AE394" s="289" t="n"/>
      <c r="AF394" s="170" t="n"/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Basement &amp; Ground</t>
        </is>
      </c>
      <c r="F395" s="171" t="inlineStr">
        <is>
          <t>Showroom</t>
        </is>
      </c>
      <c r="G395" s="173" t="n">
        <v>1582</v>
      </c>
      <c r="H395" s="182">
        <f>G395</f>
        <v/>
      </c>
      <c r="I395" s="182" t="n">
        <v>1500</v>
      </c>
      <c r="J395" s="117" t="inlineStr">
        <is>
          <t>The Feel Good Group Ltd.</t>
        </is>
      </c>
      <c r="K395" s="174" t="n">
        <v>43514</v>
      </c>
      <c r="L395" s="174" t="n">
        <v>46982</v>
      </c>
      <c r="M395" s="174" t="n"/>
      <c r="N395" s="174" t="n">
        <v>45340</v>
      </c>
      <c r="O395" s="174" t="n"/>
      <c r="P395" s="173" t="n">
        <v>70000</v>
      </c>
      <c r="Q395" s="173">
        <f>P395</f>
        <v/>
      </c>
      <c r="R395" s="10" t="n"/>
      <c r="S395" s="173" t="n">
        <v>63300</v>
      </c>
      <c r="T395" s="173">
        <f>S395</f>
        <v/>
      </c>
      <c r="U395" s="397" t="n">
        <v>63300</v>
      </c>
      <c r="V395" s="173">
        <f>U395</f>
        <v/>
      </c>
      <c r="W395" s="277">
        <f>S395/G395</f>
        <v/>
      </c>
      <c r="X395" s="173" t="inlineStr">
        <is>
          <t>C</t>
        </is>
      </c>
      <c r="Y395" s="183" t="n"/>
      <c r="Z395" s="370" t="n"/>
      <c r="AA395" s="173" t="inlineStr">
        <is>
          <t>No</t>
        </is>
      </c>
      <c r="AB395" s="170" t="n"/>
      <c r="AC395" s="313" t="n"/>
      <c r="AD395" s="170" t="n"/>
      <c r="AE395" s="289" t="n"/>
      <c r="AF395" s="170" t="n"/>
    </row>
    <row r="396">
      <c r="A396" s="11" t="inlineStr">
        <is>
          <t>WS</t>
        </is>
      </c>
      <c r="B396" s="11" t="inlineStr">
        <is>
          <t>OPG</t>
        </is>
      </c>
      <c r="C396" s="170" t="n">
        <v>800500</v>
      </c>
      <c r="D396" s="170" t="inlineStr">
        <is>
          <t>85 Mortimer Street</t>
        </is>
      </c>
      <c r="E396" s="170" t="inlineStr">
        <is>
          <t>First to Third Floors</t>
        </is>
      </c>
      <c r="F396" s="171" t="inlineStr">
        <is>
          <t>Offices</t>
        </is>
      </c>
      <c r="G396" s="173" t="n">
        <v>1248</v>
      </c>
      <c r="H396" s="182">
        <f>G396</f>
        <v/>
      </c>
      <c r="I396" s="182" t="n">
        <v>1250</v>
      </c>
      <c r="J396" s="117" t="inlineStr">
        <is>
          <t>Vacant</t>
        </is>
      </c>
      <c r="K396" s="174" t="n"/>
      <c r="L396" s="174" t="n"/>
      <c r="M396" s="174" t="n">
        <v>44550</v>
      </c>
      <c r="N396" s="174" t="n"/>
      <c r="O396" s="174" t="n"/>
      <c r="P396" s="173" t="n">
        <v>0</v>
      </c>
      <c r="Q396" s="173">
        <f>P396</f>
        <v/>
      </c>
      <c r="R396" s="10" t="n"/>
      <c r="S396" s="173" t="n">
        <v>66800</v>
      </c>
      <c r="T396" s="173">
        <f>S396</f>
        <v/>
      </c>
      <c r="U396" s="397" t="n">
        <v>68600</v>
      </c>
      <c r="V396" s="173">
        <f>U396</f>
        <v/>
      </c>
      <c r="W396" s="277">
        <f>S396/G396</f>
        <v/>
      </c>
      <c r="X396" s="173" t="inlineStr">
        <is>
          <t>B</t>
        </is>
      </c>
      <c r="Y396" s="183" t="n"/>
      <c r="Z396" s="370" t="n"/>
      <c r="AA396" s="173" t="inlineStr">
        <is>
          <t>No</t>
        </is>
      </c>
      <c r="AB396" s="170" t="inlineStr">
        <is>
          <t>To be refurbished.</t>
        </is>
      </c>
      <c r="AC396" s="313" t="n">
        <v>58</v>
      </c>
      <c r="AD396" s="170" t="n"/>
      <c r="AE396" s="289" t="n"/>
      <c r="AF396" s="170" t="n"/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(67)</t>
        </is>
      </c>
      <c r="F397" s="178" t="inlineStr">
        <is>
          <t>Electricity / Substation</t>
        </is>
      </c>
      <c r="G397" s="173" t="n">
        <v>0</v>
      </c>
      <c r="H397" s="182">
        <f>G397</f>
        <v/>
      </c>
      <c r="I397" s="182" t="n"/>
      <c r="J397" s="117" t="inlineStr">
        <is>
          <t>London Power Networks Plc</t>
        </is>
      </c>
      <c r="K397" s="174" t="n">
        <v>18170</v>
      </c>
      <c r="L397" s="174" t="n">
        <v>54329</v>
      </c>
      <c r="M397" s="174" t="n"/>
      <c r="N397" s="174" t="n"/>
      <c r="O397" s="174" t="n"/>
      <c r="P397" s="173" t="n">
        <v>0</v>
      </c>
      <c r="Q397" s="173">
        <f>P397</f>
        <v/>
      </c>
      <c r="R397" s="10" t="n"/>
      <c r="S397" s="173" t="n">
        <v>0</v>
      </c>
      <c r="T397" s="173">
        <f>S397</f>
        <v/>
      </c>
      <c r="U397" s="397" t="n">
        <v>0</v>
      </c>
      <c r="V397" s="173">
        <f>U397</f>
        <v/>
      </c>
      <c r="W397" s="277" t="n"/>
      <c r="X397" s="173" t="n"/>
      <c r="Y397" s="183" t="n"/>
      <c r="Z397" s="370" t="n"/>
      <c r="AA397" s="173" t="inlineStr">
        <is>
          <t>Yes</t>
        </is>
      </c>
      <c r="AB397" s="170" t="inlineStr">
        <is>
          <t>Rent 5p paid annually on 25th March</t>
        </is>
      </c>
      <c r="AC397" s="313" t="n"/>
      <c r="AD397" s="170" t="n"/>
      <c r="AE397" s="289" t="n"/>
      <c r="AF397" s="170" t="n"/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(67), Rear (66/67) &amp; 1st Floor (R) 66.</t>
        </is>
      </c>
      <c r="F398" s="171" t="inlineStr">
        <is>
          <t>Retail / Offices</t>
        </is>
      </c>
      <c r="G398" s="173" t="n">
        <v>3356</v>
      </c>
      <c r="H398" s="182">
        <f>G398</f>
        <v/>
      </c>
      <c r="I398" s="182" t="n">
        <v>3500</v>
      </c>
      <c r="J398" s="117" t="inlineStr">
        <is>
          <t>Vacant</t>
        </is>
      </c>
      <c r="K398" s="174" t="n"/>
      <c r="L398" s="174" t="n"/>
      <c r="M398" s="174" t="n">
        <v>45457</v>
      </c>
      <c r="N398" s="174" t="n"/>
      <c r="O398" s="174" t="n"/>
      <c r="P398" s="173" t="n">
        <v>0</v>
      </c>
      <c r="Q398" s="173">
        <f>P398</f>
        <v/>
      </c>
      <c r="R398" s="10" t="n"/>
      <c r="S398" s="173" t="n">
        <v>174600</v>
      </c>
      <c r="T398" s="173">
        <f>S398</f>
        <v/>
      </c>
      <c r="U398" s="397" t="n">
        <v>177700</v>
      </c>
      <c r="V398" s="173">
        <f>U398</f>
        <v/>
      </c>
      <c r="W398" s="277">
        <f>S398/G398</f>
        <v/>
      </c>
      <c r="X398" s="173" t="inlineStr">
        <is>
          <t>B</t>
        </is>
      </c>
      <c r="Y398" s="183" t="n"/>
      <c r="Z398" s="370" t="n"/>
      <c r="AA398" s="173" t="inlineStr">
        <is>
          <t>No</t>
        </is>
      </c>
      <c r="AB398" s="170" t="n"/>
      <c r="AC398" s="313" t="n">
        <v>45</v>
      </c>
      <c r="AD398" s="170" t="n">
        <v>2</v>
      </c>
      <c r="AE398" s="289" t="n">
        <v>2</v>
      </c>
      <c r="AF398" s="170" t="inlineStr">
        <is>
          <t>LEM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Basement &amp; Ground (66)</t>
        </is>
      </c>
      <c r="F399" s="171" t="inlineStr">
        <is>
          <t>Shop</t>
        </is>
      </c>
      <c r="G399" s="173" t="n">
        <v>1157</v>
      </c>
      <c r="H399" s="182">
        <f>G399</f>
        <v/>
      </c>
      <c r="I399" s="182" t="n">
        <v>1000</v>
      </c>
      <c r="J399" s="117" t="inlineStr">
        <is>
          <t>Noble Furs (Regent Street) Ltd</t>
        </is>
      </c>
      <c r="K399" s="174" t="n">
        <v>45230</v>
      </c>
      <c r="L399" s="174" t="n">
        <v>46325</v>
      </c>
      <c r="M399" s="174" t="n"/>
      <c r="N399" s="174" t="n"/>
      <c r="O399" s="174" t="n"/>
      <c r="P399" s="173" t="n">
        <v>46000</v>
      </c>
      <c r="Q399" s="173">
        <f>P399</f>
        <v/>
      </c>
      <c r="R399" s="10" t="n"/>
      <c r="S399" s="173" t="n">
        <v>52800</v>
      </c>
      <c r="T399" s="173">
        <f>S399</f>
        <v/>
      </c>
      <c r="U399" s="397" t="n">
        <v>52800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170" t="inlineStr">
        <is>
          <t xml:space="preserve">Further 2 months rent free @ 31/10/25. Rent rises to £50,600 wef 31/12/25. Mutual break on 3 months notice. </t>
        </is>
      </c>
      <c r="AC399" s="313" t="n"/>
      <c r="AD399" s="170" t="n"/>
      <c r="AE399" s="289" t="n"/>
      <c r="AF399" s="170" t="n"/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(Front)</t>
        </is>
      </c>
      <c r="F400" s="171" t="inlineStr">
        <is>
          <t>Offices</t>
        </is>
      </c>
      <c r="G400" s="173" t="n">
        <v>1015</v>
      </c>
      <c r="H400" s="182">
        <f>G400</f>
        <v/>
      </c>
      <c r="I400" s="182" t="n">
        <v>1000</v>
      </c>
      <c r="J400" s="117" t="inlineStr">
        <is>
          <t>Vacant</t>
        </is>
      </c>
      <c r="K400" s="174" t="n"/>
      <c r="L400" s="174" t="n"/>
      <c r="M400" s="174" t="n">
        <v>43840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53300</v>
      </c>
      <c r="T400" s="173">
        <f>S400</f>
        <v/>
      </c>
      <c r="U400" s="397" t="n">
        <v>53300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4" t="inlineStr">
        <is>
          <t>Mothballed.</t>
        </is>
      </c>
      <c r="AC400" s="303" t="n"/>
      <c r="AD400" s="29" t="n"/>
      <c r="AE400" s="279" t="n"/>
      <c r="AF400" s="29" t="n"/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First Floor (Rear)</t>
        </is>
      </c>
      <c r="F401" s="171" t="inlineStr">
        <is>
          <t>Offices</t>
        </is>
      </c>
      <c r="G401" s="173" t="n">
        <v>250</v>
      </c>
      <c r="H401" s="182">
        <f>G401</f>
        <v/>
      </c>
      <c r="I401" s="182" t="n">
        <v>250</v>
      </c>
      <c r="J401" s="117" t="inlineStr">
        <is>
          <t>Vacant</t>
        </is>
      </c>
      <c r="K401" s="174" t="n"/>
      <c r="L401" s="174" t="n"/>
      <c r="M401" s="174" t="n">
        <v>45682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14500</v>
      </c>
      <c r="T401" s="173">
        <f>S401</f>
        <v/>
      </c>
      <c r="U401" s="397" t="n">
        <v>14500</v>
      </c>
      <c r="V401" s="173">
        <f>U401</f>
        <v/>
      </c>
      <c r="W401" s="277">
        <f>S401/G401</f>
        <v/>
      </c>
      <c r="X401" s="173" t="inlineStr">
        <is>
          <t>D</t>
        </is>
      </c>
      <c r="Y401" s="183" t="n"/>
      <c r="Z401" s="370" t="n"/>
      <c r="AA401" s="173" t="inlineStr">
        <is>
          <t>No</t>
        </is>
      </c>
      <c r="AB401" s="170" t="inlineStr">
        <is>
          <t>LEM marketing.</t>
        </is>
      </c>
      <c r="AC401" s="313" t="n"/>
      <c r="AD401" s="170" t="n"/>
      <c r="AE401" s="289" t="n"/>
      <c r="AF401" s="170" t="n"/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(Front)</t>
        </is>
      </c>
      <c r="F402" s="171" t="inlineStr">
        <is>
          <t>Offices</t>
        </is>
      </c>
      <c r="G402" s="173" t="n">
        <v>1026</v>
      </c>
      <c r="H402" s="182">
        <f>G402</f>
        <v/>
      </c>
      <c r="I402" s="182" t="n">
        <v>1000</v>
      </c>
      <c r="J402" s="117" t="inlineStr">
        <is>
          <t>Vacant</t>
        </is>
      </c>
      <c r="K402" s="174" t="n"/>
      <c r="L402" s="174" t="n"/>
      <c r="M402" s="174" t="n">
        <v>44500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53900</v>
      </c>
      <c r="T402" s="173">
        <f>S402</f>
        <v/>
      </c>
      <c r="U402" s="397" t="n">
        <v>53900</v>
      </c>
      <c r="V402" s="173">
        <f>U402</f>
        <v/>
      </c>
      <c r="W402" s="277">
        <f>S402/G402</f>
        <v/>
      </c>
      <c r="X402" s="173" t="inlineStr">
        <is>
          <t>C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Second Floor (Rear)</t>
        </is>
      </c>
      <c r="F403" s="171" t="inlineStr">
        <is>
          <t>Offices</t>
        </is>
      </c>
      <c r="G403" s="173" t="n">
        <v>242</v>
      </c>
      <c r="H403" s="182">
        <f>G403</f>
        <v/>
      </c>
      <c r="I403" s="182" t="n">
        <v>250</v>
      </c>
      <c r="J403" s="117" t="inlineStr">
        <is>
          <t>Vacant</t>
        </is>
      </c>
      <c r="K403" s="174" t="n"/>
      <c r="L403" s="174" t="n"/>
      <c r="M403" s="174" t="n">
        <v>44135</v>
      </c>
      <c r="N403" s="174" t="n"/>
      <c r="O403" s="174" t="n"/>
      <c r="P403" s="173" t="n">
        <v>0</v>
      </c>
      <c r="Q403" s="173">
        <f>P403</f>
        <v/>
      </c>
      <c r="R403" s="10" t="n"/>
      <c r="S403" s="173" t="n">
        <v>14000</v>
      </c>
      <c r="T403" s="173">
        <f>S403</f>
        <v/>
      </c>
      <c r="U403" s="397" t="n">
        <v>14000</v>
      </c>
      <c r="V403" s="173">
        <f>U403</f>
        <v/>
      </c>
      <c r="W403" s="277">
        <f>S403/G403</f>
        <v/>
      </c>
      <c r="X403" s="173" t="inlineStr">
        <is>
          <t>E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Third Floor</t>
        </is>
      </c>
      <c r="F404" s="171" t="inlineStr">
        <is>
          <t>Offices</t>
        </is>
      </c>
      <c r="G404" s="173" t="n">
        <v>1028</v>
      </c>
      <c r="H404" s="182">
        <f>G404</f>
        <v/>
      </c>
      <c r="I404" s="182" t="n">
        <v>1000</v>
      </c>
      <c r="J404" s="117" t="inlineStr">
        <is>
          <t>Investments Services UK Ltd</t>
        </is>
      </c>
      <c r="K404" s="174" t="n">
        <v>44135</v>
      </c>
      <c r="L404" s="174" t="n">
        <v>45960</v>
      </c>
      <c r="M404" s="174" t="n"/>
      <c r="N404" s="174" t="n"/>
      <c r="O404" s="174" t="n"/>
      <c r="P404" s="173" t="n">
        <v>52572</v>
      </c>
      <c r="Q404" s="173">
        <f>P404</f>
        <v/>
      </c>
      <c r="R404" s="10" t="n"/>
      <c r="S404" s="173" t="n">
        <v>51400</v>
      </c>
      <c r="T404" s="173">
        <f>S404</f>
        <v/>
      </c>
      <c r="U404" s="397" t="n">
        <v>51400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</row>
    <row r="405">
      <c r="A405" s="11" t="inlineStr">
        <is>
          <t>WS</t>
        </is>
      </c>
      <c r="B405" s="11" t="inlineStr">
        <is>
          <t>OPG</t>
        </is>
      </c>
      <c r="C405" s="170" t="n">
        <v>800600</v>
      </c>
      <c r="D405" s="170" t="inlineStr">
        <is>
          <t>Welbeck House, 66/67 Wells Street</t>
        </is>
      </c>
      <c r="E405" s="170" t="inlineStr">
        <is>
          <t>Fourth Floor</t>
        </is>
      </c>
      <c r="F405" s="171" t="inlineStr">
        <is>
          <t>Offices</t>
        </is>
      </c>
      <c r="G405" s="173" t="n">
        <v>834</v>
      </c>
      <c r="H405" s="182">
        <f>G405</f>
        <v/>
      </c>
      <c r="I405" s="182" t="n">
        <v>1000</v>
      </c>
      <c r="J405" s="117" t="inlineStr">
        <is>
          <t>Vacant</t>
        </is>
      </c>
      <c r="K405" s="174" t="n"/>
      <c r="L405" s="174" t="n"/>
      <c r="M405" s="174" t="n">
        <v>43840</v>
      </c>
      <c r="N405" s="174" t="n"/>
      <c r="O405" s="174" t="n"/>
      <c r="P405" s="173" t="n">
        <v>0</v>
      </c>
      <c r="Q405" s="173">
        <f>P405</f>
        <v/>
      </c>
      <c r="R405" s="10" t="n"/>
      <c r="S405" s="173" t="n">
        <v>43800</v>
      </c>
      <c r="T405" s="173">
        <f>S405</f>
        <v/>
      </c>
      <c r="U405" s="397" t="n">
        <v>43800</v>
      </c>
      <c r="V405" s="173">
        <f>U405</f>
        <v/>
      </c>
      <c r="W405" s="277">
        <f>S405/G405</f>
        <v/>
      </c>
      <c r="X405" s="173" t="inlineStr">
        <is>
          <t>D</t>
        </is>
      </c>
      <c r="Y405" s="183" t="n"/>
      <c r="Z405" s="370" t="n"/>
      <c r="AA405" s="173" t="inlineStr">
        <is>
          <t>No</t>
        </is>
      </c>
      <c r="AB405" s="4" t="inlineStr">
        <is>
          <t>Mothballed.</t>
        </is>
      </c>
      <c r="AC405" s="303" t="n"/>
      <c r="AD405" s="29" t="n"/>
      <c r="AE405" s="279" t="n"/>
      <c r="AF405" s="29" t="n"/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Ground Floor &amp; Basement</t>
        </is>
      </c>
      <c r="F406" s="178" t="inlineStr">
        <is>
          <t>Retail / Showroom</t>
        </is>
      </c>
      <c r="G406" s="173" t="n">
        <v>4289</v>
      </c>
      <c r="H406" s="173">
        <f>G406</f>
        <v/>
      </c>
      <c r="I406" s="173" t="n">
        <v>4250</v>
      </c>
      <c r="J406" s="117" t="inlineStr">
        <is>
          <t>Prenuvo Ltd</t>
        </is>
      </c>
      <c r="K406" s="174" t="n">
        <v>45510</v>
      </c>
      <c r="L406" s="174" t="n">
        <v>50987</v>
      </c>
      <c r="M406" s="174" t="n"/>
      <c r="N406" s="174" t="n">
        <v>47336</v>
      </c>
      <c r="O406" s="174" t="n">
        <v>49162</v>
      </c>
      <c r="P406" s="173" t="n">
        <v>110000</v>
      </c>
      <c r="Q406" s="173">
        <f>P406</f>
        <v/>
      </c>
      <c r="R406" s="10" t="n"/>
      <c r="S406" s="173" t="n">
        <v>220100</v>
      </c>
      <c r="T406" s="173">
        <f>S406</f>
        <v/>
      </c>
      <c r="U406" s="397" t="n">
        <v>220100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Rent increasing to £220,000 wef 18/01/26. Tenant break on 6 months notice.</t>
        </is>
      </c>
      <c r="AC406" s="313" t="n"/>
      <c r="AD406" s="225" t="n"/>
      <c r="AE406" s="293" t="n"/>
      <c r="AF406" s="298" t="n"/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First Floor</t>
        </is>
      </c>
      <c r="F407" s="171" t="inlineStr">
        <is>
          <t>Offices</t>
        </is>
      </c>
      <c r="G407" s="173" t="n">
        <v>2279</v>
      </c>
      <c r="H407" s="173">
        <f>G407</f>
        <v/>
      </c>
      <c r="I407" s="173" t="n">
        <v>2250</v>
      </c>
      <c r="J407" s="117" t="inlineStr">
        <is>
          <t>Vacant</t>
        </is>
      </c>
      <c r="K407" s="174" t="n"/>
      <c r="L407" s="174" t="n"/>
      <c r="M407" s="174" t="n">
        <v>44577</v>
      </c>
      <c r="N407" s="174" t="n"/>
      <c r="O407" s="174" t="n"/>
      <c r="P407" s="173" t="n">
        <v>0</v>
      </c>
      <c r="Q407" s="173">
        <f>P407</f>
        <v/>
      </c>
      <c r="R407" s="10" t="n"/>
      <c r="S407" s="173" t="n"/>
      <c r="T407" s="173">
        <f>S407</f>
        <v/>
      </c>
      <c r="U407" s="397" t="n">
        <v>159500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LEM marketing.</t>
        </is>
      </c>
      <c r="AC407" s="313" t="n">
        <v>75</v>
      </c>
      <c r="AD407" s="170" t="n">
        <v>1</v>
      </c>
      <c r="AE407" s="289" t="n">
        <v>1</v>
      </c>
      <c r="AF407" s="153" t="inlineStr">
        <is>
          <t>LEM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Second Floor</t>
        </is>
      </c>
      <c r="F408" s="171" t="inlineStr">
        <is>
          <t>Offices</t>
        </is>
      </c>
      <c r="G408" s="173" t="n">
        <v>1640</v>
      </c>
      <c r="H408" s="173">
        <f>G408</f>
        <v/>
      </c>
      <c r="I408" s="173" t="n">
        <v>1500</v>
      </c>
      <c r="J408" s="117" t="inlineStr">
        <is>
          <t>AdMaxim Limited</t>
        </is>
      </c>
      <c r="K408" s="174" t="n">
        <v>44710</v>
      </c>
      <c r="L408" s="174" t="n">
        <v>45805</v>
      </c>
      <c r="M408" s="174" t="n"/>
      <c r="N408" s="174" t="n"/>
      <c r="O408" s="174" t="n"/>
      <c r="P408" s="173" t="n">
        <v>101000</v>
      </c>
      <c r="Q408" s="173">
        <f>P408</f>
        <v/>
      </c>
      <c r="R408" s="10" t="n"/>
      <c r="S408" s="173" t="n">
        <v>104100</v>
      </c>
      <c r="T408" s="173">
        <f>S408</f>
        <v/>
      </c>
      <c r="U408" s="397" t="n">
        <v>114800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Lease renewal completion imminent.</t>
        </is>
      </c>
      <c r="AD408" s="170" t="n"/>
      <c r="AE408" s="289" t="n"/>
      <c r="AF408" s="153" t="n"/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>Third Floor</t>
        </is>
      </c>
      <c r="F409" s="171" t="inlineStr">
        <is>
          <t>Offices</t>
        </is>
      </c>
      <c r="G409" s="173" t="n">
        <v>1641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44603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120000</v>
      </c>
      <c r="T409" s="173">
        <f>S409</f>
        <v/>
      </c>
      <c r="U409" s="397" t="n">
        <v>114900</v>
      </c>
      <c r="V409" s="173">
        <f>U409</f>
        <v/>
      </c>
      <c r="W409" s="277">
        <f>S409/G409</f>
        <v/>
      </c>
      <c r="X409" s="173" t="inlineStr">
        <is>
          <t>C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 xml:space="preserve">Fourth Floor </t>
        </is>
      </c>
      <c r="F410" s="171" t="inlineStr">
        <is>
          <t>Offices</t>
        </is>
      </c>
      <c r="G410" s="173" t="n">
        <v>1636</v>
      </c>
      <c r="H410" s="173">
        <f>G410</f>
        <v/>
      </c>
      <c r="I410" s="173" t="n">
        <v>1500</v>
      </c>
      <c r="J410" s="117" t="inlineStr">
        <is>
          <t>Vacant</t>
        </is>
      </c>
      <c r="K410" s="174" t="n"/>
      <c r="L410" s="174" t="n"/>
      <c r="M410" s="174" t="n">
        <v>45579</v>
      </c>
      <c r="N410" s="174" t="n"/>
      <c r="O410" s="174" t="n"/>
      <c r="P410" s="173" t="n">
        <v>0</v>
      </c>
      <c r="Q410" s="173">
        <f>P410</f>
        <v/>
      </c>
      <c r="R410" s="10" t="n"/>
      <c r="S410" s="173" t="n">
        <v>103900</v>
      </c>
      <c r="T410" s="173">
        <f>S410</f>
        <v/>
      </c>
      <c r="U410" s="397" t="n">
        <v>118600</v>
      </c>
      <c r="V410" s="173">
        <f>U410</f>
        <v/>
      </c>
      <c r="W410" s="277">
        <f>S410/G410</f>
        <v/>
      </c>
      <c r="X410" s="173" t="inlineStr">
        <is>
          <t>B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LEM marketing.</t>
        </is>
      </c>
      <c r="AC410" s="313" t="n">
        <v>75</v>
      </c>
      <c r="AD410" s="170" t="n">
        <v>1</v>
      </c>
      <c r="AE410" s="289" t="n">
        <v>1</v>
      </c>
      <c r="AF410" s="153" t="inlineStr">
        <is>
          <t>LEM / LDG</t>
        </is>
      </c>
    </row>
    <row r="411">
      <c r="A411" s="11" t="inlineStr">
        <is>
          <t>CD</t>
        </is>
      </c>
      <c r="B411" s="11" t="inlineStr">
        <is>
          <t>PEL</t>
        </is>
      </c>
      <c r="C411" s="170" t="n">
        <v>111010</v>
      </c>
      <c r="D411" s="170" t="inlineStr">
        <is>
          <t>32-36 Great Portland Street</t>
        </is>
      </c>
      <c r="E411" s="170" t="inlineStr">
        <is>
          <t>Fifth Floor</t>
        </is>
      </c>
      <c r="F411" s="171" t="inlineStr">
        <is>
          <t>Offices</t>
        </is>
      </c>
      <c r="G411" s="173" t="n">
        <v>1536</v>
      </c>
      <c r="H411" s="173">
        <f>G411</f>
        <v/>
      </c>
      <c r="I411" s="173" t="n">
        <v>1500</v>
      </c>
      <c r="J411" s="117" t="inlineStr">
        <is>
          <t>Mackintosh Limited</t>
        </is>
      </c>
      <c r="K411" s="174" t="n">
        <v>45464</v>
      </c>
      <c r="L411" s="174" t="n">
        <v>49115</v>
      </c>
      <c r="M411" s="174" t="n"/>
      <c r="N411" s="174" t="n">
        <v>47290</v>
      </c>
      <c r="O411" s="174" t="n">
        <v>47289</v>
      </c>
      <c r="P411" s="173" t="n">
        <v>52745</v>
      </c>
      <c r="Q411" s="173">
        <f>P411</f>
        <v/>
      </c>
      <c r="R411" s="10" t="n"/>
      <c r="S411" s="173" t="n">
        <v>97500</v>
      </c>
      <c r="T411" s="173">
        <f>S411</f>
        <v/>
      </c>
      <c r="U411" s="397" t="n">
        <v>105200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inlineStr">
        <is>
          <t>*</t>
        </is>
      </c>
      <c r="Z411" s="371" t="n"/>
      <c r="AA411" s="173" t="inlineStr">
        <is>
          <t>No</t>
        </is>
      </c>
      <c r="AB411" s="170" t="inlineStr">
        <is>
          <t>Rent increasing to £105,490 @ 21/10/26. Tenant break on 6 months notice.</t>
        </is>
      </c>
      <c r="AC411" s="313" t="n"/>
      <c r="AD411" s="170" t="n"/>
      <c r="AE411" s="289" t="n"/>
      <c r="AF411" s="153" t="n"/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70" t="inlineStr">
        <is>
          <t>184-188 Oxford Street (B, G &amp; 1st)</t>
        </is>
      </c>
      <c r="F412" s="171" t="inlineStr">
        <is>
          <t>Retail</t>
        </is>
      </c>
      <c r="G412" s="173" t="n">
        <v>5662</v>
      </c>
      <c r="H412" s="173">
        <f>G412</f>
        <v/>
      </c>
      <c r="I412" s="173" t="n">
        <v>5500</v>
      </c>
      <c r="J412" s="117" t="inlineStr">
        <is>
          <t>Airwair International Ltd</t>
        </is>
      </c>
      <c r="K412" s="174" t="n">
        <v>45192</v>
      </c>
      <c r="L412" s="174" t="n">
        <v>48844</v>
      </c>
      <c r="M412" s="174" t="n"/>
      <c r="N412" s="174" t="n">
        <v>47019</v>
      </c>
      <c r="O412" s="174" t="n">
        <v>47018</v>
      </c>
      <c r="P412" s="173" t="n">
        <v>325000</v>
      </c>
      <c r="Q412" s="173">
        <f>P412</f>
        <v/>
      </c>
      <c r="R412" s="173" t="n"/>
      <c r="S412" s="173" t="n">
        <v>650000</v>
      </c>
      <c r="T412" s="173">
        <f>S412</f>
        <v/>
      </c>
      <c r="U412" s="397" t="n">
        <v>1230000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No</t>
        </is>
      </c>
      <c r="AB412" s="170" t="inlineStr">
        <is>
          <t>Rent rising to £650,000 wef 23/12/25. In addition, turnover rent payable if 10% turnover exceeds £650,000.</t>
        </is>
      </c>
      <c r="AC412" s="313" t="n"/>
      <c r="AD412" s="170" t="n"/>
      <c r="AE412" s="289" t="n"/>
      <c r="AF412" s="153" t="n"/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17" t="inlineStr">
        <is>
          <t>190 Oxford Street (B &amp; G)</t>
        </is>
      </c>
      <c r="F413" s="171" t="inlineStr">
        <is>
          <t>Retail</t>
        </is>
      </c>
      <c r="G413" s="173" t="n">
        <v>5350</v>
      </c>
      <c r="H413" s="173">
        <f>G413</f>
        <v/>
      </c>
      <c r="I413" s="173" t="n">
        <v>5500</v>
      </c>
      <c r="J413" s="117" t="inlineStr">
        <is>
          <t>Office Holdings Ltd</t>
        </is>
      </c>
      <c r="K413" s="174" t="n">
        <v>40651</v>
      </c>
      <c r="L413" s="174" t="n">
        <v>46129</v>
      </c>
      <c r="M413" s="174" t="n"/>
      <c r="N413" s="174" t="n">
        <v>44304</v>
      </c>
      <c r="O413" s="174" t="n"/>
      <c r="P413" s="173" t="n">
        <v>730000</v>
      </c>
      <c r="Q413" s="173">
        <f>P413</f>
        <v/>
      </c>
      <c r="R413" s="173" t="n"/>
      <c r="S413" s="173" t="n">
        <v>400000</v>
      </c>
      <c r="T413" s="173">
        <f>S413</f>
        <v/>
      </c>
      <c r="U413" s="397" t="n">
        <v>710000</v>
      </c>
      <c r="V413" s="173">
        <f>U413</f>
        <v/>
      </c>
      <c r="W413" s="277">
        <f>S413/G413</f>
        <v/>
      </c>
      <c r="X413" s="173" t="inlineStr">
        <is>
          <t>C</t>
        </is>
      </c>
      <c r="Y413" s="177" t="n"/>
      <c r="Z413" s="371" t="n"/>
      <c r="AA413" s="393" t="inlineStr">
        <is>
          <t>Yes</t>
        </is>
      </c>
      <c r="AB413" s="170" t="n"/>
      <c r="AC413" s="313" t="n"/>
      <c r="AD413" s="170" t="n"/>
      <c r="AE413" s="289" t="n"/>
      <c r="AF413" s="153" t="n"/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1st Floor, 28 Market Place</t>
        </is>
      </c>
      <c r="F414" s="171" t="inlineStr">
        <is>
          <t>Retail</t>
        </is>
      </c>
      <c r="G414" s="173" t="n">
        <v>2044</v>
      </c>
      <c r="H414" s="173">
        <f>G414</f>
        <v/>
      </c>
      <c r="I414" s="173" t="n">
        <v>2000</v>
      </c>
      <c r="J414" s="117" t="inlineStr">
        <is>
          <t>EP Commodities Ltd</t>
        </is>
      </c>
      <c r="K414" s="174" t="n">
        <v>42650</v>
      </c>
      <c r="L414" s="174" t="n">
        <v>46301</v>
      </c>
      <c r="M414" s="174" t="n"/>
      <c r="N414" s="174" t="n">
        <v>45885</v>
      </c>
      <c r="O414" s="174" t="n"/>
      <c r="P414" s="173" t="n">
        <v>115701</v>
      </c>
      <c r="Q414" s="173">
        <f>P414</f>
        <v/>
      </c>
      <c r="R414" s="173" t="n"/>
      <c r="S414" s="173" t="n">
        <v>110000</v>
      </c>
      <c r="T414" s="173">
        <f>S414</f>
        <v/>
      </c>
      <c r="U414" s="397" t="n">
        <v>112000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170" t="inlineStr">
        <is>
          <t xml:space="preserve">Annual RPI rent increase (min 1%, max 4%). </t>
        </is>
      </c>
      <c r="AC414" s="313" t="n"/>
      <c r="AD414" s="170" t="n"/>
      <c r="AE414" s="289" t="n"/>
      <c r="AF414" s="153" t="n"/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2nd Floor, 30 Market Place</t>
        </is>
      </c>
      <c r="F415" s="171" t="inlineStr">
        <is>
          <t>Office</t>
        </is>
      </c>
      <c r="G415" s="173" t="n">
        <v>4463</v>
      </c>
      <c r="H415" s="173">
        <f>G415</f>
        <v/>
      </c>
      <c r="I415" s="173" t="n">
        <v>4500</v>
      </c>
      <c r="J415" s="117" t="inlineStr">
        <is>
          <t>Joint London Ltd</t>
        </is>
      </c>
      <c r="K415" s="174" t="n">
        <v>42286</v>
      </c>
      <c r="L415" s="174" t="n">
        <v>45938</v>
      </c>
      <c r="M415" s="174" t="n"/>
      <c r="N415" s="174" t="n">
        <v>44113</v>
      </c>
      <c r="O415" s="174" t="n"/>
      <c r="P415" s="173" t="n">
        <v>367290</v>
      </c>
      <c r="Q415" s="173">
        <f>P415</f>
        <v/>
      </c>
      <c r="R415" s="173" t="n"/>
      <c r="S415" s="173" t="n">
        <v>345000</v>
      </c>
      <c r="T415" s="173">
        <f>S415</f>
        <v/>
      </c>
      <c r="U415" s="397" t="n">
        <v>368000</v>
      </c>
      <c r="V415" s="173">
        <f>U415</f>
        <v/>
      </c>
      <c r="W415" s="277">
        <f>S415/G415</f>
        <v/>
      </c>
      <c r="X415" s="173" t="inlineStr">
        <is>
          <t>B</t>
        </is>
      </c>
      <c r="Y415" s="177" t="n"/>
      <c r="Z415" s="371" t="n"/>
      <c r="AA415" s="393" t="inlineStr">
        <is>
          <t>No</t>
        </is>
      </c>
      <c r="AB415" s="225" t="inlineStr">
        <is>
          <t>Reversionary lease completed. 5 year lease at £375,750 with 6 months rent free (to be taken as half rent). Tenant break after 3 years.</t>
        </is>
      </c>
      <c r="AC415" s="313" t="n"/>
      <c r="AD415" s="170" t="n"/>
      <c r="AE415" s="289" t="n"/>
      <c r="AF415" s="153" t="n"/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3rd Floor, 30 Market Place</t>
        </is>
      </c>
      <c r="F416" s="171" t="inlineStr">
        <is>
          <t>Office</t>
        </is>
      </c>
      <c r="G416" s="173" t="n">
        <v>4462</v>
      </c>
      <c r="H416" s="173">
        <f>G416</f>
        <v/>
      </c>
      <c r="I416" s="173" t="n">
        <v>4500</v>
      </c>
      <c r="J416" s="117" t="inlineStr">
        <is>
          <t>Vacant</t>
        </is>
      </c>
      <c r="K416" s="174" t="n"/>
      <c r="L416" s="174" t="n"/>
      <c r="M416" s="174" t="n">
        <v>45490</v>
      </c>
      <c r="N416" s="174" t="n"/>
      <c r="O416" s="174" t="n"/>
      <c r="P416" s="173" t="n">
        <v>0</v>
      </c>
      <c r="Q416" s="173">
        <f>P416</f>
        <v/>
      </c>
      <c r="R416" s="173" t="n"/>
      <c r="S416" s="173" t="n">
        <v>357800</v>
      </c>
      <c r="T416" s="173">
        <f>S416</f>
        <v/>
      </c>
      <c r="U416" s="397" t="n">
        <v>379000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4" t="inlineStr">
        <is>
          <t>LEM marketing.</t>
        </is>
      </c>
      <c r="AC416" s="322" t="n">
        <v>85</v>
      </c>
      <c r="AD416" s="295" t="n">
        <v>1</v>
      </c>
      <c r="AE416" s="296" t="n">
        <v>4</v>
      </c>
      <c r="AF416" s="299" t="inlineStr">
        <is>
          <t>LEM / EC&amp;P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4th Floor, 30 Market Place</t>
        </is>
      </c>
      <c r="F417" s="171" t="inlineStr">
        <is>
          <t>Office</t>
        </is>
      </c>
      <c r="G417" s="173" t="n">
        <v>4250</v>
      </c>
      <c r="H417" s="173">
        <f>G417</f>
        <v/>
      </c>
      <c r="I417" s="173" t="n">
        <v>4500</v>
      </c>
      <c r="J417" s="117" t="inlineStr">
        <is>
          <t>Ascot Lloyd Ltd</t>
        </is>
      </c>
      <c r="K417" s="174" t="n">
        <v>45786</v>
      </c>
      <c r="L417" s="174" t="n">
        <v>49437</v>
      </c>
      <c r="M417" s="174" t="n"/>
      <c r="N417" s="174" t="n">
        <v>47612</v>
      </c>
      <c r="O417" s="174" t="n">
        <v>47611</v>
      </c>
      <c r="P417" s="173" t="n">
        <v>0</v>
      </c>
      <c r="Q417" s="173">
        <f>P417</f>
        <v/>
      </c>
      <c r="R417" s="173" t="n"/>
      <c r="S417" s="173" t="n">
        <v>358600</v>
      </c>
      <c r="T417" s="173">
        <f>S417</f>
        <v/>
      </c>
      <c r="U417" s="397" t="n">
        <v>361000</v>
      </c>
      <c r="V417" s="173">
        <f>U417</f>
        <v/>
      </c>
      <c r="W417" s="277">
        <f>S417/G417</f>
        <v/>
      </c>
      <c r="X417" s="173" t="inlineStr">
        <is>
          <t>A</t>
        </is>
      </c>
      <c r="Y417" s="177" t="n"/>
      <c r="Z417" s="371" t="n"/>
      <c r="AA417" s="177" t="n"/>
      <c r="AB417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7" s="313" t="n">
        <v>85</v>
      </c>
      <c r="AD417" s="297" t="n">
        <v>1</v>
      </c>
      <c r="AE417" s="296" t="n">
        <v>3</v>
      </c>
      <c r="AF417" s="299" t="inlineStr">
        <is>
          <t>LEM / EC&amp;P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5th Floor, 30 Market Place</t>
        </is>
      </c>
      <c r="F418" s="171" t="inlineStr">
        <is>
          <t>Office</t>
        </is>
      </c>
      <c r="G418" s="173" t="n">
        <v>3999</v>
      </c>
      <c r="H418" s="173">
        <f>G418</f>
        <v/>
      </c>
      <c r="I418" s="173" t="n">
        <v>4000</v>
      </c>
      <c r="J418" s="117" t="inlineStr">
        <is>
          <t>Nchain Ltd</t>
        </is>
      </c>
      <c r="K418" s="174" t="n">
        <v>44183</v>
      </c>
      <c r="L418" s="174" t="n">
        <v>46373</v>
      </c>
      <c r="M418" s="174" t="n"/>
      <c r="N418" s="174" t="n"/>
      <c r="O418" s="174" t="n"/>
      <c r="P418" s="173" t="n">
        <v>348163</v>
      </c>
      <c r="Q418" s="173">
        <f>P418</f>
        <v/>
      </c>
      <c r="R418" s="173" t="n"/>
      <c r="S418" s="173" t="n">
        <v>352000</v>
      </c>
      <c r="T418" s="173">
        <f>S418</f>
        <v/>
      </c>
      <c r="U418" s="397" t="n">
        <v>350000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53" t="n"/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6th Floor, 30 Market Place</t>
        </is>
      </c>
      <c r="F419" s="171" t="inlineStr">
        <is>
          <t>Office</t>
        </is>
      </c>
      <c r="G419" s="173" t="n">
        <v>3145</v>
      </c>
      <c r="H419" s="173">
        <f>G419</f>
        <v/>
      </c>
      <c r="I419" s="173" t="n">
        <v>3000</v>
      </c>
      <c r="J419" s="117" t="inlineStr">
        <is>
          <t>Nchain Ltd</t>
        </is>
      </c>
      <c r="K419" s="174" t="n">
        <v>44217</v>
      </c>
      <c r="L419" s="174" t="n">
        <v>46373</v>
      </c>
      <c r="M419" s="174" t="n"/>
      <c r="N419" s="174" t="n"/>
      <c r="O419" s="174" t="n"/>
      <c r="P419" s="173" t="n">
        <v>281873</v>
      </c>
      <c r="Q419" s="173">
        <f>P419</f>
        <v/>
      </c>
      <c r="R419" s="173" t="n"/>
      <c r="S419" s="173" t="n">
        <v>284800</v>
      </c>
      <c r="T419" s="173">
        <f>S419</f>
        <v/>
      </c>
      <c r="U419" s="397" t="n">
        <v>283000</v>
      </c>
      <c r="V419" s="173">
        <f>U419</f>
        <v/>
      </c>
      <c r="W419" s="277">
        <f>S419/G419</f>
        <v/>
      </c>
      <c r="X419" s="173" t="inlineStr">
        <is>
          <t>B</t>
        </is>
      </c>
      <c r="Y419" s="177" t="n"/>
      <c r="Z419" s="371" t="n"/>
      <c r="AA419" s="393" t="inlineStr">
        <is>
          <t>No</t>
        </is>
      </c>
      <c r="AB419" s="170" t="inlineStr">
        <is>
          <t>Rent review @ 18/12/25 documented at passing rent.</t>
        </is>
      </c>
      <c r="AC419" s="313" t="n"/>
      <c r="AD419" s="170" t="n"/>
      <c r="AE419" s="289" t="n"/>
      <c r="AF419" s="170" t="n"/>
    </row>
    <row r="420">
      <c r="A420" s="11" t="inlineStr">
        <is>
          <t>CD</t>
        </is>
      </c>
      <c r="B420" s="1" t="inlineStr">
        <is>
          <t>OOS</t>
        </is>
      </c>
      <c r="C420" s="170" t="n">
        <v>888010</v>
      </c>
      <c r="D420" s="170" t="inlineStr">
        <is>
          <t>184-190 Oxford Street &amp; 28/30 Market Place</t>
        </is>
      </c>
      <c r="E420" s="170" t="inlineStr">
        <is>
          <t>Part Basement</t>
        </is>
      </c>
      <c r="F420" s="171" t="inlineStr">
        <is>
          <t>Sub-Station</t>
        </is>
      </c>
      <c r="G420" s="173" t="n">
        <v>0</v>
      </c>
      <c r="H420" s="173">
        <f>G420</f>
        <v/>
      </c>
      <c r="I420" s="173" t="n"/>
      <c r="J420" s="117" t="inlineStr">
        <is>
          <t>EDF</t>
        </is>
      </c>
      <c r="K420" s="210" t="n">
        <v>20814</v>
      </c>
      <c r="L420" s="210" t="n">
        <v>39073</v>
      </c>
      <c r="M420" s="210" t="n"/>
      <c r="N420" s="174" t="n"/>
      <c r="O420" s="174" t="n"/>
      <c r="P420" s="173" t="n">
        <v>0</v>
      </c>
      <c r="Q420" s="173">
        <f>P420</f>
        <v/>
      </c>
      <c r="R420" s="173" t="n"/>
      <c r="S420" s="173" t="n">
        <v>0</v>
      </c>
      <c r="T420" s="173">
        <f>S420</f>
        <v/>
      </c>
      <c r="U420" s="397" t="n">
        <v>0</v>
      </c>
      <c r="V420" s="173">
        <f>U420</f>
        <v/>
      </c>
      <c r="W420" s="277" t="n"/>
      <c r="X420" s="173" t="n"/>
      <c r="Y420" s="177" t="n"/>
      <c r="Z420" s="371" t="n"/>
      <c r="AA420" s="393" t="inlineStr">
        <is>
          <t>Yes</t>
        </is>
      </c>
      <c r="AB420" s="170" t="inlineStr">
        <is>
          <t>New lease in negotiation. £1k max from date of purchase.</t>
        </is>
      </c>
      <c r="AC420" s="313" t="n"/>
      <c r="AD420" s="170" t="n"/>
      <c r="AE420" s="289" t="n"/>
      <c r="AF420" s="170" t="n"/>
    </row>
  </sheetData>
  <autoFilter ref="A2:AF4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402" t="inlineStr">
        <is>
          <t>Document updated 03/12/2025 at 2.24pm</t>
        </is>
      </c>
    </row>
    <row r="2">
      <c r="A2" s="398" t="inlineStr">
        <is>
          <t>Building</t>
        </is>
      </c>
      <c r="B2" s="398" t="inlineStr">
        <is>
          <t>Net Area</t>
        </is>
      </c>
      <c r="C2" s="398" t="inlineStr">
        <is>
          <t>Rent PA (£)</t>
        </is>
      </c>
      <c r="D2" s="398" t="inlineStr">
        <is>
          <t>2023 ERV (£)</t>
        </is>
      </c>
      <c r="E2" s="398" t="inlineStr">
        <is>
          <t>2025 ERV (£)</t>
        </is>
      </c>
      <c r="F2" s="398" t="inlineStr">
        <is>
          <t>2025 Cap Valn. (£)</t>
        </is>
      </c>
    </row>
    <row r="3">
      <c r="A3" t="inlineStr">
        <is>
          <t>5-6 Bywell Place HELLO</t>
        </is>
      </c>
      <c r="B3" s="399">
        <f>SUMIF(Units!D:D,"5-6 Bywell Place HELLO",Units!G:G)</f>
        <v/>
      </c>
      <c r="C3" s="400">
        <f>SUMIF(Units!D:D,"5-6 Bywell Place HELLO",Units!P:P)</f>
        <v/>
      </c>
      <c r="D3" s="400">
        <f>SUMIF(Units!D:D,"5-6 Bywell Place HELLO",Units!S:S)</f>
        <v/>
      </c>
      <c r="E3" s="400">
        <f>SUMIF(Units!D:D,"5-6 Bywell Place HELLO",Units!U:U)</f>
        <v/>
      </c>
      <c r="F3" s="401">
        <f>'Bank Schedule'!AA7</f>
        <v/>
      </c>
    </row>
    <row r="4">
      <c r="A4" t="inlineStr">
        <is>
          <t>22 and 23-25 Eastcastle Street</t>
        </is>
      </c>
      <c r="B4" s="399">
        <f>SUMIF(Units!D:D,"22 and 23-25 Eastcastle Street",Units!G:G)</f>
        <v/>
      </c>
      <c r="C4" s="400">
        <f>SUMIF(Units!D:D,"22 and 23-25 Eastcastle Street",Units!P:P)</f>
        <v/>
      </c>
      <c r="D4" s="400">
        <f>SUMIF(Units!D:D,"22 and 23-25 Eastcastle Street",Units!S:S)</f>
        <v/>
      </c>
      <c r="E4" s="400">
        <f>SUMIF(Units!D:D,"22 and 23-25 Eastcastle Street",Units!U:U)</f>
        <v/>
      </c>
      <c r="F4" s="401">
        <f>'Bank Schedule'!AA25</f>
        <v/>
      </c>
    </row>
    <row r="5">
      <c r="A5" t="inlineStr">
        <is>
          <t>26 Eastcastle Street</t>
        </is>
      </c>
      <c r="B5" s="399">
        <f>SUMIF(Units!D:D,"26 Eastcastle Street",Units!G:G)</f>
        <v/>
      </c>
      <c r="C5" s="400">
        <f>SUMIF(Units!D:D,"26 Eastcastle Street",Units!P:P)</f>
        <v/>
      </c>
      <c r="D5" s="400">
        <f>SUMIF(Units!D:D,"26 Eastcastle Street",Units!S:S)</f>
        <v/>
      </c>
      <c r="E5" s="400">
        <f>SUMIF(Units!D:D,"26 Eastcastle Street",Units!U:U)</f>
        <v/>
      </c>
      <c r="F5" s="401">
        <f>'Bank Schedule'!AA34</f>
        <v/>
      </c>
    </row>
    <row r="6">
      <c r="A6" t="inlineStr">
        <is>
          <t>27 - 28 Eastcastle Street</t>
        </is>
      </c>
      <c r="B6" s="399">
        <f>SUMIF(Units!D:D,"27 - 28 Eastcastle Street",Units!G:G)</f>
        <v/>
      </c>
      <c r="C6" s="400">
        <f>SUMIF(Units!D:D,"27 - 28 Eastcastle Street",Units!P:P)</f>
        <v/>
      </c>
      <c r="D6" s="400">
        <f>SUMIF(Units!D:D,"27 - 28 Eastcastle Street",Units!S:S)</f>
        <v/>
      </c>
      <c r="E6" s="400">
        <f>SUMIF(Units!D:D,"27 - 28 Eastcastle Street",Units!U:U)</f>
        <v/>
      </c>
      <c r="F6" s="401">
        <f>'Bank Schedule'!AA43</f>
        <v/>
      </c>
    </row>
    <row r="7">
      <c r="A7" t="inlineStr">
        <is>
          <t>10 Great Castle Street</t>
        </is>
      </c>
      <c r="B7" s="399">
        <f>SUMIF(Units!D:D,"10 Great Castle Street",Units!G:G)</f>
        <v/>
      </c>
      <c r="C7" s="400">
        <f>SUMIF(Units!D:D,"10 Great Castle Street",Units!P:P)</f>
        <v/>
      </c>
      <c r="D7" s="400">
        <f>SUMIF(Units!D:D,"10 Great Castle Street",Units!S:S)</f>
        <v/>
      </c>
      <c r="E7" s="400">
        <f>SUMIF(Units!D:D,"10 Great Castle Street",Units!U:U)</f>
        <v/>
      </c>
      <c r="F7" s="401">
        <f>'Bank Schedule'!AA47</f>
        <v/>
      </c>
    </row>
    <row r="8">
      <c r="A8" t="inlineStr">
        <is>
          <t>Windsor House, 40-41 Great Castle Street</t>
        </is>
      </c>
      <c r="B8" s="399">
        <f>SUMIF(Units!D:D,"Windsor House, 40-41 Great Castle Street",Units!G:G)</f>
        <v/>
      </c>
      <c r="C8" s="400">
        <f>SUMIF(Units!D:D,"Windsor House, 40-41 Great Castle Street",Units!P:P)</f>
        <v/>
      </c>
      <c r="D8" s="400">
        <f>SUMIF(Units!D:D,"Windsor House, 40-41 Great Castle Street",Units!S:S)</f>
        <v/>
      </c>
      <c r="E8" s="400">
        <f>SUMIF(Units!D:D,"Windsor House, 40-41 Great Castle Street",Units!U:U)</f>
        <v/>
      </c>
      <c r="F8" s="401">
        <f>'Bank Schedule'!AA58</f>
        <v/>
      </c>
    </row>
    <row r="9">
      <c r="A9" t="inlineStr">
        <is>
          <t>Portland House, 4 Great Portland Street</t>
        </is>
      </c>
      <c r="B9" s="399">
        <f>SUMIF(Units!D:D,"Portland House, 4 Great Portland Street",Units!G:G)</f>
        <v/>
      </c>
      <c r="C9" s="400">
        <f>SUMIF(Units!D:D,"Portland House, 4 Great Portland Street",Units!P:P)</f>
        <v/>
      </c>
      <c r="D9" s="400">
        <f>SUMIF(Units!D:D,"Portland House, 4 Great Portland Street",Units!S:S)</f>
        <v/>
      </c>
      <c r="E9" s="400">
        <f>SUMIF(Units!D:D,"Portland House, 4 Great Portland Street",Units!U:U)</f>
        <v/>
      </c>
      <c r="F9" s="401">
        <f>'Bank Schedule'!AA80</f>
        <v/>
      </c>
    </row>
    <row r="10">
      <c r="A10" t="inlineStr">
        <is>
          <t>6-10a Great Portland Street</t>
        </is>
      </c>
      <c r="B10" s="399">
        <f>SUMIF(Units!D:D,"6-10a Great Portland Street",Units!G:G)</f>
        <v/>
      </c>
      <c r="C10" s="400">
        <f>SUMIF(Units!D:D,"6-10a Great Portland Street",Units!P:P)</f>
        <v/>
      </c>
      <c r="D10" s="400">
        <f>SUMIF(Units!D:D,"6-10a Great Portland Street",Units!S:S)</f>
        <v/>
      </c>
      <c r="E10" s="400">
        <f>SUMIF(Units!D:D,"6-10a Great Portland Street",Units!U:U)</f>
        <v/>
      </c>
      <c r="F10" s="401">
        <f>'Bank Schedule'!AA92</f>
        <v/>
      </c>
    </row>
    <row r="11">
      <c r="A11" t="inlineStr">
        <is>
          <t>15-17 Great Portland Street &amp; 6-7 Great Castle Street</t>
        </is>
      </c>
      <c r="B11" s="399">
        <f>SUMIF(Units!D:D,"15-17 Great Portland Street &amp; 6-7 Great Castle Street",Units!G:G)</f>
        <v/>
      </c>
      <c r="C11" s="400">
        <f>SUMIF(Units!D:D,"15-17 Great Portland Street &amp; 6-7 Great Castle Street",Units!P:P)</f>
        <v/>
      </c>
      <c r="D11" s="400">
        <f>SUMIF(Units!D:D,"15-17 Great Portland Street &amp; 6-7 Great Castle Street",Units!S:S)</f>
        <v/>
      </c>
      <c r="E11" s="400">
        <f>SUMIF(Units!D:D,"15-17 Great Portland Street &amp; 6-7 Great Castle Street",Units!U:U)</f>
        <v/>
      </c>
      <c r="F11" s="401">
        <f>'Bank Schedule'!AA96</f>
        <v/>
      </c>
    </row>
    <row r="12">
      <c r="A12" t="inlineStr">
        <is>
          <t>19-21 Great Portland Street</t>
        </is>
      </c>
      <c r="B12" s="399">
        <f>SUMIF(Units!D:D,"19-21 Great Portland Street",Units!G:G)</f>
        <v/>
      </c>
      <c r="C12" s="400">
        <f>SUMIF(Units!D:D,"19-21 Great Portland Street",Units!P:P)</f>
        <v/>
      </c>
      <c r="D12" s="400">
        <f>SUMIF(Units!D:D,"19-21 Great Portland Street",Units!S:S)</f>
        <v/>
      </c>
      <c r="E12" s="400">
        <f>SUMIF(Units!D:D,"19-21 Great Portland Street",Units!U:U)</f>
        <v/>
      </c>
    </row>
    <row r="13">
      <c r="A13" t="inlineStr">
        <is>
          <t>20 Great Portland Street</t>
        </is>
      </c>
      <c r="B13" s="399">
        <f>SUMIF(Units!D:D,"20 Great Portland Street",Units!G:G)</f>
        <v/>
      </c>
      <c r="C13" s="400">
        <f>SUMIF(Units!D:D,"20 Great Portland Street",Units!P:P)</f>
        <v/>
      </c>
      <c r="D13" s="400">
        <f>SUMIF(Units!D:D,"20 Great Portland Street",Units!S:S)</f>
        <v/>
      </c>
      <c r="E13" s="400">
        <f>SUMIF(Units!D:D,"20 Great Portland Street",Units!U:U)</f>
        <v/>
      </c>
      <c r="F13" s="401">
        <f>'Bank Schedule'!AA121</f>
        <v/>
      </c>
    </row>
    <row r="14">
      <c r="A14" t="inlineStr">
        <is>
          <t>Highlight House, 22-24 Great Portland Street</t>
        </is>
      </c>
      <c r="B14" s="399">
        <f>SUMIF(Units!D:D,"Highlight House, 22-24 Great Portland Street",Units!G:G)</f>
        <v/>
      </c>
      <c r="C14" s="400">
        <f>SUMIF(Units!D:D,"Highlight House, 22-24 Great Portland Street",Units!P:P)</f>
        <v/>
      </c>
      <c r="D14" s="400">
        <f>SUMIF(Units!D:D,"Highlight House, 22-24 Great Portland Street",Units!S:S)</f>
        <v/>
      </c>
      <c r="E14" s="400">
        <f>SUMIF(Units!D:D,"Highlight House, 22-24 Great Portland Street",Units!U:U)</f>
        <v/>
      </c>
      <c r="F14" s="401">
        <f>'Bank Schedule'!AA131</f>
        <v/>
      </c>
    </row>
    <row r="15">
      <c r="A15" t="inlineStr">
        <is>
          <t>23-25 Great Portland Street &amp; 54-55 Margaret Street</t>
        </is>
      </c>
      <c r="B15" s="399">
        <f>SUMIF(Units!D:D,"23-25 Great Portland Street &amp; 54-55 Margaret Street",Units!G:G)</f>
        <v/>
      </c>
      <c r="C15" s="400">
        <f>SUMIF(Units!D:D,"23-25 Great Portland Street &amp; 54-55 Margaret Street",Units!P:P)</f>
        <v/>
      </c>
      <c r="D15" s="400">
        <f>SUMIF(Units!D:D,"23-25 Great Portland Street &amp; 54-55 Margaret Street",Units!S:S)</f>
        <v/>
      </c>
      <c r="E15" s="400">
        <f>SUMIF(Units!D:D,"23-25 Great Portland Street &amp; 54-55 Margaret Street",Units!U:U)</f>
        <v/>
      </c>
      <c r="F15" s="401">
        <f>'Bank Schedule'!AA138</f>
        <v/>
      </c>
    </row>
    <row r="16">
      <c r="A16" t="inlineStr">
        <is>
          <t>39 Great Portland Street</t>
        </is>
      </c>
      <c r="B16" s="399">
        <f>SUMIF(Units!D:D,"39 Great Portland Street",Units!G:G)</f>
        <v/>
      </c>
      <c r="C16" s="400">
        <f>SUMIF(Units!D:D,"39 Great Portland Street",Units!P:P)</f>
        <v/>
      </c>
      <c r="D16" s="400">
        <f>SUMIF(Units!D:D,"39 Great Portland Street",Units!S:S)</f>
        <v/>
      </c>
      <c r="E16" s="400">
        <f>SUMIF(Units!D:D,"39 Great Portland Street",Units!U:U)</f>
        <v/>
      </c>
      <c r="F16" s="401">
        <f>'Bank Schedule'!AA148</f>
        <v/>
      </c>
    </row>
    <row r="17">
      <c r="A17" t="inlineStr">
        <is>
          <t>41 Great Portland Street</t>
        </is>
      </c>
      <c r="B17" s="399">
        <f>SUMIF(Units!D:D,"41 Great Portland Street",Units!G:G)</f>
        <v/>
      </c>
      <c r="C17" s="400">
        <f>SUMIF(Units!D:D,"41 Great Portland Street",Units!P:P)</f>
        <v/>
      </c>
      <c r="D17" s="400">
        <f>SUMIF(Units!D:D,"41 Great Portland Street",Units!S:S)</f>
        <v/>
      </c>
      <c r="E17" s="400">
        <f>SUMIF(Units!D:D,"41 Great Portland Street",Units!U:U)</f>
        <v/>
      </c>
      <c r="F17" s="401">
        <f>'Bank Schedule'!AA152</f>
        <v/>
      </c>
    </row>
    <row r="18">
      <c r="A18" t="inlineStr">
        <is>
          <t>42-48 Great Portland Street</t>
        </is>
      </c>
      <c r="B18" s="399">
        <f>SUMIF(Units!D:D,"42-48 Great Portland Street",Units!G:G)</f>
        <v/>
      </c>
      <c r="C18" s="400">
        <f>SUMIF(Units!D:D,"42-48 Great Portland Street",Units!P:P)</f>
        <v/>
      </c>
      <c r="D18" s="400">
        <f>SUMIF(Units!D:D,"42-48 Great Portland Street",Units!S:S)</f>
        <v/>
      </c>
      <c r="E18" s="400">
        <f>SUMIF(Units!D:D,"42-48 Great Portland Street",Units!U:U)</f>
        <v/>
      </c>
      <c r="F18" s="401">
        <f>'Bank Schedule'!AA163</f>
        <v/>
      </c>
    </row>
    <row r="19">
      <c r="A19" t="inlineStr">
        <is>
          <t>45-49 Great Portland Street</t>
        </is>
      </c>
      <c r="B19" s="399">
        <f>SUMIF(Units!D:D,"45-49 Great Portland Street",Units!G:G)</f>
        <v/>
      </c>
      <c r="C19" s="400">
        <f>SUMIF(Units!D:D,"45-49 Great Portland Street",Units!P:P)</f>
        <v/>
      </c>
      <c r="D19" s="400">
        <f>SUMIF(Units!D:D,"45-49 Great Portland Street",Units!S:S)</f>
        <v/>
      </c>
      <c r="E19" s="400">
        <f>SUMIF(Units!D:D,"45-49 Great Portland Street",Units!U:U)</f>
        <v/>
      </c>
      <c r="F19" s="401">
        <f>'Bank Schedule'!AA171</f>
        <v/>
      </c>
    </row>
    <row r="20">
      <c r="A20" t="inlineStr">
        <is>
          <t>50 Great Portland Street</t>
        </is>
      </c>
      <c r="B20" s="399">
        <f>SUMIF(Units!D:D,"50 Great Portland Street",Units!G:G)</f>
        <v/>
      </c>
      <c r="C20" s="400">
        <f>SUMIF(Units!D:D,"50 Great Portland Street",Units!P:P)</f>
        <v/>
      </c>
      <c r="D20" s="400">
        <f>SUMIF(Units!D:D,"50 Great Portland Street",Units!S:S)</f>
        <v/>
      </c>
      <c r="E20" s="400">
        <f>SUMIF(Units!D:D,"50 Great Portland Street",Units!U:U)</f>
        <v/>
      </c>
      <c r="F20" s="401">
        <f>'Bank Schedule'!AA182</f>
        <v/>
      </c>
    </row>
    <row r="21">
      <c r="A21" t="inlineStr">
        <is>
          <t>51 Great Portland Street</t>
        </is>
      </c>
      <c r="B21" s="399">
        <f>SUMIF(Units!D:D,"51 Great Portland Street",Units!G:G)</f>
        <v/>
      </c>
      <c r="C21" s="400">
        <f>SUMIF(Units!D:D,"51 Great Portland Street",Units!P:P)</f>
        <v/>
      </c>
      <c r="D21" s="400">
        <f>SUMIF(Units!D:D,"51 Great Portland Street",Units!S:S)</f>
        <v/>
      </c>
      <c r="E21" s="400">
        <f>SUMIF(Units!D:D,"51 Great Portland Street",Units!U:U)</f>
        <v/>
      </c>
      <c r="F21" s="401">
        <f>'Bank Schedule'!AA191</f>
        <v/>
      </c>
    </row>
    <row r="22">
      <c r="A22" t="inlineStr">
        <is>
          <t>53 Great Portland Street</t>
        </is>
      </c>
      <c r="B22" s="399">
        <f>SUMIF(Units!D:D,"53 Great Portland Street",Units!G:G)</f>
        <v/>
      </c>
      <c r="C22" s="400">
        <f>SUMIF(Units!D:D,"53 Great Portland Street",Units!P:P)</f>
        <v/>
      </c>
      <c r="D22" s="400">
        <f>SUMIF(Units!D:D,"53 Great Portland Street",Units!S:S)</f>
        <v/>
      </c>
      <c r="E22" s="400">
        <f>SUMIF(Units!D:D,"53 Great Portland Street",Units!U:U)</f>
        <v/>
      </c>
      <c r="F22" s="401">
        <f>'Bank Schedule'!AA201</f>
        <v/>
      </c>
    </row>
    <row r="23">
      <c r="A23" t="inlineStr">
        <is>
          <t>76 Great Portland Street</t>
        </is>
      </c>
      <c r="B23" s="399">
        <f>SUMIF(Units!D:D,"76 Great Portland Street",Units!G:G)</f>
        <v/>
      </c>
      <c r="C23" s="400">
        <f>SUMIF(Units!D:D,"76 Great Portland Street",Units!P:P)</f>
        <v/>
      </c>
      <c r="D23" s="400">
        <f>SUMIF(Units!D:D,"76 Great Portland Street",Units!S:S)</f>
        <v/>
      </c>
      <c r="E23" s="400">
        <f>SUMIF(Units!D:D,"76 Great Portland Street",Units!U:U)</f>
        <v/>
      </c>
      <c r="F23" s="401">
        <f>'Bank Schedule'!AA209</f>
        <v/>
      </c>
    </row>
    <row r="24">
      <c r="A24" t="inlineStr">
        <is>
          <t>1 Great Titchfield Street</t>
        </is>
      </c>
      <c r="B24" s="399">
        <f>SUMIF(Units!D:D,"1 Great Titchfield Street",Units!G:G)</f>
        <v/>
      </c>
      <c r="C24" s="400">
        <f>SUMIF(Units!D:D,"1 Great Titchfield Street",Units!P:P)</f>
        <v/>
      </c>
      <c r="D24" s="400">
        <f>SUMIF(Units!D:D,"1 Great Titchfield Street",Units!S:S)</f>
        <v/>
      </c>
      <c r="E24" s="400">
        <f>SUMIF(Units!D:D,"1 Great Titchfield Street",Units!U:U)</f>
        <v/>
      </c>
      <c r="F24" s="401">
        <f>'Bank Schedule'!AA213</f>
        <v/>
      </c>
    </row>
    <row r="25">
      <c r="A25" t="inlineStr">
        <is>
          <t>3 Great Titchfield Street</t>
        </is>
      </c>
      <c r="B25" s="399">
        <f>SUMIF(Units!D:D,"3 Great Titchfield Street",Units!G:G)</f>
        <v/>
      </c>
      <c r="C25" s="400">
        <f>SUMIF(Units!D:D,"3 Great Titchfield Street",Units!P:P)</f>
        <v/>
      </c>
      <c r="D25" s="400">
        <f>SUMIF(Units!D:D,"3 Great Titchfield Street",Units!S:S)</f>
        <v/>
      </c>
      <c r="E25" s="400">
        <f>SUMIF(Units!D:D,"3 Great Titchfield Street",Units!U:U)</f>
        <v/>
      </c>
      <c r="F25" s="401">
        <f>'Bank Schedule'!AA221</f>
        <v/>
      </c>
    </row>
    <row r="26">
      <c r="A26" t="inlineStr">
        <is>
          <t>Great Titchfield House,  14-18 Great Titchfield Street</t>
        </is>
      </c>
      <c r="B26" s="399">
        <f>SUMIF(Units!D:D,"Great Titchfield House,  14-18 Great Titchfield Street",Units!G:G)</f>
        <v/>
      </c>
      <c r="C26" s="400">
        <f>SUMIF(Units!D:D,"Great Titchfield House,  14-18 Great Titchfield Street",Units!P:P)</f>
        <v/>
      </c>
      <c r="D26" s="400">
        <f>SUMIF(Units!D:D,"Great Titchfield House,  14-18 Great Titchfield Street",Units!S:S)</f>
        <v/>
      </c>
      <c r="E26" s="400">
        <f>SUMIF(Units!D:D,"Great Titchfield House,  14-18 Great Titchfield Street",Units!U:U)</f>
        <v/>
      </c>
      <c r="F26" s="401">
        <f>'Bank Schedule'!AA233</f>
        <v/>
      </c>
    </row>
    <row r="27">
      <c r="A27" t="inlineStr">
        <is>
          <t>Golderbrock House,  15-19 Great Titchfield Street</t>
        </is>
      </c>
      <c r="B27" s="399">
        <f>SUMIF(Units!D:D,"Golderbrock House,  15-19 Great Titchfield Street",Units!G:G)</f>
        <v/>
      </c>
      <c r="C27" s="400">
        <f>SUMIF(Units!D:D,"Golderbrock House,  15-19 Great Titchfield Street",Units!P:P)</f>
        <v/>
      </c>
      <c r="D27" s="400">
        <f>SUMIF(Units!D:D,"Golderbrock House,  15-19 Great Titchfield Street",Units!S:S)</f>
        <v/>
      </c>
      <c r="E27" s="400">
        <f>SUMIF(Units!D:D,"Golderbrock House,  15-19 Great Titchfield Street",Units!U:U)</f>
        <v/>
      </c>
      <c r="F27" s="401">
        <f>'Bank Schedule'!AA247</f>
        <v/>
      </c>
    </row>
    <row r="28">
      <c r="A28" t="inlineStr">
        <is>
          <t>Circus House,  21 Great Titchfield Street</t>
        </is>
      </c>
      <c r="B28" s="399">
        <f>SUMIF(Units!D:D,"Circus House,  21 Great Titchfield Street",Units!G:G)</f>
        <v/>
      </c>
      <c r="C28" s="400">
        <f>SUMIF(Units!D:D,"Circus House,  21 Great Titchfield Street",Units!P:P)</f>
        <v/>
      </c>
      <c r="D28" s="400">
        <f>SUMIF(Units!D:D,"Circus House,  21 Great Titchfield Street",Units!S:S)</f>
        <v/>
      </c>
      <c r="E28" s="400">
        <f>SUMIF(Units!D:D,"Circus House,  21 Great Titchfield Street",Units!U:U)</f>
        <v/>
      </c>
      <c r="F28" s="401">
        <f>'Bank Schedule'!AA258</f>
        <v/>
      </c>
    </row>
    <row r="29">
      <c r="A29" t="inlineStr">
        <is>
          <t>Moray House, 23-35 Great Titchfield Street &amp; 63-65 Mortimer Street</t>
        </is>
      </c>
      <c r="B29" s="399">
        <f>SUMIF(Units!D:D,"Moray House, 23-35 Great Titchfield Street &amp; 63-65 Mortimer Street",Units!G:G)</f>
        <v/>
      </c>
      <c r="C29" s="400">
        <f>SUMIF(Units!D:D,"Moray House, 23-35 Great Titchfield Street &amp; 63-65 Mortimer Street",Units!P:P)</f>
        <v/>
      </c>
      <c r="D29" s="400">
        <f>SUMIF(Units!D:D,"Moray House, 23-35 Great Titchfield Street &amp; 63-65 Mortimer Street",Units!S:S)</f>
        <v/>
      </c>
      <c r="E29" s="400">
        <f>SUMIF(Units!D:D,"Moray House, 23-35 Great Titchfield Street &amp; 63-65 Mortimer Street",Units!U:U)</f>
        <v/>
      </c>
      <c r="F29" s="401">
        <f>'Bank Schedule'!AA277</f>
        <v/>
      </c>
    </row>
    <row r="30">
      <c r="A30" t="inlineStr">
        <is>
          <t>56 Great Titchfield Street</t>
        </is>
      </c>
      <c r="B30" s="399">
        <f>SUMIF(Units!D:D,"56 Great Titchfield Street",Units!G:G)</f>
        <v/>
      </c>
      <c r="C30" s="400">
        <f>SUMIF(Units!D:D,"56 Great Titchfield Street",Units!P:P)</f>
        <v/>
      </c>
      <c r="D30" s="400">
        <f>SUMIF(Units!D:D,"56 Great Titchfield Street",Units!S:S)</f>
        <v/>
      </c>
      <c r="E30" s="400">
        <f>SUMIF(Units!D:D,"56 Great Titchfield Street",Units!U:U)</f>
        <v/>
      </c>
      <c r="F30" s="401">
        <f>'Bank Schedule'!AA281</f>
        <v/>
      </c>
    </row>
    <row r="31">
      <c r="A31" t="inlineStr">
        <is>
          <t>58 Great Titchfield Street</t>
        </is>
      </c>
      <c r="B31" s="399">
        <f>SUMIF(Units!D:D,"58 Great Titchfield Street",Units!G:G)</f>
        <v/>
      </c>
      <c r="C31" s="400">
        <f>SUMIF(Units!D:D,"58 Great Titchfield Street",Units!P:P)</f>
        <v/>
      </c>
      <c r="D31" s="400">
        <f>SUMIF(Units!D:D,"58 Great Titchfield Street",Units!S:S)</f>
        <v/>
      </c>
      <c r="E31" s="400">
        <f>SUMIF(Units!D:D,"58 Great Titchfield Street",Units!U:U)</f>
        <v/>
      </c>
      <c r="F31" s="401">
        <f>'Bank Schedule'!AA288</f>
        <v/>
      </c>
    </row>
    <row r="32">
      <c r="A32" t="inlineStr">
        <is>
          <t>12 Hallam Street (The Hallam Hotel)</t>
        </is>
      </c>
      <c r="B32" s="399">
        <f>SUMIF(Units!D:D,"12 Hallam Street (The Hallam Hotel)",Units!G:G)</f>
        <v/>
      </c>
      <c r="C32" s="400">
        <f>SUMIF(Units!D:D,"12 Hallam Street (The Hallam Hotel)",Units!P:P)</f>
        <v/>
      </c>
      <c r="D32" s="400">
        <f>SUMIF(Units!D:D,"12 Hallam Street (The Hallam Hotel)",Units!S:S)</f>
        <v/>
      </c>
      <c r="E32" s="400">
        <f>SUMIF(Units!D:D,"12 Hallam Street (The Hallam Hotel)",Units!U:U)</f>
        <v/>
      </c>
      <c r="F32" s="401">
        <f>'Bank Schedule'!AA292</f>
        <v/>
      </c>
    </row>
    <row r="33">
      <c r="A33" t="inlineStr">
        <is>
          <t>16-20 Hallam Street  (Astor Court Hotel)</t>
        </is>
      </c>
      <c r="B33" s="399">
        <f>SUMIF(Units!D:D,"16-20 Hallam Street  (Astor Court Hotel)",Units!G:G)</f>
        <v/>
      </c>
      <c r="C33" s="400">
        <f>SUMIF(Units!D:D,"16-20 Hallam Street  (Astor Court Hotel)",Units!P:P)</f>
        <v/>
      </c>
      <c r="D33" s="400">
        <f>SUMIF(Units!D:D,"16-20 Hallam Street  (Astor Court Hotel)",Units!S:S)</f>
        <v/>
      </c>
      <c r="E33" s="400">
        <f>SUMIF(Units!D:D,"16-20 Hallam Street  (Astor Court Hotel)",Units!U:U)</f>
        <v/>
      </c>
      <c r="F33" s="401">
        <f>'Bank Schedule'!AA297</f>
        <v/>
      </c>
    </row>
    <row r="34">
      <c r="A34" t="inlineStr">
        <is>
          <t>Flat 1, 2 Little Portland Street</t>
        </is>
      </c>
      <c r="B34" s="399">
        <f>SUMIF(Units!D:D,"Flat 1, 2 Little Portland Street",Units!G:G)</f>
        <v/>
      </c>
      <c r="C34" s="400">
        <f>SUMIF(Units!D:D,"Flat 1, 2 Little Portland Street",Units!P:P)</f>
        <v/>
      </c>
      <c r="D34" s="400">
        <f>SUMIF(Units!D:D,"Flat 1, 2 Little Portland Street",Units!S:S)</f>
        <v/>
      </c>
      <c r="E34" s="400">
        <f>SUMIF(Units!D:D,"Flat 1, 2 Little Portland Street",Units!U:U)</f>
        <v/>
      </c>
      <c r="F34" s="401">
        <f>'Bank Schedule'!AA301</f>
        <v/>
      </c>
    </row>
    <row r="35">
      <c r="A35" t="inlineStr">
        <is>
          <t>3/4/4a Little Portland Street</t>
        </is>
      </c>
      <c r="B35" s="399">
        <f>SUMIF(Units!D:D,"3/4/4a Little Portland Street",Units!G:G)</f>
        <v/>
      </c>
      <c r="C35" s="400">
        <f>SUMIF(Units!D:D,"3/4/4a Little Portland Street",Units!P:P)</f>
        <v/>
      </c>
      <c r="D35" s="400">
        <f>SUMIF(Units!D:D,"3/4/4a Little Portland Street",Units!S:S)</f>
        <v/>
      </c>
      <c r="E35" s="400">
        <f>SUMIF(Units!D:D,"3/4/4a Little Portland Street",Units!U:U)</f>
        <v/>
      </c>
      <c r="F35" s="401">
        <f>'Bank Schedule'!AA318</f>
        <v/>
      </c>
    </row>
    <row r="36">
      <c r="A36" t="inlineStr">
        <is>
          <t>5 Little Portland Street</t>
        </is>
      </c>
      <c r="B36" s="399">
        <f>SUMIF(Units!D:D,"5 Little Portland Street",Units!G:G)</f>
        <v/>
      </c>
      <c r="C36" s="400">
        <f>SUMIF(Units!D:D,"5 Little Portland Street",Units!P:P)</f>
        <v/>
      </c>
      <c r="D36" s="400">
        <f>SUMIF(Units!D:D,"5 Little Portland Street",Units!S:S)</f>
        <v/>
      </c>
      <c r="E36" s="400">
        <f>SUMIF(Units!D:D,"5 Little Portland Street",Units!U:U)</f>
        <v/>
      </c>
      <c r="F36" s="401">
        <f>'Bank Schedule'!AA325</f>
        <v/>
      </c>
    </row>
    <row r="37">
      <c r="A37" t="inlineStr">
        <is>
          <t>Alexandra House, 6 Little Portland Street</t>
        </is>
      </c>
      <c r="B37" s="399">
        <f>SUMIF(Units!D:D,"Alexandra House, 6 Little Portland Street",Units!G:G)</f>
        <v/>
      </c>
      <c r="C37" s="400">
        <f>SUMIF(Units!D:D,"Alexandra House, 6 Little Portland Street",Units!P:P)</f>
        <v/>
      </c>
      <c r="D37" s="400">
        <f>SUMIF(Units!D:D,"Alexandra House, 6 Little Portland Street",Units!S:S)</f>
        <v/>
      </c>
      <c r="E37" s="400">
        <f>SUMIF(Units!D:D,"Alexandra House, 6 Little Portland Street",Units!U:U)</f>
        <v/>
      </c>
      <c r="F37" s="401">
        <f>'Bank Schedule'!AA332</f>
        <v/>
      </c>
    </row>
    <row r="38">
      <c r="A38" t="inlineStr">
        <is>
          <t>9 Little Portland Street</t>
        </is>
      </c>
      <c r="B38" s="399">
        <f>SUMIF(Units!D:D,"9 Little Portland Street",Units!G:G)</f>
        <v/>
      </c>
      <c r="C38" s="400">
        <f>SUMIF(Units!D:D,"9 Little Portland Street",Units!P:P)</f>
        <v/>
      </c>
      <c r="D38" s="400">
        <f>SUMIF(Units!D:D,"9 Little Portland Street",Units!S:S)</f>
        <v/>
      </c>
      <c r="E38" s="400">
        <f>SUMIF(Units!D:D,"9 Little Portland Street",Units!U:U)</f>
        <v/>
      </c>
      <c r="F38" s="401">
        <f>'Bank Schedule'!AA341</f>
        <v/>
      </c>
    </row>
    <row r="39">
      <c r="A39" t="inlineStr">
        <is>
          <t>21 Little Portland Street</t>
        </is>
      </c>
      <c r="B39" s="399">
        <f>SUMIF(Units!D:D,"21 Little Portland Street",Units!G:G)</f>
        <v/>
      </c>
      <c r="C39" s="400">
        <f>SUMIF(Units!D:D,"21 Little Portland Street",Units!P:P)</f>
        <v/>
      </c>
      <c r="D39" s="400">
        <f>SUMIF(Units!D:D,"21 Little Portland Street",Units!S:S)</f>
        <v/>
      </c>
      <c r="E39" s="400">
        <f>SUMIF(Units!D:D,"21 Little Portland Street",Units!U:U)</f>
        <v/>
      </c>
      <c r="F39" s="401">
        <f>'Bank Schedule'!AA352</f>
        <v/>
      </c>
    </row>
    <row r="40">
      <c r="A40" t="inlineStr">
        <is>
          <t>22 Little Portland Street (formerly 22-23 LPS)</t>
        </is>
      </c>
      <c r="B40" s="399">
        <f>SUMIF(Units!D:D,"22 Little Portland Street (formerly 22-23 LPS)",Units!G:G)</f>
        <v/>
      </c>
      <c r="C40" s="400">
        <f>SUMIF(Units!D:D,"22 Little Portland Street (formerly 22-23 LPS)",Units!P:P)</f>
        <v/>
      </c>
      <c r="D40" s="400">
        <f>SUMIF(Units!D:D,"22 Little Portland Street (formerly 22-23 LPS)",Units!S:S)</f>
        <v/>
      </c>
      <c r="E40" s="400">
        <f>SUMIF(Units!D:D,"22 Little Portland Street (formerly 22-23 LPS)",Units!U:U)</f>
        <v/>
      </c>
    </row>
    <row r="41">
      <c r="A41" t="inlineStr">
        <is>
          <t>9 Margaret Street</t>
        </is>
      </c>
      <c r="B41" s="399">
        <f>SUMIF(Units!D:D,"9 Margaret Street",Units!G:G)</f>
        <v/>
      </c>
      <c r="C41" s="400">
        <f>SUMIF(Units!D:D,"9 Margaret Street",Units!P:P)</f>
        <v/>
      </c>
      <c r="D41" s="400">
        <f>SUMIF(Units!D:D,"9 Margaret Street",Units!S:S)</f>
        <v/>
      </c>
      <c r="E41" s="400">
        <f>SUMIF(Units!D:D,"9 Margaret Street",Units!U:U)</f>
        <v/>
      </c>
      <c r="F41" s="401">
        <f>'Bank Schedule'!AA360</f>
        <v/>
      </c>
    </row>
    <row r="42">
      <c r="A42" t="inlineStr">
        <is>
          <t>London House, 9a Margaret Street</t>
        </is>
      </c>
      <c r="B42" s="399">
        <f>SUMIF(Units!D:D,"London House, 9a Margaret Street",Units!G:G)</f>
        <v/>
      </c>
      <c r="C42" s="400">
        <f>SUMIF(Units!D:D,"London House, 9a Margaret Street",Units!P:P)</f>
        <v/>
      </c>
      <c r="D42" s="400">
        <f>SUMIF(Units!D:D,"London House, 9a Margaret Street",Units!S:S)</f>
        <v/>
      </c>
      <c r="E42" s="400">
        <f>SUMIF(Units!D:D,"London House, 9a Margaret Street",Units!U:U)</f>
        <v/>
      </c>
      <c r="F42" s="401">
        <f>'Bank Schedule'!AA374</f>
        <v/>
      </c>
    </row>
    <row r="43">
      <c r="A43" t="inlineStr">
        <is>
          <t>10 Margaret Street</t>
        </is>
      </c>
      <c r="B43" s="399">
        <f>SUMIF(Units!D:D,"10 Margaret Street",Units!G:G)</f>
        <v/>
      </c>
      <c r="C43" s="400">
        <f>SUMIF(Units!D:D,"10 Margaret Street",Units!P:P)</f>
        <v/>
      </c>
      <c r="D43" s="400">
        <f>SUMIF(Units!D:D,"10 Margaret Street",Units!S:S)</f>
        <v/>
      </c>
      <c r="E43" s="400">
        <f>SUMIF(Units!D:D,"10 Margaret Street",Units!U:U)</f>
        <v/>
      </c>
      <c r="F43" s="401">
        <f>'Bank Schedule'!AA381</f>
        <v/>
      </c>
    </row>
    <row r="44">
      <c r="A44" t="inlineStr">
        <is>
          <t>Audley House,  12 Margaret Street</t>
        </is>
      </c>
      <c r="B44" s="399">
        <f>SUMIF(Units!D:D,"Audley House,  12 Margaret Street",Units!G:G)</f>
        <v/>
      </c>
      <c r="C44" s="400">
        <f>SUMIF(Units!D:D,"Audley House,  12 Margaret Street",Units!P:P)</f>
        <v/>
      </c>
      <c r="D44" s="400">
        <f>SUMIF(Units!D:D,"Audley House,  12 Margaret Street",Units!S:S)</f>
        <v/>
      </c>
      <c r="E44" s="400">
        <f>SUMIF(Units!D:D,"Audley House,  12 Margaret Street",Units!U:U)</f>
        <v/>
      </c>
      <c r="F44" s="401">
        <f>'Bank Schedule'!AA385</f>
        <v/>
      </c>
    </row>
    <row r="45">
      <c r="A45" t="inlineStr">
        <is>
          <t>13-14 Margaret Street</t>
        </is>
      </c>
      <c r="B45" s="399">
        <f>SUMIF(Units!D:D,"13-14 Margaret Street",Units!G:G)</f>
        <v/>
      </c>
      <c r="C45" s="400">
        <f>SUMIF(Units!D:D,"13-14 Margaret Street",Units!P:P)</f>
        <v/>
      </c>
      <c r="D45" s="400">
        <f>SUMIF(Units!D:D,"13-14 Margaret Street",Units!S:S)</f>
        <v/>
      </c>
      <c r="E45" s="400">
        <f>SUMIF(Units!D:D,"13-14 Margaret Street",Units!U:U)</f>
        <v/>
      </c>
      <c r="F45" s="401">
        <f>'Bank Schedule'!AA397</f>
        <v/>
      </c>
    </row>
    <row r="46">
      <c r="A46" t="inlineStr">
        <is>
          <t>15-16 Margaret Street</t>
        </is>
      </c>
      <c r="B46" s="399">
        <f>SUMIF(Units!D:D,"15-16 Margaret Street",Units!G:G)</f>
        <v/>
      </c>
      <c r="C46" s="400">
        <f>SUMIF(Units!D:D,"15-16 Margaret Street",Units!P:P)</f>
        <v/>
      </c>
      <c r="D46" s="400">
        <f>SUMIF(Units!D:D,"15-16 Margaret Street",Units!S:S)</f>
        <v/>
      </c>
      <c r="E46" s="400">
        <f>SUMIF(Units!D:D,"15-16 Margaret Street",Units!U:U)</f>
        <v/>
      </c>
      <c r="F46" s="401">
        <f>'Bank Schedule'!AA409</f>
        <v/>
      </c>
    </row>
    <row r="47">
      <c r="A47" t="inlineStr">
        <is>
          <t>17-18 Margaret Street</t>
        </is>
      </c>
      <c r="B47" s="399">
        <f>SUMIF(Units!D:D,"17-18 Margaret Street",Units!G:G)</f>
        <v/>
      </c>
      <c r="C47" s="400">
        <f>SUMIF(Units!D:D,"17-18 Margaret Street",Units!P:P)</f>
        <v/>
      </c>
      <c r="D47" s="400">
        <f>SUMIF(Units!D:D,"17-18 Margaret Street",Units!S:S)</f>
        <v/>
      </c>
      <c r="E47" s="400">
        <f>SUMIF(Units!D:D,"17-18 Margaret Street",Units!U:U)</f>
        <v/>
      </c>
      <c r="F47" s="401">
        <f>'Bank Schedule'!AA425</f>
        <v/>
      </c>
    </row>
    <row r="48">
      <c r="A48" t="inlineStr">
        <is>
          <t>19 Margaret Street</t>
        </is>
      </c>
      <c r="B48" s="399">
        <f>SUMIF(Units!D:D,"19 Margaret Street",Units!G:G)</f>
        <v/>
      </c>
      <c r="C48" s="400">
        <f>SUMIF(Units!D:D,"19 Margaret Street",Units!P:P)</f>
        <v/>
      </c>
      <c r="D48" s="400">
        <f>SUMIF(Units!D:D,"19 Margaret Street",Units!S:S)</f>
        <v/>
      </c>
      <c r="E48" s="400">
        <f>SUMIF(Units!D:D,"19 Margaret Street",Units!U:U)</f>
        <v/>
      </c>
      <c r="F48" s="401">
        <f>'Bank Schedule'!AA436</f>
        <v/>
      </c>
    </row>
    <row r="49">
      <c r="A49" t="inlineStr">
        <is>
          <t>20 Margaret Street</t>
        </is>
      </c>
      <c r="B49" s="399">
        <f>SUMIF(Units!D:D,"20 Margaret Street",Units!G:G)</f>
        <v/>
      </c>
      <c r="C49" s="400">
        <f>SUMIF(Units!D:D,"20 Margaret Street",Units!P:P)</f>
        <v/>
      </c>
      <c r="D49" s="400">
        <f>SUMIF(Units!D:D,"20 Margaret Street",Units!S:S)</f>
        <v/>
      </c>
      <c r="E49" s="400">
        <f>SUMIF(Units!D:D,"20 Margaret Street",Units!U:U)</f>
        <v/>
      </c>
      <c r="F49" s="401">
        <f>'Bank Schedule'!AA447</f>
        <v/>
      </c>
    </row>
    <row r="50">
      <c r="A50" t="inlineStr">
        <is>
          <t>25 Margaret Street</t>
        </is>
      </c>
      <c r="B50" s="399">
        <f>SUMIF(Units!D:D,"25 Margaret Street",Units!G:G)</f>
        <v/>
      </c>
      <c r="C50" s="400">
        <f>SUMIF(Units!D:D,"25 Margaret Street",Units!P:P)</f>
        <v/>
      </c>
      <c r="D50" s="400">
        <f>SUMIF(Units!D:D,"25 Margaret Street",Units!S:S)</f>
        <v/>
      </c>
      <c r="E50" s="400">
        <f>SUMIF(Units!D:D,"25 Margaret Street",Units!U:U)</f>
        <v/>
      </c>
      <c r="F50" s="401">
        <f>'Bank Schedule'!AA459</f>
        <v/>
      </c>
    </row>
    <row r="51">
      <c r="A51" t="inlineStr">
        <is>
          <t>47,48 &amp; 50 Margaret Street</t>
        </is>
      </c>
      <c r="B51" s="399">
        <f>SUMIF(Units!D:D,"47,48 &amp; 50 Margaret Street",Units!G:G)</f>
        <v/>
      </c>
      <c r="C51" s="400">
        <f>SUMIF(Units!D:D,"47,48 &amp; 50 Margaret Street",Units!P:P)</f>
        <v/>
      </c>
      <c r="D51" s="400">
        <f>SUMIF(Units!D:D,"47,48 &amp; 50 Margaret Street",Units!S:S)</f>
        <v/>
      </c>
      <c r="E51" s="400">
        <f>SUMIF(Units!D:D,"47,48 &amp; 50 Margaret Street",Units!U:U)</f>
        <v/>
      </c>
      <c r="F51" s="401">
        <f>'Bank Schedule'!AA476</f>
        <v/>
      </c>
    </row>
    <row r="52">
      <c r="A52" t="inlineStr">
        <is>
          <t>51-53 Margaret Street</t>
        </is>
      </c>
      <c r="B52" s="399">
        <f>SUMIF(Units!D:D,"51-53 Margaret Street",Units!G:G)</f>
        <v/>
      </c>
      <c r="C52" s="400">
        <f>SUMIF(Units!D:D,"51-53 Margaret Street",Units!P:P)</f>
        <v/>
      </c>
      <c r="D52" s="400">
        <f>SUMIF(Units!D:D,"51-53 Margaret Street",Units!S:S)</f>
        <v/>
      </c>
      <c r="E52" s="400">
        <f>SUMIF(Units!D:D,"51-53 Margaret Street",Units!U:U)</f>
        <v/>
      </c>
      <c r="F52" s="401">
        <f>'Bank Schedule'!AA493</f>
        <v/>
      </c>
    </row>
    <row r="53">
      <c r="A53" t="inlineStr">
        <is>
          <t>63-64 Margaret Street</t>
        </is>
      </c>
      <c r="B53" s="399">
        <f>SUMIF(Units!D:D,"63-64 Margaret Street",Units!G:G)</f>
        <v/>
      </c>
      <c r="C53" s="400">
        <f>SUMIF(Units!D:D,"63-64 Margaret Street",Units!P:P)</f>
        <v/>
      </c>
      <c r="D53" s="400">
        <f>SUMIF(Units!D:D,"63-64 Margaret Street",Units!S:S)</f>
        <v/>
      </c>
      <c r="E53" s="400">
        <f>SUMIF(Units!D:D,"63-64 Margaret Street",Units!U:U)</f>
        <v/>
      </c>
      <c r="F53" s="401">
        <f>'Bank Schedule'!AA512</f>
        <v/>
      </c>
    </row>
    <row r="54">
      <c r="A54" t="inlineStr">
        <is>
          <t>65 Margaret Street</t>
        </is>
      </c>
      <c r="B54" s="399">
        <f>SUMIF(Units!D:D,"65 Margaret Street",Units!G:G)</f>
        <v/>
      </c>
      <c r="C54" s="400">
        <f>SUMIF(Units!D:D,"65 Margaret Street",Units!P:P)</f>
        <v/>
      </c>
      <c r="D54" s="400">
        <f>SUMIF(Units!D:D,"65 Margaret Street",Units!S:S)</f>
        <v/>
      </c>
      <c r="E54" s="400">
        <f>SUMIF(Units!D:D,"65 Margaret Street",Units!U:U)</f>
        <v/>
      </c>
      <c r="F54" s="401">
        <f>'Bank Schedule'!AA523</f>
        <v/>
      </c>
    </row>
    <row r="55">
      <c r="A55" t="inlineStr">
        <is>
          <t>75-77 Margaret Street</t>
        </is>
      </c>
      <c r="B55" s="399">
        <f>SUMIF(Units!D:D,"75-77 Margaret Street",Units!G:G)</f>
        <v/>
      </c>
      <c r="C55" s="400">
        <f>SUMIF(Units!D:D,"75-77 Margaret Street",Units!P:P)</f>
        <v/>
      </c>
      <c r="D55" s="400">
        <f>SUMIF(Units!D:D,"75-77 Margaret Street",Units!S:S)</f>
        <v/>
      </c>
      <c r="E55" s="400">
        <f>SUMIF(Units!D:D,"75-77 Margaret Street",Units!U:U)</f>
        <v/>
      </c>
      <c r="F55" s="401">
        <f>'Bank Schedule'!AA537</f>
        <v/>
      </c>
    </row>
    <row r="56">
      <c r="A56" t="inlineStr">
        <is>
          <t>Sackville House - 78 Margaret Street</t>
        </is>
      </c>
      <c r="B56" s="399">
        <f>SUMIF(Units!D:D,"Sackville House - 78 Margaret Street",Units!G:G)</f>
        <v/>
      </c>
      <c r="C56" s="400">
        <f>SUMIF(Units!D:D,"Sackville House - 78 Margaret Street",Units!P:P)</f>
        <v/>
      </c>
      <c r="D56" s="400">
        <f>SUMIF(Units!D:D,"Sackville House - 78 Margaret Street",Units!S:S)</f>
        <v/>
      </c>
      <c r="E56" s="400">
        <f>SUMIF(Units!D:D,"Sackville House - 78 Margaret Street",Units!U:U)</f>
        <v/>
      </c>
      <c r="F56" s="401">
        <f>'Bank Schedule'!AA546</f>
        <v/>
      </c>
    </row>
    <row r="57">
      <c r="A57" t="inlineStr">
        <is>
          <t>Kenilworth House - 79-80 Margaret Street</t>
        </is>
      </c>
      <c r="B57" s="399">
        <f>SUMIF(Units!D:D,"Kenilworth House - 79-80 Margaret Street",Units!G:G)</f>
        <v/>
      </c>
      <c r="C57" s="400">
        <f>SUMIF(Units!D:D,"Kenilworth House - 79-80 Margaret Street",Units!P:P)</f>
        <v/>
      </c>
      <c r="D57" s="400">
        <f>SUMIF(Units!D:D,"Kenilworth House - 79-80 Margaret Street",Units!S:S)</f>
        <v/>
      </c>
      <c r="E57" s="400">
        <f>SUMIF(Units!D:D,"Kenilworth House - 79-80 Margaret Street",Units!U:U)</f>
        <v/>
      </c>
      <c r="F57" s="401">
        <f>'Bank Schedule'!AA564</f>
        <v/>
      </c>
    </row>
    <row r="58">
      <c r="A58" t="inlineStr">
        <is>
          <t>4 Market Place</t>
        </is>
      </c>
      <c r="B58" s="399">
        <f>SUMIF(Units!D:D,"4 Market Place",Units!G:G)</f>
        <v/>
      </c>
      <c r="C58" s="400">
        <f>SUMIF(Units!D:D,"4 Market Place",Units!P:P)</f>
        <v/>
      </c>
      <c r="D58" s="400">
        <f>SUMIF(Units!D:D,"4 Market Place",Units!S:S)</f>
        <v/>
      </c>
      <c r="E58" s="400">
        <f>SUMIF(Units!D:D,"4 Market Place",Units!U:U)</f>
        <v/>
      </c>
      <c r="F58" s="401">
        <f>'Bank Schedule'!AA571</f>
        <v/>
      </c>
    </row>
    <row r="59">
      <c r="A59" t="inlineStr">
        <is>
          <t>11-13 Market Place</t>
        </is>
      </c>
      <c r="B59" s="399">
        <f>SUMIF(Units!D:D,"11-13 Market Place",Units!G:G)</f>
        <v/>
      </c>
      <c r="C59" s="400">
        <f>SUMIF(Units!D:D,"11-13 Market Place",Units!P:P)</f>
        <v/>
      </c>
      <c r="D59" s="400">
        <f>SUMIF(Units!D:D,"11-13 Market Place",Units!S:S)</f>
        <v/>
      </c>
      <c r="E59" s="400">
        <f>SUMIF(Units!D:D,"11-13 Market Place",Units!U:U)</f>
        <v/>
      </c>
      <c r="F59" s="401">
        <f>'Bank Schedule'!AA575</f>
        <v/>
      </c>
    </row>
    <row r="60">
      <c r="A60" t="inlineStr">
        <is>
          <t>Radiant House, 34-38 Mortimer Street &amp; 3-4 Bywell Place</t>
        </is>
      </c>
      <c r="B60" s="399">
        <f>SUMIF(Units!D:D,"Radiant House, 34-38 Mortimer Street &amp; 3-4 Bywell Place",Units!G:G)</f>
        <v/>
      </c>
      <c r="C60" s="400">
        <f>SUMIF(Units!D:D,"Radiant House, 34-38 Mortimer Street &amp; 3-4 Bywell Place",Units!P:P)</f>
        <v/>
      </c>
      <c r="D60" s="400">
        <f>SUMIF(Units!D:D,"Radiant House, 34-38 Mortimer Street &amp; 3-4 Bywell Place",Units!S:S)</f>
        <v/>
      </c>
      <c r="E60" s="400">
        <f>SUMIF(Units!D:D,"Radiant House, 34-38 Mortimer Street &amp; 3-4 Bywell Place",Units!U:U)</f>
        <v/>
      </c>
      <c r="F60" s="401">
        <f>'Bank Schedule'!AA590</f>
        <v/>
      </c>
    </row>
    <row r="61">
      <c r="A61" t="inlineStr">
        <is>
          <t>Gilmoora House, 57-61 Mortimer Street</t>
        </is>
      </c>
      <c r="B61" s="399">
        <f>SUMIF(Units!D:D,"Gilmoora House, 57-61 Mortimer Street",Units!G:G)</f>
        <v/>
      </c>
      <c r="C61" s="400">
        <f>SUMIF(Units!D:D,"Gilmoora House, 57-61 Mortimer Street",Units!P:P)</f>
        <v/>
      </c>
      <c r="D61" s="400">
        <f>SUMIF(Units!D:D,"Gilmoora House, 57-61 Mortimer Street",Units!S:S)</f>
        <v/>
      </c>
      <c r="E61" s="400">
        <f>SUMIF(Units!D:D,"Gilmoora House, 57-61 Mortimer Street",Units!U:U)</f>
        <v/>
      </c>
      <c r="F61" s="401">
        <f>'Bank Schedule'!AA597</f>
        <v/>
      </c>
    </row>
    <row r="62">
      <c r="A62" t="inlineStr">
        <is>
          <t>67 - 81 Mortimer Street</t>
        </is>
      </c>
      <c r="B62" s="399">
        <f>SUMIF(Units!D:D,"67 - 81 Mortimer Street",Units!G:G)</f>
        <v/>
      </c>
      <c r="C62" s="400">
        <f>SUMIF(Units!D:D,"67 - 81 Mortimer Street",Units!P:P)</f>
        <v/>
      </c>
      <c r="D62" s="400">
        <f>SUMIF(Units!D:D,"67 - 81 Mortimer Street",Units!S:S)</f>
        <v/>
      </c>
      <c r="E62" s="400">
        <f>SUMIF(Units!D:D,"67 - 81 Mortimer Street",Units!U:U)</f>
        <v/>
      </c>
      <c r="F62" s="401">
        <f>'Bank Schedule'!AA614</f>
        <v/>
      </c>
    </row>
    <row r="63">
      <c r="A63" t="inlineStr">
        <is>
          <t>93 Mortimer Street &amp; 43 Great Portland Street</t>
        </is>
      </c>
      <c r="B63" s="399">
        <f>SUMIF(Units!D:D,"93 Mortimer Street &amp; 43 Great Portland Street",Units!G:G)</f>
        <v/>
      </c>
      <c r="C63" s="400">
        <f>SUMIF(Units!D:D,"93 Mortimer Street &amp; 43 Great Portland Street",Units!P:P)</f>
        <v/>
      </c>
      <c r="D63" s="400">
        <f>SUMIF(Units!D:D,"93 Mortimer Street &amp; 43 Great Portland Street",Units!S:S)</f>
        <v/>
      </c>
      <c r="E63" s="400">
        <f>SUMIF(Units!D:D,"93 Mortimer Street &amp; 43 Great Portland Street",Units!U:U)</f>
        <v/>
      </c>
      <c r="F63" s="401">
        <f>'Bank Schedule'!AA618</f>
        <v/>
      </c>
    </row>
    <row r="64">
      <c r="A64" t="inlineStr">
        <is>
          <t>142-144 Oxford Street</t>
        </is>
      </c>
      <c r="B64" s="399">
        <f>SUMIF(Units!D:D,"142-144 Oxford Street",Units!G:G)</f>
        <v/>
      </c>
      <c r="C64" s="400">
        <f>SUMIF(Units!D:D,"142-144 Oxford Street",Units!P:P)</f>
        <v/>
      </c>
      <c r="D64" s="400">
        <f>SUMIF(Units!D:D,"142-144 Oxford Street",Units!S:S)</f>
        <v/>
      </c>
      <c r="E64" s="400">
        <f>SUMIF(Units!D:D,"142-144 Oxford Street",Units!U:U)</f>
        <v/>
      </c>
      <c r="F64" s="401">
        <f>'Bank Schedule'!AA627</f>
        <v/>
      </c>
    </row>
    <row r="65">
      <c r="A65" t="inlineStr">
        <is>
          <t>146/148 Oxford Street</t>
        </is>
      </c>
      <c r="B65" s="399">
        <f>SUMIF(Units!D:D,"146/148 Oxford Street",Units!G:G)</f>
        <v/>
      </c>
      <c r="C65" s="400">
        <f>SUMIF(Units!D:D,"146/148 Oxford Street",Units!P:P)</f>
        <v/>
      </c>
      <c r="D65" s="400">
        <f>SUMIF(Units!D:D,"146/148 Oxford Street",Units!S:S)</f>
        <v/>
      </c>
      <c r="E65" s="400">
        <f>SUMIF(Units!D:D,"146/148 Oxford Street",Units!U:U)</f>
        <v/>
      </c>
      <c r="F65" s="401">
        <f>'Bank Schedule'!AA635</f>
        <v/>
      </c>
    </row>
    <row r="66">
      <c r="A66" t="inlineStr">
        <is>
          <t>150/154 Oxford Street</t>
        </is>
      </c>
      <c r="B66" s="399">
        <f>SUMIF(Units!D:D,"150/154 Oxford Street",Units!G:G)</f>
        <v/>
      </c>
      <c r="C66" s="400">
        <f>SUMIF(Units!D:D,"150/154 Oxford Street",Units!P:P)</f>
        <v/>
      </c>
      <c r="D66" s="400">
        <f>SUMIF(Units!D:D,"150/154 Oxford Street",Units!S:S)</f>
        <v/>
      </c>
      <c r="E66" s="400">
        <f>SUMIF(Units!D:D,"150/154 Oxford Street",Units!U:U)</f>
        <v/>
      </c>
      <c r="F66" s="401">
        <f>'Bank Schedule'!AA639</f>
        <v/>
      </c>
    </row>
    <row r="67">
      <c r="A67" t="inlineStr">
        <is>
          <t>50 Eastcastle Street</t>
        </is>
      </c>
      <c r="B67" s="399">
        <f>SUMIF(Units!D:D,"50 Eastcastle Street",Units!G:G)</f>
        <v/>
      </c>
      <c r="C67" s="400">
        <f>SUMIF(Units!D:D,"50 Eastcastle Street",Units!P:P)</f>
        <v/>
      </c>
      <c r="D67" s="400">
        <f>SUMIF(Units!D:D,"50 Eastcastle Street",Units!S:S)</f>
        <v/>
      </c>
      <c r="E67" s="400">
        <f>SUMIF(Units!D:D,"50 Eastcastle Street",Units!U:U)</f>
        <v/>
      </c>
    </row>
    <row r="68">
      <c r="A68" t="inlineStr">
        <is>
          <t>Mappin House, 156-162 Oxford Street</t>
        </is>
      </c>
      <c r="B68" s="399">
        <f>SUMIF(Units!D:D,"Mappin House, 156-162 Oxford Street",Units!G:G)</f>
        <v/>
      </c>
      <c r="C68" s="400">
        <f>SUMIF(Units!D:D,"Mappin House, 156-162 Oxford Street",Units!P:P)</f>
        <v/>
      </c>
      <c r="D68" s="400">
        <f>SUMIF(Units!D:D,"Mappin House, 156-162 Oxford Street",Units!S:S)</f>
        <v/>
      </c>
      <c r="E68" s="400">
        <f>SUMIF(Units!D:D,"Mappin House, 156-162 Oxford Street",Units!U:U)</f>
        <v/>
      </c>
      <c r="F68" s="401">
        <f>'Bank Schedule'!AA690</f>
        <v/>
      </c>
    </row>
    <row r="69">
      <c r="A69" t="inlineStr">
        <is>
          <t>53 Wells Street</t>
        </is>
      </c>
      <c r="B69" s="399">
        <f>SUMIF(Units!D:D,"53 Wells Street",Units!G:G)</f>
        <v/>
      </c>
      <c r="C69" s="400">
        <f>SUMIF(Units!D:D,"53 Wells Street",Units!P:P)</f>
        <v/>
      </c>
      <c r="D69" s="400">
        <f>SUMIF(Units!D:D,"53 Wells Street",Units!S:S)</f>
        <v/>
      </c>
      <c r="E69" s="400">
        <f>SUMIF(Units!D:D,"53 Wells Street",Units!U:U)</f>
        <v/>
      </c>
      <c r="F69" s="401">
        <f>'Bank Schedule'!AA700</f>
        <v/>
      </c>
    </row>
    <row r="70">
      <c r="A70" t="inlineStr">
        <is>
          <t>68 Wells Street</t>
        </is>
      </c>
      <c r="B70" s="399">
        <f>SUMIF(Units!D:D,"68 Wells Street",Units!G:G)</f>
        <v/>
      </c>
      <c r="C70" s="400">
        <f>SUMIF(Units!D:D,"68 Wells Street",Units!P:P)</f>
        <v/>
      </c>
      <c r="D70" s="400">
        <f>SUMIF(Units!D:D,"68 Wells Street",Units!S:S)</f>
        <v/>
      </c>
      <c r="E70" s="400">
        <f>SUMIF(Units!D:D,"68 Wells Street",Units!U:U)</f>
        <v/>
      </c>
      <c r="F70" s="401">
        <f>'Bank Schedule'!AA704</f>
        <v/>
      </c>
    </row>
    <row r="71">
      <c r="A71" t="inlineStr">
        <is>
          <t>33 Eastcastle Street</t>
        </is>
      </c>
      <c r="B71" s="399">
        <f>SUMIF(Units!D:D,"33 Eastcastle Street",Units!G:G)</f>
        <v/>
      </c>
      <c r="C71" s="400">
        <f>SUMIF(Units!D:D,"33 Eastcastle Street",Units!P:P)</f>
        <v/>
      </c>
      <c r="D71" s="400">
        <f>SUMIF(Units!D:D,"33 Eastcastle Street",Units!S:S)</f>
        <v/>
      </c>
      <c r="E71" s="400">
        <f>SUMIF(Units!D:D,"33 Eastcastle Street",Units!U:U)</f>
        <v/>
      </c>
      <c r="F71" s="401">
        <f>'Bank Schedule'!AA712</f>
        <v/>
      </c>
    </row>
    <row r="72">
      <c r="A72" t="inlineStr">
        <is>
          <t>Julco House, 26-28 Great Portland Street</t>
        </is>
      </c>
      <c r="B72" s="399">
        <f>SUMIF(Units!D:D,"Julco House, 26-28 Great Portland Street",Units!G:G)</f>
        <v/>
      </c>
      <c r="C72" s="400">
        <f>SUMIF(Units!D:D,"Julco House, 26-28 Great Portland Street",Units!P:P)</f>
        <v/>
      </c>
      <c r="D72" s="400">
        <f>SUMIF(Units!D:D,"Julco House, 26-28 Great Portland Street",Units!S:S)</f>
        <v/>
      </c>
      <c r="E72" s="400">
        <f>SUMIF(Units!D:D,"Julco House, 26-28 Great Portland Street",Units!U:U)</f>
        <v/>
      </c>
      <c r="F72" s="401">
        <f>'Bank Schedule'!AA726</f>
        <v/>
      </c>
    </row>
    <row r="73">
      <c r="A73" t="inlineStr">
        <is>
          <t>5 Margaret Street</t>
        </is>
      </c>
      <c r="B73" s="399">
        <f>SUMIF(Units!D:D,"5 Margaret Street",Units!G:G)</f>
        <v/>
      </c>
      <c r="C73" s="400">
        <f>SUMIF(Units!D:D,"5 Margaret Street",Units!P:P)</f>
        <v/>
      </c>
      <c r="D73" s="400">
        <f>SUMIF(Units!D:D,"5 Margaret Street",Units!S:S)</f>
        <v/>
      </c>
      <c r="E73" s="400">
        <f>SUMIF(Units!D:D,"5 Margaret Street",Units!U:U)</f>
        <v/>
      </c>
      <c r="F73" s="401">
        <f>'Bank Schedule'!AA731</f>
        <v/>
      </c>
    </row>
    <row r="74">
      <c r="A74" t="inlineStr">
        <is>
          <t>60/62 Margaret Street</t>
        </is>
      </c>
      <c r="B74" s="399">
        <f>SUMIF(Units!D:D,"60/62 Margaret Street",Units!G:G)</f>
        <v/>
      </c>
      <c r="C74" s="400">
        <f>SUMIF(Units!D:D,"60/62 Margaret Street",Units!P:P)</f>
        <v/>
      </c>
      <c r="D74" s="400">
        <f>SUMIF(Units!D:D,"60/62 Margaret Street",Units!S:S)</f>
        <v/>
      </c>
      <c r="E74" s="400">
        <f>SUMIF(Units!D:D,"60/62 Margaret Street",Units!U:U)</f>
        <v/>
      </c>
      <c r="F74" s="401">
        <f>'Bank Schedule'!AA736</f>
        <v/>
      </c>
    </row>
    <row r="75">
      <c r="A75" t="inlineStr">
        <is>
          <t>85 Mortimer Street</t>
        </is>
      </c>
      <c r="B75" s="399">
        <f>SUMIF(Units!D:D,"85 Mortimer Street",Units!G:G)</f>
        <v/>
      </c>
      <c r="C75" s="400">
        <f>SUMIF(Units!D:D,"85 Mortimer Street",Units!P:P)</f>
        <v/>
      </c>
      <c r="D75" s="400">
        <f>SUMIF(Units!D:D,"85 Mortimer Street",Units!S:S)</f>
        <v/>
      </c>
      <c r="E75" s="400">
        <f>SUMIF(Units!D:D,"85 Mortimer Street",Units!U:U)</f>
        <v/>
      </c>
      <c r="F75" s="401">
        <f>'Bank Schedule'!AA744</f>
        <v/>
      </c>
    </row>
    <row r="76">
      <c r="A76" t="inlineStr">
        <is>
          <t>Welbeck House, 66/67 Wells Street</t>
        </is>
      </c>
      <c r="B76" s="399">
        <f>SUMIF(Units!D:D,"Welbeck House, 66/67 Wells Street",Units!G:G)</f>
        <v/>
      </c>
      <c r="C76" s="400">
        <f>SUMIF(Units!D:D,"Welbeck House, 66/67 Wells Street",Units!P:P)</f>
        <v/>
      </c>
      <c r="D76" s="400">
        <f>SUMIF(Units!D:D,"Welbeck House, 66/67 Wells Street",Units!S:S)</f>
        <v/>
      </c>
      <c r="E76" s="400">
        <f>SUMIF(Units!D:D,"Welbeck House, 66/67 Wells Street",Units!U:U)</f>
        <v/>
      </c>
      <c r="F76" s="401">
        <f>'Bank Schedule'!AA759</f>
        <v/>
      </c>
    </row>
    <row r="77">
      <c r="A77" t="inlineStr">
        <is>
          <t>32-36 Great Portland Street</t>
        </is>
      </c>
      <c r="B77" s="399">
        <f>SUMIF(Units!D:D,"32-36 Great Portland Street",Units!G:G)</f>
        <v/>
      </c>
      <c r="C77" s="400">
        <f>SUMIF(Units!D:D,"32-36 Great Portland Street",Units!P:P)</f>
        <v/>
      </c>
      <c r="D77" s="400">
        <f>SUMIF(Units!D:D,"32-36 Great Portland Street",Units!S:S)</f>
        <v/>
      </c>
      <c r="E77" s="400">
        <f>SUMIF(Units!D:D,"32-36 Great Portland Street",Units!U:U)</f>
        <v/>
      </c>
      <c r="F77" s="401">
        <f>'Bank Schedule'!AA771</f>
        <v/>
      </c>
    </row>
    <row r="78">
      <c r="A78" t="inlineStr">
        <is>
          <t>184-190 Oxford Street &amp; 28/30 Market Place</t>
        </is>
      </c>
      <c r="B78" s="399">
        <f>SUMIF(Units!D:D,"184-190 Oxford Street &amp; 28/30 Market Place",Units!G:G)</f>
        <v/>
      </c>
      <c r="C78" s="400">
        <f>SUMIF(Units!D:D,"184-190 Oxford Street &amp; 28/30 Market Place",Units!P:P)</f>
        <v/>
      </c>
      <c r="D78" s="400">
        <f>SUMIF(Units!D:D,"184-190 Oxford Street &amp; 28/30 Market Place",Units!S:S)</f>
        <v/>
      </c>
      <c r="E78" s="400">
        <f>SUMIF(Units!D:D,"184-190 Oxford Street &amp; 28/30 Market Place",Units!U:U)</f>
        <v/>
      </c>
      <c r="F78" s="401">
        <f>'Bank Schedule'!AA788</f>
        <v/>
      </c>
    </row>
  </sheetData>
  <autoFilter ref="A2:F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2025-12-03T14:24:48Z</dcterms:modified>
  <cp:lastModifiedBy>Simone Morciano</cp:lastModifiedBy>
  <cp:lastPrinted>2025-09-05T13:47:35Z</cp:lastPrinted>
</cp:coreProperties>
</file>