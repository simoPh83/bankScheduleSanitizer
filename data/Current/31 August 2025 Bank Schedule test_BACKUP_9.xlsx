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44800" windowHeight="22740" tabRatio="600" firstSheet="0" activeTab="3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Units" sheetId="5" state="visible" r:id="rId5"/>
    <sheet name="Buildings" sheetId="6" state="visible" r:id="rId6"/>
  </sheets>
  <definedNames>
    <definedName name="_xlnm.Print_Titles" localSheetId="0">'Bank Schedule'!$1:$3</definedName>
    <definedName name="_xlnm.Print_Area" localSheetId="0">'Bank Schedule'!$C$3:$AC$807</definedName>
    <definedName name="_xlnm._FilterDatabase" localSheetId="1" hidden="1">'Voids Tab'!$A$3:$AC$197</definedName>
    <definedName name="_xlnm._FilterDatabase" localSheetId="2" hidden="1">'Tenant Trade'!$A$1:$B$1</definedName>
    <definedName name="_xlnm._FilterDatabase" localSheetId="4" hidden="1">'Units'!$A$2:$AF$420</definedName>
    <definedName name="_xlnm._FilterDatabase" localSheetId="5" hidden="1">'Buildings'!$A$2:$F$78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_-&quot;£&quot;* #,##0_-;\-&quot;£&quot;* #,##0_-;_-&quot;£&quot;* &quot;-&quot;??_-;_-@_-"/>
    <numFmt numFmtId="173" formatCode="_-* #,##0.0_-;\-* #,##0.0_-;_-* &quot;-&quot;??_-;_-@_-"/>
    <numFmt numFmtId="174" formatCode="&quot;£&quot;#,##0.00"/>
    <numFmt numFmtId="175" formatCode="&quot;£&quot;#,##0.0"/>
    <numFmt numFmtId="176" formatCode="&quot;£&quot;#,##0"/>
    <numFmt numFmtId="177" formatCode="[$-F800]dddd\,\ mmmm\ dd\,\ yyyy"/>
    <numFmt numFmtId="178" formatCode="_-&quot;£&quot;* #,##0.0_-;\-&quot;£&quot;* #,##0.0_-;_-&quot;£&quot;* &quot;-&quot;??_-;_-@_-"/>
    <numFmt numFmtId="179" formatCode="#"/>
    <numFmt numFmtId="180" formatCode="£#,##0"/>
  </numFmts>
  <fonts count="55">
    <font>
      <name val="Arial"/>
      <sz val="10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family val="2"/>
      <sz val="10"/>
    </font>
    <font>
      <name val="Arial"/>
      <family val="2"/>
      <color rgb="FF000000"/>
      <sz val="8"/>
    </font>
    <font>
      <name val="Arial"/>
      <family val="2"/>
      <b val="1"/>
      <color indexed="9"/>
      <sz val="8"/>
      <u val="single"/>
    </font>
    <font>
      <name val="MS Sans Serif"/>
      <family val="2"/>
      <sz val="10"/>
      <u val="single"/>
    </font>
    <font>
      <name val="Arial"/>
      <family val="2"/>
      <b val="1"/>
      <color theme="1"/>
      <sz val="8"/>
      <u val="single"/>
    </font>
    <font>
      <name val="Arial"/>
      <family val="2"/>
      <color indexed="8"/>
      <sz val="8"/>
      <u val="single"/>
    </font>
    <font>
      <b val="1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3" fontId="41" fillId="0" borderId="0"/>
    <xf numFmtId="0" fontId="21" fillId="0" borderId="0"/>
    <xf numFmtId="0" fontId="21" fillId="14" borderId="5"/>
    <xf numFmtId="9" fontId="41" fillId="0" borderId="0"/>
    <xf numFmtId="44" fontId="41" fillId="0" borderId="0"/>
    <xf numFmtId="0" fontId="41" fillId="0" borderId="0"/>
    <xf numFmtId="0" fontId="21" fillId="2" borderId="0"/>
    <xf numFmtId="0" fontId="21" fillId="3" borderId="0"/>
    <xf numFmtId="0" fontId="21" fillId="4" borderId="0"/>
    <xf numFmtId="0" fontId="21" fillId="5" borderId="0"/>
    <xf numFmtId="0" fontId="21" fillId="6" borderId="0"/>
    <xf numFmtId="0" fontId="21" fillId="7" borderId="0"/>
    <xf numFmtId="0" fontId="21" fillId="8" borderId="0"/>
    <xf numFmtId="0" fontId="21" fillId="9" borderId="0"/>
    <xf numFmtId="0" fontId="21" fillId="10" borderId="0"/>
    <xf numFmtId="0" fontId="21" fillId="11" borderId="0"/>
    <xf numFmtId="0" fontId="21" fillId="12" borderId="0"/>
    <xf numFmtId="0" fontId="21" fillId="13" borderId="0"/>
    <xf numFmtId="43" fontId="41" fillId="0" borderId="0"/>
    <xf numFmtId="0" fontId="21" fillId="0" borderId="0"/>
    <xf numFmtId="0" fontId="21" fillId="14" borderId="5"/>
    <xf numFmtId="9" fontId="41" fillId="0" borderId="0"/>
    <xf numFmtId="44" fontId="41" fillId="0" borderId="0"/>
  </cellStyleXfs>
  <cellXfs count="40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2" fillId="0" borderId="0" applyAlignment="1" pivotButton="0" quotePrefix="1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/>
    </xf>
    <xf numFmtId="165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164" fontId="9" fillId="0" borderId="0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164" fontId="11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1">
      <alignment horizontal="center" vertical="center"/>
    </xf>
    <xf numFmtId="3" fontId="1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center" vertical="center"/>
    </xf>
    <xf numFmtId="0" fontId="3" fillId="0" borderId="0" applyAlignment="1" pivotButton="0" quotePrefix="1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 wrapText="1"/>
    </xf>
    <xf numFmtId="3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wrapText="1"/>
    </xf>
    <xf numFmtId="164" fontId="14" fillId="0" borderId="0" applyAlignment="1" pivotButton="0" quotePrefix="0" xfId="0">
      <alignment horizontal="center" vertical="center" wrapText="1"/>
    </xf>
    <xf numFmtId="164" fontId="14" fillId="0" borderId="0" applyAlignment="1" pivotButton="0" quotePrefix="0" xfId="0">
      <alignment horizontal="center" vertical="center"/>
    </xf>
    <xf numFmtId="0" fontId="3" fillId="0" borderId="0" applyAlignment="1" pivotButton="0" quotePrefix="1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3" fontId="2" fillId="0" borderId="0" applyAlignment="1" pivotButton="0" quotePrefix="1" xfId="0">
      <alignment horizontal="center" vertical="center"/>
    </xf>
    <xf numFmtId="164" fontId="3" fillId="0" borderId="0" applyAlignment="1" pivotButton="0" quotePrefix="1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horizontal="center" vertical="center"/>
    </xf>
    <xf numFmtId="164" fontId="3" fillId="0" borderId="0" applyAlignment="1" pivotButton="0" quotePrefix="1" xfId="0">
      <alignment horizontal="center" vertical="center" wrapText="1"/>
    </xf>
    <xf numFmtId="3" fontId="23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3" fontId="2" fillId="0" borderId="0" applyAlignment="1" pivotButton="0" quotePrefix="0" xfId="1">
      <alignment horizontal="center" vertical="center"/>
    </xf>
    <xf numFmtId="3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 wrapText="1"/>
    </xf>
    <xf numFmtId="166" fontId="2" fillId="0" borderId="0" applyAlignment="1" pivotButton="0" quotePrefix="0" xfId="1">
      <alignment horizontal="center" vertical="center"/>
    </xf>
    <xf numFmtId="166" fontId="3" fillId="0" borderId="0" applyAlignment="1" pivotButton="0" quotePrefix="0" xfId="1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1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8" fillId="15" borderId="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/>
    </xf>
    <xf numFmtId="165" fontId="17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3" fontId="17" fillId="0" borderId="0" applyAlignment="1" pivotButton="0" quotePrefix="0" xfId="0">
      <alignment horizontal="left" vertical="center"/>
    </xf>
    <xf numFmtId="165" fontId="20" fillId="0" borderId="0" applyAlignment="1" pivotButton="0" quotePrefix="0" xfId="0">
      <alignment horizontal="left" vertical="center"/>
    </xf>
    <xf numFmtId="3" fontId="24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left" vertical="center" wrapText="1"/>
    </xf>
    <xf numFmtId="3" fontId="17" fillId="0" borderId="0" applyAlignment="1" pivotButton="0" quotePrefix="0" xfId="1">
      <alignment horizontal="left" vertical="center"/>
    </xf>
    <xf numFmtId="3" fontId="18" fillId="0" borderId="0" applyAlignment="1" pivotButton="0" quotePrefix="0" xfId="1">
      <alignment horizontal="left" vertical="center"/>
    </xf>
    <xf numFmtId="0" fontId="0" fillId="0" borderId="0" applyAlignment="1" pivotButton="0" quotePrefix="0" xfId="0">
      <alignment vertical="center"/>
    </xf>
    <xf numFmtId="0" fontId="2" fillId="15" borderId="3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 wrapText="1"/>
    </xf>
    <xf numFmtId="3" fontId="2" fillId="15" borderId="1" applyAlignment="1" pivotButton="0" quotePrefix="1" xfId="0">
      <alignment horizontal="center" vertical="center" wrapText="1"/>
    </xf>
    <xf numFmtId="0" fontId="2" fillId="15" borderId="1" applyAlignment="1" pivotButton="0" quotePrefix="0" xfId="0">
      <alignment horizontal="left" vertical="center" wrapText="1"/>
    </xf>
    <xf numFmtId="164" fontId="2" fillId="15" borderId="1" applyAlignment="1" pivotButton="0" quotePrefix="0" xfId="0">
      <alignment horizontal="center" vertical="center" wrapText="1"/>
    </xf>
    <xf numFmtId="165" fontId="2" fillId="15" borderId="1" applyAlignment="1" pivotButton="0" quotePrefix="1" xfId="0">
      <alignment horizontal="center" vertical="center" wrapText="1"/>
    </xf>
    <xf numFmtId="165" fontId="2" fillId="15" borderId="1" applyAlignment="1" pivotButton="0" quotePrefix="0" xfId="0">
      <alignment horizontal="center" vertical="center" wrapText="1"/>
    </xf>
    <xf numFmtId="166" fontId="2" fillId="15" borderId="1" applyAlignment="1" pivotButton="0" quotePrefix="1" xfId="1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3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164" fontId="3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1" xfId="0">
      <alignment horizontal="left" vertical="center" wrapText="1"/>
    </xf>
    <xf numFmtId="165" fontId="3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2" fillId="0" borderId="0" applyAlignment="1" pivotButton="0" quotePrefix="1" xfId="0">
      <alignment horizontal="left" vertical="center" wrapText="1"/>
    </xf>
    <xf numFmtId="165" fontId="2" fillId="0" borderId="0" applyAlignment="1" pivotButton="0" quotePrefix="0" xfId="0">
      <alignment horizontal="left" vertical="center" wrapText="1"/>
    </xf>
    <xf numFmtId="0" fontId="2" fillId="15" borderId="4" applyAlignment="1" pivotButton="0" quotePrefix="0" xfId="0">
      <alignment horizontal="left" vertical="center" wrapText="1"/>
    </xf>
    <xf numFmtId="0" fontId="7" fillId="0" borderId="0" pivotButton="0" quotePrefix="0" xfId="0"/>
    <xf numFmtId="14" fontId="3" fillId="0" borderId="0" applyAlignment="1" pivotButton="0" quotePrefix="1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3" fillId="0" borderId="0" applyAlignment="1" pivotButton="0" quotePrefix="1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3" fillId="0" borderId="0" applyAlignment="1" pivotButton="0" quotePrefix="0" xfId="1">
      <alignment horizontal="left" vertical="center"/>
    </xf>
    <xf numFmtId="14" fontId="3" fillId="0" borderId="0" applyAlignment="1" pivotButton="0" quotePrefix="0" xfId="0">
      <alignment horizontal="center" vertical="center"/>
    </xf>
    <xf numFmtId="0" fontId="3" fillId="0" borderId="0" applyAlignment="1" pivotButton="0" quotePrefix="1" xfId="0">
      <alignment vertical="center"/>
    </xf>
    <xf numFmtId="0" fontId="26" fillId="0" borderId="0" pivotButton="0" quotePrefix="0" xfId="0"/>
    <xf numFmtId="166" fontId="14" fillId="0" borderId="0" applyAlignment="1" pivotButton="0" quotePrefix="0" xfId="1">
      <alignment horizontal="center" vertical="center"/>
    </xf>
    <xf numFmtId="3" fontId="27" fillId="0" borderId="0" pivotButton="0" quotePrefix="0" xfId="0"/>
    <xf numFmtId="168" fontId="28" fillId="0" borderId="0" pivotButton="0" quotePrefix="0" xfId="0"/>
    <xf numFmtId="165" fontId="11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vertical="center"/>
    </xf>
    <xf numFmtId="3" fontId="3" fillId="0" borderId="0" applyAlignment="1" pivotButton="0" quotePrefix="1" xfId="0">
      <alignment horizontal="center" vertical="center" wrapText="1"/>
    </xf>
    <xf numFmtId="169" fontId="3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1" fillId="0" borderId="0" applyAlignment="1" pivotButton="0" quotePrefix="0" xfId="0">
      <alignment horizontal="center" vertical="center" wrapText="1"/>
    </xf>
    <xf numFmtId="0" fontId="5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164" fontId="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3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0" fontId="11" fillId="0" borderId="0" applyAlignment="1" pivotButton="0" quotePrefix="1" xfId="0">
      <alignment horizontal="left" vertical="center" wrapText="1"/>
    </xf>
    <xf numFmtId="0" fontId="7" fillId="0" borderId="0" applyAlignment="1" pivotButton="0" quotePrefix="0" xfId="0">
      <alignment horizontal="center"/>
    </xf>
    <xf numFmtId="0" fontId="2" fillId="15" borderId="3" applyAlignment="1" pivotButton="0" quotePrefix="0" xfId="0">
      <alignment horizontal="center" vertical="center" wrapText="1"/>
    </xf>
    <xf numFmtId="3" fontId="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left" vertical="center" wrapText="1"/>
    </xf>
    <xf numFmtId="3" fontId="11" fillId="0" borderId="0" applyAlignment="1" pivotButton="0" quotePrefix="0" xfId="0">
      <alignment horizontal="center" vertical="center" wrapText="1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wrapText="1"/>
    </xf>
    <xf numFmtId="3" fontId="3" fillId="0" borderId="0" applyAlignment="1" pivotButton="0" quotePrefix="0" xfId="1">
      <alignment horizontal="left" vertical="center" wrapText="1"/>
    </xf>
    <xf numFmtId="166" fontId="29" fillId="0" borderId="0" applyAlignment="1" pivotButton="0" quotePrefix="0" xfId="1">
      <alignment horizontal="center" vertical="center"/>
    </xf>
    <xf numFmtId="166" fontId="30" fillId="0" borderId="0" applyAlignment="1" pivotButton="0" quotePrefix="0" xfId="1">
      <alignment horizontal="center" vertical="center"/>
    </xf>
    <xf numFmtId="0" fontId="29" fillId="0" borderId="0" applyAlignment="1" pivotButton="0" quotePrefix="1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vertical="center"/>
    </xf>
    <xf numFmtId="170" fontId="3" fillId="0" borderId="0" applyAlignment="1" pivotButton="0" quotePrefix="0" xfId="1">
      <alignment horizontal="center" vertical="center"/>
    </xf>
    <xf numFmtId="165" fontId="2" fillId="0" borderId="0" applyAlignment="1" pivotButton="0" quotePrefix="0" xfId="0">
      <alignment horizontal="left" vertical="center"/>
    </xf>
    <xf numFmtId="166" fontId="3" fillId="0" borderId="2" applyAlignment="1" pivotButton="0" quotePrefix="0" xfId="1">
      <alignment horizontal="center" vertical="center"/>
    </xf>
    <xf numFmtId="0" fontId="33" fillId="0" borderId="0" applyAlignment="1" pivotButton="0" quotePrefix="0" xfId="0">
      <alignment vertical="top" wrapText="1"/>
    </xf>
    <xf numFmtId="0" fontId="33" fillId="0" borderId="0" applyAlignment="1" pivotButton="0" quotePrefix="0" xfId="0">
      <alignment vertical="top"/>
    </xf>
    <xf numFmtId="171" fontId="33" fillId="0" borderId="0" applyAlignment="1" pivotButton="0" quotePrefix="0" xfId="0">
      <alignment vertical="top"/>
    </xf>
    <xf numFmtId="164" fontId="33" fillId="0" borderId="0" applyAlignment="1" pivotButton="0" quotePrefix="0" xfId="0">
      <alignment vertical="top"/>
    </xf>
    <xf numFmtId="171" fontId="33" fillId="0" borderId="0" applyAlignment="1" pivotButton="0" quotePrefix="0" xfId="1">
      <alignment vertical="top"/>
    </xf>
    <xf numFmtId="0" fontId="34" fillId="0" borderId="0" applyAlignment="1" pivotButton="0" quotePrefix="0" xfId="0">
      <alignment vertical="top"/>
    </xf>
    <xf numFmtId="0" fontId="33" fillId="0" borderId="0" applyAlignment="1" pivotButton="0" quotePrefix="0" xfId="0">
      <alignment vertical="center" wrapText="1"/>
    </xf>
    <xf numFmtId="0" fontId="33" fillId="0" borderId="0" applyAlignment="1" pivotButton="0" quotePrefix="0" xfId="0">
      <alignment horizontal="center" vertical="center"/>
    </xf>
    <xf numFmtId="171" fontId="32" fillId="0" borderId="0" applyAlignment="1" pivotButton="0" quotePrefix="0" xfId="0">
      <alignment horizontal="center" vertical="center"/>
    </xf>
    <xf numFmtId="171" fontId="33" fillId="0" borderId="0" applyAlignment="1" pivotButton="0" quotePrefix="0" xfId="0">
      <alignment horizontal="center" vertical="center"/>
    </xf>
    <xf numFmtId="171" fontId="33" fillId="0" borderId="0" applyAlignment="1" pivotButton="0" quotePrefix="0" xfId="1">
      <alignment horizontal="center" vertical="center"/>
    </xf>
    <xf numFmtId="0" fontId="33" fillId="0" borderId="0" applyAlignment="1" pivotButton="0" quotePrefix="0" xfId="0">
      <alignment horizontal="left" vertical="center" wrapText="1"/>
    </xf>
    <xf numFmtId="0" fontId="33" fillId="0" borderId="0" applyAlignment="1" pivotButton="0" quotePrefix="0" xfId="0">
      <alignment vertical="center"/>
    </xf>
    <xf numFmtId="171" fontId="33" fillId="0" borderId="0" applyAlignment="1" pivotButton="0" quotePrefix="0" xfId="0">
      <alignment horizontal="center" vertical="top"/>
    </xf>
    <xf numFmtId="164" fontId="33" fillId="0" borderId="0" applyAlignment="1" pivotButton="0" quotePrefix="0" xfId="0">
      <alignment horizontal="center" vertical="top"/>
    </xf>
    <xf numFmtId="171" fontId="33" fillId="0" borderId="0" applyAlignment="1" pivotButton="0" quotePrefix="0" xfId="1">
      <alignment horizontal="center" vertical="top"/>
    </xf>
    <xf numFmtId="0" fontId="32" fillId="0" borderId="0" applyAlignment="1" pivotButton="0" quotePrefix="0" xfId="0">
      <alignment vertical="top"/>
    </xf>
    <xf numFmtId="0" fontId="32" fillId="0" borderId="0" applyAlignment="1" pivotButton="0" quotePrefix="0" xfId="0">
      <alignment vertical="center" wrapText="1"/>
    </xf>
    <xf numFmtId="171" fontId="33" fillId="0" borderId="0" applyAlignment="1" pivotButton="0" quotePrefix="0" xfId="0">
      <alignment horizontal="left" vertical="center"/>
    </xf>
    <xf numFmtId="171" fontId="33" fillId="0" borderId="0" applyAlignment="1" pivotButton="0" quotePrefix="0" xfId="0">
      <alignment vertical="center"/>
    </xf>
    <xf numFmtId="164" fontId="33" fillId="0" borderId="0" applyAlignment="1" pivotButton="0" quotePrefix="0" xfId="0">
      <alignment vertical="center"/>
    </xf>
    <xf numFmtId="171" fontId="33" fillId="0" borderId="0" applyAlignment="1" pivotButton="0" quotePrefix="0" xfId="1">
      <alignment vertical="center"/>
    </xf>
    <xf numFmtId="0" fontId="16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horizontal="center" vertical="center"/>
    </xf>
    <xf numFmtId="171" fontId="23" fillId="0" borderId="0" applyAlignment="1" pivotButton="0" quotePrefix="0" xfId="0">
      <alignment horizontal="center" vertical="center"/>
    </xf>
    <xf numFmtId="171" fontId="22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71" fontId="23" fillId="0" borderId="0" applyAlignment="1" pivotButton="0" quotePrefix="0" xfId="1">
      <alignment horizontal="center" vertical="center"/>
    </xf>
    <xf numFmtId="171" fontId="22" fillId="0" borderId="0" applyAlignment="1" pivotButton="0" quotePrefix="0" xfId="1">
      <alignment horizontal="center" vertical="center"/>
    </xf>
    <xf numFmtId="0" fontId="22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center" vertical="center" wrapText="1"/>
    </xf>
    <xf numFmtId="0" fontId="22" fillId="0" borderId="0" applyAlignment="1" pivotButton="0" quotePrefix="1" xfId="0">
      <alignment vertical="center" wrapText="1"/>
    </xf>
    <xf numFmtId="0" fontId="22" fillId="0" borderId="0" applyAlignment="1" pivotButton="0" quotePrefix="0" xfId="0">
      <alignment vertical="top"/>
    </xf>
    <xf numFmtId="0" fontId="36" fillId="0" borderId="0" pivotButton="0" quotePrefix="0" xfId="0"/>
    <xf numFmtId="171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top" wrapText="1"/>
    </xf>
    <xf numFmtId="0" fontId="23" fillId="0" borderId="0" applyAlignment="1" pivotButton="0" quotePrefix="0" xfId="0">
      <alignment vertical="top"/>
    </xf>
    <xf numFmtId="0" fontId="23" fillId="0" borderId="0" applyAlignment="1" pivotButton="0" quotePrefix="0" xfId="0">
      <alignment horizontal="left" vertical="center" wrapText="1"/>
    </xf>
    <xf numFmtId="164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 wrapText="1"/>
    </xf>
    <xf numFmtId="171" fontId="22" fillId="0" borderId="0" applyAlignment="1" pivotButton="0" quotePrefix="0" xfId="0">
      <alignment vertical="center"/>
    </xf>
    <xf numFmtId="164" fontId="22" fillId="0" borderId="0" applyAlignment="1" pivotButton="0" quotePrefix="0" xfId="0">
      <alignment vertical="center"/>
    </xf>
    <xf numFmtId="171" fontId="22" fillId="0" borderId="0" applyAlignment="1" pivotButton="0" quotePrefix="0" xfId="1">
      <alignment vertical="center"/>
    </xf>
    <xf numFmtId="0" fontId="16" fillId="16" borderId="6" applyAlignment="1" pivotButton="0" quotePrefix="0" xfId="0">
      <alignment horizontal="left" vertical="center" wrapText="1"/>
    </xf>
    <xf numFmtId="0" fontId="37" fillId="16" borderId="6" applyAlignment="1" pivotButton="0" quotePrefix="0" xfId="0">
      <alignment horizontal="center" vertical="center" wrapText="1"/>
    </xf>
    <xf numFmtId="165" fontId="16" fillId="16" borderId="6" applyAlignment="1" pivotButton="0" quotePrefix="0" xfId="0">
      <alignment horizontal="center" vertical="center" wrapText="1"/>
    </xf>
    <xf numFmtId="0" fontId="37" fillId="16" borderId="6" applyAlignment="1" pivotButton="0" quotePrefix="0" xfId="0">
      <alignment horizontal="left" vertical="center" wrapText="1"/>
    </xf>
    <xf numFmtId="164" fontId="37" fillId="16" borderId="6" applyAlignment="1" pivotButton="0" quotePrefix="0" xfId="0">
      <alignment horizontal="center" vertical="center" wrapText="1"/>
    </xf>
    <xf numFmtId="164" fontId="37" fillId="16" borderId="6" applyAlignment="1" pivotButton="0" quotePrefix="0" xfId="0">
      <alignment horizontal="center" vertical="center"/>
    </xf>
    <xf numFmtId="165" fontId="37" fillId="16" borderId="6" applyAlignment="1" pivotButton="0" quotePrefix="0" xfId="0">
      <alignment horizontal="center" vertical="center"/>
    </xf>
    <xf numFmtId="165" fontId="37" fillId="16" borderId="6" applyAlignment="1" pivotButton="0" quotePrefix="0" xfId="0">
      <alignment horizontal="left" vertical="center"/>
    </xf>
    <xf numFmtId="166" fontId="16" fillId="16" borderId="6" applyAlignment="1" pivotButton="0" quotePrefix="0" xfId="1">
      <alignment horizontal="center" vertical="center"/>
    </xf>
    <xf numFmtId="164" fontId="3" fillId="16" borderId="6" applyAlignment="1" pivotButton="0" quotePrefix="0" xfId="0">
      <alignment horizontal="center" vertical="center"/>
    </xf>
    <xf numFmtId="165" fontId="3" fillId="16" borderId="6" applyAlignment="1" pivotButton="0" quotePrefix="0" xfId="0">
      <alignment horizontal="center" vertical="center"/>
    </xf>
    <xf numFmtId="0" fontId="33" fillId="16" borderId="6" applyAlignment="1" pivotButton="0" quotePrefix="0" xfId="0">
      <alignment horizontal="center" vertical="center"/>
    </xf>
    <xf numFmtId="171" fontId="32" fillId="16" borderId="6" applyAlignment="1" pivotButton="0" quotePrefix="0" xfId="0">
      <alignment horizontal="center" vertical="center"/>
    </xf>
    <xf numFmtId="171" fontId="33" fillId="16" borderId="6" applyAlignment="1" pivotButton="0" quotePrefix="0" xfId="0">
      <alignment horizontal="center" vertical="center"/>
    </xf>
    <xf numFmtId="0" fontId="33" fillId="16" borderId="6" applyAlignment="1" pivotButton="0" quotePrefix="0" xfId="0">
      <alignment horizontal="left" vertical="center" wrapText="1"/>
    </xf>
    <xf numFmtId="164" fontId="33" fillId="16" borderId="6" applyAlignment="1" pivotButton="0" quotePrefix="0" xfId="0">
      <alignment vertical="center"/>
    </xf>
    <xf numFmtId="0" fontId="33" fillId="16" borderId="6" applyAlignment="1" pivotButton="0" quotePrefix="0" xfId="0">
      <alignment vertical="center" wrapText="1"/>
    </xf>
    <xf numFmtId="14" fontId="22" fillId="0" borderId="0" applyAlignment="1" pivotButton="0" quotePrefix="0" xfId="0">
      <alignment horizontal="center" vertical="center"/>
    </xf>
    <xf numFmtId="171" fontId="33" fillId="16" borderId="6" applyAlignment="1" pivotButton="0" quotePrefix="0" xfId="1">
      <alignment vertical="center"/>
    </xf>
    <xf numFmtId="0" fontId="33" fillId="16" borderId="6" applyAlignment="1" pivotButton="0" quotePrefix="0" xfId="0">
      <alignment vertical="center"/>
    </xf>
    <xf numFmtId="0" fontId="3" fillId="16" borderId="6" applyAlignment="1" pivotButton="0" quotePrefix="0" xfId="0">
      <alignment horizontal="left" vertical="center" wrapText="1"/>
    </xf>
    <xf numFmtId="0" fontId="3" fillId="16" borderId="6" applyAlignment="1" pivotButton="0" quotePrefix="0" xfId="0">
      <alignment horizontal="center" vertical="center" wrapText="1"/>
    </xf>
    <xf numFmtId="3" fontId="3" fillId="16" borderId="6" applyAlignment="1" pivotButton="0" quotePrefix="0" xfId="0">
      <alignment horizontal="center" vertical="center"/>
    </xf>
    <xf numFmtId="164" fontId="3" fillId="16" borderId="6" applyAlignment="1" pivotButton="0" quotePrefix="0" xfId="0">
      <alignment horizontal="center" vertical="center" wrapText="1"/>
    </xf>
    <xf numFmtId="165" fontId="17" fillId="16" borderId="6" applyAlignment="1" pivotButton="0" quotePrefix="0" xfId="0">
      <alignment horizontal="left" vertical="center"/>
    </xf>
    <xf numFmtId="166" fontId="3" fillId="16" borderId="6" applyAlignment="1" pivotButton="0" quotePrefix="0" xfId="1">
      <alignment horizontal="center" vertical="center"/>
    </xf>
    <xf numFmtId="164" fontId="16" fillId="0" borderId="0" applyAlignment="1" pivotButton="0" quotePrefix="0" xfId="0">
      <alignment horizontal="center" vertical="center" wrapText="1"/>
    </xf>
    <xf numFmtId="164" fontId="37" fillId="0" borderId="0" applyAlignment="1" pivotButton="0" quotePrefix="0" xfId="0">
      <alignment horizontal="center" vertical="center"/>
    </xf>
    <xf numFmtId="165" fontId="38" fillId="0" borderId="0" applyAlignment="1" pivotButton="0" quotePrefix="0" xfId="0">
      <alignment horizontal="center" vertical="center"/>
    </xf>
    <xf numFmtId="165" fontId="16" fillId="0" borderId="0" applyAlignment="1" pivotButton="0" quotePrefix="0" xfId="0">
      <alignment horizontal="center" vertical="center"/>
    </xf>
    <xf numFmtId="165" fontId="16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35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/>
    </xf>
    <xf numFmtId="165" fontId="3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34" fillId="16" borderId="6" applyAlignment="1" pivotButton="0" quotePrefix="0" xfId="0">
      <alignment horizontal="center" vertical="center"/>
    </xf>
    <xf numFmtId="166" fontId="5" fillId="0" borderId="0" applyAlignment="1" pivotButton="0" quotePrefix="0" xfId="1">
      <alignment horizontal="center" vertical="center"/>
    </xf>
    <xf numFmtId="3" fontId="5" fillId="0" borderId="0" applyAlignment="1" pivotButton="0" quotePrefix="0" xfId="1">
      <alignment horizontal="center" vertical="center"/>
    </xf>
    <xf numFmtId="170" fontId="3" fillId="0" borderId="0" applyAlignment="1" pivotButton="0" quotePrefix="0" xfId="1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165" fontId="4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37" fillId="16" borderId="0" applyAlignment="1" pivotButton="0" quotePrefix="0" xfId="0">
      <alignment horizontal="left" vertical="center" wrapText="1"/>
    </xf>
    <xf numFmtId="0" fontId="3" fillId="16" borderId="0" applyAlignment="1" pivotButton="0" quotePrefix="0" xfId="0">
      <alignment horizontal="left" vertical="center" wrapText="1"/>
    </xf>
    <xf numFmtId="0" fontId="2" fillId="15" borderId="0" applyAlignment="1" pivotButton="0" quotePrefix="0" xfId="0">
      <alignment horizontal="left" vertical="center" wrapText="1"/>
    </xf>
    <xf numFmtId="0" fontId="33" fillId="16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0" applyAlignment="1" pivotButton="0" quotePrefix="0" xfId="0">
      <alignment horizontal="center" vertical="center"/>
    </xf>
    <xf numFmtId="3" fontId="1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0" fontId="0" fillId="0" borderId="8" pivotButton="0" quotePrefix="0" xfId="0"/>
    <xf numFmtId="164" fontId="0" fillId="0" borderId="8" pivotButton="0" quotePrefix="0" xfId="0"/>
    <xf numFmtId="14" fontId="0" fillId="0" borderId="8" pivotButton="0" quotePrefix="0" xfId="0"/>
    <xf numFmtId="172" fontId="0" fillId="0" borderId="8" pivotButton="0" quotePrefix="0" xfId="5"/>
    <xf numFmtId="168" fontId="0" fillId="0" borderId="8" pivotButton="0" quotePrefix="0" xfId="5"/>
    <xf numFmtId="172" fontId="0" fillId="0" borderId="7" applyAlignment="1" pivotButton="0" quotePrefix="0" xfId="5">
      <alignment vertical="center"/>
    </xf>
    <xf numFmtId="3" fontId="0" fillId="0" borderId="6" applyAlignment="1" pivotButton="0" quotePrefix="0" xfId="0">
      <alignment horizontal="center" vertical="center"/>
    </xf>
    <xf numFmtId="164" fontId="0" fillId="0" borderId="0" pivotButton="0" quotePrefix="0" xfId="0"/>
    <xf numFmtId="172" fontId="0" fillId="0" borderId="0" pivotButton="0" quotePrefix="0" xfId="5"/>
    <xf numFmtId="168" fontId="0" fillId="0" borderId="0" pivotButton="0" quotePrefix="0" xfId="5"/>
    <xf numFmtId="0" fontId="4" fillId="0" borderId="3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9" pivotButton="0" quotePrefix="0" xfId="0"/>
    <xf numFmtId="0" fontId="11" fillId="0" borderId="10" applyAlignment="1" pivotButton="0" quotePrefix="0" xfId="0">
      <alignment horizontal="left"/>
    </xf>
    <xf numFmtId="0" fontId="0" fillId="0" borderId="11" pivotButton="0" quotePrefix="0" xfId="0"/>
    <xf numFmtId="0" fontId="11" fillId="0" borderId="10" pivotButton="0" quotePrefix="0" xfId="0"/>
    <xf numFmtId="0" fontId="0" fillId="0" borderId="10" pivotButton="0" quotePrefix="0" xfId="0"/>
    <xf numFmtId="0" fontId="0" fillId="0" borderId="12" pivotButton="0" quotePrefix="0" xfId="0"/>
    <xf numFmtId="0" fontId="11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vertical="center"/>
    </xf>
    <xf numFmtId="0" fontId="0" fillId="0" borderId="16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38" fillId="0" borderId="3" applyAlignment="1" pivotButton="0" quotePrefix="0" xfId="0">
      <alignment horizontal="left" vertical="center" wrapText="1"/>
    </xf>
    <xf numFmtId="0" fontId="11" fillId="0" borderId="16" applyAlignment="1" pivotButton="0" quotePrefix="0" xfId="0">
      <alignment horizontal="left"/>
    </xf>
    <xf numFmtId="0" fontId="11" fillId="0" borderId="18" applyAlignment="1" pivotButton="0" quotePrefix="0" xfId="0">
      <alignment horizontal="left"/>
    </xf>
    <xf numFmtId="173" fontId="11" fillId="0" borderId="0" pivotButton="0" quotePrefix="0" xfId="0"/>
    <xf numFmtId="0" fontId="11" fillId="0" borderId="4" pivotButton="0" quotePrefix="0" xfId="0"/>
    <xf numFmtId="0" fontId="1" fillId="0" borderId="0" applyAlignment="1" pivotButton="0" quotePrefix="0" xfId="0">
      <alignment horizontal="center" vertical="center"/>
    </xf>
    <xf numFmtId="166" fontId="1" fillId="0" borderId="17" pivotButton="0" quotePrefix="0" xfId="1"/>
    <xf numFmtId="174" fontId="3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left" vertical="center" wrapText="1"/>
    </xf>
    <xf numFmtId="0" fontId="25" fillId="0" borderId="0" applyAlignment="1" pivotButton="0" quotePrefix="1" xfId="0">
      <alignment horizontal="left" vertical="center" wrapText="1"/>
    </xf>
    <xf numFmtId="0" fontId="43" fillId="0" borderId="0" applyAlignment="1" pivotButton="0" quotePrefix="0" xfId="0">
      <alignment horizontal="left" vertical="center" wrapText="1"/>
    </xf>
    <xf numFmtId="165" fontId="25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wrapText="1"/>
    </xf>
    <xf numFmtId="3" fontId="25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44" fillId="0" borderId="0" applyAlignment="1" pivotButton="0" quotePrefix="1" xfId="0">
      <alignment horizontal="left" vertical="center" wrapText="1"/>
    </xf>
    <xf numFmtId="0" fontId="45" fillId="16" borderId="0" applyAlignment="1" pivotButton="0" quotePrefix="0" xfId="0">
      <alignment horizontal="left" vertical="center" wrapText="1"/>
    </xf>
    <xf numFmtId="0" fontId="45" fillId="0" borderId="0" applyAlignment="1" pivotButton="0" quotePrefix="0" xfId="0">
      <alignment vertical="top" wrapText="1"/>
    </xf>
    <xf numFmtId="0" fontId="25" fillId="0" borderId="0" applyAlignment="1" pivotButton="0" quotePrefix="0" xfId="0">
      <alignment vertical="center" wrapText="1"/>
    </xf>
    <xf numFmtId="0" fontId="25" fillId="0" borderId="0" applyAlignment="1" pivotButton="0" quotePrefix="1" xfId="0">
      <alignment vertical="center" wrapText="1"/>
    </xf>
    <xf numFmtId="0" fontId="45" fillId="0" borderId="0" applyAlignment="1" pivotButton="0" quotePrefix="0" xfId="0">
      <alignment vertical="center" wrapText="1"/>
    </xf>
    <xf numFmtId="0" fontId="46" fillId="0" borderId="0" applyAlignment="1" pivotButton="0" quotePrefix="0" xfId="0">
      <alignment vertical="center" wrapText="1"/>
    </xf>
    <xf numFmtId="0" fontId="42" fillId="0" borderId="0" applyAlignment="1" pivotButton="0" quotePrefix="0" xfId="0">
      <alignment vertical="center" wrapText="1"/>
    </xf>
    <xf numFmtId="0" fontId="45" fillId="16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right" vertical="center" wrapText="1"/>
    </xf>
    <xf numFmtId="0" fontId="25" fillId="0" borderId="0" applyAlignment="1" pivotButton="0" quotePrefix="0" xfId="0">
      <alignment horizontal="right" vertical="center" wrapText="1"/>
    </xf>
    <xf numFmtId="0" fontId="2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vertical="center" wrapText="1"/>
    </xf>
    <xf numFmtId="0" fontId="37" fillId="0" borderId="0" pivotButton="0" quotePrefix="0" xfId="0"/>
    <xf numFmtId="175" fontId="3" fillId="0" borderId="0" applyAlignment="1" pivotButton="0" quotePrefix="0" xfId="0">
      <alignment horizontal="center" vertical="center"/>
    </xf>
    <xf numFmtId="176" fontId="3" fillId="0" borderId="0" applyAlignment="1" pivotButton="0" quotePrefix="0" xfId="0">
      <alignment horizontal="center" vertical="center"/>
    </xf>
    <xf numFmtId="166" fontId="0" fillId="0" borderId="3" pivotButton="0" quotePrefix="0" xfId="0"/>
    <xf numFmtId="175" fontId="3" fillId="0" borderId="0" applyAlignment="1" pivotButton="0" quotePrefix="0" xfId="0">
      <alignment horizontal="left" vertical="center" wrapText="1"/>
    </xf>
    <xf numFmtId="175" fontId="2" fillId="15" borderId="0" applyAlignment="1" pivotButton="0" quotePrefix="0" xfId="0">
      <alignment horizontal="left" vertical="center" wrapText="1"/>
    </xf>
    <xf numFmtId="175" fontId="5" fillId="0" borderId="0" applyAlignment="1" pivotButton="0" quotePrefix="0" xfId="0">
      <alignment horizontal="left" vertical="center" wrapText="1"/>
    </xf>
    <xf numFmtId="175" fontId="3" fillId="0" borderId="0" applyAlignment="1" pivotButton="0" quotePrefix="1" xfId="0">
      <alignment horizontal="left" vertical="center" wrapText="1"/>
    </xf>
    <xf numFmtId="175" fontId="9" fillId="0" borderId="0" applyAlignment="1" pivotButton="0" quotePrefix="0" xfId="0">
      <alignment horizontal="left" vertical="center" wrapText="1"/>
    </xf>
    <xf numFmtId="175" fontId="3" fillId="0" borderId="0" applyAlignment="1" pivotButton="0" quotePrefix="0" xfId="0">
      <alignment wrapText="1"/>
    </xf>
    <xf numFmtId="175" fontId="5" fillId="0" borderId="0" applyAlignment="1" pivotButton="0" quotePrefix="1" xfId="0">
      <alignment horizontal="left" vertical="center" wrapText="1"/>
    </xf>
    <xf numFmtId="175" fontId="11" fillId="0" borderId="0" applyAlignment="1" pivotButton="0" quotePrefix="1" xfId="0">
      <alignment horizontal="left" vertical="center" wrapText="1"/>
    </xf>
    <xf numFmtId="175" fontId="37" fillId="16" borderId="0" applyAlignment="1" pivotButton="0" quotePrefix="0" xfId="0">
      <alignment horizontal="left" vertical="center" wrapText="1"/>
    </xf>
    <xf numFmtId="175" fontId="33" fillId="0" borderId="0" applyAlignment="1" pivotButton="0" quotePrefix="0" xfId="0">
      <alignment vertical="top" wrapText="1"/>
    </xf>
    <xf numFmtId="175" fontId="22" fillId="0" borderId="0" applyAlignment="1" pivotButton="0" quotePrefix="0" xfId="0">
      <alignment vertical="center" wrapText="1"/>
    </xf>
    <xf numFmtId="175" fontId="22" fillId="0" borderId="0" applyAlignment="1" pivotButton="0" quotePrefix="1" xfId="0">
      <alignment vertical="center" wrapText="1"/>
    </xf>
    <xf numFmtId="175" fontId="33" fillId="0" borderId="0" applyAlignment="1" pivotButton="0" quotePrefix="0" xfId="0">
      <alignment vertical="center" wrapText="1"/>
    </xf>
    <xf numFmtId="175" fontId="23" fillId="0" borderId="0" applyAlignment="1" pivotButton="0" quotePrefix="0" xfId="0">
      <alignment vertical="center" wrapText="1"/>
    </xf>
    <xf numFmtId="175" fontId="33" fillId="16" borderId="0" applyAlignment="1" pivotButton="0" quotePrefix="0" xfId="0">
      <alignment vertical="center" wrapText="1"/>
    </xf>
    <xf numFmtId="175" fontId="1" fillId="0" borderId="0" pivotButton="0" quotePrefix="0" xfId="0"/>
    <xf numFmtId="175" fontId="3" fillId="16" borderId="0" applyAlignment="1" pivotButton="0" quotePrefix="0" xfId="0">
      <alignment horizontal="left" vertical="center" wrapText="1"/>
    </xf>
    <xf numFmtId="175" fontId="3" fillId="0" borderId="0" applyAlignment="1" pivotButton="0" quotePrefix="1" xfId="0">
      <alignment vertical="center"/>
    </xf>
    <xf numFmtId="175" fontId="0" fillId="0" borderId="0" applyAlignment="1" pivotButton="0" quotePrefix="0" xfId="0">
      <alignment horizontal="left" vertical="center"/>
    </xf>
    <xf numFmtId="175" fontId="3" fillId="0" borderId="0" applyAlignment="1" pivotButton="0" quotePrefix="0" xfId="0">
      <alignment horizontal="right" vertical="center" wrapText="1"/>
    </xf>
    <xf numFmtId="9" fontId="0" fillId="0" borderId="9" applyAlignment="1" pivotButton="0" quotePrefix="0" xfId="4">
      <alignment horizontal="center" vertical="center"/>
    </xf>
    <xf numFmtId="9" fontId="0" fillId="0" borderId="11" applyAlignment="1" pivotButton="0" quotePrefix="0" xfId="4">
      <alignment horizontal="center" vertical="center"/>
    </xf>
    <xf numFmtId="9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9" fontId="0" fillId="0" borderId="15" applyAlignment="1" pivotButton="0" quotePrefix="0" xfId="4">
      <alignment horizontal="center" vertical="center"/>
    </xf>
    <xf numFmtId="0" fontId="11" fillId="0" borderId="16" pivotButton="0" quotePrefix="0" xfId="0"/>
    <xf numFmtId="166" fontId="0" fillId="0" borderId="0" pivotButton="0" quotePrefix="0" xfId="1"/>
    <xf numFmtId="176" fontId="0" fillId="0" borderId="0" pivotButton="0" quotePrefix="0" xfId="0"/>
    <xf numFmtId="176" fontId="2" fillId="15" borderId="1" applyAlignment="1" pivotButton="0" quotePrefix="1" xfId="0">
      <alignment horizontal="center" vertical="center" wrapText="1"/>
    </xf>
    <xf numFmtId="176" fontId="2" fillId="15" borderId="1" applyAlignment="1" pivotButton="0" quotePrefix="0" xfId="0">
      <alignment horizontal="center" vertical="center" wrapText="1"/>
    </xf>
    <xf numFmtId="0" fontId="2" fillId="15" borderId="0" applyAlignment="1" pivotButton="0" quotePrefix="0" xfId="0">
      <alignment horizontal="center" vertical="center" wrapText="1"/>
    </xf>
    <xf numFmtId="3" fontId="2" fillId="15" borderId="0" applyAlignment="1" pivotButton="0" quotePrefix="1" xfId="0">
      <alignment horizontal="center" vertical="center" wrapText="1"/>
    </xf>
    <xf numFmtId="164" fontId="2" fillId="15" borderId="0" applyAlignment="1" pivotButton="0" quotePrefix="0" xfId="0">
      <alignment horizontal="center" vertical="center" wrapText="1"/>
    </xf>
    <xf numFmtId="176" fontId="2" fillId="15" borderId="0" applyAlignment="1" pivotButton="0" quotePrefix="1" xfId="0">
      <alignment horizontal="center" vertical="center" wrapText="1"/>
    </xf>
    <xf numFmtId="165" fontId="2" fillId="15" borderId="0" applyAlignment="1" pivotButton="0" quotePrefix="0" xfId="0">
      <alignment horizontal="center" vertical="center" wrapText="1"/>
    </xf>
    <xf numFmtId="176" fontId="2" fillId="15" borderId="0" applyAlignment="1" pivotButton="0" quotePrefix="0" xfId="0">
      <alignment horizontal="center" vertical="center" wrapText="1"/>
    </xf>
    <xf numFmtId="0" fontId="18" fillId="15" borderId="0" applyAlignment="1" pivotButton="0" quotePrefix="0" xfId="0">
      <alignment horizontal="left" vertical="center" wrapText="1"/>
    </xf>
    <xf numFmtId="166" fontId="2" fillId="15" borderId="0" applyAlignment="1" pivotButton="0" quotePrefix="1" xfId="1">
      <alignment horizontal="center" vertical="center" wrapText="1"/>
    </xf>
    <xf numFmtId="0" fontId="47" fillId="0" borderId="0" applyAlignment="1" pivotButton="0" quotePrefix="0" xfId="0">
      <alignment vertical="center"/>
    </xf>
    <xf numFmtId="177" fontId="0" fillId="0" borderId="0" pivotButton="0" quotePrefix="0" xfId="0"/>
    <xf numFmtId="49" fontId="0" fillId="0" borderId="0" pivotButton="0" quotePrefix="0" xfId="0"/>
    <xf numFmtId="177" fontId="47" fillId="0" borderId="0" applyAlignment="1" pivotButton="0" quotePrefix="0" xfId="0">
      <alignment vertical="center"/>
    </xf>
    <xf numFmtId="176" fontId="47" fillId="0" borderId="0" applyAlignment="1" pivotButton="0" quotePrefix="0" xfId="0">
      <alignment vertical="center"/>
    </xf>
    <xf numFmtId="176" fontId="0" fillId="0" borderId="0" pivotButton="0" quotePrefix="0" xfId="1"/>
    <xf numFmtId="178" fontId="0" fillId="0" borderId="0" pivotButton="0" quotePrefix="0" xfId="5"/>
    <xf numFmtId="178" fontId="2" fillId="15" borderId="1" applyAlignment="1" pivotButton="0" quotePrefix="0" xfId="5">
      <alignment horizontal="center" vertical="center" wrapText="1"/>
    </xf>
    <xf numFmtId="179" fontId="48" fillId="0" borderId="0" applyAlignment="1" pivotButton="0" quotePrefix="0" xfId="0">
      <alignment horizontal="left" vertical="center"/>
    </xf>
    <xf numFmtId="14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6">
      <alignment horizontal="center" vertical="center" wrapText="1"/>
    </xf>
    <xf numFmtId="164" fontId="3" fillId="0" borderId="0" applyAlignment="1" pivotButton="0" quotePrefix="0" xfId="6">
      <alignment horizontal="center" vertical="center"/>
    </xf>
    <xf numFmtId="165" fontId="3" fillId="0" borderId="0" applyAlignment="1" pivotButton="0" quotePrefix="0" xfId="6">
      <alignment horizontal="center" vertical="center"/>
    </xf>
    <xf numFmtId="0" fontId="3" fillId="0" borderId="0" applyAlignment="1" pivotButton="0" quotePrefix="0" xfId="6">
      <alignment horizontal="left" vertical="center" wrapText="1"/>
    </xf>
    <xf numFmtId="0" fontId="3" fillId="18" borderId="0" applyAlignment="1" pivotButton="0" quotePrefix="0" xfId="0">
      <alignment horizontal="center" vertical="center"/>
    </xf>
    <xf numFmtId="0" fontId="3" fillId="18" borderId="0" applyAlignment="1" pivotButton="0" quotePrefix="0" xfId="0">
      <alignment vertical="center"/>
    </xf>
    <xf numFmtId="0" fontId="3" fillId="18" borderId="0" applyAlignment="1" pivotButton="0" quotePrefix="0" xfId="0">
      <alignment horizontal="left" vertical="center" wrapText="1"/>
    </xf>
    <xf numFmtId="9" fontId="3" fillId="0" borderId="0" applyAlignment="1" pivotButton="0" quotePrefix="0" xfId="22">
      <alignment horizontal="center" vertical="center"/>
    </xf>
    <xf numFmtId="3" fontId="5" fillId="0" borderId="0" applyAlignment="1" pivotButton="0" quotePrefix="0" xfId="0">
      <alignment horizontal="center" vertical="center"/>
    </xf>
    <xf numFmtId="166" fontId="49" fillId="0" borderId="0" applyAlignment="1" pivotButton="0" quotePrefix="0" xfId="1">
      <alignment horizontal="center" vertical="center"/>
    </xf>
    <xf numFmtId="3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1">
      <alignment horizontal="center" vertical="center"/>
    </xf>
    <xf numFmtId="166" fontId="50" fillId="0" borderId="0" applyAlignment="1" pivotButton="0" quotePrefix="0" xfId="1">
      <alignment horizontal="center" vertical="center"/>
    </xf>
    <xf numFmtId="3" fontId="51" fillId="0" borderId="0" applyAlignment="1" pivotButton="0" quotePrefix="0" xfId="0">
      <alignment horizontal="center" vertical="center"/>
    </xf>
    <xf numFmtId="166" fontId="6" fillId="0" borderId="0" applyAlignment="1" pivotButton="0" quotePrefix="0" xfId="1">
      <alignment horizontal="center" vertical="center" wrapText="1"/>
    </xf>
    <xf numFmtId="3" fontId="6" fillId="0" borderId="0" applyAlignment="1" pivotButton="0" quotePrefix="0" xfId="1">
      <alignment horizontal="center" vertical="center"/>
    </xf>
    <xf numFmtId="166" fontId="4" fillId="0" borderId="0" applyAlignment="1" pivotButton="0" quotePrefix="0" xfId="1">
      <alignment horizontal="center" vertical="center"/>
    </xf>
    <xf numFmtId="165" fontId="38" fillId="16" borderId="6" applyAlignment="1" pivotButton="0" quotePrefix="0" xfId="0">
      <alignment horizontal="center" vertical="center" wrapText="1"/>
    </xf>
    <xf numFmtId="0" fontId="39" fillId="0" borderId="0" applyAlignment="1" pivotButton="0" quotePrefix="0" xfId="0">
      <alignment vertical="top"/>
    </xf>
    <xf numFmtId="171" fontId="51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vertical="center"/>
    </xf>
    <xf numFmtId="171" fontId="35" fillId="0" borderId="0" applyAlignment="1" pivotButton="0" quotePrefix="0" xfId="1">
      <alignment horizontal="center" vertical="center"/>
    </xf>
    <xf numFmtId="171" fontId="34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3" fontId="49" fillId="0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165" fontId="5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71" fontId="39" fillId="0" borderId="0" applyAlignment="1" pivotButton="0" quotePrefix="0" xfId="1">
      <alignment vertical="top"/>
    </xf>
    <xf numFmtId="171" fontId="51" fillId="0" borderId="0" applyAlignment="1" pivotButton="0" quotePrefix="0" xfId="1">
      <alignment horizontal="center" vertical="center"/>
    </xf>
    <xf numFmtId="171" fontId="39" fillId="0" borderId="0" applyAlignment="1" pivotButton="0" quotePrefix="0" xfId="1">
      <alignment horizontal="center" vertical="top"/>
    </xf>
    <xf numFmtId="171" fontId="39" fillId="0" borderId="0" applyAlignment="1" pivotButton="0" quotePrefix="0" xfId="1">
      <alignment vertical="center"/>
    </xf>
    <xf numFmtId="171" fontId="35" fillId="0" borderId="0" applyAlignment="1" pivotButton="0" quotePrefix="0" xfId="1">
      <alignment vertical="center"/>
    </xf>
    <xf numFmtId="171" fontId="39" fillId="0" borderId="0" applyAlignment="1" pivotButton="0" quotePrefix="0" xfId="1">
      <alignment horizontal="center" vertical="center"/>
    </xf>
    <xf numFmtId="165" fontId="3" fillId="0" borderId="2" applyAlignment="1" pivotButton="0" quotePrefix="0" xfId="0">
      <alignment horizontal="left" vertical="center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 wrapText="1"/>
    </xf>
    <xf numFmtId="0" fontId="11" fillId="17" borderId="14" applyAlignment="1" pivotButton="0" quotePrefix="0" xfId="0">
      <alignment horizontal="center"/>
    </xf>
    <xf numFmtId="0" fontId="0" fillId="0" borderId="14" pivotButton="0" quotePrefix="0" xfId="0"/>
    <xf numFmtId="3" fontId="2" fillId="15" borderId="1" applyAlignment="1" pivotButton="0" quotePrefix="0" xfId="0">
      <alignment horizontal="center" vertical="center" wrapText="1"/>
    </xf>
    <xf numFmtId="166" fontId="2" fillId="15" borderId="1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71" fontId="35" fillId="0" borderId="0" applyAlignment="1" pivotButton="0" quotePrefix="0" xfId="0">
      <alignment horizontal="center" vertical="center"/>
    </xf>
    <xf numFmtId="0" fontId="53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80" fontId="0" fillId="0" borderId="0" pivotButton="0" quotePrefix="0" xfId="0"/>
    <xf numFmtId="0" fontId="54" fillId="0" borderId="0" pivotButton="0" quotePrefix="0" xfId="0"/>
  </cellXfs>
  <cellStyles count="24">
    <cellStyle name="Normal" xfId="0" builtinId="0"/>
    <cellStyle name="Comma" xfId="1" builtinId="3"/>
    <cellStyle name="Normal 2" xfId="2"/>
    <cellStyle name="Note 2" xfId="3"/>
    <cellStyle name="Per cent" xfId="4" builtinId="5"/>
    <cellStyle name="Currency" xfId="5" builtinId="4"/>
    <cellStyle name="Normal 3" xfId="6"/>
    <cellStyle name="20% - Accent1 2" xfId="7"/>
    <cellStyle name="20% - Accent2 2" xfId="8"/>
    <cellStyle name="20% - Accent3 2" xfId="9"/>
    <cellStyle name="20% - Accent4 2" xfId="10"/>
    <cellStyle name="20% - Accent5 2" xfId="11"/>
    <cellStyle name="20% - Accent6 2" xfId="12"/>
    <cellStyle name="40% - Accent1 2" xfId="13"/>
    <cellStyle name="40% - Accent2 2" xfId="14"/>
    <cellStyle name="40% - Accent3 2" xfId="15"/>
    <cellStyle name="40% - Accent4 2" xfId="16"/>
    <cellStyle name="40% - Accent5 2" xfId="17"/>
    <cellStyle name="40% - Accent6 2" xfId="18"/>
    <cellStyle name="Comma 2" xfId="19"/>
    <cellStyle name="Normal 2 2" xfId="20"/>
    <cellStyle name="Note 2 2" xfId="21"/>
    <cellStyle name="Per cent 2" xfId="22"/>
    <cellStyle name="Currency 2" xfId="23"/>
  </cellStyles>
  <dxfs count="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a:sp3d/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a:sp3d/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a:sp3d/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a:sp3d/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23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23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G968"/>
  <sheetViews>
    <sheetView view="pageBreakPreview" zoomScaleNormal="100" zoomScaleSheetLayoutView="100" workbookViewId="0">
      <pane ySplit="3" topLeftCell="A4" activePane="bottomLeft" state="frozen"/>
      <selection pane="bottomLeft" activeCell="E9" sqref="E9"/>
    </sheetView>
  </sheetViews>
  <sheetFormatPr baseColWidth="10" defaultColWidth="8.83203125" defaultRowHeight="14"/>
  <cols>
    <col width="1.5" customWidth="1" min="1" max="1"/>
    <col width="5.5" customWidth="1" style="224" min="2" max="2"/>
    <col hidden="1" width="5.5" customWidth="1" style="224" min="3" max="3"/>
    <col width="17.1640625" customWidth="1" style="97" min="4" max="4"/>
    <col width="29.1640625" customWidth="1" style="97" min="5" max="5"/>
    <col width="22.5" customWidth="1" style="4" min="6" max="6"/>
    <col width="12.83203125" customWidth="1" style="14" min="7" max="7"/>
    <col width="9.1640625" customWidth="1" style="7" min="8" max="8"/>
    <col hidden="1" width="7.83203125" customWidth="1" style="7" min="9" max="10"/>
    <col width="31.1640625" customWidth="1" style="4" min="11" max="11"/>
    <col width="9.6640625" customWidth="1" style="8" min="12" max="12"/>
    <col width="9.6640625" customWidth="1" style="9" min="13" max="13"/>
    <col width="8.1640625" customWidth="1" style="9" min="14" max="14"/>
    <col width="7.5" customWidth="1" style="9" min="15" max="15"/>
    <col width="9" customWidth="1" style="9" min="16" max="16"/>
    <col width="11.5" customWidth="1" style="10" min="17" max="17"/>
    <col hidden="1" width="9.5" customWidth="1" style="10" min="18" max="18"/>
    <col hidden="1" width="8.6640625" customWidth="1" style="10" min="19" max="19"/>
    <col width="12.33203125" customWidth="1" style="142" min="20" max="20"/>
    <col hidden="1" width="9.33203125" customWidth="1" style="11" min="21" max="21"/>
    <col width="11.33203125" customWidth="1" style="142" min="22" max="22"/>
    <col hidden="1" width="8.33203125" customWidth="1" style="11" min="23" max="23"/>
    <col width="7.5" customWidth="1" style="11" min="24" max="24"/>
    <col width="4.5" customWidth="1" style="11" min="25" max="25"/>
    <col width="1.5" customWidth="1" style="57" min="26" max="26"/>
    <col width="11.5" customWidth="1" style="138" min="27" max="27"/>
    <col width="8.5" customWidth="1" style="53" min="28" max="28"/>
    <col width="52.83203125" customWidth="1" style="4" min="29" max="29"/>
    <col hidden="1" width="11.33203125" customWidth="1" style="303" min="30" max="30"/>
    <col hidden="1" width="11" customWidth="1" style="4" min="31" max="33"/>
  </cols>
  <sheetData>
    <row r="1">
      <c r="C1" s="116" t="inlineStr">
        <is>
          <t>Hide</t>
        </is>
      </c>
      <c r="D1" s="97" t="inlineStr">
        <is>
          <t>Hide</t>
        </is>
      </c>
      <c r="E1" s="97" t="inlineStr">
        <is>
          <t>Hide</t>
        </is>
      </c>
      <c r="P1" s="116" t="n"/>
      <c r="AB1" s="97" t="n"/>
    </row>
    <row r="2">
      <c r="C2" s="116" t="inlineStr">
        <is>
          <t>Hide</t>
        </is>
      </c>
      <c r="D2" s="97" t="inlineStr">
        <is>
          <t>Hide</t>
        </is>
      </c>
      <c r="E2" s="97" t="inlineStr">
        <is>
          <t>Hide</t>
        </is>
      </c>
      <c r="I2" s="116" t="inlineStr">
        <is>
          <t>Hide</t>
        </is>
      </c>
      <c r="J2" s="116" t="inlineStr">
        <is>
          <t>Hide</t>
        </is>
      </c>
      <c r="P2" s="116" t="n"/>
      <c r="R2" s="97" t="inlineStr">
        <is>
          <t>Hide</t>
        </is>
      </c>
      <c r="S2" s="97" t="inlineStr">
        <is>
          <t>Hide</t>
        </is>
      </c>
      <c r="U2" s="116" t="inlineStr">
        <is>
          <t>Hide</t>
        </is>
      </c>
      <c r="W2" s="116" t="inlineStr">
        <is>
          <t>Hide</t>
        </is>
      </c>
      <c r="X2" s="116" t="n"/>
      <c r="Y2" s="116" t="n"/>
      <c r="AB2" s="97" t="n"/>
      <c r="AD2" s="303" t="inlineStr">
        <is>
          <t>Hide</t>
        </is>
      </c>
      <c r="AE2" s="303" t="inlineStr">
        <is>
          <t>Hide</t>
        </is>
      </c>
      <c r="AF2" s="303" t="inlineStr">
        <is>
          <t>Hide</t>
        </is>
      </c>
      <c r="AG2" s="303" t="inlineStr">
        <is>
          <t>Hide</t>
        </is>
      </c>
    </row>
    <row r="3" ht="33.75" customHeight="1">
      <c r="B3" s="131" t="inlineStr">
        <is>
          <t>Surveyor</t>
        </is>
      </c>
      <c r="C3" s="131" t="inlineStr">
        <is>
          <t>Client</t>
        </is>
      </c>
      <c r="D3" s="71" t="inlineStr">
        <is>
          <t>Property Number</t>
        </is>
      </c>
      <c r="E3" s="71" t="inlineStr">
        <is>
          <t>Property</t>
        </is>
      </c>
      <c r="F3" s="71" t="inlineStr">
        <is>
          <t>Unit Demise</t>
        </is>
      </c>
      <c r="G3" s="72" t="inlineStr">
        <is>
          <t>Unit Type</t>
        </is>
      </c>
      <c r="H3" s="73" t="inlineStr">
        <is>
          <t>Net Area</t>
        </is>
      </c>
      <c r="I3" s="73" t="inlineStr">
        <is>
          <t>.</t>
        </is>
      </c>
      <c r="J3" s="73" t="inlineStr">
        <is>
          <t>Agency Area group</t>
        </is>
      </c>
      <c r="K3" s="74" t="inlineStr">
        <is>
          <t>Tenant Name</t>
        </is>
      </c>
      <c r="L3" s="75" t="inlineStr">
        <is>
          <t>Start            Date</t>
        </is>
      </c>
      <c r="M3" s="75" t="inlineStr">
        <is>
          <t>Expiry   Date</t>
        </is>
      </c>
      <c r="N3" s="75" t="inlineStr">
        <is>
          <t>Vacant Since?</t>
        </is>
      </c>
      <c r="O3" s="75" t="inlineStr">
        <is>
          <t>RRs</t>
        </is>
      </c>
      <c r="P3" s="75" t="inlineStr">
        <is>
          <t xml:space="preserve">Break Date </t>
        </is>
      </c>
      <c r="Q3" s="76" t="inlineStr">
        <is>
          <t xml:space="preserve">Rent PA (£) </t>
        </is>
      </c>
      <c r="R3" s="77" t="inlineStr">
        <is>
          <t>check 1</t>
        </is>
      </c>
      <c r="S3" s="77" t="inlineStr">
        <is>
          <t>check 2</t>
        </is>
      </c>
      <c r="T3" s="76" t="inlineStr">
        <is>
          <t xml:space="preserve">  2023 ERV (£)</t>
        </is>
      </c>
      <c r="U3" s="72" t="inlineStr">
        <is>
          <t>check 3</t>
        </is>
      </c>
      <c r="V3" s="76" t="inlineStr">
        <is>
          <t xml:space="preserve">  2025 ERV (£)</t>
        </is>
      </c>
      <c r="W3" s="72" t="inlineStr">
        <is>
          <t>check 4</t>
        </is>
      </c>
      <c r="X3" s="72" t="inlineStr">
        <is>
          <t>ERV 2023 £.Sq.ft</t>
        </is>
      </c>
      <c r="Y3" s="72" t="inlineStr">
        <is>
          <t>EPC</t>
        </is>
      </c>
      <c r="Z3" s="58" t="inlineStr">
        <is>
          <t>*</t>
        </is>
      </c>
      <c r="AA3" s="78" t="inlineStr">
        <is>
          <t xml:space="preserve">2025 Cap Valn. (£)    </t>
        </is>
      </c>
      <c r="AB3" s="78" t="inlineStr">
        <is>
          <t>1954 Act Protected</t>
        </is>
      </c>
      <c r="AC3" s="96" t="inlineStr">
        <is>
          <t>Remarks</t>
        </is>
      </c>
      <c r="AD3" s="304" t="inlineStr">
        <is>
          <t>Agency Quoting Rent £.sq.ft</t>
        </is>
      </c>
      <c r="AE3" s="239" t="inlineStr">
        <is>
          <t>Monthly Viewings</t>
        </is>
      </c>
      <c r="AF3" s="239" t="inlineStr">
        <is>
          <t>Total Viewings</t>
        </is>
      </c>
      <c r="AG3" s="239" t="inlineStr">
        <is>
          <t>Marketing Agent</t>
        </is>
      </c>
    </row>
    <row r="4">
      <c r="B4" s="11" t="n"/>
      <c r="C4" s="11" t="n"/>
      <c r="D4" s="2" t="n"/>
      <c r="E4" s="4" t="n"/>
      <c r="F4" s="81" t="n"/>
      <c r="G4" s="79" t="n"/>
      <c r="H4" s="80" t="n"/>
      <c r="I4" s="80" t="n"/>
      <c r="J4" s="80" t="n"/>
      <c r="K4" s="81" t="n"/>
      <c r="L4" s="82" t="n"/>
      <c r="M4" s="83" t="n"/>
      <c r="N4" s="83" t="n"/>
      <c r="O4" s="83" t="n"/>
      <c r="P4" s="83" t="n"/>
      <c r="Q4" s="84" t="n"/>
      <c r="R4" s="84" t="n"/>
      <c r="S4" s="84" t="n"/>
      <c r="T4" s="85" t="n"/>
      <c r="U4" s="85" t="n"/>
      <c r="V4" s="85" t="n"/>
      <c r="W4" s="85" t="n"/>
      <c r="X4" s="85" t="n"/>
      <c r="Y4" s="85" t="n"/>
      <c r="Z4" s="59" t="n"/>
      <c r="AA4" s="146" t="n"/>
      <c r="AC4" s="81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 HELLO</t>
        </is>
      </c>
      <c r="I5" s="10" t="n"/>
      <c r="J5" s="10" t="n"/>
      <c r="K5" s="30" t="n"/>
      <c r="T5" s="11" t="n"/>
      <c r="U5" s="10" t="n"/>
      <c r="V5" s="11" t="n"/>
      <c r="W5" s="10" t="n"/>
      <c r="X5" s="10" t="n"/>
      <c r="Y5" s="10" t="n"/>
      <c r="Z5" s="60" t="n"/>
      <c r="AA5" s="53" t="n"/>
    </row>
    <row r="6" ht="14.25" customHeight="1">
      <c r="A6" s="2" t="n"/>
      <c r="B6" s="11" t="n"/>
      <c r="C6" s="11" t="n"/>
      <c r="D6" s="2" t="n"/>
      <c r="E6" s="4" t="n"/>
      <c r="I6" s="10" t="n"/>
      <c r="J6" s="10" t="n"/>
      <c r="K6" s="30" t="n"/>
      <c r="T6" s="10" t="n"/>
      <c r="U6" s="10" t="n"/>
      <c r="V6" s="10" t="n"/>
      <c r="W6" s="10" t="n"/>
      <c r="X6" s="10" t="n"/>
      <c r="Y6" s="10" t="n"/>
      <c r="Z6" s="60" t="n"/>
      <c r="AA6" s="53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 HELLO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10">
        <f>H7</f>
        <v/>
      </c>
      <c r="J7" s="10" t="n">
        <v>2000</v>
      </c>
      <c r="K7" s="4" t="inlineStr">
        <is>
          <t>111 Skin Limited</t>
        </is>
      </c>
      <c r="L7" s="8" t="n">
        <v>45365</v>
      </c>
      <c r="M7" s="9" t="n">
        <v>47190</v>
      </c>
      <c r="P7" s="9" t="n">
        <v>46459</v>
      </c>
      <c r="Q7" s="19" t="n">
        <v>115500</v>
      </c>
      <c r="R7" s="10">
        <f>Q7</f>
        <v/>
      </c>
      <c r="S7" s="19">
        <f>R7</f>
        <v/>
      </c>
      <c r="T7" s="19" t="n">
        <v>100600</v>
      </c>
      <c r="U7" s="10">
        <f>T7</f>
        <v/>
      </c>
      <c r="V7" s="36" t="n">
        <v>115000</v>
      </c>
      <c r="W7" s="10">
        <f>V7</f>
        <v/>
      </c>
      <c r="X7" s="277">
        <f>T7/H7</f>
        <v/>
      </c>
      <c r="Y7" s="10" t="inlineStr">
        <is>
          <t>C</t>
        </is>
      </c>
      <c r="Z7" s="60" t="n"/>
      <c r="AA7" s="36" t="n">
        <v>1750000</v>
      </c>
      <c r="AB7" s="53" t="inlineStr">
        <is>
          <t>No</t>
        </is>
      </c>
      <c r="AC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0" t="inlineStr">
        <is>
          <t>5/6 Bywell Place</t>
        </is>
      </c>
      <c r="H8" s="31">
        <f>SUM(H7:H7)</f>
        <v/>
      </c>
      <c r="I8" s="18" t="n"/>
      <c r="J8" s="18" t="n"/>
      <c r="K8" s="32" t="n"/>
      <c r="L8" s="33" t="n"/>
      <c r="M8" s="34" t="n"/>
      <c r="N8" s="34" t="n"/>
      <c r="O8" s="34" t="n"/>
      <c r="P8" s="34" t="n"/>
      <c r="Q8" s="31" t="n"/>
      <c r="R8" s="31" t="n"/>
      <c r="S8" s="31" t="n"/>
      <c r="T8" s="31" t="n"/>
      <c r="U8" s="31" t="n"/>
      <c r="V8" s="376" t="n"/>
      <c r="W8" s="31" t="n"/>
      <c r="X8" s="31" t="n"/>
      <c r="Y8" s="31" t="n"/>
      <c r="Z8" s="62" t="n"/>
      <c r="AA8" s="360" t="n"/>
      <c r="AB8" s="109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10" t="n"/>
      <c r="J9" s="10" t="n"/>
      <c r="K9" s="30" t="n"/>
      <c r="T9" s="11" t="n"/>
      <c r="U9" s="10" t="n"/>
      <c r="W9" s="10" t="n"/>
      <c r="X9" s="10" t="n"/>
      <c r="Y9" s="10" t="n"/>
      <c r="Z9" s="60" t="n"/>
      <c r="AA9" s="230" t="n"/>
      <c r="AB9" s="14" t="n"/>
    </row>
    <row r="10" ht="14.25" customHeight="1">
      <c r="A10" s="2" t="n"/>
      <c r="B10" s="11" t="n"/>
      <c r="C10" s="11" t="n"/>
      <c r="D10" s="2" t="n"/>
      <c r="E10" s="4" t="n"/>
      <c r="L10" s="9" t="n"/>
      <c r="Q10" s="7" t="n"/>
      <c r="R10" s="7" t="n"/>
      <c r="S10" s="7" t="n"/>
      <c r="T10" s="7" t="n"/>
      <c r="U10" s="7" t="n"/>
      <c r="V10" s="359" t="n"/>
      <c r="W10" s="7" t="n"/>
      <c r="X10" s="7" t="n"/>
      <c r="Y10" s="7" t="n"/>
      <c r="Z10" s="64" t="n"/>
      <c r="AA10" s="230" t="n"/>
      <c r="AB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10">
        <f>H11</f>
        <v/>
      </c>
      <c r="J11" s="10" t="n">
        <v>2000</v>
      </c>
      <c r="K11" s="4" t="inlineStr">
        <is>
          <t>Top Bridal Ltd</t>
        </is>
      </c>
      <c r="L11" s="9" t="n">
        <v>45736</v>
      </c>
      <c r="M11" s="9" t="n">
        <v>47561</v>
      </c>
      <c r="P11" s="9" t="n">
        <v>46831</v>
      </c>
      <c r="Q11" s="7" t="n">
        <v>128000</v>
      </c>
      <c r="R11" s="10">
        <f>Q11</f>
        <v/>
      </c>
      <c r="T11" s="7" t="n">
        <v>110000</v>
      </c>
      <c r="U11" s="10">
        <f>T11</f>
        <v/>
      </c>
      <c r="V11" s="359" t="n">
        <v>128000</v>
      </c>
      <c r="W11" s="10">
        <f>V11</f>
        <v/>
      </c>
      <c r="X11" s="277">
        <f>T11/H11</f>
        <v/>
      </c>
      <c r="Y11" s="10" t="inlineStr">
        <is>
          <t>C</t>
        </is>
      </c>
      <c r="Z11" s="60" t="n"/>
      <c r="AA11" s="230" t="n"/>
      <c r="AB11" s="14" t="inlineStr">
        <is>
          <t>No</t>
        </is>
      </c>
      <c r="AC11" s="4" t="inlineStr">
        <is>
          <t>Stepped rent increasing to £130,000 wef 20/03/27. Tenant break on 6 months notice.</t>
        </is>
      </c>
      <c r="AD11" s="305" t="n"/>
      <c r="AE11" s="4" t="n">
        <v>1</v>
      </c>
      <c r="AF11" s="278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10">
        <f>H12</f>
        <v/>
      </c>
      <c r="J12" s="10" t="n">
        <v>6000</v>
      </c>
      <c r="K12" s="4" t="inlineStr">
        <is>
          <t>Sisters Grimm Ltd</t>
        </is>
      </c>
      <c r="L12" s="8" t="n">
        <v>45712</v>
      </c>
      <c r="M12" s="9" t="n">
        <v>47537</v>
      </c>
      <c r="P12" s="9" t="n">
        <v>46806</v>
      </c>
      <c r="Q12" s="10" t="n">
        <v>325000</v>
      </c>
      <c r="R12" s="10">
        <f>Q12</f>
        <v/>
      </c>
      <c r="T12" s="7" t="n">
        <v>225000</v>
      </c>
      <c r="U12" s="10">
        <f>T12</f>
        <v/>
      </c>
      <c r="V12" s="359" t="n">
        <v>325000</v>
      </c>
      <c r="W12" s="10">
        <f>V12</f>
        <v/>
      </c>
      <c r="X12" s="277">
        <f>T12/H12</f>
        <v/>
      </c>
      <c r="Y12" s="10" t="inlineStr">
        <is>
          <t>B</t>
        </is>
      </c>
      <c r="Z12" s="60" t="n"/>
      <c r="AA12" s="230" t="n"/>
      <c r="AB12" s="14" t="inlineStr">
        <is>
          <t>No</t>
        </is>
      </c>
      <c r="AC12" s="4" t="inlineStr">
        <is>
          <t>Tenant break on 6 months notice. 1 month rent free from 24/02/28 if break not excerised.</t>
        </is>
      </c>
      <c r="AD12" s="305" t="n"/>
      <c r="AF12" s="278" t="n">
        <v>3</v>
      </c>
      <c r="AG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10">
        <f>H13</f>
        <v/>
      </c>
      <c r="J13" s="10" t="n">
        <v>1000</v>
      </c>
      <c r="K13" s="4" t="inlineStr">
        <is>
          <t>Peter Alexander UK Ltd</t>
        </is>
      </c>
      <c r="L13" s="9" t="n">
        <v>45551</v>
      </c>
      <c r="M13" s="9" t="n">
        <v>47376</v>
      </c>
      <c r="P13" s="9" t="n">
        <v>46645</v>
      </c>
      <c r="Q13" s="7" t="n">
        <v>61425</v>
      </c>
      <c r="R13" s="10">
        <f>Q13</f>
        <v/>
      </c>
      <c r="T13" s="7" t="n">
        <v>55700</v>
      </c>
      <c r="U13" s="10">
        <f>T13</f>
        <v/>
      </c>
      <c r="V13" s="359" t="n">
        <v>61100</v>
      </c>
      <c r="W13" s="10">
        <f>V13</f>
        <v/>
      </c>
      <c r="X13" s="277">
        <f>T13/H13</f>
        <v/>
      </c>
      <c r="Y13" s="10" t="inlineStr">
        <is>
          <t>D</t>
        </is>
      </c>
      <c r="Z13" s="60" t="n"/>
      <c r="AA13" s="230" t="n"/>
      <c r="AB13" s="14" t="inlineStr">
        <is>
          <t>No</t>
        </is>
      </c>
      <c r="AC13" s="4" t="inlineStr">
        <is>
          <t>Tenant break on 3 months notice. Additional 3 months rent free if not exercised.</t>
        </is>
      </c>
      <c r="AG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10">
        <f>H14</f>
        <v/>
      </c>
      <c r="J14" s="10" t="n">
        <v>2000</v>
      </c>
      <c r="K14" s="4" t="inlineStr">
        <is>
          <t>Cord Technologies Ltd</t>
        </is>
      </c>
      <c r="L14" s="9" t="n">
        <v>45086</v>
      </c>
      <c r="M14" s="9" t="n">
        <v>46181</v>
      </c>
      <c r="Q14" s="7" t="n">
        <v>131400</v>
      </c>
      <c r="R14" s="10">
        <f>Q14</f>
        <v/>
      </c>
      <c r="T14" s="7" t="n">
        <v>131100</v>
      </c>
      <c r="U14" s="10">
        <f>T14</f>
        <v/>
      </c>
      <c r="V14" s="359" t="n">
        <v>133200</v>
      </c>
      <c r="W14" s="10">
        <f>V14</f>
        <v/>
      </c>
      <c r="X14" s="277">
        <f>T14/H14</f>
        <v/>
      </c>
      <c r="Y14" s="10" t="inlineStr">
        <is>
          <t>D</t>
        </is>
      </c>
      <c r="Z14" s="60" t="n"/>
      <c r="AA14" s="230" t="n"/>
      <c r="AB14" s="14" t="inlineStr">
        <is>
          <t>No</t>
        </is>
      </c>
      <c r="AF14" s="278" t="n"/>
    </row>
    <row r="15" ht="22.5" customFormat="1" customHeight="1" s="116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10">
        <f>H15</f>
        <v/>
      </c>
      <c r="J15" s="10" t="n">
        <v>1000</v>
      </c>
      <c r="K15" s="4" t="inlineStr">
        <is>
          <t>Cord Technologies Ltd</t>
        </is>
      </c>
      <c r="L15" s="9" t="n">
        <v>45614</v>
      </c>
      <c r="M15" s="9" t="n">
        <v>46181</v>
      </c>
      <c r="N15" s="9" t="n"/>
      <c r="O15" s="9" t="n"/>
      <c r="P15" s="9" t="n"/>
      <c r="Q15" s="7" t="n">
        <v>71875</v>
      </c>
      <c r="R15" s="10">
        <f>Q15</f>
        <v/>
      </c>
      <c r="S15" s="10" t="n"/>
      <c r="T15" s="7" t="n">
        <v>60400</v>
      </c>
      <c r="U15" s="10">
        <f>T15</f>
        <v/>
      </c>
      <c r="V15" s="359" t="n">
        <v>64600</v>
      </c>
      <c r="W15" s="10">
        <f>V15</f>
        <v/>
      </c>
      <c r="X15" s="277">
        <f>T15/H15</f>
        <v/>
      </c>
      <c r="Y15" s="10" t="inlineStr">
        <is>
          <t>B</t>
        </is>
      </c>
      <c r="Z15" s="60" t="n"/>
      <c r="AA15" s="230" t="n"/>
      <c r="AB15" s="14" t="inlineStr">
        <is>
          <t>No</t>
        </is>
      </c>
      <c r="AC15" s="4" t="n"/>
      <c r="AD15" s="305" t="n"/>
      <c r="AE15" s="4" t="n"/>
      <c r="AF15" s="278" t="n"/>
      <c r="AG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10">
        <f>H16</f>
        <v/>
      </c>
      <c r="J16" s="10" t="n">
        <v>2000</v>
      </c>
      <c r="K16" s="4" t="inlineStr">
        <is>
          <t>Vacant</t>
        </is>
      </c>
      <c r="L16" s="9" t="n"/>
      <c r="N16" s="9" t="n">
        <v>45636</v>
      </c>
      <c r="Q16" s="7" t="n">
        <v>0</v>
      </c>
      <c r="R16" s="10">
        <f>Q16</f>
        <v/>
      </c>
      <c r="T16" s="7" t="n">
        <v>134300</v>
      </c>
      <c r="U16" s="10">
        <f>T16</f>
        <v/>
      </c>
      <c r="V16" s="359" t="n">
        <v>134300</v>
      </c>
      <c r="W16" s="10">
        <f>V16</f>
        <v/>
      </c>
      <c r="X16" s="277">
        <f>T16/H16</f>
        <v/>
      </c>
      <c r="Y16" s="10" t="inlineStr">
        <is>
          <t>D</t>
        </is>
      </c>
      <c r="Z16" s="60" t="n"/>
      <c r="AA16" s="230" t="n"/>
      <c r="AB16" s="14" t="inlineStr">
        <is>
          <t>No</t>
        </is>
      </c>
      <c r="AC16" s="4" t="inlineStr">
        <is>
          <t>LEM marketing.</t>
        </is>
      </c>
      <c r="AE16" s="29" t="n"/>
      <c r="AF16" s="279" t="n"/>
      <c r="AG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10">
        <f>H17</f>
        <v/>
      </c>
      <c r="J17" s="10" t="n">
        <v>500</v>
      </c>
      <c r="K17" s="4" t="inlineStr">
        <is>
          <t>Vacant</t>
        </is>
      </c>
      <c r="L17" s="9" t="n"/>
      <c r="N17" s="9" t="n">
        <v>45771</v>
      </c>
      <c r="Q17" s="7" t="n">
        <v>0</v>
      </c>
      <c r="R17" s="10">
        <f>Q17</f>
        <v/>
      </c>
      <c r="T17" s="7" t="n">
        <v>20600</v>
      </c>
      <c r="U17" s="10">
        <f>T17</f>
        <v/>
      </c>
      <c r="V17" s="359" t="n">
        <v>23000</v>
      </c>
      <c r="W17" s="10">
        <f>V17</f>
        <v/>
      </c>
      <c r="X17" s="277">
        <f>T17/H17</f>
        <v/>
      </c>
      <c r="Y17" s="10" t="inlineStr">
        <is>
          <t>D</t>
        </is>
      </c>
      <c r="Z17" s="60" t="n"/>
      <c r="AA17" s="230" t="n"/>
      <c r="AB17" s="14" t="inlineStr">
        <is>
          <t>No</t>
        </is>
      </c>
      <c r="AC17" s="4" t="inlineStr">
        <is>
          <t>LEM marketing.</t>
        </is>
      </c>
      <c r="AF17" s="278" t="n"/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10">
        <f>H18</f>
        <v/>
      </c>
      <c r="J18" s="10" t="n">
        <v>2000</v>
      </c>
      <c r="K18" s="4" t="inlineStr">
        <is>
          <t>Vacant</t>
        </is>
      </c>
      <c r="N18" s="9" t="n">
        <v>45217</v>
      </c>
      <c r="Q18" s="10" t="n">
        <v>0</v>
      </c>
      <c r="R18" s="10">
        <f>Q18</f>
        <v/>
      </c>
      <c r="T18" s="7" t="n">
        <v>109000</v>
      </c>
      <c r="U18" s="10">
        <f>T18</f>
        <v/>
      </c>
      <c r="V18" s="359" t="n">
        <v>111400</v>
      </c>
      <c r="W18" s="10">
        <f>V18</f>
        <v/>
      </c>
      <c r="X18" s="277">
        <f>T18/H18</f>
        <v/>
      </c>
      <c r="Y18" s="10" t="inlineStr">
        <is>
          <t>D</t>
        </is>
      </c>
      <c r="Z18" s="60" t="n"/>
      <c r="AA18" s="230" t="n"/>
      <c r="AB18" s="14" t="inlineStr">
        <is>
          <t>No</t>
        </is>
      </c>
      <c r="AC18" s="4" t="inlineStr">
        <is>
          <t>LEM marketing.</t>
        </is>
      </c>
      <c r="AD18" s="303" t="n">
        <v>65</v>
      </c>
      <c r="AE18" s="4" t="n">
        <v>1</v>
      </c>
      <c r="AF18" s="278" t="n">
        <v>3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10">
        <f>H19</f>
        <v/>
      </c>
      <c r="J19" s="10" t="n">
        <v>500</v>
      </c>
      <c r="K19" s="4" t="inlineStr">
        <is>
          <t>Element Pictures UK Ltd.</t>
        </is>
      </c>
      <c r="L19" s="8" t="n">
        <v>44539</v>
      </c>
      <c r="M19" s="9" t="n">
        <v>46364</v>
      </c>
      <c r="Q19" s="10" t="n">
        <v>23940</v>
      </c>
      <c r="R19" s="10">
        <f>Q19</f>
        <v/>
      </c>
      <c r="T19" s="7" t="n">
        <v>21000</v>
      </c>
      <c r="U19" s="10">
        <f>T19</f>
        <v/>
      </c>
      <c r="V19" s="359" t="n">
        <v>24100</v>
      </c>
      <c r="W19" s="10">
        <f>V19</f>
        <v/>
      </c>
      <c r="X19" s="277">
        <f>T19/H19</f>
        <v/>
      </c>
      <c r="Y19" s="10" t="inlineStr">
        <is>
          <t>D</t>
        </is>
      </c>
      <c r="Z19" s="60" t="n"/>
      <c r="AA19" s="230" t="n"/>
      <c r="AB19" s="14" t="inlineStr">
        <is>
          <t>No</t>
        </is>
      </c>
      <c r="AF19" s="278" t="n"/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10">
        <f>H20</f>
        <v/>
      </c>
      <c r="J20" s="10" t="n">
        <v>1000</v>
      </c>
      <c r="K20" s="4" t="inlineStr">
        <is>
          <t>Encore Search (Newburgh Street) Ltd.</t>
        </is>
      </c>
      <c r="L20" s="8" t="n">
        <v>45100</v>
      </c>
      <c r="M20" s="9" t="n">
        <v>46926</v>
      </c>
      <c r="P20" s="9" t="n">
        <v>46195</v>
      </c>
      <c r="Q20" s="7" t="n">
        <v>58560</v>
      </c>
      <c r="R20" s="10">
        <f>Q20</f>
        <v/>
      </c>
      <c r="T20" s="7" t="n">
        <v>49400</v>
      </c>
      <c r="U20" s="10">
        <f>T20</f>
        <v/>
      </c>
      <c r="V20" s="359" t="n">
        <v>58300</v>
      </c>
      <c r="W20" s="10">
        <f>V20</f>
        <v/>
      </c>
      <c r="X20" s="277">
        <f>T20/H20</f>
        <v/>
      </c>
      <c r="Y20" s="10" t="inlineStr">
        <is>
          <t>D</t>
        </is>
      </c>
      <c r="Z20" s="60" t="n"/>
      <c r="AA20" s="230" t="n"/>
      <c r="AB20" s="14" t="inlineStr">
        <is>
          <t>No</t>
        </is>
      </c>
      <c r="AC20" s="4" t="inlineStr">
        <is>
          <t>Tenant break on 6 months notice. 3 months rent free if not exercised.</t>
        </is>
      </c>
      <c r="AF20" s="278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10">
        <f>H21</f>
        <v/>
      </c>
      <c r="J21" s="10" t="n">
        <v>1000</v>
      </c>
      <c r="K21" s="4" t="inlineStr">
        <is>
          <t>Element Pictures UK Ltd.</t>
        </is>
      </c>
      <c r="L21" s="9" t="n">
        <v>45476</v>
      </c>
      <c r="M21" s="9" t="n">
        <v>47301</v>
      </c>
      <c r="P21" s="9" t="n">
        <v>46364</v>
      </c>
      <c r="Q21" s="7" t="n">
        <v>58496</v>
      </c>
      <c r="R21" s="10">
        <f>Q21</f>
        <v/>
      </c>
      <c r="T21" s="7" t="n">
        <v>47400</v>
      </c>
      <c r="U21" s="10">
        <f>T21</f>
        <v/>
      </c>
      <c r="V21" s="359" t="n">
        <v>58600</v>
      </c>
      <c r="W21" s="10">
        <f>V21</f>
        <v/>
      </c>
      <c r="X21" s="277">
        <f>T21/H21</f>
        <v/>
      </c>
      <c r="Y21" s="10" t="inlineStr">
        <is>
          <t>B</t>
        </is>
      </c>
      <c r="Z21" s="60" t="n"/>
      <c r="AA21" s="230" t="n"/>
      <c r="AB21" s="14" t="inlineStr">
        <is>
          <t>No</t>
        </is>
      </c>
      <c r="AC21" s="4" t="inlineStr">
        <is>
          <t>Tenant break on 6 months notice.</t>
        </is>
      </c>
      <c r="AE21" s="29" t="n"/>
      <c r="AF21" s="279" t="n"/>
      <c r="AG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10">
        <f>H22</f>
        <v/>
      </c>
      <c r="J22" s="10" t="n">
        <v>750</v>
      </c>
      <c r="K22" s="4" t="inlineStr">
        <is>
          <t>Vacant</t>
        </is>
      </c>
      <c r="L22" s="9" t="n"/>
      <c r="N22" s="9" t="n">
        <v>45182</v>
      </c>
      <c r="Q22" s="7" t="n">
        <v>0</v>
      </c>
      <c r="R22" s="10">
        <f>Q22</f>
        <v/>
      </c>
      <c r="T22" s="7" t="n">
        <v>34400</v>
      </c>
      <c r="U22" s="10">
        <f>T22</f>
        <v/>
      </c>
      <c r="V22" s="359" t="n">
        <v>42800</v>
      </c>
      <c r="W22" s="10">
        <f>V22</f>
        <v/>
      </c>
      <c r="X22" s="277">
        <f>T22/H22</f>
        <v/>
      </c>
      <c r="Y22" s="10" t="inlineStr">
        <is>
          <t>D</t>
        </is>
      </c>
      <c r="Z22" s="60" t="n"/>
      <c r="AA22" s="230" t="n"/>
      <c r="AB22" s="14" t="inlineStr">
        <is>
          <t>No</t>
        </is>
      </c>
      <c r="AC22" s="4" t="inlineStr">
        <is>
          <t>LEM marketing.</t>
        </is>
      </c>
      <c r="AD22" s="303" t="n">
        <v>63.5</v>
      </c>
      <c r="AE22" s="4" t="n">
        <v>1</v>
      </c>
      <c r="AF22" s="278" t="n">
        <v>3</v>
      </c>
      <c r="AG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10">
        <f>H23</f>
        <v/>
      </c>
      <c r="J23" s="10" t="n">
        <v>200</v>
      </c>
      <c r="K23" s="4" t="inlineStr">
        <is>
          <t>Vacant / Landlord</t>
        </is>
      </c>
      <c r="L23" s="9" t="n"/>
      <c r="N23" s="9" t="inlineStr">
        <is>
          <t>N/A</t>
        </is>
      </c>
      <c r="Q23" s="7" t="n">
        <v>0</v>
      </c>
      <c r="R23" s="10">
        <f>Q23</f>
        <v/>
      </c>
      <c r="T23" s="7" t="n">
        <v>3000</v>
      </c>
      <c r="U23" s="10">
        <f>T23</f>
        <v/>
      </c>
      <c r="V23" s="359" t="n">
        <v>5000</v>
      </c>
      <c r="W23" s="10">
        <f>V23</f>
        <v/>
      </c>
      <c r="X23" s="277">
        <f>T23/H23</f>
        <v/>
      </c>
      <c r="Y23" s="10" t="n"/>
      <c r="Z23" s="60" t="n"/>
      <c r="AA23" s="230" t="n"/>
      <c r="AB23" s="14" t="inlineStr">
        <is>
          <t>No</t>
        </is>
      </c>
      <c r="AF23" s="278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9" t="n"/>
      <c r="Q24" s="7" t="n"/>
      <c r="R24" s="7" t="n"/>
      <c r="S24" s="7" t="n"/>
      <c r="T24" s="7" t="n"/>
      <c r="U24" s="7" t="n"/>
      <c r="V24" s="359" t="n"/>
      <c r="W24" s="7" t="n"/>
      <c r="X24" s="7" t="n"/>
      <c r="Y24" s="7" t="n"/>
      <c r="Z24" s="64" t="n"/>
      <c r="AA24" s="230" t="n"/>
      <c r="AB24" s="14" t="n"/>
      <c r="AF24" s="278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0" t="inlineStr">
        <is>
          <t>22, 23 &amp; 25 Eastcastle St</t>
        </is>
      </c>
      <c r="H25" s="18">
        <f>SUM(H11:H23)</f>
        <v/>
      </c>
      <c r="I25" s="18" t="n"/>
      <c r="J25" s="18" t="n"/>
      <c r="L25" s="9" t="n"/>
      <c r="Q25" s="18">
        <f>SUM(Q11:Q23)</f>
        <v/>
      </c>
      <c r="R25" s="18" t="n"/>
      <c r="S25" s="19">
        <f>SUM(R10:R23)</f>
        <v/>
      </c>
      <c r="T25" s="18">
        <f>SUM(T11:T23)</f>
        <v/>
      </c>
      <c r="U25" s="18" t="n"/>
      <c r="V25" s="361">
        <f>SUM(V11:V23)</f>
        <v/>
      </c>
      <c r="W25" s="18" t="n"/>
      <c r="X25" s="18" t="n"/>
      <c r="Y25" s="18" t="n"/>
      <c r="Z25" s="63" t="n"/>
      <c r="AA25" s="361" t="n">
        <v>16175000</v>
      </c>
      <c r="AB25" s="14" t="n"/>
      <c r="AE25" s="29" t="n"/>
      <c r="AF25" s="279" t="n"/>
      <c r="AG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0" t="n"/>
      <c r="H26" s="18" t="n"/>
      <c r="I26" s="18" t="n"/>
      <c r="J26" s="18" t="n"/>
      <c r="L26" s="9" t="n"/>
      <c r="Q26" s="18" t="n"/>
      <c r="R26" s="18" t="n"/>
      <c r="S26" s="19" t="n"/>
      <c r="T26" s="18" t="n"/>
      <c r="U26" s="18" t="n"/>
      <c r="V26" s="361" t="n"/>
      <c r="W26" s="18" t="n"/>
      <c r="X26" s="18" t="n"/>
      <c r="Y26" s="18" t="n"/>
      <c r="Z26" s="63" t="n"/>
      <c r="AA26" s="362" t="n"/>
      <c r="AB26" s="14" t="n"/>
      <c r="AF26" s="278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10" t="n"/>
      <c r="J27" s="10" t="n"/>
      <c r="K27" s="30" t="n"/>
      <c r="T27" s="11" t="n"/>
      <c r="U27" s="10" t="n"/>
      <c r="W27" s="10" t="n"/>
      <c r="X27" s="10" t="n"/>
      <c r="Y27" s="10" t="n"/>
      <c r="Z27" s="60" t="n"/>
      <c r="AA27" s="230" t="n"/>
      <c r="AB27" s="14" t="n"/>
      <c r="AF27" s="278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9" t="n"/>
      <c r="Q28" s="7" t="n"/>
      <c r="R28" s="7" t="n"/>
      <c r="S28" s="7" t="n"/>
      <c r="T28" s="7" t="n"/>
      <c r="U28" s="7" t="n"/>
      <c r="V28" s="359" t="n"/>
      <c r="W28" s="7" t="n"/>
      <c r="X28" s="7" t="n"/>
      <c r="Y28" s="7" t="n"/>
      <c r="Z28" s="64" t="n"/>
      <c r="AA28" s="230" t="n"/>
      <c r="AB28" s="14" t="n"/>
      <c r="AF28" s="278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10">
        <f>H29</f>
        <v/>
      </c>
      <c r="J29" s="10" t="n">
        <v>3000</v>
      </c>
      <c r="K29" s="4" t="inlineStr">
        <is>
          <t>Hela Brands Ltd</t>
        </is>
      </c>
      <c r="L29" s="9" t="n">
        <v>45649</v>
      </c>
      <c r="M29" s="9" t="n">
        <v>46743</v>
      </c>
      <c r="P29" s="9" t="n">
        <v>46013</v>
      </c>
      <c r="Q29" s="7" t="n">
        <v>132000</v>
      </c>
      <c r="R29" s="10">
        <f>Q29</f>
        <v/>
      </c>
      <c r="T29" s="7" t="n">
        <v>114600</v>
      </c>
      <c r="U29" s="10">
        <f>T29</f>
        <v/>
      </c>
      <c r="V29" s="359" t="n">
        <v>132000</v>
      </c>
      <c r="W29" s="10">
        <f>V29</f>
        <v/>
      </c>
      <c r="X29" s="277">
        <f>T29/H29</f>
        <v/>
      </c>
      <c r="Y29" s="10" t="inlineStr">
        <is>
          <t>C</t>
        </is>
      </c>
      <c r="Z29" s="60" t="n"/>
      <c r="AA29" s="230" t="n"/>
      <c r="AB29" s="14" t="inlineStr">
        <is>
          <t>No</t>
        </is>
      </c>
      <c r="AC29" s="4" t="inlineStr">
        <is>
          <t>Tenant rolling break from 22/12/25 on 4 months notice.</t>
        </is>
      </c>
      <c r="AF29" s="278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10">
        <f>H30</f>
        <v/>
      </c>
      <c r="J30" s="10" t="n">
        <v>1000</v>
      </c>
      <c r="K30" s="4" t="inlineStr">
        <is>
          <t>Alternative Real Estate Advisors Ltd</t>
        </is>
      </c>
      <c r="L30" s="9" t="n">
        <v>45470</v>
      </c>
      <c r="M30" s="9" t="n">
        <v>47295</v>
      </c>
      <c r="P30" s="9" t="n">
        <v>46564</v>
      </c>
      <c r="Q30" s="7" t="n">
        <v>89833</v>
      </c>
      <c r="R30" s="10">
        <f>Q30</f>
        <v/>
      </c>
      <c r="T30" s="7" t="n">
        <v>76900</v>
      </c>
      <c r="U30" s="10">
        <f>T30</f>
        <v/>
      </c>
      <c r="V30" s="359" t="n">
        <v>97900</v>
      </c>
      <c r="W30" s="10">
        <f>V30</f>
        <v/>
      </c>
      <c r="X30" s="277">
        <f>T30/H30</f>
        <v/>
      </c>
      <c r="Y30" s="10" t="inlineStr">
        <is>
          <t>D</t>
        </is>
      </c>
      <c r="Z30" s="60" t="n"/>
      <c r="AA30" s="230" t="n"/>
      <c r="AB30" s="14" t="inlineStr">
        <is>
          <t>No</t>
        </is>
      </c>
      <c r="AC30" s="4" t="inlineStr">
        <is>
          <t>Rent increases to £98,000 wef 27/06/27. Tenant break on 6 months notice.</t>
        </is>
      </c>
      <c r="AF30" s="278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10">
        <f>H31</f>
        <v/>
      </c>
      <c r="J31" s="10" t="n">
        <v>1000</v>
      </c>
      <c r="K31" s="4" t="inlineStr">
        <is>
          <t>Vacant</t>
        </is>
      </c>
      <c r="L31" s="9" t="n"/>
      <c r="N31" s="9" t="n">
        <v>43273</v>
      </c>
      <c r="Q31" s="7" t="n">
        <v>0</v>
      </c>
      <c r="R31" s="10">
        <f>Q31</f>
        <v/>
      </c>
      <c r="T31" s="7" t="n">
        <v>61100</v>
      </c>
      <c r="U31" s="10">
        <f>T31</f>
        <v/>
      </c>
      <c r="V31" s="359" t="n">
        <v>69400</v>
      </c>
      <c r="W31" s="10">
        <f>V31</f>
        <v/>
      </c>
      <c r="X31" s="277">
        <f>T31/H31</f>
        <v/>
      </c>
      <c r="Y31" s="10" t="inlineStr">
        <is>
          <t>C</t>
        </is>
      </c>
      <c r="Z31" s="60" t="n"/>
      <c r="AA31" s="230" t="n"/>
      <c r="AB31" s="14" t="inlineStr">
        <is>
          <t>No</t>
        </is>
      </c>
      <c r="AC31" s="4" t="inlineStr">
        <is>
          <t>LEM marketing.</t>
        </is>
      </c>
      <c r="AD31" s="303" t="n">
        <v>63.5</v>
      </c>
      <c r="AF31" s="278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10">
        <f>H32</f>
        <v/>
      </c>
      <c r="J32" s="10" t="n">
        <v>500</v>
      </c>
      <c r="K32" s="4" t="inlineStr">
        <is>
          <t>Mr. A. Park</t>
        </is>
      </c>
      <c r="L32" s="9" t="n">
        <v>45541</v>
      </c>
      <c r="M32" s="9" t="n">
        <v>47366</v>
      </c>
      <c r="P32" s="9" t="n">
        <v>46635</v>
      </c>
      <c r="Q32" s="7" t="n">
        <v>26000</v>
      </c>
      <c r="R32" s="10">
        <f>Q32</f>
        <v/>
      </c>
      <c r="T32" s="7" t="n">
        <v>25300</v>
      </c>
      <c r="U32" s="10">
        <f>T32</f>
        <v/>
      </c>
      <c r="V32" s="359" t="n">
        <v>26000</v>
      </c>
      <c r="W32" s="10">
        <f>V32</f>
        <v/>
      </c>
      <c r="X32" s="277">
        <f>T32/H32</f>
        <v/>
      </c>
      <c r="Y32" s="10" t="inlineStr">
        <is>
          <t>D</t>
        </is>
      </c>
      <c r="Z32" s="60" t="n"/>
      <c r="AA32" s="230" t="n"/>
      <c r="AB32" s="14" t="inlineStr">
        <is>
          <t>No</t>
        </is>
      </c>
      <c r="AC32" s="4" t="inlineStr">
        <is>
          <t>Tenant break on 6 months notice.</t>
        </is>
      </c>
      <c r="AE32" s="29" t="n"/>
      <c r="AF32" s="279" t="n"/>
      <c r="AG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9" t="n"/>
      <c r="Q33" s="7" t="n"/>
      <c r="R33" s="7" t="n"/>
      <c r="S33" s="7" t="n"/>
      <c r="T33" s="7" t="n"/>
      <c r="U33" s="7" t="n"/>
      <c r="V33" s="359" t="n"/>
      <c r="W33" s="7" t="n"/>
      <c r="X33" s="277" t="n"/>
      <c r="Y33" s="7" t="n"/>
      <c r="Z33" s="64" t="n"/>
      <c r="AA33" s="230" t="n"/>
      <c r="AB33" s="14" t="n"/>
      <c r="AF33" s="278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0" t="inlineStr">
        <is>
          <t>26 Eastcastle Street</t>
        </is>
      </c>
      <c r="H34" s="18">
        <f>SUM(H29:H32)</f>
        <v/>
      </c>
      <c r="I34" s="18" t="n"/>
      <c r="J34" s="18" t="n"/>
      <c r="L34" s="9" t="n"/>
      <c r="Q34" s="18">
        <f>SUM(Q29:Q32)</f>
        <v/>
      </c>
      <c r="R34" s="18" t="n"/>
      <c r="S34" s="19">
        <f>SUM(R29:R32)</f>
        <v/>
      </c>
      <c r="T34" s="18">
        <f>SUM(T29:T32)</f>
        <v/>
      </c>
      <c r="U34" s="18" t="n"/>
      <c r="V34" s="361">
        <f>SUM(V29:V32)</f>
        <v/>
      </c>
      <c r="W34" s="18" t="n"/>
      <c r="X34" s="18" t="n"/>
      <c r="Y34" s="18" t="n"/>
      <c r="Z34" s="63" t="n"/>
      <c r="AA34" s="361" t="n">
        <v>4650000</v>
      </c>
      <c r="AB34" s="14" t="n"/>
      <c r="AF34" s="278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0" t="n"/>
      <c r="H35" s="18" t="n"/>
      <c r="I35" s="18" t="n"/>
      <c r="J35" s="18" t="n"/>
      <c r="L35" s="9" t="n"/>
      <c r="Q35" s="18" t="n"/>
      <c r="R35" s="18" t="n"/>
      <c r="S35" s="19" t="n"/>
      <c r="T35" s="18" t="n"/>
      <c r="U35" s="18" t="n"/>
      <c r="V35" s="361" t="n"/>
      <c r="W35" s="18" t="n"/>
      <c r="X35" s="18" t="n"/>
      <c r="Y35" s="18" t="n"/>
      <c r="Z35" s="63" t="n"/>
      <c r="AA35" s="362" t="n"/>
      <c r="AB35" s="14" t="n"/>
      <c r="AF35" s="278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10" t="n"/>
      <c r="J36" s="10" t="n"/>
      <c r="K36" s="30" t="n"/>
      <c r="T36" s="11" t="n"/>
      <c r="U36" s="10" t="n"/>
      <c r="W36" s="10" t="n"/>
      <c r="X36" s="10" t="n"/>
      <c r="Y36" s="10" t="n"/>
      <c r="Z36" s="60" t="n"/>
      <c r="AA36" s="230" t="n"/>
      <c r="AB36" s="14" t="n"/>
      <c r="AF36" s="278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10" t="n"/>
      <c r="J37" s="10" t="n"/>
      <c r="K37" s="30" t="n"/>
      <c r="T37" s="11" t="n"/>
      <c r="U37" s="10" t="n"/>
      <c r="W37" s="10" t="n"/>
      <c r="X37" s="10" t="n"/>
      <c r="Y37" s="10" t="n"/>
      <c r="Z37" s="60" t="n"/>
      <c r="AA37" s="230" t="n"/>
      <c r="AB37" s="14" t="n"/>
      <c r="AF37" s="278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10">
        <f>H38</f>
        <v/>
      </c>
      <c r="J38" s="10" t="n">
        <v>3500</v>
      </c>
      <c r="K38" s="4" t="inlineStr">
        <is>
          <t>The London Hair Clinic Ltd</t>
        </is>
      </c>
      <c r="L38" s="9" t="n">
        <v>44757</v>
      </c>
      <c r="M38" s="9" t="n">
        <v>48409</v>
      </c>
      <c r="O38" s="9" t="n">
        <v>46583</v>
      </c>
      <c r="Q38" s="7" t="n">
        <v>170000</v>
      </c>
      <c r="R38" s="10">
        <f>Q38</f>
        <v/>
      </c>
      <c r="T38" s="7" t="n">
        <v>170000</v>
      </c>
      <c r="U38" s="10">
        <f>T38</f>
        <v/>
      </c>
      <c r="V38" s="359" t="n">
        <v>180000</v>
      </c>
      <c r="W38" s="10">
        <f>V38</f>
        <v/>
      </c>
      <c r="X38" s="277">
        <f>T38/H38</f>
        <v/>
      </c>
      <c r="Y38" s="10" t="inlineStr">
        <is>
          <t>B</t>
        </is>
      </c>
      <c r="Z38" s="60" t="n"/>
      <c r="AA38" s="230" t="n"/>
      <c r="AB38" s="14" t="inlineStr">
        <is>
          <t>No</t>
        </is>
      </c>
      <c r="AF38" s="278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10">
        <f>H39</f>
        <v/>
      </c>
      <c r="J39" s="10" t="n">
        <v>1500</v>
      </c>
      <c r="K39" s="4" t="inlineStr">
        <is>
          <t>Feldberg Capital UK Limited</t>
        </is>
      </c>
      <c r="L39" s="9" t="n">
        <v>45231</v>
      </c>
      <c r="M39" s="9" t="n">
        <v>46326</v>
      </c>
      <c r="Q39" s="7" t="n">
        <v>174500</v>
      </c>
      <c r="R39" s="10">
        <f>Q39</f>
        <v/>
      </c>
      <c r="T39" s="7" t="n">
        <v>78000</v>
      </c>
      <c r="U39" s="10">
        <f>T39</f>
        <v/>
      </c>
      <c r="V39" s="359" t="n">
        <v>99300</v>
      </c>
      <c r="W39" s="10">
        <f>V39</f>
        <v/>
      </c>
      <c r="X39" s="277">
        <f>T39/H39</f>
        <v/>
      </c>
      <c r="Y39" s="10" t="inlineStr">
        <is>
          <t>B</t>
        </is>
      </c>
      <c r="Z39" s="60" t="n"/>
      <c r="AA39" s="230" t="n"/>
      <c r="AB39" s="14" t="inlineStr">
        <is>
          <t>No</t>
        </is>
      </c>
      <c r="AC39" s="4" t="inlineStr">
        <is>
          <t>All inclusive including rates and furniture.</t>
        </is>
      </c>
      <c r="AF39" s="278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10">
        <f>H40</f>
        <v/>
      </c>
      <c r="J40" s="10" t="n">
        <v>750</v>
      </c>
      <c r="K40" s="4" t="inlineStr">
        <is>
          <t>MSP Secretaries Ltd.</t>
        </is>
      </c>
      <c r="L40" s="9" t="n">
        <v>44384</v>
      </c>
      <c r="M40" s="9" t="n">
        <v>46209</v>
      </c>
      <c r="Q40" s="7" t="n">
        <v>41000</v>
      </c>
      <c r="R40" s="10">
        <f>Q40</f>
        <v/>
      </c>
      <c r="T40" s="7" t="n">
        <v>39400</v>
      </c>
      <c r="U40" s="10">
        <f>T40</f>
        <v/>
      </c>
      <c r="V40" s="359" t="n">
        <v>45100</v>
      </c>
      <c r="W40" s="10">
        <f>V40</f>
        <v/>
      </c>
      <c r="X40" s="277">
        <f>T40/H40</f>
        <v/>
      </c>
      <c r="Y40" s="10" t="inlineStr">
        <is>
          <t>B</t>
        </is>
      </c>
      <c r="Z40" s="60" t="n"/>
      <c r="AA40" s="230" t="n"/>
      <c r="AB40" s="14" t="inlineStr">
        <is>
          <t>No</t>
        </is>
      </c>
      <c r="AF40" s="278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10">
        <f>H41</f>
        <v/>
      </c>
      <c r="J41" s="10" t="n">
        <v>750</v>
      </c>
      <c r="K41" s="4" t="inlineStr">
        <is>
          <t>Principle Estate Management LLP</t>
        </is>
      </c>
      <c r="L41" s="9" t="n">
        <v>45617</v>
      </c>
      <c r="M41" s="9" t="n">
        <v>47442</v>
      </c>
      <c r="P41" s="9" t="n">
        <v>46527</v>
      </c>
      <c r="Q41" s="7" t="n">
        <v>41875</v>
      </c>
      <c r="R41" s="10">
        <f>Q41</f>
        <v/>
      </c>
      <c r="T41" s="7" t="n">
        <v>36600</v>
      </c>
      <c r="U41" s="10">
        <f>T41</f>
        <v/>
      </c>
      <c r="V41" s="359" t="n">
        <v>41900</v>
      </c>
      <c r="W41" s="10">
        <f>V41</f>
        <v/>
      </c>
      <c r="X41" s="277">
        <f>T41/H41</f>
        <v/>
      </c>
      <c r="Y41" s="10" t="inlineStr">
        <is>
          <t>B</t>
        </is>
      </c>
      <c r="Z41" s="60" t="n"/>
      <c r="AA41" s="230" t="n"/>
      <c r="AB41" s="14" t="inlineStr">
        <is>
          <t>No</t>
        </is>
      </c>
      <c r="AC41" s="4" t="inlineStr">
        <is>
          <t>Tenant break on 6 months notice. 2 months rent free if break not exercised.</t>
        </is>
      </c>
      <c r="AD41" s="305" t="n"/>
      <c r="AF41" s="278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9" t="n"/>
      <c r="Q42" s="7" t="n"/>
      <c r="R42" s="7" t="n"/>
      <c r="S42" s="7" t="n"/>
      <c r="T42" s="7" t="n"/>
      <c r="U42" s="7" t="n"/>
      <c r="V42" s="359" t="n"/>
      <c r="W42" s="7" t="n"/>
      <c r="X42" s="7" t="n"/>
      <c r="Y42" s="7" t="n"/>
      <c r="Z42" s="64" t="n"/>
      <c r="AA42" s="230" t="n"/>
      <c r="AB42" s="14" t="n"/>
      <c r="AF42" s="278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0" t="inlineStr">
        <is>
          <t>27/28 Eastcastle Street</t>
        </is>
      </c>
      <c r="H43" s="18">
        <f>SUM(H38:H41)</f>
        <v/>
      </c>
      <c r="I43" s="18" t="n"/>
      <c r="J43" s="18" t="n"/>
      <c r="L43" s="9" t="n"/>
      <c r="Q43" s="18">
        <f>SUM(Q36:Q41)</f>
        <v/>
      </c>
      <c r="R43" s="18" t="n"/>
      <c r="S43" s="19">
        <f>SUM(R38:R41)</f>
        <v/>
      </c>
      <c r="T43" s="18">
        <f>SUM(T38:T41)</f>
        <v/>
      </c>
      <c r="U43" s="18" t="n"/>
      <c r="V43" s="361">
        <f>SUM(V38:V41)</f>
        <v/>
      </c>
      <c r="W43" s="18" t="n"/>
      <c r="X43" s="18" t="n"/>
      <c r="Y43" s="18" t="n"/>
      <c r="Z43" s="63" t="n"/>
      <c r="AA43" s="361" t="n">
        <v>5650000</v>
      </c>
      <c r="AB43" s="14" t="n"/>
      <c r="AF43" s="278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9" t="n"/>
      <c r="Q44" s="18" t="n"/>
      <c r="R44" s="18" t="n"/>
      <c r="S44" s="18" t="n"/>
      <c r="T44" s="18" t="n"/>
      <c r="U44" s="18" t="n"/>
      <c r="V44" s="361" t="n"/>
      <c r="W44" s="18" t="n"/>
      <c r="X44" s="18" t="n"/>
      <c r="Y44" s="18" t="n"/>
      <c r="Z44" s="63" t="n"/>
      <c r="AA44" s="230" t="n"/>
      <c r="AB44" s="14" t="n"/>
      <c r="AF44" s="278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10" t="n"/>
      <c r="J45" s="10" t="n"/>
      <c r="T45" s="10" t="n"/>
      <c r="U45" s="10" t="n"/>
      <c r="V45" s="27" t="n"/>
      <c r="W45" s="10" t="n"/>
      <c r="X45" s="10" t="n"/>
      <c r="Y45" s="10" t="n"/>
      <c r="Z45" s="60" t="n"/>
      <c r="AA45" s="230" t="n"/>
      <c r="AF45" s="278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10" t="n"/>
      <c r="J46" s="10" t="n"/>
      <c r="T46" s="10" t="n"/>
      <c r="U46" s="10" t="n"/>
      <c r="V46" s="27" t="n"/>
      <c r="W46" s="10" t="n"/>
      <c r="X46" s="10" t="n"/>
      <c r="Y46" s="10" t="n"/>
      <c r="Z46" s="60" t="n"/>
      <c r="AA46" s="230" t="n"/>
      <c r="AF46" s="278" t="n"/>
    </row>
    <row r="47" ht="32.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5" t="inlineStr">
        <is>
          <t>10 Great Castle Street</t>
        </is>
      </c>
      <c r="F47" s="35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10">
        <f>H47</f>
        <v/>
      </c>
      <c r="J47" s="10" t="n">
        <v>12500</v>
      </c>
      <c r="K47" s="4" t="inlineStr">
        <is>
          <t>Guaranty Trust Bank (UK) Ltd</t>
        </is>
      </c>
      <c r="L47" s="8" t="n">
        <v>44771</v>
      </c>
      <c r="M47" s="9" t="n">
        <v>50249</v>
      </c>
      <c r="O47" s="9" t="n">
        <v>46597</v>
      </c>
      <c r="P47" s="9" t="n">
        <v>48423</v>
      </c>
      <c r="Q47" s="19" t="n">
        <v>633334</v>
      </c>
      <c r="R47" s="10">
        <f>Q47</f>
        <v/>
      </c>
      <c r="S47" s="19">
        <f>R47</f>
        <v/>
      </c>
      <c r="T47" s="19" t="n">
        <v>950000</v>
      </c>
      <c r="U47" s="10">
        <f>T47</f>
        <v/>
      </c>
      <c r="V47" s="36" t="n">
        <v>976900</v>
      </c>
      <c r="W47" s="10">
        <f>V47</f>
        <v/>
      </c>
      <c r="X47" s="277">
        <f>T47/H47</f>
        <v/>
      </c>
      <c r="Y47" s="10" t="inlineStr">
        <is>
          <t>C</t>
        </is>
      </c>
      <c r="Z47" s="60" t="n"/>
      <c r="AA47" s="361" t="n">
        <v>17750000</v>
      </c>
      <c r="AB47" s="28" t="inlineStr">
        <is>
          <t>No</t>
        </is>
      </c>
      <c r="AC47" s="35" t="inlineStr">
        <is>
          <t xml:space="preserve">Fixed increase to £950,000 wef 29/07/26. 5 yearly rent reviews. Tenant break on 9 months notice. Rent reduces by 20% for 12 months if break not activated. </t>
        </is>
      </c>
      <c r="AD47" s="306" t="n"/>
      <c r="AE47" s="35" t="n"/>
      <c r="AF47" s="280" t="n"/>
      <c r="AG47" s="35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1" t="inlineStr">
        <is>
          <t>8-11 Great Castle Street</t>
        </is>
      </c>
      <c r="H48" s="31">
        <f>SUM(H47:H47)</f>
        <v/>
      </c>
      <c r="I48" s="18" t="n"/>
      <c r="J48" s="18" t="n"/>
      <c r="K48" s="32" t="n"/>
      <c r="L48" s="33" t="n"/>
      <c r="M48" s="34" t="n"/>
      <c r="N48" s="34" t="n"/>
      <c r="O48" s="34" t="n"/>
      <c r="Q48" s="31">
        <f>SUM(Q47:Q47)</f>
        <v/>
      </c>
      <c r="R48" s="31" t="n"/>
      <c r="S48" s="31" t="n"/>
      <c r="T48" s="31">
        <f>SUM(T47:T47)</f>
        <v/>
      </c>
      <c r="U48" s="31" t="n"/>
      <c r="V48" s="376" t="n"/>
      <c r="W48" s="31" t="n"/>
      <c r="X48" s="31" t="n"/>
      <c r="Y48" s="31" t="n"/>
      <c r="Z48" s="62" t="n"/>
      <c r="AA48" s="360" t="n"/>
      <c r="AB48" s="109" t="n"/>
      <c r="AF48" s="278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10" t="n"/>
      <c r="J49" s="10" t="n"/>
      <c r="K49" s="30" t="n"/>
      <c r="P49" s="34" t="n"/>
      <c r="T49" s="11" t="n"/>
      <c r="U49" s="10" t="n"/>
      <c r="W49" s="10" t="n"/>
      <c r="X49" s="10" t="n"/>
      <c r="Y49" s="10" t="n"/>
      <c r="Z49" s="60" t="n"/>
      <c r="AA49" s="230" t="n"/>
      <c r="AF49" s="278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10" t="n"/>
      <c r="J50" s="10" t="n"/>
      <c r="T50" s="10" t="n"/>
      <c r="U50" s="10" t="n"/>
      <c r="V50" s="27" t="n"/>
      <c r="W50" s="10" t="n"/>
      <c r="X50" s="10" t="n"/>
      <c r="Y50" s="10" t="n"/>
      <c r="Z50" s="60" t="n"/>
      <c r="AA50" s="230" t="n"/>
      <c r="AF50" s="278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10">
        <f>H51</f>
        <v/>
      </c>
      <c r="J51" s="10" t="n">
        <v>2000</v>
      </c>
      <c r="K51" s="4" t="inlineStr">
        <is>
          <t>Vacant</t>
        </is>
      </c>
      <c r="N51" s="9" t="n">
        <v>45754</v>
      </c>
      <c r="Q51" s="10" t="n">
        <v>0</v>
      </c>
      <c r="R51" s="10">
        <f>Q51</f>
        <v/>
      </c>
      <c r="T51" s="10" t="n">
        <v>143000</v>
      </c>
      <c r="U51" s="10">
        <f>T51</f>
        <v/>
      </c>
      <c r="V51" s="27" t="n">
        <v>136300</v>
      </c>
      <c r="W51" s="10">
        <f>V51</f>
        <v/>
      </c>
      <c r="X51" s="277">
        <f>T51/H51</f>
        <v/>
      </c>
      <c r="Y51" s="10" t="inlineStr">
        <is>
          <t>D</t>
        </is>
      </c>
      <c r="Z51" s="60" t="n"/>
      <c r="AA51" s="230" t="n"/>
      <c r="AB51" s="14" t="inlineStr">
        <is>
          <t>No</t>
        </is>
      </c>
      <c r="AF51" s="278" t="n"/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10">
        <f>H52</f>
        <v/>
      </c>
      <c r="J52" s="10" t="n">
        <v>750</v>
      </c>
      <c r="K52" s="4" t="inlineStr">
        <is>
          <t>JRDL UK Ltd.</t>
        </is>
      </c>
      <c r="L52" s="8" t="n">
        <v>44904</v>
      </c>
      <c r="M52" s="9" t="n">
        <v>45999</v>
      </c>
      <c r="Q52" s="10" t="n">
        <v>42000</v>
      </c>
      <c r="R52" s="10">
        <f>Q52</f>
        <v/>
      </c>
      <c r="T52" s="10" t="n">
        <v>42000</v>
      </c>
      <c r="U52" s="10">
        <f>T52</f>
        <v/>
      </c>
      <c r="V52" s="27" t="n">
        <v>42000</v>
      </c>
      <c r="W52" s="10">
        <f>V52</f>
        <v/>
      </c>
      <c r="X52" s="277">
        <f>T52/H52</f>
        <v/>
      </c>
      <c r="Y52" s="10" t="inlineStr">
        <is>
          <t>D</t>
        </is>
      </c>
      <c r="Z52" s="60" t="n"/>
      <c r="AA52" s="230" t="n"/>
      <c r="AB52" s="14" t="inlineStr">
        <is>
          <t>No</t>
        </is>
      </c>
      <c r="AF52" s="278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10">
        <f>H53</f>
        <v/>
      </c>
      <c r="J53" s="10" t="n">
        <v>750</v>
      </c>
      <c r="K53" s="4" t="inlineStr">
        <is>
          <t>Jamieson Stone Services Ltd.</t>
        </is>
      </c>
      <c r="L53" s="8" t="n">
        <v>45412</v>
      </c>
      <c r="M53" s="9" t="n">
        <v>47237</v>
      </c>
      <c r="P53" s="9" t="n">
        <v>46326</v>
      </c>
      <c r="Q53" s="10" t="n">
        <v>40020</v>
      </c>
      <c r="R53" s="10">
        <f>Q53</f>
        <v/>
      </c>
      <c r="T53" s="10" t="n">
        <v>39700</v>
      </c>
      <c r="U53" s="10">
        <f>T53</f>
        <v/>
      </c>
      <c r="V53" s="27" t="n">
        <v>40000</v>
      </c>
      <c r="W53" s="10">
        <f>V53</f>
        <v/>
      </c>
      <c r="X53" s="277">
        <f>T53/H53</f>
        <v/>
      </c>
      <c r="Y53" s="10" t="inlineStr">
        <is>
          <t>D</t>
        </is>
      </c>
      <c r="Z53" s="60" t="n"/>
      <c r="AA53" s="230" t="n"/>
      <c r="AB53" s="14" t="inlineStr">
        <is>
          <t>No</t>
        </is>
      </c>
      <c r="AC53" s="4" t="inlineStr">
        <is>
          <t>Tenant break on 6 months notice.</t>
        </is>
      </c>
      <c r="AF53" s="278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10">
        <f>H54</f>
        <v/>
      </c>
      <c r="J54" s="10" t="n">
        <v>750</v>
      </c>
      <c r="K54" s="4" t="inlineStr">
        <is>
          <t>Arav Fashion UK Ltd.</t>
        </is>
      </c>
      <c r="L54" s="8" t="n">
        <v>44816</v>
      </c>
      <c r="M54" s="9" t="n">
        <v>45911</v>
      </c>
      <c r="Q54" s="10" t="n">
        <v>33480</v>
      </c>
      <c r="R54" s="10">
        <f>Q54</f>
        <v/>
      </c>
      <c r="T54" s="10" t="n">
        <v>34100</v>
      </c>
      <c r="U54" s="10">
        <f>T54</f>
        <v/>
      </c>
      <c r="V54" s="27" t="n">
        <v>33500</v>
      </c>
      <c r="W54" s="10">
        <f>V54</f>
        <v/>
      </c>
      <c r="X54" s="277">
        <f>T54/H54</f>
        <v/>
      </c>
      <c r="Y54" s="10" t="inlineStr">
        <is>
          <t>D</t>
        </is>
      </c>
      <c r="Z54" s="60" t="n"/>
      <c r="AA54" s="230" t="n"/>
      <c r="AB54" s="14" t="inlineStr">
        <is>
          <t>No</t>
        </is>
      </c>
      <c r="AC54" s="122" t="inlineStr">
        <is>
          <t>Lease renewal terms agreed.</t>
        </is>
      </c>
      <c r="AD54" s="306" t="n"/>
      <c r="AE54" s="35" t="n"/>
      <c r="AF54" s="280" t="n"/>
      <c r="AG54" s="35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10">
        <f>H55</f>
        <v/>
      </c>
      <c r="J55" s="10" t="n">
        <v>500</v>
      </c>
      <c r="K55" s="4" t="inlineStr">
        <is>
          <t>Vacant</t>
        </is>
      </c>
      <c r="N55" s="9" t="n">
        <v>44168</v>
      </c>
      <c r="Q55" s="10" t="n">
        <v>0</v>
      </c>
      <c r="R55" s="10">
        <f>Q55</f>
        <v/>
      </c>
      <c r="T55" s="10" t="n">
        <v>21600</v>
      </c>
      <c r="U55" s="10">
        <f>T55</f>
        <v/>
      </c>
      <c r="V55" s="27" t="n">
        <v>22000</v>
      </c>
      <c r="W55" s="10">
        <f>V55</f>
        <v/>
      </c>
      <c r="X55" s="277">
        <f>T55/H55</f>
        <v/>
      </c>
      <c r="Y55" s="10" t="inlineStr">
        <is>
          <t>D</t>
        </is>
      </c>
      <c r="Z55" s="60" t="n"/>
      <c r="AA55" s="230" t="n"/>
      <c r="AB55" s="14" t="inlineStr">
        <is>
          <t>No</t>
        </is>
      </c>
      <c r="AC55" s="4" t="inlineStr">
        <is>
          <t>To be refurbished.</t>
        </is>
      </c>
      <c r="AF55" s="278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10">
        <f>H56</f>
        <v/>
      </c>
      <c r="J56" s="10" t="n"/>
      <c r="K56" s="4" t="inlineStr">
        <is>
          <t>Vacant / Landlord</t>
        </is>
      </c>
      <c r="N56" s="9" t="inlineStr">
        <is>
          <t>N/A</t>
        </is>
      </c>
      <c r="Q56" s="10" t="n">
        <v>0</v>
      </c>
      <c r="R56" s="19">
        <f>Q56</f>
        <v/>
      </c>
      <c r="S56" s="19" t="n"/>
      <c r="T56" s="10" t="n">
        <v>0</v>
      </c>
      <c r="U56" s="19">
        <f>T56</f>
        <v/>
      </c>
      <c r="V56" s="27" t="n">
        <v>0</v>
      </c>
      <c r="W56" s="19">
        <f>V56</f>
        <v/>
      </c>
      <c r="X56" s="19" t="n"/>
      <c r="Y56" s="19" t="n"/>
      <c r="Z56" s="61" t="n"/>
      <c r="AA56" s="230" t="n"/>
      <c r="AB56" s="14" t="inlineStr">
        <is>
          <t>No</t>
        </is>
      </c>
      <c r="AF56" s="278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10" t="n"/>
      <c r="J57" s="10" t="n"/>
      <c r="Q57" s="19" t="n"/>
      <c r="R57" s="19" t="n"/>
      <c r="S57" s="19" t="n"/>
      <c r="T57" s="19" t="n"/>
      <c r="U57" s="19" t="n"/>
      <c r="V57" s="36" t="n"/>
      <c r="W57" s="19" t="n"/>
      <c r="X57" s="19" t="n"/>
      <c r="Y57" s="19" t="n"/>
      <c r="Z57" s="61" t="n"/>
      <c r="AA57" s="230" t="n"/>
      <c r="AB57" s="14" t="n"/>
      <c r="AF57" s="278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0" t="inlineStr">
        <is>
          <t>40/41 Great Castle Street</t>
        </is>
      </c>
      <c r="H58" s="18">
        <f>SUM(H51:H56)</f>
        <v/>
      </c>
      <c r="I58" s="19" t="n"/>
      <c r="J58" s="19" t="n"/>
      <c r="Q58" s="19">
        <f>SUM(Q51:Q56)</f>
        <v/>
      </c>
      <c r="R58" s="19" t="n"/>
      <c r="S58" s="19">
        <f>SUM(R51:R56)</f>
        <v/>
      </c>
      <c r="T58" s="19">
        <f>SUM(T51:T56)</f>
        <v/>
      </c>
      <c r="U58" s="19" t="n"/>
      <c r="V58" s="36">
        <f>SUM(V51:V56)</f>
        <v/>
      </c>
      <c r="W58" s="19" t="n"/>
      <c r="X58" s="19" t="n"/>
      <c r="Y58" s="19" t="n"/>
      <c r="Z58" s="61" t="n"/>
      <c r="AA58" s="361" t="n">
        <v>4000000</v>
      </c>
      <c r="AB58" s="14" t="n"/>
      <c r="AE58" s="29" t="n"/>
      <c r="AF58" s="279" t="n"/>
      <c r="AG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2" t="n"/>
      <c r="H59" s="18" t="n"/>
      <c r="I59" s="19" t="n"/>
      <c r="J59" s="19" t="n"/>
      <c r="Q59" s="19" t="n"/>
      <c r="R59" s="19" t="n"/>
      <c r="S59" s="19" t="n"/>
      <c r="T59" s="19" t="n"/>
      <c r="U59" s="19" t="n"/>
      <c r="V59" s="36" t="n"/>
      <c r="W59" s="19" t="n"/>
      <c r="X59" s="19" t="n"/>
      <c r="Y59" s="19" t="n"/>
      <c r="Z59" s="61" t="n"/>
      <c r="AA59" s="362" t="n"/>
      <c r="AB59" s="14" t="n"/>
      <c r="AF59" s="278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10" t="n"/>
      <c r="J60" s="10" t="n"/>
      <c r="K60" s="30" t="n"/>
      <c r="T60" s="11" t="n"/>
      <c r="U60" s="10" t="n"/>
      <c r="W60" s="10" t="n"/>
      <c r="X60" s="10" t="n"/>
      <c r="Y60" s="10" t="n"/>
      <c r="Z60" s="60" t="n"/>
      <c r="AA60" s="230" t="n"/>
      <c r="AB60" s="14" t="n"/>
      <c r="AF60" s="278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2" t="n"/>
      <c r="I61" s="10" t="n"/>
      <c r="J61" s="10" t="n"/>
      <c r="K61" s="124" t="n"/>
      <c r="L61" s="128" t="n"/>
      <c r="T61" s="10" t="n"/>
      <c r="U61" s="10" t="n"/>
      <c r="V61" s="27" t="n"/>
      <c r="W61" s="10" t="n"/>
      <c r="X61" s="10" t="n"/>
      <c r="Y61" s="10" t="n"/>
      <c r="Z61" s="60" t="n"/>
      <c r="AA61" s="230" t="n"/>
      <c r="AB61" s="14" t="n"/>
      <c r="AF61" s="278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8" t="n">
        <v>41457</v>
      </c>
      <c r="M62" s="9" t="n">
        <v>46935</v>
      </c>
      <c r="Q62" s="10" t="n">
        <v>147500</v>
      </c>
      <c r="R62" s="10">
        <f>Q62</f>
        <v/>
      </c>
      <c r="T62" s="10" t="n">
        <v>147500</v>
      </c>
      <c r="U62" s="10">
        <f>T62</f>
        <v/>
      </c>
      <c r="V62" s="27" t="n">
        <v>147500</v>
      </c>
      <c r="W62" s="10">
        <f>V62</f>
        <v/>
      </c>
      <c r="X62" s="277">
        <f>T62/H62</f>
        <v/>
      </c>
      <c r="Y62" s="10" t="inlineStr">
        <is>
          <t>E</t>
        </is>
      </c>
      <c r="Z62" s="60" t="n"/>
      <c r="AA62" s="230" t="n"/>
      <c r="AB62" s="14" t="inlineStr">
        <is>
          <t>No</t>
        </is>
      </c>
      <c r="AC62" s="4" t="inlineStr">
        <is>
          <t>5 year reversionary lease completed from 02/07/28 with day one rent review. Rent review to be documented at passing rent.</t>
        </is>
      </c>
      <c r="AF62" s="278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5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8" t="n">
        <v>45669</v>
      </c>
      <c r="M63" s="9" t="n">
        <v>51146</v>
      </c>
      <c r="O63" s="9" t="n">
        <v>47495</v>
      </c>
      <c r="P63" s="9" t="n">
        <v>49320</v>
      </c>
      <c r="Q63" s="10" t="n">
        <v>220000</v>
      </c>
      <c r="R63" s="10">
        <f>Q63</f>
        <v/>
      </c>
      <c r="T63" s="10" t="n">
        <v>176200</v>
      </c>
      <c r="U63" s="10">
        <f>T63</f>
        <v/>
      </c>
      <c r="V63" s="27" t="n">
        <v>220000</v>
      </c>
      <c r="W63" s="10">
        <f>V63</f>
        <v/>
      </c>
      <c r="X63" s="277">
        <f>T63/H63</f>
        <v/>
      </c>
      <c r="Y63" s="10" t="inlineStr">
        <is>
          <t>B</t>
        </is>
      </c>
      <c r="Z63" s="60" t="n"/>
      <c r="AA63" s="230" t="n"/>
      <c r="AB63" s="14" t="inlineStr">
        <is>
          <t>No</t>
        </is>
      </c>
      <c r="AC63" s="4" t="inlineStr">
        <is>
          <t>Mutual break on 6 months notice.</t>
        </is>
      </c>
      <c r="AF63" s="278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5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8" t="n">
        <v>45567</v>
      </c>
      <c r="M64" s="9" t="n">
        <v>51044</v>
      </c>
      <c r="O64" s="9" t="n">
        <v>47393</v>
      </c>
      <c r="Q64" s="10" t="n">
        <v>150000</v>
      </c>
      <c r="R64" s="10">
        <f>Q64</f>
        <v/>
      </c>
      <c r="T64" s="10" t="n">
        <v>255000</v>
      </c>
      <c r="U64" s="10">
        <f>T64</f>
        <v/>
      </c>
      <c r="V64" s="27" t="n">
        <v>330000</v>
      </c>
      <c r="W64" s="10">
        <f>V64</f>
        <v/>
      </c>
      <c r="X64" s="277">
        <f>T64/H64</f>
        <v/>
      </c>
      <c r="Y64" s="10" t="inlineStr">
        <is>
          <t>B</t>
        </is>
      </c>
      <c r="Z64" s="60" t="n"/>
      <c r="AA64" s="230" t="n"/>
      <c r="AB64" s="14" t="inlineStr">
        <is>
          <t>No</t>
        </is>
      </c>
      <c r="AC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F64" s="278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8" t="n">
        <v>45457</v>
      </c>
      <c r="M65" s="9" t="n">
        <v>47282</v>
      </c>
      <c r="Q65" s="27" t="n">
        <v>121400</v>
      </c>
      <c r="R65" s="10">
        <f>Q65</f>
        <v/>
      </c>
      <c r="T65" s="10" t="n">
        <v>99700</v>
      </c>
      <c r="U65" s="10">
        <f>T65</f>
        <v/>
      </c>
      <c r="V65" s="27" t="n">
        <v>126700</v>
      </c>
      <c r="W65" s="10">
        <f>V65</f>
        <v/>
      </c>
      <c r="X65" s="277">
        <f>T65/H65</f>
        <v/>
      </c>
      <c r="Y65" s="10" t="inlineStr">
        <is>
          <t>B</t>
        </is>
      </c>
      <c r="Z65" s="60" t="n"/>
      <c r="AA65" s="230" t="n"/>
      <c r="AB65" s="14" t="inlineStr">
        <is>
          <t>No</t>
        </is>
      </c>
      <c r="AF65" s="278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8" t="n">
        <v>45384</v>
      </c>
      <c r="M66" s="9" t="n">
        <v>47209</v>
      </c>
      <c r="P66" s="9" t="n">
        <v>46478</v>
      </c>
      <c r="Q66" s="10" t="n">
        <v>133280</v>
      </c>
      <c r="R66" s="10">
        <f>Q66</f>
        <v/>
      </c>
      <c r="T66" s="10" t="n">
        <v>114700</v>
      </c>
      <c r="U66" s="10">
        <f>T66</f>
        <v/>
      </c>
      <c r="V66" s="27" t="n">
        <v>147300</v>
      </c>
      <c r="W66" s="10">
        <f>V66</f>
        <v/>
      </c>
      <c r="X66" s="277">
        <f>T66/H66</f>
        <v/>
      </c>
      <c r="Y66" s="10" t="inlineStr">
        <is>
          <t>B</t>
        </is>
      </c>
      <c r="Z66" s="60" t="n"/>
      <c r="AA66" s="230" t="n"/>
      <c r="AB66" s="14" t="inlineStr">
        <is>
          <t>No</t>
        </is>
      </c>
      <c r="AC66" s="4" t="inlineStr">
        <is>
          <t>Tenant break on 6 months notice. 1 month rent free from 02/04/27 if not exercised.</t>
        </is>
      </c>
      <c r="AF66" s="278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8" t="n">
        <v>45516</v>
      </c>
      <c r="M67" s="9" t="n">
        <v>47341</v>
      </c>
      <c r="P67" s="9" t="n">
        <v>46610</v>
      </c>
      <c r="Q67" s="10" t="n">
        <v>146450</v>
      </c>
      <c r="R67" s="10">
        <f>Q67</f>
        <v/>
      </c>
      <c r="T67" s="10" t="n">
        <v>120700</v>
      </c>
      <c r="U67" s="10">
        <f>T67</f>
        <v/>
      </c>
      <c r="V67" s="27" t="n">
        <v>146500</v>
      </c>
      <c r="W67" s="10">
        <f>V67</f>
        <v/>
      </c>
      <c r="X67" s="277">
        <f>T67/H67</f>
        <v/>
      </c>
      <c r="Y67" s="10" t="inlineStr">
        <is>
          <t>B</t>
        </is>
      </c>
      <c r="Z67" s="60" t="n"/>
      <c r="AA67" s="230" t="n"/>
      <c r="AB67" s="14" t="inlineStr">
        <is>
          <t>No</t>
        </is>
      </c>
      <c r="AC67" s="4" t="inlineStr">
        <is>
          <t>Tenant break on 6 months notice.</t>
        </is>
      </c>
      <c r="AE67" s="29" t="n"/>
      <c r="AF67" s="279" t="n"/>
      <c r="AG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9" t="n">
        <v>45051</v>
      </c>
      <c r="Q68" s="10" t="n">
        <v>0</v>
      </c>
      <c r="R68" s="10">
        <f>Q68</f>
        <v/>
      </c>
      <c r="T68" s="10" t="n">
        <v>87300</v>
      </c>
      <c r="U68" s="10">
        <f>T68</f>
        <v/>
      </c>
      <c r="V68" s="27" t="n">
        <v>127500</v>
      </c>
      <c r="W68" s="10">
        <f>V68</f>
        <v/>
      </c>
      <c r="X68" s="277">
        <f>T68/H68</f>
        <v/>
      </c>
      <c r="Y68" s="10" t="inlineStr">
        <is>
          <t>B</t>
        </is>
      </c>
      <c r="Z68" s="60" t="n"/>
      <c r="AA68" s="230" t="n"/>
      <c r="AB68" s="14" t="inlineStr">
        <is>
          <t>No</t>
        </is>
      </c>
      <c r="AC68" s="4" t="inlineStr">
        <is>
          <t>LEM marketing.</t>
        </is>
      </c>
      <c r="AD68" s="303" t="n">
        <v>72.5</v>
      </c>
      <c r="AE68" s="4" t="n">
        <v>2</v>
      </c>
      <c r="AF68" s="278" t="n">
        <v>7</v>
      </c>
      <c r="AG68" s="4" t="inlineStr">
        <is>
          <t>LEM/LDG</t>
        </is>
      </c>
    </row>
    <row r="69" ht="22.5" customHeight="1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8" t="n">
        <v>44795</v>
      </c>
      <c r="M69" s="9" t="n">
        <v>46620</v>
      </c>
      <c r="P69" s="9" t="n">
        <v>45890</v>
      </c>
      <c r="Q69" s="10" t="n">
        <v>102705</v>
      </c>
      <c r="R69" s="10">
        <f>Q69</f>
        <v/>
      </c>
      <c r="T69" s="10" t="n">
        <v>102705</v>
      </c>
      <c r="U69" s="10">
        <f>T69</f>
        <v/>
      </c>
      <c r="V69" s="27" t="n">
        <v>120100</v>
      </c>
      <c r="W69" s="10">
        <f>V69</f>
        <v/>
      </c>
      <c r="X69" s="277">
        <f>T69/H69</f>
        <v/>
      </c>
      <c r="Y69" s="10" t="inlineStr">
        <is>
          <t>B</t>
        </is>
      </c>
      <c r="Z69" s="60" t="n"/>
      <c r="AA69" s="230" t="n"/>
      <c r="AB69" s="14" t="inlineStr">
        <is>
          <t>No</t>
        </is>
      </c>
      <c r="AC69" s="4" t="inlineStr">
        <is>
          <t>Tenant break on 6 months notice. Tenant break served but dispute over conditions being met.</t>
        </is>
      </c>
      <c r="AF69" s="278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8" t="n">
        <v>45488</v>
      </c>
      <c r="M70" s="9" t="n">
        <v>47313</v>
      </c>
      <c r="P70" s="9" t="n">
        <v>46582</v>
      </c>
      <c r="Q70" s="10" t="n">
        <v>181050</v>
      </c>
      <c r="R70" s="10">
        <f>Q70</f>
        <v/>
      </c>
      <c r="T70" s="10" t="n">
        <v>125050</v>
      </c>
      <c r="U70" s="10">
        <f>T70</f>
        <v/>
      </c>
      <c r="V70" s="27" t="n">
        <v>145900</v>
      </c>
      <c r="W70" s="10">
        <f>V70</f>
        <v/>
      </c>
      <c r="X70" s="277">
        <f>T70/H70</f>
        <v/>
      </c>
      <c r="Y70" s="10" t="inlineStr">
        <is>
          <t>B</t>
        </is>
      </c>
      <c r="Z70" s="60" t="n"/>
      <c r="AA70" s="230" t="n"/>
      <c r="AB70" s="14" t="inlineStr">
        <is>
          <t>No</t>
        </is>
      </c>
      <c r="AC70" s="4" t="inlineStr">
        <is>
          <t>Tenant break on 6 months notice. 2 months rent free @ 15/07/27 if not exercised.</t>
        </is>
      </c>
      <c r="AE70" s="29" t="n"/>
      <c r="AF70" s="279" t="n"/>
      <c r="AG70" s="29" t="n"/>
    </row>
    <row r="71" ht="23.25" customFormat="1" customHeight="1" s="116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8" t="n">
        <v>45609</v>
      </c>
      <c r="M71" s="9" t="n">
        <v>47434</v>
      </c>
      <c r="N71" s="9" t="n"/>
      <c r="O71" s="9" t="n"/>
      <c r="P71" s="9" t="n">
        <v>46703</v>
      </c>
      <c r="Q71" s="10" t="n">
        <v>90090</v>
      </c>
      <c r="R71" s="10">
        <f>Q71</f>
        <v/>
      </c>
      <c r="S71" s="10" t="n"/>
      <c r="T71" s="10" t="n">
        <v>90100</v>
      </c>
      <c r="U71" s="10">
        <f>T71</f>
        <v/>
      </c>
      <c r="V71" s="27" t="n">
        <v>109900</v>
      </c>
      <c r="W71" s="10">
        <f>V71</f>
        <v/>
      </c>
      <c r="X71" s="277">
        <f>T71/H71</f>
        <v/>
      </c>
      <c r="Y71" s="10" t="inlineStr">
        <is>
          <t>B</t>
        </is>
      </c>
      <c r="Z71" s="60" t="n"/>
      <c r="AA71" s="230" t="n"/>
      <c r="AB71" s="14" t="inlineStr">
        <is>
          <t>No</t>
        </is>
      </c>
      <c r="AC71" s="4" t="inlineStr">
        <is>
          <t>Tenant break on 6 months notice. Rent PA corrected.</t>
        </is>
      </c>
      <c r="AD71" s="303" t="n"/>
      <c r="AE71" s="4" t="n"/>
      <c r="AF71" s="278" t="n"/>
      <c r="AG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8" t="n">
        <v>45609</v>
      </c>
      <c r="M72" s="9" t="n">
        <v>47434</v>
      </c>
      <c r="P72" s="9" t="n">
        <v>46703</v>
      </c>
      <c r="Q72" s="10" t="n">
        <v>114253</v>
      </c>
      <c r="R72" s="10">
        <f>Q72</f>
        <v/>
      </c>
      <c r="T72" s="10" t="n">
        <v>115800</v>
      </c>
      <c r="U72" s="10">
        <f>T72</f>
        <v/>
      </c>
      <c r="V72" s="27" t="n">
        <v>138900</v>
      </c>
      <c r="W72" s="10">
        <f>V72</f>
        <v/>
      </c>
      <c r="X72" s="277">
        <f>T72/H72</f>
        <v/>
      </c>
      <c r="Y72" s="10" t="inlineStr">
        <is>
          <t>B</t>
        </is>
      </c>
      <c r="Z72" s="60" t="n"/>
      <c r="AA72" s="230" t="n"/>
      <c r="AB72" s="14" t="inlineStr">
        <is>
          <t>No</t>
        </is>
      </c>
      <c r="AC72" s="4" t="inlineStr">
        <is>
          <t>Tenant break on 6 months notice.</t>
        </is>
      </c>
      <c r="AD72" s="305" t="n"/>
      <c r="AF72" s="278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5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8" t="n">
        <v>45256</v>
      </c>
      <c r="M73" s="9" t="n">
        <v>47082</v>
      </c>
      <c r="P73" s="9" t="n">
        <v>46351</v>
      </c>
      <c r="Q73" s="10" t="n">
        <v>115500</v>
      </c>
      <c r="R73" s="10">
        <f>Q73</f>
        <v/>
      </c>
      <c r="T73" s="10" t="n">
        <v>107400</v>
      </c>
      <c r="U73" s="10">
        <f>T73</f>
        <v/>
      </c>
      <c r="V73" s="27" t="n">
        <v>131000</v>
      </c>
      <c r="W73" s="10">
        <f>V73</f>
        <v/>
      </c>
      <c r="X73" s="277">
        <f>T73/H73</f>
        <v/>
      </c>
      <c r="Y73" s="10" t="inlineStr">
        <is>
          <t>B</t>
        </is>
      </c>
      <c r="Z73" s="60" t="n"/>
      <c r="AA73" s="230" t="n"/>
      <c r="AB73" s="14" t="inlineStr">
        <is>
          <t>No</t>
        </is>
      </c>
      <c r="AC73" s="4" t="inlineStr">
        <is>
          <t>Tenant break on 6 months notice.</t>
        </is>
      </c>
      <c r="AF73" s="278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5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8" t="n">
        <v>45622</v>
      </c>
      <c r="M74" s="9" t="n">
        <v>47447</v>
      </c>
      <c r="P74" s="9" t="n">
        <v>46716</v>
      </c>
      <c r="Q74" s="10" t="n">
        <v>54340</v>
      </c>
      <c r="R74" s="10">
        <f>Q74</f>
        <v/>
      </c>
      <c r="T74" s="10" t="n">
        <v>76600</v>
      </c>
      <c r="U74" s="10">
        <f>T74</f>
        <v/>
      </c>
      <c r="V74" s="27" t="n">
        <v>108500</v>
      </c>
      <c r="W74" s="10">
        <f>V74</f>
        <v/>
      </c>
      <c r="X74" s="277">
        <f>T74/H74</f>
        <v/>
      </c>
      <c r="Y74" s="10" t="inlineStr">
        <is>
          <t>B</t>
        </is>
      </c>
      <c r="Z74" s="60" t="n"/>
      <c r="AA74" s="230" t="n"/>
      <c r="AB74" s="14" t="inlineStr">
        <is>
          <t>No</t>
        </is>
      </c>
      <c r="AC74" s="4" t="inlineStr">
        <is>
          <t>Rent increases to £108,680 wef 26/11/25. Tenant break on 6 months notice.</t>
        </is>
      </c>
      <c r="AD74" s="305" t="n"/>
      <c r="AF74" s="278" t="n">
        <v>1</v>
      </c>
      <c r="AG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13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8" t="n">
        <v>45617</v>
      </c>
      <c r="M75" s="9" t="n">
        <v>47442</v>
      </c>
      <c r="Q75" s="10" t="n">
        <v>66700</v>
      </c>
      <c r="R75" s="10">
        <f>Q75</f>
        <v/>
      </c>
      <c r="T75" s="10" t="n">
        <v>66700</v>
      </c>
      <c r="U75" s="10">
        <f>T75</f>
        <v/>
      </c>
      <c r="V75" s="27" t="n">
        <v>78300</v>
      </c>
      <c r="W75" s="10">
        <f>V75</f>
        <v/>
      </c>
      <c r="X75" s="277">
        <f>T75/H75</f>
        <v/>
      </c>
      <c r="Y75" s="10" t="inlineStr">
        <is>
          <t>D</t>
        </is>
      </c>
      <c r="Z75" s="60" t="n"/>
      <c r="AA75" s="230" t="n"/>
      <c r="AB75" s="14" t="inlineStr">
        <is>
          <t>No</t>
        </is>
      </c>
      <c r="AD75" s="305" t="n"/>
      <c r="AF75" s="278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9" t="n">
        <v>44609</v>
      </c>
      <c r="Q76" s="10" t="n">
        <v>0</v>
      </c>
      <c r="R76" s="10">
        <f>Q76</f>
        <v/>
      </c>
      <c r="T76" s="10" t="n">
        <v>65750</v>
      </c>
      <c r="U76" s="10">
        <f>T76</f>
        <v/>
      </c>
      <c r="V76" s="27" t="n">
        <v>53700</v>
      </c>
      <c r="W76" s="10">
        <f>V76</f>
        <v/>
      </c>
      <c r="X76" s="277">
        <f>T76/H76</f>
        <v/>
      </c>
      <c r="Y76" s="10" t="inlineStr">
        <is>
          <t>D</t>
        </is>
      </c>
      <c r="Z76" s="60" t="n"/>
      <c r="AA76" s="230" t="n"/>
      <c r="AB76" s="14" t="inlineStr">
        <is>
          <t>No</t>
        </is>
      </c>
      <c r="AC76" s="4" t="inlineStr">
        <is>
          <t>LEM marketing.</t>
        </is>
      </c>
      <c r="AD76" s="303" t="n">
        <v>63</v>
      </c>
      <c r="AF76" s="278" t="n">
        <v>1</v>
      </c>
    </row>
    <row r="77" ht="28.5" customFormat="1" customHeight="1" s="55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8" t="n"/>
      <c r="M77" s="9" t="n"/>
      <c r="N77" s="9" t="inlineStr">
        <is>
          <t>N/A</t>
        </is>
      </c>
      <c r="O77" s="9" t="n"/>
      <c r="P77" s="9" t="n"/>
      <c r="Q77" s="10" t="n">
        <v>0</v>
      </c>
      <c r="R77" s="10">
        <f>Q77</f>
        <v/>
      </c>
      <c r="S77" s="10" t="n"/>
      <c r="T77" s="10" t="n">
        <v>1460</v>
      </c>
      <c r="U77" s="10">
        <f>T77</f>
        <v/>
      </c>
      <c r="V77" s="27" t="n">
        <v>0</v>
      </c>
      <c r="W77" s="10">
        <f>V77</f>
        <v/>
      </c>
      <c r="X77" s="10" t="n"/>
      <c r="Y77" s="10" t="n"/>
      <c r="Z77" s="60" t="n"/>
      <c r="AA77" s="230" t="n"/>
      <c r="AB77" s="14" t="n"/>
      <c r="AC77" s="4" t="n"/>
      <c r="AD77" s="303" t="n"/>
      <c r="AE77" s="4" t="n"/>
      <c r="AF77" s="278" t="n"/>
      <c r="AG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50" t="n">
        <v>35240</v>
      </c>
      <c r="M78" s="98" t="n">
        <v>68735</v>
      </c>
      <c r="N78" s="98" t="n"/>
      <c r="Q78" s="10" t="n">
        <v>0</v>
      </c>
      <c r="R78" s="10">
        <f>Q78</f>
        <v/>
      </c>
      <c r="T78" s="10" t="n">
        <v>0</v>
      </c>
      <c r="U78" s="10">
        <f>T78</f>
        <v/>
      </c>
      <c r="V78" s="27" t="n">
        <v>0</v>
      </c>
      <c r="W78" s="10">
        <f>V78</f>
        <v/>
      </c>
      <c r="X78" s="10" t="n"/>
      <c r="Y78" s="10" t="n"/>
      <c r="Z78" s="60" t="n"/>
      <c r="AA78" s="230" t="n"/>
      <c r="AB78" s="14" t="inlineStr">
        <is>
          <t>Yes</t>
        </is>
      </c>
      <c r="AC78" s="4" t="inlineStr">
        <is>
          <t>Rolling redevelopment break on 6 months notice.</t>
        </is>
      </c>
      <c r="AF78" s="278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38" t="n"/>
      <c r="N79" s="38" t="n"/>
      <c r="T79" s="10" t="n"/>
      <c r="U79" s="10" t="n"/>
      <c r="V79" s="27" t="n"/>
      <c r="W79" s="10" t="n"/>
      <c r="X79" s="10" t="n"/>
      <c r="Y79" s="10" t="n"/>
      <c r="Z79" s="60" t="n"/>
      <c r="AA79" s="230" t="n"/>
      <c r="AB79" s="14" t="n"/>
      <c r="AF79" s="278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0" t="inlineStr">
        <is>
          <t>4 Great Portland Street</t>
        </is>
      </c>
      <c r="H80" s="18">
        <f>SUM(H62:H78)</f>
        <v/>
      </c>
      <c r="I80" s="19" t="n"/>
      <c r="J80" s="19" t="n"/>
      <c r="M80" s="38" t="n"/>
      <c r="N80" s="38" t="n"/>
      <c r="Q80" s="19">
        <f>SUM(Q62:Q78)</f>
        <v/>
      </c>
      <c r="R80" s="19" t="n"/>
      <c r="S80" s="19">
        <f>SUM(R62:R78)</f>
        <v/>
      </c>
      <c r="T80" s="19">
        <f>SUM(T62:T78)</f>
        <v/>
      </c>
      <c r="U80" s="19" t="n"/>
      <c r="V80" s="36">
        <f>SUM(V62:V78)</f>
        <v/>
      </c>
      <c r="W80" s="19" t="n"/>
      <c r="X80" s="19" t="n"/>
      <c r="Y80" s="19" t="n"/>
      <c r="Z80" s="61" t="n"/>
      <c r="AA80" s="361" t="n">
        <v>35000000</v>
      </c>
      <c r="AB80" s="14" t="n"/>
      <c r="AE80" s="29" t="n"/>
      <c r="AF80" s="279" t="n"/>
      <c r="AG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0" t="n"/>
      <c r="H81" s="18" t="n"/>
      <c r="I81" s="19" t="n"/>
      <c r="J81" s="19" t="n"/>
      <c r="M81" s="38" t="n"/>
      <c r="N81" s="38" t="n"/>
      <c r="Q81" s="19" t="n"/>
      <c r="R81" s="19" t="n"/>
      <c r="S81" s="19" t="n"/>
      <c r="T81" s="19" t="n"/>
      <c r="U81" s="19" t="n"/>
      <c r="V81" s="36" t="n"/>
      <c r="W81" s="19" t="n"/>
      <c r="X81" s="19" t="n"/>
      <c r="Y81" s="19" t="n"/>
      <c r="Z81" s="61" t="n"/>
      <c r="AA81" s="362" t="n"/>
      <c r="AB81" s="14" t="n"/>
      <c r="AF81" s="278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10" t="n"/>
      <c r="J82" s="10" t="n"/>
      <c r="K82" s="30" t="n"/>
      <c r="T82" s="11" t="n"/>
      <c r="U82" s="10" t="n"/>
      <c r="W82" s="10" t="n"/>
      <c r="X82" s="10" t="n"/>
      <c r="Y82" s="10" t="n"/>
      <c r="Z82" s="60" t="n"/>
      <c r="AA82" s="230" t="n"/>
      <c r="AB82" s="14" t="n"/>
      <c r="AF82" s="278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10" t="n"/>
      <c r="J83" s="10" t="n"/>
      <c r="K83" s="13" t="n"/>
      <c r="L83" s="9" t="n"/>
      <c r="T83" s="10" t="n"/>
      <c r="U83" s="10" t="n"/>
      <c r="V83" s="27" t="n"/>
      <c r="W83" s="10" t="n"/>
      <c r="X83" s="10" t="n"/>
      <c r="Y83" s="10" t="n"/>
      <c r="Z83" s="60" t="n"/>
      <c r="AA83" s="230" t="n"/>
      <c r="AB83" s="14" t="n"/>
      <c r="AF83" s="278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8" t="n">
        <v>45699</v>
      </c>
      <c r="M84" s="9" t="n">
        <v>47524</v>
      </c>
      <c r="P84" s="9" t="n">
        <v>46793</v>
      </c>
      <c r="Q84" s="10" t="n">
        <v>187500</v>
      </c>
      <c r="R84" s="10">
        <f>Q84</f>
        <v/>
      </c>
      <c r="T84" s="10" t="n">
        <v>337100</v>
      </c>
      <c r="U84" s="10">
        <f>T84</f>
        <v/>
      </c>
      <c r="V84" s="27" t="n">
        <v>375000</v>
      </c>
      <c r="W84" s="10">
        <f>V84</f>
        <v/>
      </c>
      <c r="X84" s="277">
        <f>T84/H84</f>
        <v/>
      </c>
      <c r="Y84" s="10" t="inlineStr">
        <is>
          <t>B</t>
        </is>
      </c>
      <c r="Z84" s="60" t="n"/>
      <c r="AA84" s="230" t="n"/>
      <c r="AB84" s="14" t="inlineStr">
        <is>
          <t>No</t>
        </is>
      </c>
      <c r="AC84" s="4" t="inlineStr">
        <is>
          <t>Rent increasing to £375,000 wef 11/09/25. Tenant break on 6 months notice. 3 months rent free if not exercised.</t>
        </is>
      </c>
      <c r="AD84" s="303" t="n">
        <v>68</v>
      </c>
      <c r="AE84" s="4" t="n">
        <v>1</v>
      </c>
      <c r="AF84" s="278" t="n">
        <v>13</v>
      </c>
      <c r="AG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8" t="n">
        <v>44452</v>
      </c>
      <c r="M85" s="9" t="n">
        <v>46277</v>
      </c>
      <c r="Q85" s="10" t="n">
        <v>108170</v>
      </c>
      <c r="R85" s="10">
        <f>Q85</f>
        <v/>
      </c>
      <c r="T85" s="10" t="n">
        <v>107200</v>
      </c>
      <c r="U85" s="10">
        <f>T85</f>
        <v/>
      </c>
      <c r="V85" s="27" t="n">
        <v>111700</v>
      </c>
      <c r="W85" s="10">
        <f>V85</f>
        <v/>
      </c>
      <c r="X85" s="277">
        <f>T85/H85</f>
        <v/>
      </c>
      <c r="Y85" s="10" t="inlineStr">
        <is>
          <t>D</t>
        </is>
      </c>
      <c r="Z85" s="60" t="n"/>
      <c r="AA85" s="230" t="n"/>
      <c r="AB85" s="14" t="inlineStr">
        <is>
          <t>No</t>
        </is>
      </c>
      <c r="AF85" s="278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8" t="n">
        <v>45609</v>
      </c>
      <c r="Q86" s="10" t="n">
        <v>0</v>
      </c>
      <c r="R86" s="10">
        <f>Q86</f>
        <v/>
      </c>
      <c r="T86" s="10" t="n">
        <v>105500</v>
      </c>
      <c r="U86" s="10">
        <f>T86</f>
        <v/>
      </c>
      <c r="V86" s="27" t="n">
        <v>109100</v>
      </c>
      <c r="W86" s="10">
        <f>V86</f>
        <v/>
      </c>
      <c r="X86" s="277">
        <f>T86/H86</f>
        <v/>
      </c>
      <c r="Y86" s="10" t="inlineStr">
        <is>
          <t>E</t>
        </is>
      </c>
      <c r="Z86" s="60" t="n"/>
      <c r="AA86" s="230" t="n"/>
      <c r="AB86" s="14" t="inlineStr">
        <is>
          <t>No</t>
        </is>
      </c>
      <c r="AC86" s="4" t="inlineStr">
        <is>
          <t>LEM marketing.</t>
        </is>
      </c>
      <c r="AD86" s="303" t="n">
        <v>65</v>
      </c>
      <c r="AF86" s="278" t="n"/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8" t="n">
        <v>45609</v>
      </c>
      <c r="Q87" s="10" t="n">
        <v>0</v>
      </c>
      <c r="R87" s="10">
        <f>Q87</f>
        <v/>
      </c>
      <c r="T87" s="10" t="n">
        <v>108800</v>
      </c>
      <c r="U87" s="10">
        <f>T87</f>
        <v/>
      </c>
      <c r="V87" s="27" t="n">
        <v>108500</v>
      </c>
      <c r="W87" s="10">
        <f>V87</f>
        <v/>
      </c>
      <c r="X87" s="277">
        <f>T87/H87</f>
        <v/>
      </c>
      <c r="Y87" s="10" t="inlineStr">
        <is>
          <t>E</t>
        </is>
      </c>
      <c r="Z87" s="60" t="n"/>
      <c r="AA87" s="230" t="n"/>
      <c r="AB87" s="14" t="inlineStr">
        <is>
          <t>No</t>
        </is>
      </c>
      <c r="AC87" s="4" t="inlineStr">
        <is>
          <t>LEM marketing.</t>
        </is>
      </c>
      <c r="AD87" s="303" t="n">
        <v>65</v>
      </c>
      <c r="AF87" s="278" t="n"/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9" t="n">
        <v>45457</v>
      </c>
      <c r="Q88" s="10" t="n">
        <v>0</v>
      </c>
      <c r="R88" s="10">
        <f>Q88</f>
        <v/>
      </c>
      <c r="T88" s="10" t="n">
        <v>94400</v>
      </c>
      <c r="U88" s="10">
        <f>T88</f>
        <v/>
      </c>
      <c r="V88" s="27" t="n">
        <v>104500</v>
      </c>
      <c r="W88" s="10">
        <f>V88</f>
        <v/>
      </c>
      <c r="X88" s="277">
        <f>T88/H88</f>
        <v/>
      </c>
      <c r="Y88" s="10" t="inlineStr">
        <is>
          <t>B</t>
        </is>
      </c>
      <c r="Z88" s="60" t="n"/>
      <c r="AA88" s="230" t="n"/>
      <c r="AB88" s="14" t="inlineStr">
        <is>
          <t>No</t>
        </is>
      </c>
      <c r="AC88" s="29" t="inlineStr">
        <is>
          <t>Refurbishement complete. LEM marketing.</t>
        </is>
      </c>
      <c r="AD88" s="303" t="n">
        <v>65</v>
      </c>
      <c r="AE88" s="4" t="n">
        <v>1</v>
      </c>
      <c r="AF88" s="278" t="n">
        <v>2</v>
      </c>
      <c r="AG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8" t="n">
        <v>45609</v>
      </c>
      <c r="M89" s="9" t="n">
        <v>47434</v>
      </c>
      <c r="P89" s="9" t="n">
        <v>46703</v>
      </c>
      <c r="Q89" s="10" t="n">
        <v>61928</v>
      </c>
      <c r="R89" s="10">
        <f>Q89</f>
        <v/>
      </c>
      <c r="T89" s="7" t="n">
        <v>61200</v>
      </c>
      <c r="U89" s="10">
        <f>T89</f>
        <v/>
      </c>
      <c r="V89" s="359" t="n">
        <v>62200</v>
      </c>
      <c r="W89" s="10">
        <f>V89</f>
        <v/>
      </c>
      <c r="X89" s="277">
        <f>T89/H89</f>
        <v/>
      </c>
      <c r="Y89" s="10" t="inlineStr">
        <is>
          <t>E</t>
        </is>
      </c>
      <c r="Z89" s="60" t="n"/>
      <c r="AA89" s="230" t="n"/>
      <c r="AB89" s="14" t="inlineStr">
        <is>
          <t>No</t>
        </is>
      </c>
      <c r="AC89" s="4" t="inlineStr">
        <is>
          <t>Tenant break on 6 months notice.</t>
        </is>
      </c>
      <c r="AD89" s="305" t="n"/>
      <c r="AF89" s="278" t="n"/>
    </row>
    <row r="90" ht="22.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0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8" t="n">
        <v>39295</v>
      </c>
      <c r="M90" s="9" t="n">
        <v>46599</v>
      </c>
      <c r="O90" s="9" t="n">
        <v>45870</v>
      </c>
      <c r="Q90" s="10" t="n">
        <v>903</v>
      </c>
      <c r="R90" s="10">
        <f>Q90</f>
        <v/>
      </c>
      <c r="T90" s="7" t="n">
        <v>625</v>
      </c>
      <c r="U90" s="10">
        <f>T90</f>
        <v/>
      </c>
      <c r="V90" s="359" t="n">
        <v>625</v>
      </c>
      <c r="W90" s="10">
        <f>V90</f>
        <v/>
      </c>
      <c r="X90" s="277" t="n"/>
      <c r="Y90" s="10" t="n"/>
      <c r="Z90" s="60" t="n"/>
      <c r="AA90" s="230" t="n"/>
      <c r="AB90" s="14" t="inlineStr">
        <is>
          <t>No</t>
        </is>
      </c>
      <c r="AC90" s="4" t="inlineStr">
        <is>
          <t xml:space="preserve">Landlords redevelopment break on 6 months notice. Rent review is RPI indexation (every 2 years). </t>
        </is>
      </c>
      <c r="AF90" s="278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0" t="n"/>
      <c r="I91" s="10" t="n"/>
      <c r="J91" s="10" t="n"/>
      <c r="T91" s="7" t="n"/>
      <c r="U91" s="10" t="n"/>
      <c r="V91" s="359" t="n"/>
      <c r="W91" s="10" t="n"/>
      <c r="X91" s="10" t="n"/>
      <c r="Y91" s="10" t="n"/>
      <c r="Z91" s="60" t="n"/>
      <c r="AA91" s="230" t="n"/>
      <c r="AB91" s="14" t="n"/>
      <c r="AF91" s="278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0" t="inlineStr">
        <is>
          <t>6/10a Great Portland Street</t>
        </is>
      </c>
      <c r="H92" s="18">
        <f>SUM(H84:H90)</f>
        <v/>
      </c>
      <c r="I92" s="19" t="n"/>
      <c r="J92" s="19" t="n"/>
      <c r="Q92" s="19">
        <f>SUM(Q84:Q90)</f>
        <v/>
      </c>
      <c r="R92" s="19" t="n"/>
      <c r="S92" s="19">
        <f>SUM(R83:R90)</f>
        <v/>
      </c>
      <c r="T92" s="19">
        <f>SUM(T84:T90)</f>
        <v/>
      </c>
      <c r="U92" s="19" t="n"/>
      <c r="V92" s="36">
        <f>SUM(V84:V90)</f>
        <v/>
      </c>
      <c r="W92" s="19" t="n"/>
      <c r="X92" s="19" t="n"/>
      <c r="Y92" s="19" t="n"/>
      <c r="Z92" s="61" t="n"/>
      <c r="AA92" s="361" t="n">
        <v>13625000</v>
      </c>
      <c r="AB92" s="14" t="n"/>
      <c r="AE92" s="29" t="n"/>
      <c r="AF92" s="279" t="n"/>
      <c r="AG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19" t="n"/>
      <c r="J93" s="19" t="n"/>
      <c r="Q93" s="19" t="n"/>
      <c r="R93" s="19" t="n"/>
      <c r="S93" s="19" t="n"/>
      <c r="T93" s="19" t="n"/>
      <c r="U93" s="19" t="n"/>
      <c r="V93" s="36" t="n"/>
      <c r="W93" s="19" t="n"/>
      <c r="X93" s="19" t="n"/>
      <c r="Y93" s="19" t="n"/>
      <c r="Z93" s="61" t="n"/>
      <c r="AA93" s="362" t="n"/>
      <c r="AB93" s="14" t="n"/>
      <c r="AF93" s="278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10" t="n"/>
      <c r="J94" s="10" t="n"/>
      <c r="K94" s="30" t="n"/>
      <c r="T94" s="11" t="n"/>
      <c r="U94" s="10" t="n"/>
      <c r="W94" s="10" t="n"/>
      <c r="X94" s="10" t="n"/>
      <c r="Y94" s="10" t="n"/>
      <c r="Z94" s="60" t="n"/>
      <c r="AA94" s="230" t="n"/>
      <c r="AB94" s="14" t="n"/>
      <c r="AF94" s="278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10" t="n"/>
      <c r="J95" s="10" t="n"/>
      <c r="T95" s="10" t="n"/>
      <c r="U95" s="10" t="n"/>
      <c r="V95" s="27" t="n"/>
      <c r="W95" s="10" t="n"/>
      <c r="X95" s="10" t="n"/>
      <c r="Y95" s="10" t="n"/>
      <c r="Z95" s="60" t="n"/>
      <c r="AA95" s="230" t="n"/>
      <c r="AB95" s="14" t="n"/>
      <c r="AF95" s="278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10">
        <f>H96</f>
        <v/>
      </c>
      <c r="J96" s="10" t="n">
        <v>10000</v>
      </c>
      <c r="K96" s="4" t="inlineStr">
        <is>
          <t>Barclays Bank UK Plc</t>
        </is>
      </c>
      <c r="L96" s="8" t="n">
        <v>44856</v>
      </c>
      <c r="M96" s="9" t="n">
        <v>47411</v>
      </c>
      <c r="O96" s="9" t="n">
        <v>46682</v>
      </c>
      <c r="Q96" s="19" t="n">
        <v>580000</v>
      </c>
      <c r="R96" s="10">
        <f>Q96</f>
        <v/>
      </c>
      <c r="S96" s="19">
        <f>R96</f>
        <v/>
      </c>
      <c r="T96" s="19" t="n">
        <v>580000</v>
      </c>
      <c r="U96" s="10">
        <f>T96</f>
        <v/>
      </c>
      <c r="V96" s="36" t="n">
        <v>586000</v>
      </c>
      <c r="W96" s="10">
        <f>V96</f>
        <v/>
      </c>
      <c r="X96" s="277">
        <f>T96/H96</f>
        <v/>
      </c>
      <c r="Y96" s="10" t="inlineStr">
        <is>
          <t>B</t>
        </is>
      </c>
      <c r="Z96" s="60" t="n"/>
      <c r="AA96" s="361" t="n">
        <v>8850000</v>
      </c>
      <c r="AB96" s="14" t="inlineStr">
        <is>
          <t>Yes</t>
        </is>
      </c>
      <c r="AF96" s="278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0" t="inlineStr">
        <is>
          <t>15/17 Great Portland Street</t>
        </is>
      </c>
      <c r="H97" s="31">
        <f>SUM(H96:H96)</f>
        <v/>
      </c>
      <c r="I97" s="18" t="n"/>
      <c r="J97" s="18" t="n"/>
      <c r="K97" s="32" t="n"/>
      <c r="L97" s="33" t="n"/>
      <c r="M97" s="34" t="n"/>
      <c r="N97" s="34" t="n"/>
      <c r="O97" s="34" t="n"/>
      <c r="P97" s="34" t="n"/>
      <c r="Q97" s="31">
        <f>SUM(Q96:Q96)</f>
        <v/>
      </c>
      <c r="R97" s="31" t="n"/>
      <c r="S97" s="31" t="n"/>
      <c r="T97" s="31">
        <f>SUM(T96:T96)</f>
        <v/>
      </c>
      <c r="U97" s="31" t="n"/>
      <c r="V97" s="376" t="n"/>
      <c r="W97" s="31" t="n"/>
      <c r="X97" s="31" t="n"/>
      <c r="Y97" s="31" t="n"/>
      <c r="Z97" s="62" t="n"/>
      <c r="AA97" s="360" t="n"/>
      <c r="AB97" s="14" t="n"/>
      <c r="AF97" s="278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10" t="n"/>
      <c r="J98" s="10" t="n"/>
      <c r="T98" s="10" t="n"/>
      <c r="U98" s="10" t="n"/>
      <c r="V98" s="27" t="n"/>
      <c r="W98" s="10" t="n"/>
      <c r="X98" s="10" t="n"/>
      <c r="Y98" s="10" t="n"/>
      <c r="Z98" s="60" t="n"/>
      <c r="AA98" s="230" t="n"/>
      <c r="AB98" s="14" t="n"/>
      <c r="AF98" s="278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10" t="n"/>
      <c r="J99" s="10" t="n"/>
      <c r="K99" s="30" t="n"/>
      <c r="T99" s="11" t="n"/>
      <c r="U99" s="10" t="n"/>
      <c r="W99" s="10" t="n"/>
      <c r="X99" s="10" t="n"/>
      <c r="Y99" s="10" t="n"/>
      <c r="Z99" s="60" t="n"/>
      <c r="AA99" s="230" t="n"/>
      <c r="AB99" s="14" t="n"/>
      <c r="AF99" s="278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10" t="n"/>
      <c r="J100" s="10" t="n"/>
      <c r="K100" s="124" t="n"/>
      <c r="L100" s="128" t="n"/>
      <c r="M100" s="41" t="n"/>
      <c r="N100" s="41" t="n"/>
      <c r="O100" s="41" t="n"/>
      <c r="P100" s="41" t="n"/>
      <c r="T100" s="10" t="n"/>
      <c r="U100" s="10" t="n"/>
      <c r="V100" s="27" t="n"/>
      <c r="W100" s="10" t="n"/>
      <c r="X100" s="10" t="n"/>
      <c r="Y100" s="10" t="n"/>
      <c r="Z100" s="60" t="n"/>
      <c r="AA100" s="230" t="n"/>
      <c r="AB100" s="14" t="n"/>
      <c r="AF100" s="278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8" t="n">
        <v>44729</v>
      </c>
      <c r="M101" s="9" t="n">
        <v>50207</v>
      </c>
      <c r="O101" s="8" t="n">
        <v>46555</v>
      </c>
      <c r="P101" s="8" t="n">
        <v>48381</v>
      </c>
      <c r="Q101" s="10" t="n">
        <v>625000</v>
      </c>
      <c r="R101" s="10">
        <f>Q101</f>
        <v/>
      </c>
      <c r="T101" s="10" t="n">
        <v>750000</v>
      </c>
      <c r="U101" s="10">
        <f>T101</f>
        <v/>
      </c>
      <c r="V101" s="27" t="n">
        <v>650000</v>
      </c>
      <c r="W101" s="10">
        <f>V101</f>
        <v/>
      </c>
      <c r="X101" s="277">
        <f>T101/H101</f>
        <v/>
      </c>
      <c r="Y101" s="10" t="inlineStr">
        <is>
          <t>B</t>
        </is>
      </c>
      <c r="Z101" s="60" t="n"/>
      <c r="AA101" s="362" t="n"/>
      <c r="AB101" s="14" t="inlineStr">
        <is>
          <t>No</t>
        </is>
      </c>
      <c r="AC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9" t="n">
        <v>45219</v>
      </c>
      <c r="Q102" s="10" t="n">
        <v>0</v>
      </c>
      <c r="R102" s="10">
        <f>Q102</f>
        <v/>
      </c>
      <c r="T102" s="10" t="n">
        <v>170000</v>
      </c>
      <c r="U102" s="10">
        <f>T102</f>
        <v/>
      </c>
      <c r="V102" s="27" t="n">
        <v>185100</v>
      </c>
      <c r="W102" s="10">
        <f>V102</f>
        <v/>
      </c>
      <c r="X102" s="277">
        <f>T102/H102</f>
        <v/>
      </c>
      <c r="Y102" s="10" t="inlineStr">
        <is>
          <t>B</t>
        </is>
      </c>
      <c r="Z102" s="60" t="n"/>
      <c r="AA102" s="362" t="n"/>
      <c r="AB102" s="14" t="inlineStr">
        <is>
          <t>No</t>
        </is>
      </c>
      <c r="AC102" s="4" t="inlineStr">
        <is>
          <t>LEM marketing.</t>
        </is>
      </c>
      <c r="AD102" s="303" t="n">
        <v>70</v>
      </c>
      <c r="AF102" s="278" t="n">
        <v>7</v>
      </c>
      <c r="AG102" s="4" t="inlineStr">
        <is>
          <t>LEM / Savills</t>
        </is>
      </c>
    </row>
    <row r="103" ht="17.25" customFormat="1" customHeight="1" s="55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8" t="n"/>
      <c r="M103" s="9" t="n"/>
      <c r="N103" s="9" t="n">
        <v>44124</v>
      </c>
      <c r="O103" s="9" t="n"/>
      <c r="P103" s="9" t="n"/>
      <c r="Q103" s="10" t="n">
        <v>0</v>
      </c>
      <c r="R103" s="10">
        <f>Q103</f>
        <v/>
      </c>
      <c r="S103" s="10" t="n"/>
      <c r="T103" s="10" t="n">
        <v>172000</v>
      </c>
      <c r="U103" s="10">
        <f>T103</f>
        <v/>
      </c>
      <c r="V103" s="27" t="n">
        <v>181600</v>
      </c>
      <c r="W103" s="10">
        <f>V103</f>
        <v/>
      </c>
      <c r="X103" s="277">
        <f>T103/H103</f>
        <v/>
      </c>
      <c r="Y103" s="10" t="inlineStr">
        <is>
          <t>B</t>
        </is>
      </c>
      <c r="Z103" s="60" t="n"/>
      <c r="AA103" s="362" t="n"/>
      <c r="AB103" s="14" t="inlineStr">
        <is>
          <t>No</t>
        </is>
      </c>
      <c r="AC103" s="4" t="inlineStr">
        <is>
          <t>LEM marketing.</t>
        </is>
      </c>
      <c r="AD103" s="303" t="n">
        <v>72.5</v>
      </c>
      <c r="AE103" s="4" t="n"/>
      <c r="AF103" s="278" t="n">
        <v>7</v>
      </c>
      <c r="AG103" s="4" t="inlineStr">
        <is>
          <t>LEM / Savills</t>
        </is>
      </c>
    </row>
    <row r="104" ht="24.75" customFormat="1" customHeight="1" s="55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8" t="n">
        <v>44362</v>
      </c>
      <c r="M104" s="9" t="n">
        <v>48013</v>
      </c>
      <c r="N104" s="9" t="n"/>
      <c r="O104" s="9" t="n">
        <v>46197</v>
      </c>
      <c r="P104" s="9" t="n">
        <v>46197</v>
      </c>
      <c r="Q104" s="10" t="n">
        <v>80000</v>
      </c>
      <c r="R104" s="10">
        <f>Q104</f>
        <v/>
      </c>
      <c r="S104" s="10" t="n"/>
      <c r="T104" s="10" t="n">
        <v>80000</v>
      </c>
      <c r="U104" s="10">
        <f>T104</f>
        <v/>
      </c>
      <c r="V104" s="27" t="n">
        <v>80800</v>
      </c>
      <c r="W104" s="10">
        <f>V104</f>
        <v/>
      </c>
      <c r="X104" s="277">
        <f>T104/H104</f>
        <v/>
      </c>
      <c r="Y104" s="10" t="inlineStr">
        <is>
          <t>B</t>
        </is>
      </c>
      <c r="Z104" s="60" t="n"/>
      <c r="AA104" s="362" t="n"/>
      <c r="AB104" s="14" t="inlineStr">
        <is>
          <t>No</t>
        </is>
      </c>
      <c r="AC104" s="4" t="inlineStr">
        <is>
          <t>Tenant break subject to 6 months notice.</t>
        </is>
      </c>
      <c r="AD104" s="303" t="n"/>
      <c r="AE104" s="4" t="n"/>
      <c r="AF104" s="278" t="n"/>
      <c r="AG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10" t="n"/>
      <c r="J105" s="10" t="n"/>
      <c r="T105" s="10" t="n"/>
      <c r="U105" s="10" t="n"/>
      <c r="V105" s="27" t="n"/>
      <c r="W105" s="10" t="n"/>
      <c r="X105" s="10" t="n"/>
      <c r="Y105" s="10" t="n"/>
      <c r="Z105" s="60" t="n"/>
      <c r="AA105" s="362" t="n"/>
      <c r="AB105" s="14" t="n"/>
      <c r="AF105" s="278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0" t="inlineStr">
        <is>
          <t>19/21 Great Portland Street</t>
        </is>
      </c>
      <c r="G106" s="49" t="n"/>
      <c r="H106" s="18">
        <f>SUM(H101:H104)</f>
        <v/>
      </c>
      <c r="I106" s="19" t="n"/>
      <c r="J106" s="19" t="n"/>
      <c r="Q106" s="19">
        <f>SUM(Q101:Q105)</f>
        <v/>
      </c>
      <c r="R106" s="19" t="n"/>
      <c r="S106" s="19">
        <f>SUM(R101:R105)</f>
        <v/>
      </c>
      <c r="T106" s="19">
        <f>SUM(T101:T105)</f>
        <v/>
      </c>
      <c r="U106" s="19" t="n"/>
      <c r="V106" s="36">
        <f>SUM(V101:V105)</f>
        <v/>
      </c>
      <c r="W106" s="19" t="n"/>
      <c r="X106" s="19" t="n"/>
      <c r="Y106" s="19" t="n"/>
      <c r="Z106" s="61" t="n"/>
      <c r="AA106" s="361" t="n">
        <v>18800000</v>
      </c>
      <c r="AB106" s="14" t="n"/>
      <c r="AE106" s="29" t="n"/>
      <c r="AF106" s="279" t="n"/>
      <c r="AG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49" t="n"/>
      <c r="H107" s="18" t="n"/>
      <c r="I107" s="19" t="n"/>
      <c r="J107" s="19" t="n"/>
      <c r="Q107" s="19" t="n"/>
      <c r="R107" s="19" t="n"/>
      <c r="S107" s="19" t="n"/>
      <c r="T107" s="19" t="n"/>
      <c r="U107" s="19" t="n"/>
      <c r="V107" s="36" t="n"/>
      <c r="W107" s="19" t="n"/>
      <c r="X107" s="19" t="n"/>
      <c r="Y107" s="19" t="n"/>
      <c r="Z107" s="61" t="n"/>
      <c r="AA107" s="362" t="n"/>
      <c r="AB107" s="14" t="n"/>
      <c r="AF107" s="278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10" t="n"/>
      <c r="J108" s="10" t="n"/>
      <c r="K108" s="30" t="n"/>
      <c r="T108" s="11" t="n"/>
      <c r="U108" s="10" t="n"/>
      <c r="W108" s="10" t="n"/>
      <c r="X108" s="10" t="n"/>
      <c r="Y108" s="10" t="n"/>
      <c r="Z108" s="60" t="n"/>
      <c r="AA108" s="230" t="n"/>
      <c r="AB108" s="14" t="n"/>
      <c r="AF108" s="278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10" t="n"/>
      <c r="J109" s="10" t="n"/>
      <c r="T109" s="10" t="n"/>
      <c r="U109" s="10" t="n"/>
      <c r="V109" s="27" t="n"/>
      <c r="W109" s="10" t="n"/>
      <c r="X109" s="10" t="n"/>
      <c r="Y109" s="10" t="n"/>
      <c r="Z109" s="60" t="n"/>
      <c r="AA109" s="230" t="n"/>
      <c r="AB109" s="14" t="n"/>
      <c r="AF109" s="278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9" t="n">
        <v>43670</v>
      </c>
      <c r="Q110" s="10" t="n">
        <v>0</v>
      </c>
      <c r="R110" s="10">
        <f>Q110</f>
        <v/>
      </c>
      <c r="T110" s="10" t="n">
        <v>25000</v>
      </c>
      <c r="U110" s="10">
        <f>T110</f>
        <v/>
      </c>
      <c r="V110" s="27" t="n">
        <v>25000</v>
      </c>
      <c r="W110" s="10">
        <f>V110</f>
        <v/>
      </c>
      <c r="X110" s="277">
        <f>T110/H110</f>
        <v/>
      </c>
      <c r="Y110" s="10" t="inlineStr">
        <is>
          <t>D</t>
        </is>
      </c>
      <c r="Z110" s="60" t="n"/>
      <c r="AA110" s="230" t="n"/>
      <c r="AB110" s="14" t="inlineStr">
        <is>
          <t>No</t>
        </is>
      </c>
      <c r="AF110" s="278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8" t="n">
        <v>45645</v>
      </c>
      <c r="M111" s="9" t="n">
        <v>46739</v>
      </c>
      <c r="Q111" s="10" t="n">
        <v>18000</v>
      </c>
      <c r="R111" s="10">
        <f>Q111</f>
        <v/>
      </c>
      <c r="T111" s="10" t="n">
        <v>11700</v>
      </c>
      <c r="U111" s="10">
        <f>T111</f>
        <v/>
      </c>
      <c r="V111" s="27" t="n">
        <v>18000</v>
      </c>
      <c r="W111" s="10">
        <f>V111</f>
        <v/>
      </c>
      <c r="X111" s="277">
        <f>T111/H111</f>
        <v/>
      </c>
      <c r="Y111" s="10" t="inlineStr">
        <is>
          <t>C</t>
        </is>
      </c>
      <c r="Z111" s="60" t="n"/>
      <c r="AA111" s="230" t="n"/>
      <c r="AB111" s="14" t="inlineStr">
        <is>
          <t>No</t>
        </is>
      </c>
      <c r="AF111" s="278" t="n">
        <v>1</v>
      </c>
      <c r="AG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5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8" t="n">
        <v>44851</v>
      </c>
      <c r="M112" s="9" t="n">
        <v>48503</v>
      </c>
      <c r="O112" s="9" t="n">
        <v>46677</v>
      </c>
      <c r="Q112" s="10" t="n">
        <v>55000</v>
      </c>
      <c r="R112" s="10">
        <f>Q112</f>
        <v/>
      </c>
      <c r="T112" s="10" t="n">
        <v>55000</v>
      </c>
      <c r="U112" s="10">
        <f>T112</f>
        <v/>
      </c>
      <c r="V112" s="27" t="n">
        <v>55000</v>
      </c>
      <c r="W112" s="10">
        <f>V112</f>
        <v/>
      </c>
      <c r="X112" s="277">
        <f>T112/H112</f>
        <v/>
      </c>
      <c r="Y112" s="10" t="inlineStr">
        <is>
          <t>D</t>
        </is>
      </c>
      <c r="Z112" s="60" t="n"/>
      <c r="AA112" s="230" t="n"/>
      <c r="AB112" s="14" t="inlineStr">
        <is>
          <t>No</t>
        </is>
      </c>
      <c r="AF112" s="278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8" t="n">
        <v>45114</v>
      </c>
      <c r="M113" s="9" t="n">
        <v>46940</v>
      </c>
      <c r="P113" s="9" t="n">
        <v>46209</v>
      </c>
      <c r="Q113" s="10" t="n">
        <v>32400</v>
      </c>
      <c r="R113" s="10">
        <f>Q113</f>
        <v/>
      </c>
      <c r="T113" s="10" t="n">
        <v>29300</v>
      </c>
      <c r="U113" s="10">
        <f>T113</f>
        <v/>
      </c>
      <c r="V113" s="27" t="n">
        <v>29300</v>
      </c>
      <c r="W113" s="10">
        <f>V113</f>
        <v/>
      </c>
      <c r="X113" s="277">
        <f>T113/H113</f>
        <v/>
      </c>
      <c r="Y113" s="10" t="inlineStr">
        <is>
          <t>C</t>
        </is>
      </c>
      <c r="Z113" s="60" t="n"/>
      <c r="AA113" s="230" t="n"/>
      <c r="AB113" s="14" t="inlineStr">
        <is>
          <t>No</t>
        </is>
      </c>
      <c r="AC113" s="4" t="inlineStr">
        <is>
          <t>Tenant break on 6 months notice.</t>
        </is>
      </c>
      <c r="AF113" s="278" t="n"/>
    </row>
    <row r="114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One Therapy Ltd.</t>
        </is>
      </c>
      <c r="L114" s="8" t="n">
        <v>45869</v>
      </c>
      <c r="M114" s="9" t="n">
        <v>47694</v>
      </c>
      <c r="P114" s="9" t="n">
        <v>46964</v>
      </c>
      <c r="Q114" s="10" t="n">
        <v>15500</v>
      </c>
      <c r="R114" s="10">
        <f>Q114</f>
        <v/>
      </c>
      <c r="T114" s="10" t="n">
        <v>15500</v>
      </c>
      <c r="U114" s="10">
        <f>T114</f>
        <v/>
      </c>
      <c r="V114" s="27" t="n">
        <v>15500</v>
      </c>
      <c r="W114" s="10">
        <f>V114</f>
        <v/>
      </c>
      <c r="X114" s="277">
        <f>T114/H114</f>
        <v/>
      </c>
      <c r="Y114" s="10" t="inlineStr">
        <is>
          <t>C</t>
        </is>
      </c>
      <c r="Z114" s="60" t="n"/>
      <c r="AA114" s="230" t="n"/>
      <c r="AB114" s="14" t="inlineStr">
        <is>
          <t>No</t>
        </is>
      </c>
      <c r="AC114" s="4" t="inlineStr">
        <is>
          <t>Tenant break on 6 months notice.</t>
        </is>
      </c>
      <c r="AF114" s="278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8" t="n">
        <v>44505</v>
      </c>
      <c r="M115" s="9" t="n">
        <v>45965</v>
      </c>
      <c r="Q115" s="10" t="n">
        <v>22800</v>
      </c>
      <c r="R115" s="10">
        <f>Q115</f>
        <v/>
      </c>
      <c r="T115" s="10" t="n">
        <v>22800</v>
      </c>
      <c r="U115" s="10">
        <f>T115</f>
        <v/>
      </c>
      <c r="V115" s="27" t="n">
        <v>22800</v>
      </c>
      <c r="W115" s="10">
        <f>V115</f>
        <v/>
      </c>
      <c r="X115" s="277">
        <f>T115/H115</f>
        <v/>
      </c>
      <c r="Y115" s="10" t="inlineStr">
        <is>
          <t>E</t>
        </is>
      </c>
      <c r="Z115" s="60" t="n"/>
      <c r="AA115" s="230" t="n"/>
      <c r="AB115" s="14" t="inlineStr">
        <is>
          <t>No</t>
        </is>
      </c>
      <c r="AC115" s="4" t="inlineStr">
        <is>
          <t>Reversionary lease completed. Lease expiring 29/09/26 @ same rent.</t>
        </is>
      </c>
      <c r="AF115" s="278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8" t="n">
        <v>45869</v>
      </c>
      <c r="M116" s="9" t="n">
        <v>47694</v>
      </c>
      <c r="P116" s="9" t="n">
        <v>46964</v>
      </c>
      <c r="Q116" s="10" t="n">
        <v>15500</v>
      </c>
      <c r="R116" s="10">
        <f>Q116</f>
        <v/>
      </c>
      <c r="T116" s="10" t="n">
        <v>15500</v>
      </c>
      <c r="U116" s="10">
        <f>T116</f>
        <v/>
      </c>
      <c r="V116" s="27" t="n">
        <v>15500</v>
      </c>
      <c r="W116" s="10">
        <f>V116</f>
        <v/>
      </c>
      <c r="X116" s="277">
        <f>T116/H116</f>
        <v/>
      </c>
      <c r="Y116" s="10" t="inlineStr">
        <is>
          <t>E</t>
        </is>
      </c>
      <c r="Z116" s="60" t="n"/>
      <c r="AA116" s="230" t="n"/>
      <c r="AB116" s="14" t="inlineStr">
        <is>
          <t>No</t>
        </is>
      </c>
      <c r="AC116" s="4" t="inlineStr">
        <is>
          <t>Tenant break on 6 months notice.</t>
        </is>
      </c>
      <c r="AF116" s="278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8" t="n">
        <v>45199</v>
      </c>
      <c r="M117" s="9" t="n">
        <v>47025</v>
      </c>
      <c r="P117" s="9" t="n">
        <v>46294</v>
      </c>
      <c r="Q117" s="10" t="n">
        <v>24750</v>
      </c>
      <c r="R117" s="10">
        <f>Q117</f>
        <v/>
      </c>
      <c r="T117" s="10" t="n">
        <v>22838</v>
      </c>
      <c r="U117" s="10">
        <f>T117</f>
        <v/>
      </c>
      <c r="V117" s="27" t="n">
        <v>23400</v>
      </c>
      <c r="W117" s="10">
        <f>V117</f>
        <v/>
      </c>
      <c r="X117" s="277">
        <f>T117/H117</f>
        <v/>
      </c>
      <c r="Y117" s="10" t="inlineStr">
        <is>
          <t>E</t>
        </is>
      </c>
      <c r="Z117" s="60" t="n"/>
      <c r="AA117" s="230" t="n"/>
      <c r="AB117" s="14" t="inlineStr">
        <is>
          <t>No</t>
        </is>
      </c>
      <c r="AC117" s="4" t="inlineStr">
        <is>
          <t>Rent rises to £26,325 wef 29/09/26. Tenant break on 6 months notice.</t>
        </is>
      </c>
      <c r="AF117" s="278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8" t="n">
        <v>45869</v>
      </c>
      <c r="M118" s="9" t="n">
        <v>47694</v>
      </c>
      <c r="P118" s="9" t="n">
        <v>46964</v>
      </c>
      <c r="Q118" s="10" t="n">
        <v>11502</v>
      </c>
      <c r="R118" s="10">
        <f>Q118</f>
        <v/>
      </c>
      <c r="T118" s="10" t="n">
        <v>10200</v>
      </c>
      <c r="U118" s="10">
        <f>T118</f>
        <v/>
      </c>
      <c r="V118" s="27" t="n">
        <v>11400</v>
      </c>
      <c r="W118" s="10">
        <f>V118</f>
        <v/>
      </c>
      <c r="X118" s="277">
        <f>T118/H118</f>
        <v/>
      </c>
      <c r="Y118" s="10" t="inlineStr">
        <is>
          <t>E</t>
        </is>
      </c>
      <c r="Z118" s="60" t="n"/>
      <c r="AA118" s="230" t="n"/>
      <c r="AB118" s="14" t="inlineStr">
        <is>
          <t>No</t>
        </is>
      </c>
      <c r="AC118" s="4" t="inlineStr">
        <is>
          <t>Tenant break on 6 months notice.</t>
        </is>
      </c>
      <c r="AF118" s="278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8" t="n">
        <v>45199</v>
      </c>
      <c r="M119" s="9" t="n">
        <v>47025</v>
      </c>
      <c r="P119" s="9" t="n">
        <v>46294</v>
      </c>
      <c r="Q119" s="10" t="n">
        <v>22550</v>
      </c>
      <c r="R119" s="10">
        <f>Q119</f>
        <v/>
      </c>
      <c r="T119" s="10" t="n">
        <v>21100</v>
      </c>
      <c r="U119" s="10">
        <f>T119</f>
        <v/>
      </c>
      <c r="V119" s="27" t="n">
        <v>21700</v>
      </c>
      <c r="W119" s="10">
        <f>V119</f>
        <v/>
      </c>
      <c r="X119" s="277">
        <f>T119/H119</f>
        <v/>
      </c>
      <c r="Y119" s="10" t="inlineStr">
        <is>
          <t>D</t>
        </is>
      </c>
      <c r="Z119" s="60" t="n"/>
      <c r="AA119" s="230" t="n"/>
      <c r="AB119" s="14" t="inlineStr">
        <is>
          <t>No</t>
        </is>
      </c>
      <c r="AC119" s="4" t="inlineStr">
        <is>
          <t>Rent rises to £23,985 wef 29/09/26. Tenant break on 6 months notice.</t>
        </is>
      </c>
      <c r="AF119" s="278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10" t="n"/>
      <c r="J120" s="10" t="n"/>
      <c r="T120" s="10" t="n"/>
      <c r="U120" s="10" t="n"/>
      <c r="V120" s="27" t="n"/>
      <c r="W120" s="10" t="n"/>
      <c r="X120" s="10" t="n"/>
      <c r="Y120" s="10" t="n"/>
      <c r="Z120" s="60" t="n"/>
      <c r="AA120" s="230" t="n"/>
      <c r="AB120" s="14" t="n"/>
      <c r="AF120" s="278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0" t="inlineStr">
        <is>
          <t>20 Great Portland Street</t>
        </is>
      </c>
      <c r="H121" s="18">
        <f>SUM(H110:H119)</f>
        <v/>
      </c>
      <c r="I121" s="19" t="n"/>
      <c r="J121" s="19" t="n"/>
      <c r="Q121" s="19">
        <f>SUM(Q110:Q119)</f>
        <v/>
      </c>
      <c r="R121" s="19" t="n"/>
      <c r="S121" s="19">
        <f>SUM(R109:R120)</f>
        <v/>
      </c>
      <c r="T121" s="19">
        <f>SUM(T110:T119)</f>
        <v/>
      </c>
      <c r="U121" s="19" t="n"/>
      <c r="V121" s="36">
        <f>SUM(V110:V119)</f>
        <v/>
      </c>
      <c r="W121" s="19" t="n"/>
      <c r="X121" s="19" t="n"/>
      <c r="Y121" s="19" t="n"/>
      <c r="Z121" s="61" t="n"/>
      <c r="AA121" s="361" t="n">
        <v>3425000</v>
      </c>
      <c r="AB121" s="14" t="n"/>
      <c r="AF121" s="278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19" t="n"/>
      <c r="J122" s="19" t="n"/>
      <c r="Q122" s="19" t="n"/>
      <c r="R122" s="19" t="n"/>
      <c r="S122" s="19" t="n"/>
      <c r="T122" s="19" t="n"/>
      <c r="U122" s="19" t="n"/>
      <c r="V122" s="36" t="n"/>
      <c r="W122" s="19" t="n"/>
      <c r="X122" s="19" t="n"/>
      <c r="Y122" s="19" t="n"/>
      <c r="Z122" s="61" t="n"/>
      <c r="AA122" s="362" t="n"/>
      <c r="AB122" s="14" t="n"/>
      <c r="AF122" s="278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10" t="n"/>
      <c r="J123" s="10" t="n"/>
      <c r="K123" s="30" t="n"/>
      <c r="T123" s="11" t="n"/>
      <c r="U123" s="10" t="n"/>
      <c r="W123" s="10" t="n"/>
      <c r="X123" s="10" t="n"/>
      <c r="Y123" s="10" t="n"/>
      <c r="Z123" s="60" t="n"/>
      <c r="AA123" s="230" t="n"/>
      <c r="AB123" s="14" t="n"/>
      <c r="AF123" s="278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10" t="n"/>
      <c r="J124" s="10" t="n"/>
      <c r="L124" s="9" t="n"/>
      <c r="T124" s="10" t="n"/>
      <c r="U124" s="10" t="n"/>
      <c r="V124" s="27" t="n"/>
      <c r="W124" s="10" t="n"/>
      <c r="X124" s="10" t="n"/>
      <c r="Y124" s="10" t="n"/>
      <c r="Z124" s="60" t="n"/>
      <c r="AA124" s="230" t="n"/>
      <c r="AB124" s="14" t="n"/>
      <c r="AF124" s="278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8" t="n">
        <v>44635</v>
      </c>
      <c r="M125" s="9" t="n">
        <v>48287</v>
      </c>
      <c r="O125" s="9" t="n">
        <v>46461</v>
      </c>
      <c r="P125" s="9" t="n">
        <v>46460</v>
      </c>
      <c r="Q125" s="10" t="n">
        <v>220000</v>
      </c>
      <c r="R125" s="10">
        <f>Q125</f>
        <v/>
      </c>
      <c r="T125" s="10" t="n">
        <v>210000</v>
      </c>
      <c r="U125" s="10">
        <f>T125</f>
        <v/>
      </c>
      <c r="V125" s="27" t="n">
        <v>237500</v>
      </c>
      <c r="W125" s="10">
        <f>V125</f>
        <v/>
      </c>
      <c r="X125" s="277">
        <f>T125/H125</f>
        <v/>
      </c>
      <c r="Y125" s="10" t="inlineStr">
        <is>
          <t>D</t>
        </is>
      </c>
      <c r="Z125" s="60" t="n"/>
      <c r="AA125" s="230" t="n"/>
      <c r="AB125" s="14" t="inlineStr">
        <is>
          <t>No</t>
        </is>
      </c>
      <c r="AC125" s="4" t="inlineStr">
        <is>
          <t>Rent rises to £237,500 wef 15/03/26.</t>
        </is>
      </c>
      <c r="AF125" s="278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5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9" t="n">
        <v>43279</v>
      </c>
      <c r="Q126" s="10" t="n">
        <v>0</v>
      </c>
      <c r="R126" s="10">
        <f>Q126</f>
        <v/>
      </c>
      <c r="T126" s="10" t="n">
        <v>86600</v>
      </c>
      <c r="U126" s="10">
        <f>T126</f>
        <v/>
      </c>
      <c r="V126" s="27" t="n">
        <v>93300</v>
      </c>
      <c r="W126" s="10">
        <f>V126</f>
        <v/>
      </c>
      <c r="X126" s="277">
        <f>T126/H126</f>
        <v/>
      </c>
      <c r="Y126" s="10" t="inlineStr">
        <is>
          <t>D</t>
        </is>
      </c>
      <c r="Z126" s="60" t="n"/>
      <c r="AA126" s="230" t="n"/>
      <c r="AB126" s="14" t="inlineStr">
        <is>
          <t>No</t>
        </is>
      </c>
      <c r="AC126" s="4" t="inlineStr">
        <is>
          <t>Mothballed.</t>
        </is>
      </c>
      <c r="AE126" s="29" t="n"/>
      <c r="AF126" s="279" t="n"/>
      <c r="AG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9" t="n">
        <v>43354</v>
      </c>
      <c r="Q127" s="10" t="n">
        <v>0</v>
      </c>
      <c r="R127" s="10">
        <f>Q127</f>
        <v/>
      </c>
      <c r="T127" s="10" t="n">
        <v>88100</v>
      </c>
      <c r="U127" s="10">
        <f>T127</f>
        <v/>
      </c>
      <c r="V127" s="27" t="n">
        <v>93900</v>
      </c>
      <c r="W127" s="10">
        <f>V127</f>
        <v/>
      </c>
      <c r="X127" s="277">
        <f>T127/H127</f>
        <v/>
      </c>
      <c r="Y127" s="10" t="inlineStr">
        <is>
          <t>D</t>
        </is>
      </c>
      <c r="Z127" s="60" t="n"/>
      <c r="AA127" s="230" t="n"/>
      <c r="AB127" s="14" t="inlineStr">
        <is>
          <t>No</t>
        </is>
      </c>
      <c r="AC127" s="4" t="inlineStr">
        <is>
          <t>Mothballed.</t>
        </is>
      </c>
      <c r="AE127" s="29" t="n"/>
      <c r="AF127" s="279" t="n"/>
      <c r="AG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9" t="n">
        <v>43354</v>
      </c>
      <c r="Q128" s="10" t="n">
        <v>0</v>
      </c>
      <c r="R128" s="10">
        <f>Q128</f>
        <v/>
      </c>
      <c r="T128" s="10" t="n">
        <v>83100</v>
      </c>
      <c r="U128" s="10">
        <f>T128</f>
        <v/>
      </c>
      <c r="V128" s="27" t="n">
        <v>91100</v>
      </c>
      <c r="W128" s="10">
        <f>V128</f>
        <v/>
      </c>
      <c r="X128" s="277">
        <f>T128/H128</f>
        <v/>
      </c>
      <c r="Y128" s="10" t="inlineStr">
        <is>
          <t>D</t>
        </is>
      </c>
      <c r="Z128" s="60" t="n"/>
      <c r="AA128" s="230" t="n"/>
      <c r="AB128" s="14" t="inlineStr">
        <is>
          <t>No</t>
        </is>
      </c>
      <c r="AC128" s="4" t="inlineStr">
        <is>
          <t>Mothballed.</t>
        </is>
      </c>
      <c r="AE128" s="29" t="n"/>
      <c r="AF128" s="279" t="n"/>
      <c r="AG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9" t="n">
        <v>43354</v>
      </c>
      <c r="Q129" s="10" t="n">
        <v>0</v>
      </c>
      <c r="R129" s="10">
        <f>Q129</f>
        <v/>
      </c>
      <c r="T129" s="10" t="n">
        <v>83800</v>
      </c>
      <c r="U129" s="10">
        <f>T129</f>
        <v/>
      </c>
      <c r="V129" s="27" t="n">
        <v>90300</v>
      </c>
      <c r="W129" s="10">
        <f>V129</f>
        <v/>
      </c>
      <c r="X129" s="277">
        <f>T129/H129</f>
        <v/>
      </c>
      <c r="Y129" s="10" t="inlineStr">
        <is>
          <t>D</t>
        </is>
      </c>
      <c r="Z129" s="60" t="n"/>
      <c r="AA129" s="230" t="n"/>
      <c r="AB129" s="14" t="inlineStr">
        <is>
          <t>No</t>
        </is>
      </c>
      <c r="AC129" s="4" t="inlineStr">
        <is>
          <t>Mothballed.</t>
        </is>
      </c>
      <c r="AE129" s="29" t="n"/>
      <c r="AF129" s="279" t="n"/>
      <c r="AG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10" t="n"/>
      <c r="U130" s="10" t="n"/>
      <c r="V130" s="27" t="n"/>
      <c r="W130" s="10" t="n"/>
      <c r="X130" s="10" t="n"/>
      <c r="Y130" s="10" t="n"/>
      <c r="Z130" s="60" t="n"/>
      <c r="AA130" s="230" t="n"/>
      <c r="AB130" s="14" t="n"/>
      <c r="AF130" s="278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0" t="inlineStr">
        <is>
          <t>22/24 Great Portland Street</t>
        </is>
      </c>
      <c r="H131" s="18">
        <f>SUM(H125:H129)</f>
        <v/>
      </c>
      <c r="I131" s="19" t="n"/>
      <c r="J131" s="19" t="n"/>
      <c r="Q131" s="19">
        <f>SUM(Q125:Q129)</f>
        <v/>
      </c>
      <c r="R131" s="19" t="n"/>
      <c r="S131" s="19">
        <f>SUM(R124:R129)</f>
        <v/>
      </c>
      <c r="T131" s="19">
        <f>SUM(T125:T129)</f>
        <v/>
      </c>
      <c r="U131" s="19" t="n"/>
      <c r="V131" s="36">
        <f>SUM(V125:V129)</f>
        <v/>
      </c>
      <c r="W131" s="19" t="n"/>
      <c r="X131" s="19" t="n"/>
      <c r="Y131" s="19" t="n"/>
      <c r="Z131" s="61" t="n"/>
      <c r="AA131" s="361" t="n">
        <v>8750000</v>
      </c>
      <c r="AB131" s="14" t="n"/>
      <c r="AE131" s="29" t="n"/>
      <c r="AF131" s="279" t="n"/>
      <c r="AG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19" t="n"/>
      <c r="J132" s="19" t="n"/>
      <c r="Q132" s="19" t="n"/>
      <c r="R132" s="19" t="n"/>
      <c r="S132" s="19" t="n"/>
      <c r="T132" s="19" t="n"/>
      <c r="U132" s="19" t="n"/>
      <c r="V132" s="36" t="n"/>
      <c r="W132" s="19" t="n"/>
      <c r="X132" s="19" t="n"/>
      <c r="Y132" s="19" t="n"/>
      <c r="Z132" s="61" t="n"/>
      <c r="AA132" s="362" t="n"/>
      <c r="AB132" s="14" t="n"/>
      <c r="AF132" s="278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10" t="n"/>
      <c r="J133" s="10" t="n"/>
      <c r="K133" s="30" t="n"/>
      <c r="T133" s="11" t="n"/>
      <c r="U133" s="10" t="n"/>
      <c r="W133" s="10" t="n"/>
      <c r="X133" s="10" t="n"/>
      <c r="Y133" s="10" t="n"/>
      <c r="Z133" s="60" t="n"/>
      <c r="AA133" s="230" t="n"/>
      <c r="AB133" s="14" t="n"/>
      <c r="AF133" s="278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10" t="n"/>
      <c r="J134" s="10" t="n"/>
      <c r="K134" s="20" t="n"/>
      <c r="L134" s="21" t="n"/>
      <c r="T134" s="11" t="n"/>
      <c r="U134" s="10" t="n"/>
      <c r="W134" s="10" t="n"/>
      <c r="X134" s="10" t="n"/>
      <c r="Y134" s="10" t="n"/>
      <c r="Z134" s="60" t="n"/>
      <c r="AA134" s="230" t="n"/>
      <c r="AB134" s="14" t="n"/>
      <c r="AF134" s="278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8" t="n">
        <v>44995</v>
      </c>
      <c r="M135" s="9" t="n">
        <v>48647</v>
      </c>
      <c r="O135" s="9" t="n">
        <v>46822</v>
      </c>
      <c r="Q135" s="10" t="n">
        <v>165000</v>
      </c>
      <c r="R135" s="10">
        <f>Q135</f>
        <v/>
      </c>
      <c r="T135" s="10" t="n">
        <v>165000</v>
      </c>
      <c r="U135" s="10">
        <f>T135</f>
        <v/>
      </c>
      <c r="V135" s="27" t="n">
        <v>165000</v>
      </c>
      <c r="W135" s="10">
        <f>V135</f>
        <v/>
      </c>
      <c r="X135" s="277">
        <f>T135/H135</f>
        <v/>
      </c>
      <c r="Y135" s="10" t="inlineStr">
        <is>
          <t>D</t>
        </is>
      </c>
      <c r="Z135" s="60" t="n"/>
      <c r="AA135" s="230" t="n"/>
      <c r="AB135" s="14" t="inlineStr">
        <is>
          <t>No</t>
        </is>
      </c>
      <c r="AF135" s="278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92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8" t="n">
        <v>44362</v>
      </c>
      <c r="M136" s="9" t="n">
        <v>48013</v>
      </c>
      <c r="O136" s="9" t="n">
        <v>46197</v>
      </c>
      <c r="P136" s="9" t="n">
        <v>46197</v>
      </c>
      <c r="Q136" s="10" t="n">
        <v>220000</v>
      </c>
      <c r="R136" s="10">
        <f>Q136</f>
        <v/>
      </c>
      <c r="T136" s="10" t="n">
        <v>220000</v>
      </c>
      <c r="U136" s="10">
        <f>T136</f>
        <v/>
      </c>
      <c r="V136" s="27" t="n">
        <v>220000</v>
      </c>
      <c r="W136" s="10">
        <f>V136</f>
        <v/>
      </c>
      <c r="X136" s="277">
        <f>T136/H136</f>
        <v/>
      </c>
      <c r="Y136" s="10" t="inlineStr">
        <is>
          <t>C</t>
        </is>
      </c>
      <c r="Z136" s="60" t="n"/>
      <c r="AA136" s="230" t="n"/>
      <c r="AB136" s="14" t="inlineStr">
        <is>
          <t>No</t>
        </is>
      </c>
      <c r="AC136" s="4" t="inlineStr">
        <is>
          <t>Tenant break on 6 months notice.</t>
        </is>
      </c>
      <c r="AF136" s="278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10" t="n"/>
      <c r="U137" s="10" t="n"/>
      <c r="V137" s="27" t="n"/>
      <c r="W137" s="10" t="n"/>
      <c r="X137" s="10" t="n"/>
      <c r="Y137" s="10" t="n"/>
      <c r="Z137" s="60" t="n"/>
      <c r="AA137" s="230" t="n"/>
      <c r="AB137" s="14" t="n"/>
      <c r="AF137" s="278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0" t="inlineStr">
        <is>
          <t>23/25 Great Portland Street</t>
        </is>
      </c>
      <c r="H138" s="18">
        <f>SUM(H135:H136)</f>
        <v/>
      </c>
      <c r="I138" s="19" t="n"/>
      <c r="J138" s="19" t="n"/>
      <c r="Q138" s="19">
        <f>SUM(Q135:Q136)</f>
        <v/>
      </c>
      <c r="R138" s="19" t="n"/>
      <c r="S138" s="19">
        <f>SUM(R134:R137)</f>
        <v/>
      </c>
      <c r="T138" s="19">
        <f>SUM(T135:T136)</f>
        <v/>
      </c>
      <c r="U138" s="19" t="n"/>
      <c r="V138" s="36">
        <f>SUM(V135:V136)</f>
        <v/>
      </c>
      <c r="W138" s="19" t="n"/>
      <c r="X138" s="19" t="n"/>
      <c r="Y138" s="19" t="n"/>
      <c r="Z138" s="61" t="n"/>
      <c r="AA138" s="361" t="n">
        <v>6575000</v>
      </c>
      <c r="AB138" s="14" t="n"/>
      <c r="AF138" s="278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0" t="n"/>
      <c r="H139" s="18" t="n"/>
      <c r="I139" s="19" t="n"/>
      <c r="J139" s="19" t="n"/>
      <c r="Q139" s="19" t="n"/>
      <c r="R139" s="19" t="n"/>
      <c r="S139" s="19" t="n"/>
      <c r="T139" s="19" t="n"/>
      <c r="U139" s="19" t="n"/>
      <c r="V139" s="36" t="n"/>
      <c r="W139" s="19" t="n"/>
      <c r="X139" s="19" t="n"/>
      <c r="Y139" s="19" t="n"/>
      <c r="Z139" s="61" t="n"/>
      <c r="AA139" s="362" t="n"/>
      <c r="AB139" s="14" t="n"/>
      <c r="AF139" s="278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10" t="n"/>
      <c r="J140" s="10" t="n"/>
      <c r="K140" s="30" t="n"/>
      <c r="T140" s="11" t="n"/>
      <c r="U140" s="10" t="n"/>
      <c r="W140" s="10" t="n"/>
      <c r="X140" s="10" t="n"/>
      <c r="Y140" s="10" t="n"/>
      <c r="Z140" s="60" t="n"/>
      <c r="AA140" s="230" t="n"/>
      <c r="AB140" s="14" t="n"/>
      <c r="AF140" s="278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10" t="n"/>
      <c r="J141" s="10" t="n"/>
      <c r="M141" s="21" t="n"/>
      <c r="N141" s="21" t="n"/>
      <c r="T141" s="10" t="n"/>
      <c r="U141" s="10" t="n"/>
      <c r="V141" s="27" t="n"/>
      <c r="W141" s="10" t="n"/>
      <c r="X141" s="10" t="n"/>
      <c r="Y141" s="10" t="n"/>
      <c r="Z141" s="60" t="n"/>
      <c r="AA141" s="230" t="n"/>
      <c r="AB141" s="14" t="n"/>
      <c r="AF141" s="278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5" t="inlineStr">
        <is>
          <t>Fads Boutique Limited</t>
        </is>
      </c>
      <c r="L142" s="8" t="n">
        <v>44833</v>
      </c>
      <c r="M142" s="9" t="n">
        <v>45928</v>
      </c>
      <c r="Q142" s="10" t="n">
        <v>72000</v>
      </c>
      <c r="R142" s="10">
        <f>Q142</f>
        <v/>
      </c>
      <c r="T142" s="10" t="n">
        <v>72000</v>
      </c>
      <c r="U142" s="10">
        <f>T142</f>
        <v/>
      </c>
      <c r="V142" s="27" t="n">
        <v>72038</v>
      </c>
      <c r="W142" s="10">
        <f>V142</f>
        <v/>
      </c>
      <c r="X142" s="277">
        <f>T142/H142</f>
        <v/>
      </c>
      <c r="Y142" s="10" t="inlineStr">
        <is>
          <t>D</t>
        </is>
      </c>
      <c r="Z142" s="60" t="n"/>
      <c r="AA142" s="230" t="n"/>
      <c r="AB142" s="14" t="inlineStr">
        <is>
          <t>No</t>
        </is>
      </c>
      <c r="AC142" s="122" t="inlineStr">
        <is>
          <t>Short term lease renewal agreed.</t>
        </is>
      </c>
      <c r="AD142" s="306" t="n"/>
      <c r="AE142" s="35" t="n"/>
      <c r="AF142" s="280" t="n"/>
      <c r="AG142" s="35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5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8" t="n">
        <v>45271</v>
      </c>
      <c r="M143" s="9" t="n">
        <v>46561</v>
      </c>
      <c r="Q143" s="10" t="n">
        <v>42705</v>
      </c>
      <c r="R143" s="10">
        <f>Q143</f>
        <v/>
      </c>
      <c r="T143" s="10" t="n">
        <v>42000</v>
      </c>
      <c r="U143" s="10">
        <f>T143</f>
        <v/>
      </c>
      <c r="V143" s="27" t="n">
        <v>41975</v>
      </c>
      <c r="W143" s="10">
        <f>V143</f>
        <v/>
      </c>
      <c r="X143" s="277">
        <f>T143/H143</f>
        <v/>
      </c>
      <c r="Y143" s="10" t="inlineStr">
        <is>
          <t>D</t>
        </is>
      </c>
      <c r="Z143" s="60" t="n"/>
      <c r="AA143" s="230" t="n"/>
      <c r="AB143" s="14" t="inlineStr">
        <is>
          <t>No</t>
        </is>
      </c>
      <c r="AC143" s="35" t="n"/>
      <c r="AD143" s="306" t="n"/>
      <c r="AE143" s="35" t="n"/>
      <c r="AF143" s="280" t="n"/>
      <c r="AG143" s="35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8" t="n">
        <v>44833</v>
      </c>
      <c r="M144" s="9" t="n">
        <v>46658</v>
      </c>
      <c r="Q144" s="10" t="n">
        <v>42000</v>
      </c>
      <c r="R144" s="10">
        <f>Q144</f>
        <v/>
      </c>
      <c r="T144" s="10" t="n">
        <v>42000</v>
      </c>
      <c r="U144" s="10">
        <f>T144</f>
        <v/>
      </c>
      <c r="V144" s="27" t="n">
        <v>41975</v>
      </c>
      <c r="W144" s="10">
        <f>V144</f>
        <v/>
      </c>
      <c r="X144" s="277">
        <f>T144/H144</f>
        <v/>
      </c>
      <c r="Y144" s="10" t="inlineStr">
        <is>
          <t>D</t>
        </is>
      </c>
      <c r="Z144" s="60" t="n"/>
      <c r="AA144" s="230" t="n"/>
      <c r="AB144" s="14" t="inlineStr">
        <is>
          <t>No</t>
        </is>
      </c>
      <c r="AF144" s="278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8" t="n">
        <v>45271</v>
      </c>
      <c r="M145" s="9" t="n">
        <v>46561</v>
      </c>
      <c r="Q145" s="10" t="n">
        <v>42705</v>
      </c>
      <c r="R145" s="10">
        <f>Q145</f>
        <v/>
      </c>
      <c r="T145" s="10" t="n">
        <v>42000</v>
      </c>
      <c r="U145" s="10">
        <f>T145</f>
        <v/>
      </c>
      <c r="V145" s="27" t="n">
        <v>41975</v>
      </c>
      <c r="W145" s="10">
        <f>V145</f>
        <v/>
      </c>
      <c r="X145" s="277">
        <f>T145/H145</f>
        <v/>
      </c>
      <c r="Y145" s="10" t="inlineStr">
        <is>
          <t>D</t>
        </is>
      </c>
      <c r="Z145" s="60" t="n"/>
      <c r="AA145" s="230" t="n"/>
      <c r="AB145" s="14" t="inlineStr">
        <is>
          <t>No</t>
        </is>
      </c>
      <c r="AC145" s="35" t="n"/>
      <c r="AF145" s="278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29" t="inlineStr">
        <is>
          <t>T. Ciss &amp; JB Paleologue</t>
        </is>
      </c>
      <c r="L146" s="388" t="n">
        <v>45845</v>
      </c>
      <c r="M146" s="387" t="n">
        <v>45997</v>
      </c>
      <c r="N146" s="387" t="n"/>
      <c r="O146" s="387" t="n"/>
      <c r="P146" s="387" t="n"/>
      <c r="Q146" s="27" t="n">
        <v>66000</v>
      </c>
      <c r="R146" s="10">
        <f>Q146</f>
        <v/>
      </c>
      <c r="T146" s="10" t="n">
        <v>61360</v>
      </c>
      <c r="U146" s="10">
        <f>T146</f>
        <v/>
      </c>
      <c r="V146" s="27" t="n">
        <v>63177</v>
      </c>
      <c r="W146" s="10">
        <f>V146</f>
        <v/>
      </c>
      <c r="X146" s="277">
        <f>T146/H146</f>
        <v/>
      </c>
      <c r="Y146" s="10" t="inlineStr">
        <is>
          <t>C</t>
        </is>
      </c>
      <c r="Z146" s="60" t="n"/>
      <c r="AA146" s="230" t="n"/>
      <c r="AB146" s="14" t="inlineStr">
        <is>
          <t>No</t>
        </is>
      </c>
      <c r="AC146" s="29" t="inlineStr">
        <is>
          <t>Lease renewal completed. Tenant change of name.</t>
        </is>
      </c>
      <c r="AF146" s="278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10" t="n"/>
      <c r="U147" s="10" t="n"/>
      <c r="V147" s="27" t="n"/>
      <c r="W147" s="10" t="n"/>
      <c r="X147" s="10" t="n"/>
      <c r="Y147" s="10" t="n"/>
      <c r="Z147" s="60" t="n"/>
      <c r="AA147" s="230" t="n"/>
      <c r="AB147" s="14" t="n"/>
      <c r="AF147" s="278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0" t="inlineStr">
        <is>
          <t>Mayfair House</t>
        </is>
      </c>
      <c r="H148" s="18">
        <f>SUM(H142:H146)</f>
        <v/>
      </c>
      <c r="I148" s="19" t="n"/>
      <c r="J148" s="19" t="n"/>
      <c r="Q148" s="19">
        <f>SUM(Q142:Q146)</f>
        <v/>
      </c>
      <c r="R148" s="19" t="n"/>
      <c r="S148" s="19">
        <f>SUM(R141:R147)</f>
        <v/>
      </c>
      <c r="T148" s="19">
        <f>SUM(T142:T146)</f>
        <v/>
      </c>
      <c r="U148" s="19" t="n"/>
      <c r="V148" s="36">
        <f>SUM(V142:V146)</f>
        <v/>
      </c>
      <c r="W148" s="19" t="n"/>
      <c r="X148" s="19" t="n"/>
      <c r="Y148" s="19" t="n"/>
      <c r="Z148" s="61" t="n"/>
      <c r="AA148" s="361" t="n">
        <v>4025000</v>
      </c>
      <c r="AB148" s="14" t="n"/>
      <c r="AF148" s="278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19" t="n"/>
      <c r="J149" s="19" t="n"/>
      <c r="Q149" s="19" t="n"/>
      <c r="R149" s="19" t="n"/>
      <c r="S149" s="19" t="n"/>
      <c r="T149" s="19" t="n"/>
      <c r="U149" s="19" t="n"/>
      <c r="V149" s="36" t="n"/>
      <c r="W149" s="19" t="n"/>
      <c r="X149" s="19" t="n"/>
      <c r="Y149" s="19" t="n"/>
      <c r="Z149" s="61" t="n"/>
      <c r="AA149" s="362" t="n"/>
      <c r="AB149" s="14" t="n"/>
      <c r="AF149" s="278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10" t="n"/>
      <c r="J150" s="10" t="n"/>
      <c r="K150" s="30" t="n"/>
      <c r="T150" s="11" t="n"/>
      <c r="U150" s="10" t="n"/>
      <c r="W150" s="10" t="n"/>
      <c r="X150" s="10" t="n"/>
      <c r="Y150" s="10" t="n"/>
      <c r="Z150" s="60" t="n"/>
      <c r="AA150" s="230" t="n"/>
      <c r="AB150" s="14" t="n"/>
      <c r="AF150" s="278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3" t="n"/>
      <c r="G151" s="15" t="n"/>
      <c r="H151" s="126" t="n"/>
      <c r="I151" s="17" t="n"/>
      <c r="J151" s="17" t="n"/>
      <c r="K151" s="26" t="n"/>
      <c r="L151" s="21" t="n"/>
      <c r="M151" s="16" t="n"/>
      <c r="N151" s="16" t="n"/>
      <c r="O151" s="16" t="n"/>
      <c r="P151" s="16" t="n"/>
      <c r="Q151" s="17" t="n"/>
      <c r="R151" s="17" t="n"/>
      <c r="S151" s="17" t="n"/>
      <c r="T151" s="233" t="n"/>
      <c r="U151" s="17" t="n"/>
      <c r="V151" s="377" t="n"/>
      <c r="W151" s="17" t="n"/>
      <c r="X151" s="17" t="n"/>
      <c r="Y151" s="17" t="n"/>
      <c r="Z151" s="65" t="n"/>
      <c r="AA151" s="363" t="n"/>
      <c r="AB151" s="14" t="n"/>
      <c r="AC151" s="123" t="n"/>
      <c r="AD151" s="307" t="n"/>
      <c r="AE151" s="123" t="n"/>
      <c r="AF151" s="281" t="n"/>
      <c r="AG151" s="123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10">
        <f>H152</f>
        <v/>
      </c>
      <c r="J152" s="10" t="n">
        <v>2250</v>
      </c>
      <c r="K152" s="4" t="inlineStr">
        <is>
          <t>S.Hardwick &amp; L.Morris (t/a Hardwick &amp; Morris Chartered Accountants)</t>
        </is>
      </c>
      <c r="L152" s="8" t="n">
        <v>42339</v>
      </c>
      <c r="M152" s="9" t="n">
        <v>45991</v>
      </c>
      <c r="O152" s="9" t="n">
        <v>44166</v>
      </c>
      <c r="Q152" s="19" t="n">
        <v>112000</v>
      </c>
      <c r="R152" s="10">
        <f>Q152</f>
        <v/>
      </c>
      <c r="S152" s="19">
        <f>R152</f>
        <v/>
      </c>
      <c r="T152" s="18" t="n">
        <v>106600</v>
      </c>
      <c r="U152" s="10">
        <f>T152</f>
        <v/>
      </c>
      <c r="V152" s="361" t="n">
        <v>102100</v>
      </c>
      <c r="W152" s="10">
        <f>V152</f>
        <v/>
      </c>
      <c r="X152" s="277">
        <f>T152/H152</f>
        <v/>
      </c>
      <c r="Y152" s="10" t="inlineStr">
        <is>
          <t>E</t>
        </is>
      </c>
      <c r="Z152" s="60" t="n"/>
      <c r="AA152" s="361" t="n">
        <v>1375000</v>
      </c>
      <c r="AB152" s="14" t="inlineStr">
        <is>
          <t>No</t>
        </is>
      </c>
      <c r="AF152" s="278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19" t="n"/>
      <c r="J153" s="19" t="n"/>
      <c r="Q153" s="19" t="n"/>
      <c r="R153" s="19" t="n"/>
      <c r="S153" s="19" t="n"/>
      <c r="T153" s="18" t="n"/>
      <c r="U153" s="19" t="n"/>
      <c r="V153" s="361" t="n"/>
      <c r="W153" s="19" t="n"/>
      <c r="X153" s="19" t="n"/>
      <c r="Y153" s="19" t="n"/>
      <c r="Z153" s="61" t="n"/>
      <c r="AA153" s="362" t="n"/>
      <c r="AB153" s="14" t="n"/>
      <c r="AF153" s="278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10" t="n"/>
      <c r="J154" s="10" t="n"/>
      <c r="K154" s="30" t="n"/>
      <c r="T154" s="11" t="n"/>
      <c r="U154" s="10" t="n"/>
      <c r="W154" s="10" t="n"/>
      <c r="X154" s="10" t="n"/>
      <c r="Y154" s="10" t="n"/>
      <c r="Z154" s="60" t="n"/>
      <c r="AA154" s="230" t="n"/>
      <c r="AB154" s="14" t="n"/>
      <c r="AF154" s="278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10" t="n"/>
      <c r="J155" s="10" t="n"/>
      <c r="K155" s="30" t="n"/>
      <c r="T155" s="11" t="n"/>
      <c r="U155" s="10" t="n"/>
      <c r="W155" s="10" t="n"/>
      <c r="X155" s="10" t="n"/>
      <c r="Y155" s="10" t="n"/>
      <c r="Z155" s="60" t="n"/>
      <c r="AA155" s="230" t="n"/>
      <c r="AB155" s="14" t="n"/>
      <c r="AF155" s="278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8" t="n">
        <v>44967</v>
      </c>
      <c r="M156" s="9" t="n">
        <v>48619</v>
      </c>
      <c r="O156" s="9" t="n">
        <v>46793</v>
      </c>
      <c r="P156" s="9" t="n">
        <v>46792</v>
      </c>
      <c r="Q156" s="10" t="n">
        <v>215000</v>
      </c>
      <c r="R156" s="10">
        <f>Q156</f>
        <v/>
      </c>
      <c r="T156" s="7" t="n">
        <v>215000</v>
      </c>
      <c r="U156" s="10">
        <f>T156</f>
        <v/>
      </c>
      <c r="V156" s="359" t="n">
        <v>215000</v>
      </c>
      <c r="W156" s="10">
        <f>V156</f>
        <v/>
      </c>
      <c r="X156" s="277">
        <f>T156/H156</f>
        <v/>
      </c>
      <c r="Y156" s="10" t="inlineStr">
        <is>
          <t>C</t>
        </is>
      </c>
      <c r="Z156" s="64" t="n"/>
      <c r="AA156" s="230" t="n"/>
      <c r="AB156" s="14" t="inlineStr">
        <is>
          <t>No</t>
        </is>
      </c>
      <c r="AC156" s="4" t="inlineStr">
        <is>
          <t>Tenant break on 6 months notice.</t>
        </is>
      </c>
      <c r="AF156" s="278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8" t="n">
        <v>44967</v>
      </c>
      <c r="M157" s="9" t="n">
        <v>48619</v>
      </c>
      <c r="O157" s="9" t="n">
        <v>46793</v>
      </c>
      <c r="P157" s="9" t="n">
        <v>46792</v>
      </c>
      <c r="Q157" s="10" t="n">
        <v>109620</v>
      </c>
      <c r="R157" s="10">
        <f>Q157</f>
        <v/>
      </c>
      <c r="T157" s="7" t="n">
        <v>109620</v>
      </c>
      <c r="U157" s="10">
        <f>T157</f>
        <v/>
      </c>
      <c r="V157" s="359" t="n">
        <v>123600</v>
      </c>
      <c r="W157" s="10">
        <f>V157</f>
        <v/>
      </c>
      <c r="X157" s="277">
        <f>T157/H157</f>
        <v/>
      </c>
      <c r="Y157" s="10" t="inlineStr">
        <is>
          <t>C</t>
        </is>
      </c>
      <c r="Z157" s="60" t="n"/>
      <c r="AA157" s="230" t="n"/>
      <c r="AB157" s="14" t="inlineStr">
        <is>
          <t>No</t>
        </is>
      </c>
      <c r="AC157" s="4" t="inlineStr">
        <is>
          <t>Tenant break on 6 months notice.</t>
        </is>
      </c>
      <c r="AF157" s="278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9" t="n">
        <v>44593</v>
      </c>
      <c r="Q158" s="10" t="n">
        <v>0</v>
      </c>
      <c r="R158" s="10">
        <f>Q158</f>
        <v/>
      </c>
      <c r="T158" s="7" t="n">
        <v>79800</v>
      </c>
      <c r="U158" s="10">
        <f>T158</f>
        <v/>
      </c>
      <c r="V158" s="359" t="n">
        <v>93600</v>
      </c>
      <c r="W158" s="10">
        <f>V158</f>
        <v/>
      </c>
      <c r="X158" s="277">
        <f>T158/H158</f>
        <v/>
      </c>
      <c r="Y158" s="10" t="inlineStr">
        <is>
          <t>D</t>
        </is>
      </c>
      <c r="Z158" s="60" t="n"/>
      <c r="AA158" s="230" t="n"/>
      <c r="AB158" s="14" t="inlineStr">
        <is>
          <t>No</t>
        </is>
      </c>
      <c r="AC158" s="29" t="inlineStr">
        <is>
          <t>Unit being refurbished.</t>
        </is>
      </c>
      <c r="AF158" s="278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9" t="n">
        <v>43313</v>
      </c>
      <c r="Q159" s="10" t="n">
        <v>0</v>
      </c>
      <c r="R159" s="10">
        <f>Q159</f>
        <v/>
      </c>
      <c r="T159" s="7" t="n">
        <v>79750</v>
      </c>
      <c r="U159" s="10">
        <f>T159</f>
        <v/>
      </c>
      <c r="V159" s="359" t="n">
        <v>93100</v>
      </c>
      <c r="W159" s="10">
        <f>V159</f>
        <v/>
      </c>
      <c r="X159" s="277">
        <f>T159/H159</f>
        <v/>
      </c>
      <c r="Y159" s="10" t="inlineStr">
        <is>
          <t>D</t>
        </is>
      </c>
      <c r="Z159" s="60" t="n"/>
      <c r="AA159" s="230" t="n"/>
      <c r="AB159" s="14" t="inlineStr">
        <is>
          <t>No</t>
        </is>
      </c>
      <c r="AC159" s="29" t="inlineStr">
        <is>
          <t>Unit being refurbished.</t>
        </is>
      </c>
      <c r="AF159" s="278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9" t="n">
        <v>44409</v>
      </c>
      <c r="Q160" s="10" t="n">
        <v>0</v>
      </c>
      <c r="R160" s="10">
        <f>Q160</f>
        <v/>
      </c>
      <c r="T160" s="7" t="n">
        <v>79800</v>
      </c>
      <c r="U160" s="10">
        <f>T160</f>
        <v/>
      </c>
      <c r="V160" s="359" t="n">
        <v>96200</v>
      </c>
      <c r="W160" s="10">
        <f>V160</f>
        <v/>
      </c>
      <c r="X160" s="277">
        <f>T160/H160</f>
        <v/>
      </c>
      <c r="Y160" s="10" t="inlineStr">
        <is>
          <t>E</t>
        </is>
      </c>
      <c r="Z160" s="60" t="n"/>
      <c r="AA160" s="230" t="n"/>
      <c r="AB160" s="14" t="inlineStr">
        <is>
          <t>No</t>
        </is>
      </c>
      <c r="AC160" s="29" t="inlineStr">
        <is>
          <t>Unit being refurbished.</t>
        </is>
      </c>
      <c r="AF160" s="278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9" t="n">
        <v>44734</v>
      </c>
      <c r="Q161" s="10" t="n">
        <v>0</v>
      </c>
      <c r="R161" s="10">
        <f>Q161</f>
        <v/>
      </c>
      <c r="T161" s="7" t="n">
        <v>39030</v>
      </c>
      <c r="U161" s="10">
        <f>T161</f>
        <v/>
      </c>
      <c r="V161" s="359" t="n">
        <v>49000</v>
      </c>
      <c r="W161" s="10">
        <f>V161</f>
        <v/>
      </c>
      <c r="X161" s="277">
        <f>T161/H161</f>
        <v/>
      </c>
      <c r="Y161" s="10" t="inlineStr">
        <is>
          <t>D</t>
        </is>
      </c>
      <c r="Z161" s="60" t="n"/>
      <c r="AA161" s="230" t="n"/>
      <c r="AB161" s="14" t="inlineStr">
        <is>
          <t>No</t>
        </is>
      </c>
      <c r="AC161" s="29" t="inlineStr">
        <is>
          <t>Unit being refurbished.</t>
        </is>
      </c>
      <c r="AF161" s="278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10" t="n"/>
      <c r="V162" s="359" t="n"/>
      <c r="W162" s="10" t="n"/>
      <c r="X162" s="10" t="n"/>
      <c r="Y162" s="10" t="n"/>
      <c r="Z162" s="60" t="n"/>
      <c r="AA162" s="230" t="n"/>
      <c r="AB162" s="14" t="n"/>
      <c r="AF162" s="278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0" t="inlineStr">
        <is>
          <t>42-48 Great Portland Street</t>
        </is>
      </c>
      <c r="G163" s="11" t="n"/>
      <c r="H163" s="18">
        <f>SUM(H156:H161)</f>
        <v/>
      </c>
      <c r="I163" s="19" t="n"/>
      <c r="J163" s="19" t="n"/>
      <c r="K163" s="86" t="n"/>
      <c r="L163" s="41" t="n"/>
      <c r="Q163" s="18">
        <f>SUM(Q156:Q161)</f>
        <v/>
      </c>
      <c r="R163" s="18" t="n"/>
      <c r="S163" s="19">
        <f>SUM(R156:R162)</f>
        <v/>
      </c>
      <c r="T163" s="18">
        <f>SUM(T156:T161)</f>
        <v/>
      </c>
      <c r="U163" s="19" t="n"/>
      <c r="V163" s="361">
        <f>SUM(V156:V161)</f>
        <v/>
      </c>
      <c r="W163" s="19" t="n"/>
      <c r="X163" s="19" t="n"/>
      <c r="Y163" s="19" t="n"/>
      <c r="Z163" s="61" t="n"/>
      <c r="AA163" s="361" t="n">
        <v>9000000</v>
      </c>
      <c r="AB163" s="14" t="n"/>
      <c r="AE163" s="29" t="n"/>
      <c r="AF163" s="279" t="n"/>
      <c r="AG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10" t="n"/>
      <c r="J164" s="10" t="n"/>
      <c r="T164" s="11" t="n"/>
      <c r="U164" s="10" t="n"/>
      <c r="W164" s="10" t="n"/>
      <c r="X164" s="10" t="n"/>
      <c r="Y164" s="10" t="n"/>
      <c r="Z164" s="60" t="n"/>
      <c r="AA164" s="230" t="n"/>
      <c r="AB164" s="14" t="n"/>
      <c r="AF164" s="278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10" t="n"/>
      <c r="J165" s="10" t="n"/>
      <c r="K165" s="30" t="n"/>
      <c r="T165" s="11" t="n"/>
      <c r="U165" s="10" t="n"/>
      <c r="W165" s="10" t="n"/>
      <c r="X165" s="10" t="n"/>
      <c r="Y165" s="10" t="n"/>
      <c r="Z165" s="60" t="n"/>
      <c r="AA165" s="230" t="n"/>
      <c r="AB165" s="14" t="n"/>
      <c r="AF165" s="278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10" t="n"/>
      <c r="J166" s="10" t="n"/>
      <c r="T166" s="10" t="n"/>
      <c r="U166" s="10" t="n"/>
      <c r="V166" s="27" t="n"/>
      <c r="W166" s="10" t="n"/>
      <c r="X166" s="10" t="n"/>
      <c r="Y166" s="10" t="n"/>
      <c r="Z166" s="60" t="n"/>
      <c r="AA166" s="230" t="n"/>
      <c r="AB166" s="14" t="n"/>
      <c r="AF166" s="278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8" t="n">
        <v>45624</v>
      </c>
      <c r="M167" s="9" t="n">
        <v>49275</v>
      </c>
      <c r="Q167" s="10" t="n">
        <v>70000</v>
      </c>
      <c r="R167" s="10">
        <f>Q167</f>
        <v/>
      </c>
      <c r="T167" s="10" t="n">
        <v>76500</v>
      </c>
      <c r="U167" s="10">
        <f>T167</f>
        <v/>
      </c>
      <c r="V167" s="27" t="n">
        <v>94500</v>
      </c>
      <c r="W167" s="10">
        <f>V167</f>
        <v/>
      </c>
      <c r="X167" s="277">
        <f>T167/H167</f>
        <v/>
      </c>
      <c r="Y167" s="10" t="inlineStr">
        <is>
          <t>C</t>
        </is>
      </c>
      <c r="Z167" s="60" t="n"/>
      <c r="AA167" s="230" t="n"/>
      <c r="AB167" s="14" t="inlineStr">
        <is>
          <t>No</t>
        </is>
      </c>
      <c r="AC167" s="4" t="inlineStr">
        <is>
          <t>Rent increasing to £73,000 @ 28/11/27, £77,500 @ 28/11/30. Landlord break 27/11/27 on 6 months notice.</t>
        </is>
      </c>
      <c r="AD167" s="305" t="n"/>
      <c r="AF167" s="278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5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8" t="n">
        <v>43293</v>
      </c>
      <c r="M168" s="9" t="n">
        <v>46214</v>
      </c>
      <c r="Q168" s="10" t="n">
        <v>120000</v>
      </c>
      <c r="R168" s="10">
        <f>Q168</f>
        <v/>
      </c>
      <c r="T168" s="10" t="n">
        <v>81000</v>
      </c>
      <c r="U168" s="10">
        <f>T168</f>
        <v/>
      </c>
      <c r="V168" s="27" t="n">
        <v>104000</v>
      </c>
      <c r="W168" s="10">
        <f>V168</f>
        <v/>
      </c>
      <c r="X168" s="277">
        <f>T168/H168</f>
        <v/>
      </c>
      <c r="Y168" s="10" t="inlineStr">
        <is>
          <t>C</t>
        </is>
      </c>
      <c r="Z168" s="60" t="n"/>
      <c r="AA168" s="230" t="n"/>
      <c r="AB168" s="14" t="inlineStr">
        <is>
          <t>No</t>
        </is>
      </c>
      <c r="AF168" s="278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8" t="n">
        <v>44358</v>
      </c>
      <c r="M169" s="9" t="n">
        <v>48009</v>
      </c>
      <c r="O169" s="9" t="n">
        <v>46184</v>
      </c>
      <c r="P169" s="9" t="n">
        <v>46183</v>
      </c>
      <c r="Q169" s="10" t="n">
        <v>189000</v>
      </c>
      <c r="R169" s="10">
        <f>Q169</f>
        <v/>
      </c>
      <c r="T169" s="10" t="n">
        <v>189300</v>
      </c>
      <c r="U169" s="10">
        <f>T169</f>
        <v/>
      </c>
      <c r="V169" s="27" t="n">
        <v>189300</v>
      </c>
      <c r="W169" s="10">
        <f>V169</f>
        <v/>
      </c>
      <c r="X169" s="277">
        <f>T169/H169</f>
        <v/>
      </c>
      <c r="Y169" s="10" t="inlineStr">
        <is>
          <t>E</t>
        </is>
      </c>
      <c r="Z169" s="60" t="n"/>
      <c r="AA169" s="230" t="n"/>
      <c r="AB169" s="14" t="inlineStr">
        <is>
          <t>No</t>
        </is>
      </c>
      <c r="AC169" s="4" t="inlineStr">
        <is>
          <t>Tenant break on 6 months notice. 6 months rent free if not exercised.</t>
        </is>
      </c>
      <c r="AF169" s="278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10" t="n"/>
      <c r="J170" s="10" t="n"/>
      <c r="T170" s="10" t="n"/>
      <c r="U170" s="10" t="n"/>
      <c r="V170" s="27" t="n"/>
      <c r="W170" s="10" t="n"/>
      <c r="X170" s="10" t="n"/>
      <c r="Y170" s="10" t="n"/>
      <c r="Z170" s="60" t="n"/>
      <c r="AA170" s="230" t="n"/>
      <c r="AB170" s="14" t="n"/>
      <c r="AF170" s="278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0" t="inlineStr">
        <is>
          <t>45-49 Great Portland Street</t>
        </is>
      </c>
      <c r="H171" s="18">
        <f>SUM(H167:H169)</f>
        <v/>
      </c>
      <c r="I171" s="19" t="n"/>
      <c r="J171" s="19" t="n"/>
      <c r="Q171" s="19">
        <f>SUM(Q167:Q169)</f>
        <v/>
      </c>
      <c r="R171" s="19" t="n"/>
      <c r="S171" s="19">
        <f>SUM(R166:R169)</f>
        <v/>
      </c>
      <c r="T171" s="19">
        <f>SUM(T167:T169)</f>
        <v/>
      </c>
      <c r="U171" s="19" t="n"/>
      <c r="V171" s="36">
        <f>SUM(V167:V169)</f>
        <v/>
      </c>
      <c r="W171" s="19" t="n"/>
      <c r="X171" s="19" t="n"/>
      <c r="Y171" s="19" t="n"/>
      <c r="Z171" s="61" t="n"/>
      <c r="AA171" s="361" t="n">
        <v>5750000</v>
      </c>
      <c r="AB171" s="14" t="n"/>
      <c r="AE171" s="29" t="n"/>
      <c r="AF171" s="279" t="n"/>
      <c r="AG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0" t="n"/>
      <c r="H172" s="18" t="n"/>
      <c r="I172" s="19" t="n"/>
      <c r="J172" s="19" t="n"/>
      <c r="Q172" s="19" t="n"/>
      <c r="R172" s="19" t="n"/>
      <c r="S172" s="19" t="n"/>
      <c r="T172" s="19" t="n"/>
      <c r="U172" s="19" t="n"/>
      <c r="V172" s="36" t="n"/>
      <c r="W172" s="19" t="n"/>
      <c r="X172" s="19" t="n"/>
      <c r="Y172" s="19" t="n"/>
      <c r="Z172" s="61" t="n"/>
      <c r="AA172" s="362" t="n"/>
      <c r="AB172" s="14" t="n"/>
      <c r="AF172" s="278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10" t="n"/>
      <c r="J173" s="10" t="n"/>
      <c r="K173" s="30" t="n"/>
      <c r="T173" s="11" t="n"/>
      <c r="U173" s="10" t="n"/>
      <c r="W173" s="10" t="n"/>
      <c r="X173" s="10" t="n"/>
      <c r="Y173" s="10" t="n"/>
      <c r="Z173" s="60" t="n"/>
      <c r="AA173" s="230" t="n"/>
      <c r="AB173" s="14" t="n"/>
      <c r="AF173" s="278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10" t="n"/>
      <c r="J174" s="10" t="n"/>
      <c r="T174" s="10" t="n"/>
      <c r="U174" s="10" t="n"/>
      <c r="V174" s="27" t="n"/>
      <c r="W174" s="10" t="n"/>
      <c r="X174" s="10" t="n"/>
      <c r="Y174" s="10" t="n"/>
      <c r="Z174" s="60" t="n"/>
      <c r="AA174" s="230" t="n"/>
      <c r="AB174" s="14" t="n"/>
      <c r="AF174" s="278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MG Gulyas Ltd</t>
        </is>
      </c>
      <c r="L175" s="8" t="n">
        <v>45352</v>
      </c>
      <c r="M175" s="9" t="n">
        <v>49003</v>
      </c>
      <c r="O175" s="9" t="n">
        <v>47178</v>
      </c>
      <c r="P175" s="9" t="n">
        <v>47177</v>
      </c>
      <c r="Q175" s="10" t="n">
        <v>60000</v>
      </c>
      <c r="R175" s="10">
        <f>Q175</f>
        <v/>
      </c>
      <c r="T175" s="10" t="n">
        <v>55600</v>
      </c>
      <c r="U175" s="10">
        <f>T175</f>
        <v/>
      </c>
      <c r="V175" s="27" t="n">
        <v>59000</v>
      </c>
      <c r="W175" s="10">
        <f>V175</f>
        <v/>
      </c>
      <c r="X175" s="277">
        <f>T175/H175</f>
        <v/>
      </c>
      <c r="Y175" s="10" t="inlineStr">
        <is>
          <t>B</t>
        </is>
      </c>
      <c r="Z175" s="60" t="n"/>
      <c r="AA175" s="230" t="n"/>
      <c r="AB175" s="14" t="inlineStr">
        <is>
          <t>No</t>
        </is>
      </c>
      <c r="AC175" s="4" t="inlineStr">
        <is>
          <t>Mutual break 28/02/29 on 6 months notice. 3 months rent free if break not exercised. Lease assigned from Beatify LDN Ltd from 01/07/25</t>
        </is>
      </c>
      <c r="AF175" s="278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8" t="n">
        <v>45579</v>
      </c>
      <c r="M176" s="9" t="n">
        <v>47404</v>
      </c>
      <c r="P176" s="9" t="n">
        <v>46673</v>
      </c>
      <c r="Q176" s="10" t="n">
        <v>33000</v>
      </c>
      <c r="R176" s="10">
        <f>Q176</f>
        <v/>
      </c>
      <c r="T176" s="10" t="n">
        <v>29700</v>
      </c>
      <c r="U176" s="10">
        <f>T176</f>
        <v/>
      </c>
      <c r="V176" s="27" t="n">
        <v>30400</v>
      </c>
      <c r="W176" s="10">
        <f>V176</f>
        <v/>
      </c>
      <c r="X176" s="277">
        <f>T176/H176</f>
        <v/>
      </c>
      <c r="Y176" s="10" t="inlineStr">
        <is>
          <t>D</t>
        </is>
      </c>
      <c r="Z176" s="60" t="n"/>
      <c r="AA176" s="230" t="n"/>
      <c r="AB176" s="14" t="inlineStr">
        <is>
          <t>No</t>
        </is>
      </c>
      <c r="AC176" s="4" t="inlineStr">
        <is>
          <t>Tenant break on 6 months notice.</t>
        </is>
      </c>
      <c r="AD176" s="305" t="n"/>
      <c r="AF176" s="278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9" t="n">
        <v>43256</v>
      </c>
      <c r="Q177" s="10" t="n">
        <v>0</v>
      </c>
      <c r="R177" s="10">
        <f>Q177</f>
        <v/>
      </c>
      <c r="T177" s="10" t="n">
        <v>15800</v>
      </c>
      <c r="U177" s="10">
        <f>T177</f>
        <v/>
      </c>
      <c r="V177" s="27" t="n">
        <v>16700</v>
      </c>
      <c r="W177" s="10">
        <f>V177</f>
        <v/>
      </c>
      <c r="X177" s="277">
        <f>T177/H177</f>
        <v/>
      </c>
      <c r="Y177" s="10" t="n"/>
      <c r="Z177" s="60" t="n"/>
      <c r="AA177" s="230" t="n"/>
      <c r="AB177" s="14" t="inlineStr">
        <is>
          <t>No</t>
        </is>
      </c>
      <c r="AC177" s="4" t="inlineStr">
        <is>
          <t>To be refurbished.</t>
        </is>
      </c>
      <c r="AF177" s="278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8" t="n">
        <v>45476</v>
      </c>
      <c r="M178" s="9" t="n">
        <v>47301</v>
      </c>
      <c r="P178" s="9" t="n">
        <v>46570</v>
      </c>
      <c r="Q178" s="10" t="n">
        <v>17500</v>
      </c>
      <c r="R178" s="10">
        <f>Q178</f>
        <v/>
      </c>
      <c r="T178" s="10" t="n">
        <v>15000</v>
      </c>
      <c r="U178" s="10">
        <f>T178</f>
        <v/>
      </c>
      <c r="V178" s="27" t="n">
        <v>18100</v>
      </c>
      <c r="W178" s="10">
        <f>V178</f>
        <v/>
      </c>
      <c r="X178" s="277">
        <f>T178/H178</f>
        <v/>
      </c>
      <c r="Y178" s="10" t="inlineStr">
        <is>
          <t>C</t>
        </is>
      </c>
      <c r="Z178" s="60" t="n"/>
      <c r="AA178" s="230" t="n"/>
      <c r="AB178" s="14" t="inlineStr">
        <is>
          <t>No</t>
        </is>
      </c>
      <c r="AC178" s="4" t="inlineStr">
        <is>
          <t>Tenant break on 4 months notice.</t>
        </is>
      </c>
      <c r="AE178" s="29" t="n"/>
      <c r="AF178" s="279" t="n"/>
      <c r="AG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8" t="n">
        <v>45754</v>
      </c>
      <c r="M179" s="9" t="n">
        <v>46849</v>
      </c>
      <c r="Q179" s="10" t="n">
        <v>17500</v>
      </c>
      <c r="R179" s="10">
        <f>Q179</f>
        <v/>
      </c>
      <c r="T179" s="10" t="n">
        <v>15500</v>
      </c>
      <c r="U179" s="10">
        <f>T179</f>
        <v/>
      </c>
      <c r="V179" s="27" t="n">
        <v>17300</v>
      </c>
      <c r="W179" s="10">
        <f>V179</f>
        <v/>
      </c>
      <c r="X179" s="277">
        <f>T179/H179</f>
        <v/>
      </c>
      <c r="Y179" s="10" t="inlineStr">
        <is>
          <t>C</t>
        </is>
      </c>
      <c r="Z179" s="60" t="n"/>
      <c r="AA179" s="230" t="n"/>
      <c r="AB179" s="14" t="inlineStr">
        <is>
          <t>No</t>
        </is>
      </c>
      <c r="AF179" s="278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8" t="n">
        <v>45863</v>
      </c>
      <c r="M180" s="9" t="n">
        <v>46958</v>
      </c>
      <c r="Q180" s="10" t="n">
        <v>0</v>
      </c>
      <c r="R180" s="10">
        <f>Q180</f>
        <v/>
      </c>
      <c r="T180" s="10" t="n">
        <v>15000</v>
      </c>
      <c r="U180" s="10">
        <f>T180</f>
        <v/>
      </c>
      <c r="V180" s="27" t="n">
        <v>17000</v>
      </c>
      <c r="W180" s="10">
        <f>V180</f>
        <v/>
      </c>
      <c r="X180" s="277">
        <f>T180/H180</f>
        <v/>
      </c>
      <c r="Y180" s="10" t="inlineStr">
        <is>
          <t>C</t>
        </is>
      </c>
      <c r="Z180" s="60" t="n"/>
      <c r="AA180" s="230" t="n"/>
      <c r="AB180" s="14" t="inlineStr">
        <is>
          <t>No</t>
        </is>
      </c>
      <c r="AC180" s="4" t="inlineStr">
        <is>
          <t>Rent £17,922 wef 25/09/25.</t>
        </is>
      </c>
      <c r="AF180" s="278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10" t="n"/>
      <c r="J181" s="10" t="n"/>
      <c r="T181" s="10" t="n"/>
      <c r="U181" s="10" t="n"/>
      <c r="V181" s="27" t="n"/>
      <c r="W181" s="10" t="n"/>
      <c r="X181" s="10" t="n"/>
      <c r="Y181" s="10" t="n"/>
      <c r="Z181" s="60" t="n"/>
      <c r="AA181" s="361" t="n"/>
      <c r="AB181" s="14" t="n"/>
      <c r="AF181" s="278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0" t="inlineStr">
        <is>
          <t>51 Great Portland Street</t>
        </is>
      </c>
      <c r="H182" s="18">
        <f>SUM(H175:H180)</f>
        <v/>
      </c>
      <c r="I182" s="19" t="n"/>
      <c r="J182" s="19" t="n"/>
      <c r="Q182" s="19">
        <f>SUM(Q175:Q180)</f>
        <v/>
      </c>
      <c r="R182" s="19" t="n"/>
      <c r="S182" s="19">
        <f>SUM(R174:R181)</f>
        <v/>
      </c>
      <c r="T182" s="19">
        <f>SUM(T175:T180)</f>
        <v/>
      </c>
      <c r="U182" s="19" t="n"/>
      <c r="V182" s="36">
        <f>SUM(V175:V180)</f>
        <v/>
      </c>
      <c r="W182" s="19" t="n"/>
      <c r="X182" s="19" t="n"/>
      <c r="Y182" s="19" t="n"/>
      <c r="Z182" s="61" t="n"/>
      <c r="AA182" s="361" t="n">
        <v>2225000</v>
      </c>
      <c r="AB182" s="14" t="n"/>
      <c r="AE182" s="29" t="n"/>
      <c r="AF182" s="279" t="n"/>
      <c r="AG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0" t="n"/>
      <c r="H183" s="18" t="n"/>
      <c r="I183" s="19" t="n"/>
      <c r="J183" s="19" t="n"/>
      <c r="Q183" s="19" t="n"/>
      <c r="R183" s="19" t="n"/>
      <c r="S183" s="19" t="n"/>
      <c r="T183" s="19" t="n"/>
      <c r="U183" s="19" t="n"/>
      <c r="V183" s="36" t="n"/>
      <c r="W183" s="19" t="n"/>
      <c r="X183" s="19" t="n"/>
      <c r="Y183" s="19" t="n"/>
      <c r="Z183" s="61" t="n"/>
      <c r="AA183" s="362" t="n"/>
      <c r="AB183" s="14" t="n"/>
      <c r="AF183" s="278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10" t="n"/>
      <c r="J184" s="10" t="n"/>
      <c r="K184" s="30" t="n"/>
      <c r="T184" s="11" t="n"/>
      <c r="U184" s="10" t="n"/>
      <c r="W184" s="10" t="n"/>
      <c r="X184" s="10" t="n"/>
      <c r="Y184" s="10" t="n"/>
      <c r="Z184" s="60" t="n"/>
      <c r="AA184" s="230" t="n"/>
      <c r="AB184" s="14" t="n"/>
      <c r="AF184" s="278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10" t="n"/>
      <c r="J185" s="10" t="n"/>
      <c r="T185" s="10" t="n"/>
      <c r="U185" s="10" t="n"/>
      <c r="V185" s="27" t="n"/>
      <c r="W185" s="10" t="n"/>
      <c r="X185" s="10" t="n"/>
      <c r="Y185" s="10" t="n"/>
      <c r="Z185" s="60" t="n"/>
      <c r="AA185" s="230" t="n"/>
      <c r="AB185" s="14" t="n"/>
      <c r="AF185" s="278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8" t="n">
        <v>45377</v>
      </c>
      <c r="M186" s="9" t="n">
        <v>49028</v>
      </c>
      <c r="O186" s="9" t="n">
        <v>47203</v>
      </c>
      <c r="Q186" s="10" t="n">
        <v>45000</v>
      </c>
      <c r="R186" s="10">
        <f>Q186</f>
        <v/>
      </c>
      <c r="T186" s="10" t="n">
        <v>39000</v>
      </c>
      <c r="U186" s="10">
        <f>T186</f>
        <v/>
      </c>
      <c r="V186" s="27" t="n">
        <v>45000</v>
      </c>
      <c r="W186" s="10">
        <f>V186</f>
        <v/>
      </c>
      <c r="X186" s="277">
        <f>T186/H186</f>
        <v/>
      </c>
      <c r="Y186" s="10" t="inlineStr">
        <is>
          <t>D</t>
        </is>
      </c>
      <c r="Z186" s="60" t="n"/>
      <c r="AA186" s="230" t="n"/>
      <c r="AB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9" t="n">
        <v>45282</v>
      </c>
      <c r="Q187" s="10" t="n">
        <v>0</v>
      </c>
      <c r="R187" s="10">
        <f>Q187</f>
        <v/>
      </c>
      <c r="T187" s="10" t="n">
        <v>17100</v>
      </c>
      <c r="U187" s="10">
        <f>T187</f>
        <v/>
      </c>
      <c r="V187" s="27" t="n">
        <v>17100</v>
      </c>
      <c r="W187" s="10">
        <f>V187</f>
        <v/>
      </c>
      <c r="X187" s="277">
        <f>T187/H187</f>
        <v/>
      </c>
      <c r="Y187" s="10" t="inlineStr">
        <is>
          <t>E</t>
        </is>
      </c>
      <c r="Z187" s="60" t="n"/>
      <c r="AA187" s="230" t="n"/>
      <c r="AB187" s="14" t="inlineStr">
        <is>
          <t>No</t>
        </is>
      </c>
      <c r="AC187" s="29" t="inlineStr">
        <is>
          <t>Under offer</t>
        </is>
      </c>
      <c r="AD187" s="303" t="n">
        <v>58</v>
      </c>
      <c r="AF187" s="278" t="n">
        <v>1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8" t="n">
        <v>45698</v>
      </c>
      <c r="M188" s="9" t="n">
        <v>46427</v>
      </c>
      <c r="Q188" s="10" t="n">
        <v>22069</v>
      </c>
      <c r="R188" s="10">
        <f>Q188</f>
        <v/>
      </c>
      <c r="T188" s="10" t="n">
        <v>17100</v>
      </c>
      <c r="U188" s="10">
        <f>T188</f>
        <v/>
      </c>
      <c r="V188" s="27" t="n">
        <v>17100</v>
      </c>
      <c r="W188" s="10">
        <f>V188</f>
        <v/>
      </c>
      <c r="X188" s="277">
        <f>T188/H188</f>
        <v/>
      </c>
      <c r="Y188" s="10" t="inlineStr">
        <is>
          <t>D</t>
        </is>
      </c>
      <c r="Z188" s="60" t="n"/>
      <c r="AA188" s="230" t="n"/>
      <c r="AB188" s="14" t="inlineStr">
        <is>
          <t>No</t>
        </is>
      </c>
      <c r="AC188" s="4" t="inlineStr">
        <is>
          <t>Rent all inclusive (excl rates).</t>
        </is>
      </c>
      <c r="AF188" s="278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9" t="n">
        <v>44714</v>
      </c>
      <c r="Q189" s="10" t="n">
        <v>0</v>
      </c>
      <c r="R189" s="10">
        <f>Q189</f>
        <v/>
      </c>
      <c r="T189" s="10" t="n">
        <v>16300</v>
      </c>
      <c r="U189" s="10">
        <f>T189</f>
        <v/>
      </c>
      <c r="V189" s="27" t="n">
        <v>16300</v>
      </c>
      <c r="W189" s="10">
        <f>V189</f>
        <v/>
      </c>
      <c r="X189" s="277">
        <f>T189/H189</f>
        <v/>
      </c>
      <c r="Y189" s="10" t="inlineStr">
        <is>
          <t>C</t>
        </is>
      </c>
      <c r="Z189" s="60" t="n"/>
      <c r="AA189" s="230" t="n"/>
      <c r="AB189" s="14" t="inlineStr">
        <is>
          <t>No</t>
        </is>
      </c>
      <c r="AC189" s="29" t="inlineStr">
        <is>
          <t>Refurbishement completed. LEM marketing.</t>
        </is>
      </c>
      <c r="AD189" s="303" t="n">
        <v>52.5</v>
      </c>
      <c r="AF189" s="278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10" t="n"/>
      <c r="J190" s="10" t="n"/>
      <c r="T190" s="10" t="n"/>
      <c r="U190" s="10" t="n"/>
      <c r="V190" s="27" t="n"/>
      <c r="W190" s="10" t="n"/>
      <c r="X190" s="10" t="n"/>
      <c r="Y190" s="10" t="n"/>
      <c r="Z190" s="60" t="n"/>
      <c r="AA190" s="230" t="n"/>
      <c r="AB190" s="14" t="n"/>
      <c r="AF190" s="278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0" t="inlineStr">
        <is>
          <t>51 Great Portland Street</t>
        </is>
      </c>
      <c r="H191" s="18">
        <f>SUM(H186:H189)</f>
        <v/>
      </c>
      <c r="I191" s="19" t="n"/>
      <c r="J191" s="19" t="n"/>
      <c r="Q191" s="19">
        <f>SUM(Q186:Q189)</f>
        <v/>
      </c>
      <c r="R191" s="19" t="n"/>
      <c r="S191" s="19">
        <f>SUM(R185:R190)</f>
        <v/>
      </c>
      <c r="T191" s="19">
        <f>SUM(T186:T189)</f>
        <v/>
      </c>
      <c r="U191" s="19" t="n"/>
      <c r="V191" s="36">
        <f>SUM(V186:V189)</f>
        <v/>
      </c>
      <c r="W191" s="19" t="n"/>
      <c r="X191" s="19" t="n"/>
      <c r="Y191" s="19" t="n"/>
      <c r="Z191" s="61" t="n"/>
      <c r="AA191" s="361" t="n">
        <v>1325000</v>
      </c>
      <c r="AB191" s="14" t="n"/>
      <c r="AF191" s="278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10" t="n"/>
      <c r="J192" s="10" t="n"/>
      <c r="T192" s="10" t="n"/>
      <c r="U192" s="10" t="n"/>
      <c r="V192" s="27" t="n"/>
      <c r="W192" s="10" t="n"/>
      <c r="X192" s="10" t="n"/>
      <c r="Y192" s="10" t="n"/>
      <c r="Z192" s="60" t="n"/>
      <c r="AA192" s="230" t="n"/>
      <c r="AB192" s="14" t="n"/>
      <c r="AF192" s="278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10" t="n"/>
      <c r="J193" s="10" t="n"/>
      <c r="K193" s="30" t="n"/>
      <c r="T193" s="11" t="n"/>
      <c r="U193" s="10" t="n"/>
      <c r="W193" s="10" t="n"/>
      <c r="X193" s="10" t="n"/>
      <c r="Y193" s="10" t="n"/>
      <c r="Z193" s="60" t="n"/>
      <c r="AA193" s="230" t="n"/>
      <c r="AB193" s="14" t="n"/>
      <c r="AF193" s="278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10" t="n"/>
      <c r="J194" s="10" t="n"/>
      <c r="T194" s="10" t="n"/>
      <c r="U194" s="10" t="n"/>
      <c r="V194" s="27" t="n"/>
      <c r="W194" s="10" t="n"/>
      <c r="X194" s="10" t="n"/>
      <c r="Y194" s="10" t="n"/>
      <c r="Z194" s="60" t="n"/>
      <c r="AA194" s="230" t="n"/>
      <c r="AB194" s="14" t="n"/>
      <c r="AF194" s="278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388" t="n">
        <v>45832</v>
      </c>
      <c r="M195" s="387" t="n">
        <v>49483</v>
      </c>
      <c r="N195" s="387" t="n"/>
      <c r="O195" s="387" t="n">
        <v>47658</v>
      </c>
      <c r="P195" s="387" t="n">
        <v>47657</v>
      </c>
      <c r="Q195" s="27" t="n">
        <v>24210</v>
      </c>
      <c r="R195" s="10">
        <f>Q195</f>
        <v/>
      </c>
      <c r="T195" s="10" t="n">
        <v>34320</v>
      </c>
      <c r="U195" s="10">
        <f>T195</f>
        <v/>
      </c>
      <c r="V195" s="27" t="n">
        <v>48420</v>
      </c>
      <c r="W195" s="10">
        <f>V195</f>
        <v/>
      </c>
      <c r="X195" s="277">
        <f>T195/H195</f>
        <v/>
      </c>
      <c r="Y195" s="10" t="inlineStr">
        <is>
          <t>E</t>
        </is>
      </c>
      <c r="Z195" s="60" t="n"/>
      <c r="AA195" s="230" t="n"/>
      <c r="AB195" s="14" t="inlineStr">
        <is>
          <t>No</t>
        </is>
      </c>
      <c r="AC195" s="29" t="inlineStr">
        <is>
          <t>Lease renewal completed. Rent increases to £48,420 wef 24/12/25. Tenant break on 6 months notice.</t>
        </is>
      </c>
      <c r="AF195" s="278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5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8" t="n">
        <v>44075</v>
      </c>
      <c r="M196" s="9" t="n">
        <v>45900</v>
      </c>
      <c r="Q196" s="10" t="n">
        <v>12500</v>
      </c>
      <c r="R196" s="10">
        <f>Q196</f>
        <v/>
      </c>
      <c r="T196" s="10" t="n">
        <v>12000</v>
      </c>
      <c r="U196" s="10">
        <f>T196</f>
        <v/>
      </c>
      <c r="V196" s="27" t="n">
        <v>12000</v>
      </c>
      <c r="W196" s="10">
        <f>V196</f>
        <v/>
      </c>
      <c r="X196" s="277">
        <f>T196/H196</f>
        <v/>
      </c>
      <c r="Y196" s="10" t="inlineStr">
        <is>
          <t>E</t>
        </is>
      </c>
      <c r="Z196" s="60" t="n"/>
      <c r="AA196" s="230" t="n"/>
      <c r="AB196" s="14" t="inlineStr">
        <is>
          <t>No</t>
        </is>
      </c>
      <c r="AC196" s="4" t="inlineStr">
        <is>
          <t>All Inclusive. Lease renewal being discussed.</t>
        </is>
      </c>
      <c r="AF196" s="278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9" t="n">
        <v>43738</v>
      </c>
      <c r="Q197" s="10" t="n">
        <v>0</v>
      </c>
      <c r="R197" s="10">
        <f>Q197</f>
        <v/>
      </c>
      <c r="T197" s="10" t="n">
        <v>18500</v>
      </c>
      <c r="U197" s="10">
        <f>T197</f>
        <v/>
      </c>
      <c r="V197" s="27" t="n">
        <v>18500</v>
      </c>
      <c r="W197" s="10">
        <f>V197</f>
        <v/>
      </c>
      <c r="X197" s="277">
        <f>T197/H197</f>
        <v/>
      </c>
      <c r="Y197" s="10" t="inlineStr">
        <is>
          <t>E</t>
        </is>
      </c>
      <c r="Z197" s="60" t="n"/>
      <c r="AA197" s="230" t="n"/>
      <c r="AB197" s="14" t="inlineStr">
        <is>
          <t>No</t>
        </is>
      </c>
      <c r="AC197" s="29" t="inlineStr">
        <is>
          <t>Refurbishment completed. LEM marketing.</t>
        </is>
      </c>
      <c r="AD197" s="303" t="n">
        <v>52.5</v>
      </c>
      <c r="AF197" s="278" t="n">
        <v>1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5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9" t="n">
        <v>45379</v>
      </c>
      <c r="Q198" s="10" t="n">
        <v>0</v>
      </c>
      <c r="R198" s="10">
        <f>Q198</f>
        <v/>
      </c>
      <c r="T198" s="10" t="n">
        <v>17000</v>
      </c>
      <c r="U198" s="10">
        <f>T198</f>
        <v/>
      </c>
      <c r="V198" s="27" t="n">
        <v>17062</v>
      </c>
      <c r="W198" s="10">
        <f>V198</f>
        <v/>
      </c>
      <c r="X198" s="277">
        <f>T198/H198</f>
        <v/>
      </c>
      <c r="Y198" s="10" t="inlineStr">
        <is>
          <t>E</t>
        </is>
      </c>
      <c r="Z198" s="60" t="n"/>
      <c r="AA198" s="230" t="n"/>
      <c r="AB198" s="14" t="inlineStr">
        <is>
          <t>No</t>
        </is>
      </c>
      <c r="AC198" s="29" t="inlineStr">
        <is>
          <t>Refurbishment completed. LEM marketing.</t>
        </is>
      </c>
      <c r="AD198" s="303" t="n">
        <v>53</v>
      </c>
      <c r="AF198" s="278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5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9" t="n">
        <v>45170</v>
      </c>
      <c r="Q199" s="10" t="n">
        <v>0</v>
      </c>
      <c r="R199" s="10">
        <f>Q199</f>
        <v/>
      </c>
      <c r="T199" s="10" t="n">
        <v>17000</v>
      </c>
      <c r="U199" s="10">
        <f>T199</f>
        <v/>
      </c>
      <c r="V199" s="27" t="n">
        <v>16852</v>
      </c>
      <c r="W199" s="10">
        <f>V199</f>
        <v/>
      </c>
      <c r="X199" s="277">
        <f>T199/H199</f>
        <v/>
      </c>
      <c r="Y199" s="10" t="inlineStr">
        <is>
          <t>E</t>
        </is>
      </c>
      <c r="Z199" s="60" t="n"/>
      <c r="AA199" s="230" t="n"/>
      <c r="AB199" s="14" t="inlineStr">
        <is>
          <t>No</t>
        </is>
      </c>
      <c r="AC199" s="29" t="inlineStr">
        <is>
          <t>Refurbishment completed. LEM marketing.</t>
        </is>
      </c>
      <c r="AD199" s="303" t="n">
        <v>53</v>
      </c>
      <c r="AF199" s="278" t="n"/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5" t="n"/>
      <c r="I200" s="10" t="n"/>
      <c r="J200" s="10" t="n"/>
      <c r="T200" s="10" t="n"/>
      <c r="U200" s="10" t="n"/>
      <c r="V200" s="27" t="n"/>
      <c r="W200" s="10" t="n"/>
      <c r="X200" s="10" t="n"/>
      <c r="Y200" s="10" t="n"/>
      <c r="Z200" s="60" t="n"/>
      <c r="AA200" s="230" t="n"/>
      <c r="AB200" s="14" t="n"/>
      <c r="AF200" s="278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0" t="inlineStr">
        <is>
          <t>53 Great Portland Street</t>
        </is>
      </c>
      <c r="H201" s="18">
        <f>SUM(H195:H199)</f>
        <v/>
      </c>
      <c r="I201" s="19" t="n"/>
      <c r="J201" s="19" t="n"/>
      <c r="Q201" s="36">
        <f>SUM(Q195:Q199)</f>
        <v/>
      </c>
      <c r="R201" s="19" t="n"/>
      <c r="S201" s="19">
        <f>SUM(R194:R200)</f>
        <v/>
      </c>
      <c r="T201" s="19">
        <f>SUM(T195:T199)</f>
        <v/>
      </c>
      <c r="U201" s="19" t="n"/>
      <c r="V201" s="36">
        <f>SUM(V195:V199)</f>
        <v/>
      </c>
      <c r="W201" s="19" t="n"/>
      <c r="X201" s="19" t="n"/>
      <c r="Y201" s="19" t="n"/>
      <c r="Z201" s="61" t="n"/>
      <c r="AA201" s="361" t="n">
        <v>1475000</v>
      </c>
      <c r="AB201" s="14" t="n"/>
      <c r="AF201" s="278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0" t="n"/>
      <c r="H202" s="18" t="n"/>
      <c r="I202" s="19" t="n"/>
      <c r="J202" s="19" t="n"/>
      <c r="Q202" s="19" t="n"/>
      <c r="R202" s="19" t="n"/>
      <c r="S202" s="19" t="n"/>
      <c r="T202" s="19" t="n"/>
      <c r="U202" s="19" t="n"/>
      <c r="V202" s="36" t="n"/>
      <c r="W202" s="19" t="n"/>
      <c r="X202" s="19" t="n"/>
      <c r="Y202" s="19" t="n"/>
      <c r="Z202" s="61" t="n"/>
      <c r="AA202" s="362" t="n"/>
      <c r="AB202" s="14" t="n"/>
      <c r="AF202" s="278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10" t="n"/>
      <c r="J203" s="10" t="n"/>
      <c r="K203" s="30" t="n"/>
      <c r="T203" s="11" t="n"/>
      <c r="U203" s="10" t="n"/>
      <c r="W203" s="10" t="n"/>
      <c r="X203" s="10" t="n"/>
      <c r="Y203" s="10" t="n"/>
      <c r="Z203" s="60" t="n"/>
      <c r="AA203" s="230" t="n"/>
      <c r="AB203" s="14" t="n"/>
      <c r="AF203" s="278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10" t="n"/>
      <c r="J204" s="10" t="n"/>
      <c r="T204" s="10" t="n"/>
      <c r="U204" s="10" t="n"/>
      <c r="V204" s="27" t="n"/>
      <c r="W204" s="10" t="n"/>
      <c r="X204" s="10" t="n"/>
      <c r="Y204" s="10" t="n"/>
      <c r="Z204" s="60" t="n"/>
      <c r="AA204" s="230" t="n"/>
      <c r="AB204" s="14" t="n"/>
      <c r="AF204" s="278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8" t="n">
        <v>45706</v>
      </c>
      <c r="M205" s="9" t="n">
        <v>49357</v>
      </c>
      <c r="O205" s="9" t="n">
        <v>47532</v>
      </c>
      <c r="P205" s="9" t="n">
        <v>47531</v>
      </c>
      <c r="Q205" s="10" t="n">
        <v>27000</v>
      </c>
      <c r="R205" s="10">
        <f>Q205</f>
        <v/>
      </c>
      <c r="T205" s="10" t="n">
        <v>25000</v>
      </c>
      <c r="U205" s="10">
        <f>T205</f>
        <v/>
      </c>
      <c r="V205" s="27" t="n">
        <v>27000</v>
      </c>
      <c r="W205" s="10">
        <f>V205</f>
        <v/>
      </c>
      <c r="X205" s="277">
        <f>T205/H205</f>
        <v/>
      </c>
      <c r="Y205" s="10" t="inlineStr">
        <is>
          <t>B</t>
        </is>
      </c>
      <c r="Z205" s="60" t="n"/>
      <c r="AA205" s="230" t="n"/>
      <c r="AB205" s="14" t="inlineStr">
        <is>
          <t>No</t>
        </is>
      </c>
      <c r="AC205" s="4" t="inlineStr">
        <is>
          <t xml:space="preserve">Tenant break on 6 months notice. </t>
        </is>
      </c>
      <c r="AF205" s="278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5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8" t="n">
        <v>45706</v>
      </c>
      <c r="M206" s="9" t="n">
        <v>49357</v>
      </c>
      <c r="O206" s="9" t="n">
        <v>47532</v>
      </c>
      <c r="P206" s="9" t="n">
        <v>47531</v>
      </c>
      <c r="Q206" s="10" t="n">
        <v>22000</v>
      </c>
      <c r="R206" s="10">
        <f>Q206</f>
        <v/>
      </c>
      <c r="T206" s="10" t="n">
        <v>20000</v>
      </c>
      <c r="U206" s="10">
        <f>T206</f>
        <v/>
      </c>
      <c r="V206" s="27" t="n">
        <v>22000</v>
      </c>
      <c r="W206" s="10">
        <f>V206</f>
        <v/>
      </c>
      <c r="X206" s="277">
        <f>T206/H206</f>
        <v/>
      </c>
      <c r="Y206" s="10" t="inlineStr">
        <is>
          <t>B</t>
        </is>
      </c>
      <c r="Z206" s="60" t="n"/>
      <c r="AA206" s="230" t="n"/>
      <c r="AB206" s="14" t="inlineStr">
        <is>
          <t>No</t>
        </is>
      </c>
      <c r="AC206" s="4" t="inlineStr">
        <is>
          <t>Tenant break on 6 months notice.</t>
        </is>
      </c>
      <c r="AF206" s="278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5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9" t="n">
        <v>43256</v>
      </c>
      <c r="Q207" s="10" t="n">
        <v>0</v>
      </c>
      <c r="R207" s="10">
        <f>Q207</f>
        <v/>
      </c>
      <c r="T207" s="10" t="n">
        <v>90000</v>
      </c>
      <c r="U207" s="10">
        <f>T207</f>
        <v/>
      </c>
      <c r="V207" s="27" t="n">
        <v>84000</v>
      </c>
      <c r="W207" s="10">
        <f>V207</f>
        <v/>
      </c>
      <c r="X207" s="277">
        <f>T207/H207</f>
        <v/>
      </c>
      <c r="Y207" s="10" t="n"/>
      <c r="Z207" s="60" t="n"/>
      <c r="AA207" s="230" t="n"/>
      <c r="AB207" s="14" t="inlineStr">
        <is>
          <t>No</t>
        </is>
      </c>
      <c r="AC207" s="4" t="inlineStr">
        <is>
          <t>Mothballed.</t>
        </is>
      </c>
      <c r="AE207" s="29" t="n"/>
      <c r="AF207" s="279" t="n"/>
      <c r="AG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5" t="n"/>
      <c r="I208" s="10" t="n"/>
      <c r="J208" s="10" t="n"/>
      <c r="T208" s="10" t="n"/>
      <c r="U208" s="10" t="n"/>
      <c r="V208" s="27" t="n"/>
      <c r="W208" s="10" t="n"/>
      <c r="X208" s="10" t="n"/>
      <c r="Y208" s="10" t="n"/>
      <c r="Z208" s="60" t="n"/>
      <c r="AA208" s="230" t="n"/>
      <c r="AB208" s="14" t="n"/>
      <c r="AF208" s="278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0" t="inlineStr">
        <is>
          <t>76 Great Portland Street</t>
        </is>
      </c>
      <c r="H209" s="18">
        <f>SUM(H205:H207)</f>
        <v/>
      </c>
      <c r="I209" s="19" t="n"/>
      <c r="J209" s="19" t="n"/>
      <c r="Q209" s="19">
        <f>SUM(Q205:Q207)</f>
        <v/>
      </c>
      <c r="R209" s="19" t="n"/>
      <c r="S209" s="19">
        <f>SUM(R205:R208)</f>
        <v/>
      </c>
      <c r="T209" s="19">
        <f>SUM(T205:T207)</f>
        <v/>
      </c>
      <c r="U209" s="19" t="n"/>
      <c r="V209" s="36">
        <f>SUM(V205:V207)</f>
        <v/>
      </c>
      <c r="W209" s="19" t="n"/>
      <c r="X209" s="19" t="n"/>
      <c r="Y209" s="19" t="n"/>
      <c r="Z209" s="61" t="n"/>
      <c r="AA209" s="361" t="n">
        <v>1475000</v>
      </c>
      <c r="AB209" s="14" t="n"/>
      <c r="AF209" s="278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10" t="n"/>
      <c r="J210" s="10" t="n"/>
      <c r="T210" s="10" t="n"/>
      <c r="U210" s="10" t="n"/>
      <c r="V210" s="27" t="n"/>
      <c r="W210" s="10" t="n"/>
      <c r="X210" s="10" t="n"/>
      <c r="Y210" s="10" t="n"/>
      <c r="Z210" s="60" t="n"/>
      <c r="AA210" s="230" t="n"/>
      <c r="AB210" s="14" t="n"/>
      <c r="AF210" s="278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10" t="n"/>
      <c r="J211" s="10" t="n"/>
      <c r="K211" s="30" t="n"/>
      <c r="T211" s="11" t="n"/>
      <c r="U211" s="10" t="n"/>
      <c r="W211" s="10" t="n"/>
      <c r="X211" s="10" t="n"/>
      <c r="Y211" s="10" t="n"/>
      <c r="Z211" s="60" t="n"/>
      <c r="AA211" s="230" t="n"/>
      <c r="AB211" s="14" t="n"/>
      <c r="AF211" s="278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10" t="n"/>
      <c r="J212" s="10" t="n"/>
      <c r="K212" s="20" t="n"/>
      <c r="L212" s="21" t="n"/>
      <c r="T212" s="10" t="n"/>
      <c r="U212" s="10" t="n"/>
      <c r="V212" s="27" t="n"/>
      <c r="W212" s="10" t="n"/>
      <c r="X212" s="10" t="n"/>
      <c r="Y212" s="10" t="n"/>
      <c r="Z212" s="60" t="n"/>
      <c r="AA212" s="230" t="n"/>
      <c r="AB212" s="14" t="n"/>
      <c r="AF212" s="278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5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10">
        <f>H213</f>
        <v/>
      </c>
      <c r="J213" s="10" t="n">
        <v>1250</v>
      </c>
      <c r="K213" s="4" t="inlineStr">
        <is>
          <t>Tikkas Group Ltd</t>
        </is>
      </c>
      <c r="L213" s="8" t="n">
        <v>45748</v>
      </c>
      <c r="M213" s="9" t="n">
        <v>49399</v>
      </c>
      <c r="O213" s="9" t="n">
        <v>47574</v>
      </c>
      <c r="P213" s="9" t="n">
        <v>47573</v>
      </c>
      <c r="Q213" s="10" t="n">
        <v>0</v>
      </c>
      <c r="R213" s="10">
        <f>Q213</f>
        <v/>
      </c>
      <c r="S213" s="19">
        <f>R213</f>
        <v/>
      </c>
      <c r="T213" s="19" t="n">
        <v>90000</v>
      </c>
      <c r="U213" s="10">
        <f>T213</f>
        <v/>
      </c>
      <c r="V213" s="36" t="n">
        <v>90000</v>
      </c>
      <c r="W213" s="10">
        <f>V213</f>
        <v/>
      </c>
      <c r="X213" s="277">
        <f>T213/H213</f>
        <v/>
      </c>
      <c r="Y213" s="10" t="inlineStr">
        <is>
          <t>D</t>
        </is>
      </c>
      <c r="Z213" s="60" t="n"/>
      <c r="AA213" s="361" t="n">
        <v>1450000</v>
      </c>
      <c r="AB213" s="14" t="inlineStr">
        <is>
          <t>No</t>
        </is>
      </c>
      <c r="AC213" s="4" t="inlineStr">
        <is>
          <t>Rent £90,000 wef 01/09/25. Tenant break on 6 months notice. 2 months rent free if break not exercised.</t>
        </is>
      </c>
      <c r="AD213" s="303" t="n">
        <v>69</v>
      </c>
      <c r="AF213" s="278" t="n">
        <v>10</v>
      </c>
      <c r="AG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0" t="inlineStr">
        <is>
          <t>1 Great Titchfield Street</t>
        </is>
      </c>
      <c r="H214" s="31">
        <f>SUM(H213:H213)</f>
        <v/>
      </c>
      <c r="I214" s="18" t="n"/>
      <c r="J214" s="18" t="n"/>
      <c r="K214" s="32" t="n"/>
      <c r="L214" s="33" t="n"/>
      <c r="M214" s="34" t="n"/>
      <c r="N214" s="34" t="n"/>
      <c r="O214" s="34" t="n"/>
      <c r="P214" s="34" t="n"/>
      <c r="Q214" s="31" t="n"/>
      <c r="R214" s="31" t="n"/>
      <c r="S214" s="31" t="n"/>
      <c r="T214" s="31">
        <f>SUM(T213:T213)</f>
        <v/>
      </c>
      <c r="U214" s="31" t="n"/>
      <c r="V214" s="376" t="n"/>
      <c r="W214" s="31" t="n"/>
      <c r="X214" s="31" t="n"/>
      <c r="Y214" s="31" t="n"/>
      <c r="Z214" s="62" t="n"/>
      <c r="AA214" s="360" t="n"/>
      <c r="AB214" s="14" t="n"/>
      <c r="AF214" s="278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10" t="n"/>
      <c r="J215" s="10" t="n"/>
      <c r="T215" s="10" t="n"/>
      <c r="U215" s="10" t="n"/>
      <c r="V215" s="27" t="n"/>
      <c r="W215" s="10" t="n"/>
      <c r="X215" s="10" t="n"/>
      <c r="Y215" s="10" t="n"/>
      <c r="Z215" s="60" t="n"/>
      <c r="AA215" s="230" t="n"/>
      <c r="AB215" s="14" t="n"/>
      <c r="AF215" s="278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10" t="n"/>
      <c r="J216" s="10" t="n"/>
      <c r="K216" s="30" t="n"/>
      <c r="T216" s="11" t="n"/>
      <c r="U216" s="10" t="n"/>
      <c r="W216" s="10" t="n"/>
      <c r="X216" s="10" t="n"/>
      <c r="Y216" s="10" t="n"/>
      <c r="Z216" s="60" t="n"/>
      <c r="AA216" s="230" t="n"/>
      <c r="AB216" s="14" t="n"/>
      <c r="AF216" s="278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2" t="n"/>
      <c r="I217" s="10" t="n"/>
      <c r="J217" s="10" t="n"/>
      <c r="K217" s="13" t="n"/>
      <c r="L217" s="9" t="n"/>
      <c r="T217" s="10" t="n"/>
      <c r="U217" s="10" t="n"/>
      <c r="V217" s="27" t="n"/>
      <c r="W217" s="10" t="n"/>
      <c r="X217" s="10" t="n"/>
      <c r="Y217" s="10" t="n"/>
      <c r="Z217" s="60" t="n"/>
      <c r="AA217" s="230" t="n"/>
      <c r="AB217" s="14" t="n"/>
      <c r="AF217" s="278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4" t="n">
        <v>1440</v>
      </c>
      <c r="I218" s="10">
        <f>H218</f>
        <v/>
      </c>
      <c r="J218" s="10" t="n">
        <v>1500</v>
      </c>
      <c r="K218" s="4" t="inlineStr">
        <is>
          <t>Pho Trading Ltd.</t>
        </is>
      </c>
      <c r="L218" s="9" t="n">
        <v>43430</v>
      </c>
      <c r="M218" s="9" t="n">
        <v>47082</v>
      </c>
      <c r="O218" s="9" t="n">
        <v>45256</v>
      </c>
      <c r="Q218" s="10" t="n">
        <v>100000</v>
      </c>
      <c r="R218" s="10">
        <f>Q218</f>
        <v/>
      </c>
      <c r="T218" s="10" t="n">
        <v>100000</v>
      </c>
      <c r="U218" s="10">
        <f>T218</f>
        <v/>
      </c>
      <c r="V218" s="27" t="n">
        <v>100000</v>
      </c>
      <c r="W218" s="10">
        <f>V218</f>
        <v/>
      </c>
      <c r="X218" s="277">
        <f>T218/H218</f>
        <v/>
      </c>
      <c r="Y218" s="10" t="inlineStr">
        <is>
          <t>C</t>
        </is>
      </c>
      <c r="Z218" s="60" t="n"/>
      <c r="AA218" s="230" t="n"/>
      <c r="AB218" s="14" t="inlineStr">
        <is>
          <t>No</t>
        </is>
      </c>
      <c r="AC218" s="4" t="inlineStr">
        <is>
          <t>Rent review not activated due to level of passing rent.</t>
        </is>
      </c>
      <c r="AF218" s="278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10">
        <f>H219</f>
        <v/>
      </c>
      <c r="J219" s="10" t="n">
        <v>1000</v>
      </c>
      <c r="K219" s="25" t="inlineStr">
        <is>
          <t>Hewson Independent Trading Company Ltd</t>
        </is>
      </c>
      <c r="L219" s="9" t="n">
        <v>45065</v>
      </c>
      <c r="M219" s="9" t="n">
        <v>46160</v>
      </c>
      <c r="Q219" s="10" t="n">
        <v>88400</v>
      </c>
      <c r="R219" s="10">
        <f>Q219</f>
        <v/>
      </c>
      <c r="T219" s="10" t="n">
        <v>58968</v>
      </c>
      <c r="U219" s="10">
        <f>T219</f>
        <v/>
      </c>
      <c r="V219" s="27" t="n">
        <v>88400</v>
      </c>
      <c r="W219" s="10">
        <f>V219</f>
        <v/>
      </c>
      <c r="X219" s="10" t="n"/>
      <c r="Y219" s="10" t="inlineStr">
        <is>
          <t>D</t>
        </is>
      </c>
      <c r="Z219" s="60" t="n"/>
      <c r="AA219" s="230" t="n"/>
      <c r="AB219" s="14" t="inlineStr">
        <is>
          <t>No</t>
        </is>
      </c>
      <c r="AF219" s="278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3" t="n"/>
      <c r="I220" s="10" t="n"/>
      <c r="J220" s="10" t="n"/>
      <c r="L220" s="9" t="n"/>
      <c r="T220" s="10" t="n"/>
      <c r="U220" s="10" t="n"/>
      <c r="V220" s="27" t="n"/>
      <c r="W220" s="10" t="n"/>
      <c r="X220" s="10" t="n"/>
      <c r="Y220" s="10" t="n"/>
      <c r="Z220" s="60" t="n"/>
      <c r="AA220" s="230" t="n"/>
      <c r="AB220" s="14" t="n"/>
      <c r="AF220" s="278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0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9" t="n"/>
      <c r="Q221" s="18">
        <f>SUM(Q218:Q219)</f>
        <v/>
      </c>
      <c r="R221" s="18" t="n"/>
      <c r="S221" s="19">
        <f>SUM(R216:R220)</f>
        <v/>
      </c>
      <c r="T221" s="18">
        <f>SUM(T218:T219)</f>
        <v/>
      </c>
      <c r="U221" s="18" t="n"/>
      <c r="V221" s="361">
        <f>SUM(V218:V219)</f>
        <v/>
      </c>
      <c r="W221" s="18" t="n"/>
      <c r="X221" s="18" t="n"/>
      <c r="Y221" s="18" t="n"/>
      <c r="Z221" s="63" t="n"/>
      <c r="AA221" s="36" t="n">
        <v>3550000</v>
      </c>
      <c r="AB221" s="14" t="n"/>
      <c r="AC221" s="35" t="n"/>
      <c r="AD221" s="306" t="n"/>
      <c r="AE221" s="35" t="n"/>
      <c r="AF221" s="280" t="n"/>
      <c r="AG221" s="35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10" t="n"/>
      <c r="J222" s="10" t="n"/>
      <c r="T222" s="10" t="n"/>
      <c r="U222" s="10" t="n"/>
      <c r="V222" s="27" t="n"/>
      <c r="W222" s="10" t="n"/>
      <c r="X222" s="10" t="n"/>
      <c r="Y222" s="10" t="n"/>
      <c r="Z222" s="60" t="n"/>
      <c r="AA222" s="230" t="n"/>
      <c r="AB222" s="14" t="n"/>
      <c r="AF222" s="278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10" t="n"/>
      <c r="J223" s="10" t="n"/>
      <c r="K223" s="30" t="n"/>
      <c r="T223" s="11" t="n"/>
      <c r="U223" s="10" t="n"/>
      <c r="W223" s="10" t="n"/>
      <c r="X223" s="10" t="n"/>
      <c r="Y223" s="10" t="n"/>
      <c r="Z223" s="60" t="n"/>
      <c r="AA223" s="230" t="n"/>
      <c r="AB223" s="14" t="n"/>
      <c r="AF223" s="278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10" t="n"/>
      <c r="J224" s="10" t="n"/>
      <c r="K224" s="133" t="n"/>
      <c r="L224" s="21" t="n"/>
      <c r="M224" s="21" t="n"/>
      <c r="N224" s="21" t="n"/>
      <c r="T224" s="10" t="n"/>
      <c r="U224" s="10" t="n"/>
      <c r="V224" s="27" t="n"/>
      <c r="W224" s="10" t="n"/>
      <c r="X224" s="10" t="n"/>
      <c r="Y224" s="10" t="n"/>
      <c r="Z224" s="60" t="n"/>
      <c r="AA224" s="230" t="n"/>
      <c r="AB224" s="14" t="n"/>
      <c r="AF224" s="278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8" t="n">
        <v>45247</v>
      </c>
      <c r="M225" s="9" t="n">
        <v>48899</v>
      </c>
      <c r="O225" s="9" t="n">
        <v>47074</v>
      </c>
      <c r="P225" s="9" t="n">
        <v>47073</v>
      </c>
      <c r="Q225" s="10" t="n">
        <v>100000</v>
      </c>
      <c r="R225" s="10">
        <f>Q225</f>
        <v/>
      </c>
      <c r="T225" s="10" t="n">
        <v>71800</v>
      </c>
      <c r="U225" s="10">
        <f>T225</f>
        <v/>
      </c>
      <c r="V225" s="27" t="n">
        <v>100000</v>
      </c>
      <c r="W225" s="10">
        <f>V225</f>
        <v/>
      </c>
      <c r="X225" s="277">
        <f>T225/H225</f>
        <v/>
      </c>
      <c r="Y225" s="10" t="inlineStr">
        <is>
          <t>C</t>
        </is>
      </c>
      <c r="Z225" s="60" t="n"/>
      <c r="AA225" s="230" t="n"/>
      <c r="AB225" s="14" t="inlineStr">
        <is>
          <t>No</t>
        </is>
      </c>
      <c r="AC225" s="4" t="inlineStr">
        <is>
          <t>Tenant break on 6 months notice. 5 months rent free if not exercised (spread over 12 months).</t>
        </is>
      </c>
      <c r="AF225" s="278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8" t="n">
        <v>44497</v>
      </c>
      <c r="M226" s="9" t="n">
        <v>46322</v>
      </c>
      <c r="Q226" s="10" t="n">
        <v>96000</v>
      </c>
      <c r="R226" s="10">
        <f>Q226</f>
        <v/>
      </c>
      <c r="T226" s="10" t="n">
        <v>78600</v>
      </c>
      <c r="U226" s="10">
        <f>T226</f>
        <v/>
      </c>
      <c r="V226" s="27" t="n">
        <v>96000</v>
      </c>
      <c r="W226" s="10">
        <f>V226</f>
        <v/>
      </c>
      <c r="X226" s="277">
        <f>T226/H226</f>
        <v/>
      </c>
      <c r="Y226" s="10" t="inlineStr">
        <is>
          <t>C</t>
        </is>
      </c>
      <c r="Z226" s="60" t="n"/>
      <c r="AA226" s="230" t="n"/>
      <c r="AB226" s="14" t="inlineStr">
        <is>
          <t>No</t>
        </is>
      </c>
      <c r="AF226" s="278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388" t="n">
        <v>45748</v>
      </c>
      <c r="M227" s="387" t="n">
        <v>45930</v>
      </c>
      <c r="Q227" s="27" t="n">
        <v>96000</v>
      </c>
      <c r="R227" s="10">
        <f>Q227</f>
        <v/>
      </c>
      <c r="T227" s="10" t="n">
        <v>121900</v>
      </c>
      <c r="U227" s="10">
        <f>T227</f>
        <v/>
      </c>
      <c r="V227" s="27" t="n">
        <v>133400</v>
      </c>
      <c r="W227" s="10">
        <f>V227</f>
        <v/>
      </c>
      <c r="X227" s="277">
        <f>T227/H227</f>
        <v/>
      </c>
      <c r="Y227" s="10" t="inlineStr">
        <is>
          <t>D</t>
        </is>
      </c>
      <c r="Z227" s="60" t="n"/>
      <c r="AA227" s="230" t="n"/>
      <c r="AB227" s="14" t="inlineStr">
        <is>
          <t>No</t>
        </is>
      </c>
      <c r="AC227" s="29" t="inlineStr">
        <is>
          <t>Short term lease renewal completed. Rent inclusive of service charge.</t>
        </is>
      </c>
      <c r="AE227" s="29" t="n"/>
      <c r="AF227" s="279" t="n"/>
      <c r="AG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5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29" t="inlineStr">
        <is>
          <t>Vacant</t>
        </is>
      </c>
      <c r="L228" s="387" t="n"/>
      <c r="M228" s="387" t="n"/>
      <c r="N228" s="387" t="n">
        <v>45864</v>
      </c>
      <c r="Q228" s="27" t="n">
        <v>0</v>
      </c>
      <c r="R228" s="10">
        <f>Q228</f>
        <v/>
      </c>
      <c r="T228" s="10" t="n">
        <v>121800</v>
      </c>
      <c r="U228" s="10">
        <f>T228</f>
        <v/>
      </c>
      <c r="V228" s="27" t="n">
        <v>130800</v>
      </c>
      <c r="W228" s="10">
        <f>V228</f>
        <v/>
      </c>
      <c r="X228" s="277">
        <f>T228/H228</f>
        <v/>
      </c>
      <c r="Y228" s="10" t="inlineStr">
        <is>
          <t>D</t>
        </is>
      </c>
      <c r="Z228" s="60" t="n"/>
      <c r="AA228" s="230" t="n"/>
      <c r="AB228" s="14" t="inlineStr">
        <is>
          <t>No</t>
        </is>
      </c>
      <c r="AC228" s="29" t="inlineStr">
        <is>
          <t>LEM marketing.</t>
        </is>
      </c>
      <c r="AF228" s="278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8" t="n">
        <v>45357</v>
      </c>
      <c r="M229" s="9" t="n">
        <v>47182</v>
      </c>
      <c r="Q229" s="10" t="n">
        <v>137025</v>
      </c>
      <c r="R229" s="10">
        <f>Q229</f>
        <v/>
      </c>
      <c r="T229" s="10" t="n">
        <v>121800</v>
      </c>
      <c r="U229" s="10">
        <f>T229</f>
        <v/>
      </c>
      <c r="V229" s="27" t="n">
        <v>137025</v>
      </c>
      <c r="W229" s="10">
        <f>V229</f>
        <v/>
      </c>
      <c r="X229" s="277">
        <f>T229/H229</f>
        <v/>
      </c>
      <c r="Y229" s="10" t="inlineStr">
        <is>
          <t>B</t>
        </is>
      </c>
      <c r="Z229" s="60" t="n"/>
      <c r="AA229" s="230" t="n"/>
      <c r="AB229" s="14" t="inlineStr">
        <is>
          <t>No</t>
        </is>
      </c>
      <c r="AF229" s="278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9" t="n"/>
      <c r="N230" s="9" t="n">
        <v>45596</v>
      </c>
      <c r="Q230" s="10" t="n">
        <v>0</v>
      </c>
      <c r="R230" s="10">
        <f>Q230</f>
        <v/>
      </c>
      <c r="T230" s="10" t="n">
        <v>117300</v>
      </c>
      <c r="U230" s="10">
        <f>T230</f>
        <v/>
      </c>
      <c r="V230" s="27" t="n">
        <v>129500</v>
      </c>
      <c r="W230" s="10">
        <f>V230</f>
        <v/>
      </c>
      <c r="X230" s="277">
        <f>T230/H230</f>
        <v/>
      </c>
      <c r="Y230" s="10" t="inlineStr">
        <is>
          <t>D</t>
        </is>
      </c>
      <c r="Z230" s="60" t="n"/>
      <c r="AA230" s="230" t="n"/>
      <c r="AB230" s="14" t="inlineStr">
        <is>
          <t>No</t>
        </is>
      </c>
      <c r="AC230" s="29" t="inlineStr">
        <is>
          <t>LEM marketing.</t>
        </is>
      </c>
      <c r="AD230" s="303" t="n">
        <v>72.5</v>
      </c>
      <c r="AF230" s="278" t="n">
        <v>2</v>
      </c>
      <c r="AG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5" t="inlineStr">
        <is>
          <t>Fifth Floor</t>
        </is>
      </c>
      <c r="G231" s="14" t="inlineStr">
        <is>
          <t>Recording Studio/ Office</t>
        </is>
      </c>
      <c r="H231" s="359" t="n">
        <v>1674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8" t="n">
        <v>44805</v>
      </c>
      <c r="M231" s="9" t="n">
        <v>46630</v>
      </c>
      <c r="P231" s="9" t="n">
        <v>45900</v>
      </c>
      <c r="Q231" s="10" t="n">
        <v>98280</v>
      </c>
      <c r="R231" s="10">
        <f>Q231</f>
        <v/>
      </c>
      <c r="T231" s="10" t="n">
        <v>100400</v>
      </c>
      <c r="U231" s="10">
        <f>T231</f>
        <v/>
      </c>
      <c r="V231" s="27" t="n">
        <v>113000</v>
      </c>
      <c r="W231" s="10">
        <f>V231</f>
        <v/>
      </c>
      <c r="X231" s="277">
        <f>T231/H231</f>
        <v/>
      </c>
      <c r="Y231" s="27" t="inlineStr">
        <is>
          <t>B</t>
        </is>
      </c>
      <c r="Z231" s="60" t="n"/>
      <c r="AA231" s="230" t="n"/>
      <c r="AB231" s="14" t="inlineStr">
        <is>
          <t>No</t>
        </is>
      </c>
      <c r="AC231" s="4" t="inlineStr">
        <is>
          <t>Tenant break on 6 months notice. 3 month rent free wef 01/09/25 to 30/11/25 granted to reflect cost of tenant installing air-con. Unit remeasured.</t>
        </is>
      </c>
      <c r="AF231" s="278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5" t="n"/>
      <c r="T232" s="10" t="n"/>
      <c r="U232" s="10" t="n"/>
      <c r="V232" s="27" t="n"/>
      <c r="W232" s="10" t="n"/>
      <c r="X232" s="10" t="n"/>
      <c r="Y232" s="10" t="n"/>
      <c r="Z232" s="60" t="n"/>
      <c r="AA232" s="230" t="n"/>
      <c r="AB232" s="14" t="n"/>
      <c r="AF232" s="278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0" t="inlineStr">
        <is>
          <t>14/18 Great Titchfield Street</t>
        </is>
      </c>
      <c r="H233" s="361">
        <f>SUM(H225:H231)</f>
        <v/>
      </c>
      <c r="I233" s="19" t="n"/>
      <c r="J233" s="19" t="n"/>
      <c r="Q233" s="19">
        <f>SUM(Q225:Q231)</f>
        <v/>
      </c>
      <c r="R233" s="19" t="n"/>
      <c r="S233" s="19">
        <f>SUM(R223:R232)</f>
        <v/>
      </c>
      <c r="T233" s="18">
        <f>SUM(T225:T231)</f>
        <v/>
      </c>
      <c r="U233" s="19" t="n"/>
      <c r="V233" s="361">
        <f>SUM(V225:V231)</f>
        <v/>
      </c>
      <c r="W233" s="19" t="n"/>
      <c r="X233" s="19" t="n"/>
      <c r="Y233" s="19" t="n"/>
      <c r="Z233" s="61" t="n"/>
      <c r="AA233" s="36" t="n">
        <v>11125000</v>
      </c>
      <c r="AB233" s="14" t="n"/>
      <c r="AE233" s="29" t="n"/>
      <c r="AF233" s="279" t="n"/>
      <c r="AG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19" t="n"/>
      <c r="J234" s="19" t="n"/>
      <c r="Q234" s="19" t="n"/>
      <c r="R234" s="19" t="n"/>
      <c r="S234" s="19" t="n"/>
      <c r="T234" s="19" t="n"/>
      <c r="U234" s="19" t="n"/>
      <c r="V234" s="36" t="n"/>
      <c r="W234" s="19" t="n"/>
      <c r="X234" s="19" t="n"/>
      <c r="Y234" s="19" t="n"/>
      <c r="Z234" s="61" t="n"/>
      <c r="AA234" s="362" t="n"/>
      <c r="AB234" s="14" t="n"/>
      <c r="AF234" s="278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10" t="n"/>
      <c r="J235" s="10" t="n"/>
      <c r="K235" s="30" t="n"/>
      <c r="P235" s="144" t="n"/>
      <c r="T235" s="11" t="n"/>
      <c r="U235" s="10" t="n"/>
      <c r="W235" s="10" t="n"/>
      <c r="X235" s="10" t="n"/>
      <c r="Y235" s="10" t="n"/>
      <c r="Z235" s="60" t="n"/>
      <c r="AA235" s="230" t="n"/>
      <c r="AB235" s="14" t="n"/>
      <c r="AF235" s="278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10" t="n"/>
      <c r="J236" s="10" t="n"/>
      <c r="P236" s="358" t="n"/>
      <c r="T236" s="10" t="n"/>
      <c r="U236" s="10" t="n"/>
      <c r="V236" s="27" t="n"/>
      <c r="W236" s="10" t="n"/>
      <c r="X236" s="10" t="n"/>
      <c r="Y236" s="10" t="n"/>
      <c r="Z236" s="60" t="n"/>
      <c r="AA236" s="230" t="n"/>
      <c r="AB236" s="14" t="n"/>
      <c r="AF236" s="278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4" t="inlineStr">
        <is>
          <t>Dal Fiorentino Ltd</t>
        </is>
      </c>
      <c r="L237" s="8" t="n">
        <v>45504</v>
      </c>
      <c r="M237" s="9" t="n">
        <v>47329</v>
      </c>
      <c r="P237" s="9" t="n">
        <v>46599</v>
      </c>
      <c r="Q237" s="10" t="n">
        <v>65000</v>
      </c>
      <c r="R237" s="10">
        <f>Q237</f>
        <v/>
      </c>
      <c r="T237" s="10" t="n">
        <v>50400</v>
      </c>
      <c r="U237" s="10">
        <f>T237</f>
        <v/>
      </c>
      <c r="V237" s="27" t="n">
        <v>63500</v>
      </c>
      <c r="W237" s="10">
        <f>V237</f>
        <v/>
      </c>
      <c r="X237" s="277">
        <f>T237/H237</f>
        <v/>
      </c>
      <c r="Y237" s="10" t="inlineStr">
        <is>
          <t>C</t>
        </is>
      </c>
      <c r="Z237" s="60" t="n"/>
      <c r="AA237" s="230" t="n"/>
      <c r="AB237" s="14" t="inlineStr">
        <is>
          <t>No</t>
        </is>
      </c>
      <c r="AC237" s="4" t="inlineStr">
        <is>
          <t>Tenant break on 6 months notice.</t>
        </is>
      </c>
      <c r="AE237" s="29" t="n"/>
      <c r="AF237" s="279" t="n"/>
      <c r="AG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5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8" t="n">
        <v>45439</v>
      </c>
      <c r="M238" s="9" t="n">
        <v>47264</v>
      </c>
      <c r="Q238" s="10" t="n">
        <v>16000</v>
      </c>
      <c r="R238" s="10">
        <f>Q238</f>
        <v/>
      </c>
      <c r="T238" s="10" t="n">
        <v>13100</v>
      </c>
      <c r="U238" s="10">
        <f>T238</f>
        <v/>
      </c>
      <c r="V238" s="27" t="n">
        <v>14600</v>
      </c>
      <c r="W238" s="10">
        <f>V238</f>
        <v/>
      </c>
      <c r="X238" s="277">
        <f>T238/H238</f>
        <v/>
      </c>
      <c r="Y238" s="10" t="inlineStr">
        <is>
          <t>C</t>
        </is>
      </c>
      <c r="Z238" s="60" t="n"/>
      <c r="AA238" s="230" t="n"/>
      <c r="AB238" s="14" t="inlineStr">
        <is>
          <t>No</t>
        </is>
      </c>
      <c r="AC238" s="13" t="n"/>
      <c r="AE238" s="13" t="n"/>
      <c r="AF238" s="282" t="n"/>
      <c r="AG238" s="13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8" t="n">
        <v>44515</v>
      </c>
      <c r="M239" s="9" t="n">
        <v>46340</v>
      </c>
      <c r="Q239" s="10" t="n">
        <v>48000</v>
      </c>
      <c r="R239" s="10">
        <f>Q239</f>
        <v/>
      </c>
      <c r="T239" s="10" t="n">
        <v>48000</v>
      </c>
      <c r="U239" s="10">
        <f>T239</f>
        <v/>
      </c>
      <c r="V239" s="27" t="n">
        <v>48000</v>
      </c>
      <c r="W239" s="10">
        <f>V239</f>
        <v/>
      </c>
      <c r="X239" s="277">
        <f>T239/H239</f>
        <v/>
      </c>
      <c r="Y239" s="10" t="inlineStr">
        <is>
          <t>D</t>
        </is>
      </c>
      <c r="Z239" s="60" t="n"/>
      <c r="AA239" s="230" t="n"/>
      <c r="AB239" s="14" t="inlineStr">
        <is>
          <t>No</t>
        </is>
      </c>
      <c r="AF239" s="278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8" t="n">
        <v>45709</v>
      </c>
      <c r="M240" s="9" t="n">
        <v>47066</v>
      </c>
      <c r="Q240" s="10" t="n">
        <v>25310</v>
      </c>
      <c r="R240" s="10">
        <f>Q240</f>
        <v/>
      </c>
      <c r="T240" s="10" t="n">
        <v>28000</v>
      </c>
      <c r="U240" s="10">
        <f>T240</f>
        <v/>
      </c>
      <c r="V240" s="27" t="n">
        <v>20000</v>
      </c>
      <c r="W240" s="10">
        <f>V240</f>
        <v/>
      </c>
      <c r="X240" s="277">
        <f>T240/H240</f>
        <v/>
      </c>
      <c r="Y240" s="27" t="inlineStr">
        <is>
          <t>B</t>
        </is>
      </c>
      <c r="Z240" s="60" t="n"/>
      <c r="AA240" s="230" t="n"/>
      <c r="AB240" s="14" t="inlineStr">
        <is>
          <t>No</t>
        </is>
      </c>
      <c r="AC240" s="4" t="inlineStr">
        <is>
          <t>All inclusive excluding rates.</t>
        </is>
      </c>
      <c r="AF240" s="278" t="n">
        <v>1</v>
      </c>
      <c r="AG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8" t="n">
        <v>45624</v>
      </c>
      <c r="M241" s="9" t="n">
        <v>47449</v>
      </c>
      <c r="P241" s="9" t="n">
        <v>46718</v>
      </c>
      <c r="Q241" s="10" t="n">
        <v>40200</v>
      </c>
      <c r="R241" s="10">
        <f>Q241</f>
        <v/>
      </c>
      <c r="T241" s="10" t="n">
        <v>73700</v>
      </c>
      <c r="U241" s="10">
        <f>T241</f>
        <v/>
      </c>
      <c r="V241" s="27" t="n">
        <v>80400</v>
      </c>
      <c r="W241" s="10">
        <f>V241</f>
        <v/>
      </c>
      <c r="X241" s="277">
        <f>T241/H241</f>
        <v/>
      </c>
      <c r="Y241" s="27" t="inlineStr">
        <is>
          <t>B</t>
        </is>
      </c>
      <c r="Z241" s="60" t="n"/>
      <c r="AA241" s="230" t="n"/>
      <c r="AB241" s="14" t="inlineStr">
        <is>
          <t>No</t>
        </is>
      </c>
      <c r="AC241" s="4" t="inlineStr">
        <is>
          <t>Rent increases to £80,400 wef 28/11/25. Tenant break on 6 months notice.</t>
        </is>
      </c>
      <c r="AF241" s="278" t="n">
        <v>1</v>
      </c>
      <c r="AG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9" t="n">
        <v>44536</v>
      </c>
      <c r="Q242" s="10" t="n">
        <v>0</v>
      </c>
      <c r="R242" s="10">
        <f>Q242</f>
        <v/>
      </c>
      <c r="T242" s="10" t="n">
        <v>28900</v>
      </c>
      <c r="U242" s="10">
        <f>T242</f>
        <v/>
      </c>
      <c r="V242" s="27" t="n">
        <v>30600</v>
      </c>
      <c r="W242" s="10">
        <f>V242</f>
        <v/>
      </c>
      <c r="X242" s="277">
        <f>T242/H242</f>
        <v/>
      </c>
      <c r="Y242" s="10" t="inlineStr">
        <is>
          <t>C</t>
        </is>
      </c>
      <c r="Z242" s="60" t="n"/>
      <c r="AA242" s="230" t="n"/>
      <c r="AB242" s="14" t="inlineStr">
        <is>
          <t>No</t>
        </is>
      </c>
      <c r="AC242" s="29" t="inlineStr">
        <is>
          <t>Refurbishement completed. LEM marketing.</t>
        </is>
      </c>
      <c r="AF242" s="278" t="n"/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8" t="n">
        <v>44490</v>
      </c>
      <c r="M243" s="9" t="n">
        <v>45930</v>
      </c>
      <c r="O243" s="9" t="n">
        <v>45258</v>
      </c>
      <c r="Q243" s="10" t="n">
        <v>78800</v>
      </c>
      <c r="R243" s="10">
        <f>Q243</f>
        <v/>
      </c>
      <c r="T243" s="10" t="n">
        <v>79100</v>
      </c>
      <c r="U243" s="10">
        <f>T243</f>
        <v/>
      </c>
      <c r="V243" s="27" t="n">
        <v>87800</v>
      </c>
      <c r="W243" s="10">
        <f>V243</f>
        <v/>
      </c>
      <c r="X243" s="277">
        <f>T243/H243</f>
        <v/>
      </c>
      <c r="Y243" s="10" t="inlineStr">
        <is>
          <t>C</t>
        </is>
      </c>
      <c r="Z243" s="60" t="n"/>
      <c r="AA243" s="230" t="n"/>
      <c r="AB243" s="14" t="inlineStr">
        <is>
          <t>No</t>
        </is>
      </c>
      <c r="AF243" s="278" t="n"/>
    </row>
    <row r="244" ht="22.5" customFormat="1" customHeight="1" s="55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8" t="n">
        <v>45259</v>
      </c>
      <c r="M244" s="9" t="n">
        <v>45930</v>
      </c>
      <c r="N244" s="9" t="n"/>
      <c r="O244" s="9" t="n"/>
      <c r="P244" s="9" t="n">
        <v>45930</v>
      </c>
      <c r="Q244" s="10" t="n">
        <v>78800</v>
      </c>
      <c r="R244" s="10">
        <f>Q244</f>
        <v/>
      </c>
      <c r="S244" s="10" t="n"/>
      <c r="T244" s="10" t="n">
        <v>79600</v>
      </c>
      <c r="U244" s="10">
        <f>T244</f>
        <v/>
      </c>
      <c r="V244" s="27" t="n">
        <v>87800</v>
      </c>
      <c r="W244" s="10">
        <f>V244</f>
        <v/>
      </c>
      <c r="X244" s="277">
        <f>T244/H244</f>
        <v/>
      </c>
      <c r="Y244" s="10" t="inlineStr">
        <is>
          <t>C</t>
        </is>
      </c>
      <c r="Z244" s="60" t="n"/>
      <c r="AA244" s="230" t="n"/>
      <c r="AB244" s="14" t="inlineStr">
        <is>
          <t>No</t>
        </is>
      </c>
      <c r="AC244" s="4" t="inlineStr">
        <is>
          <t>Tenant break on 6 months notice. Tenant break exercised. Lease to end on 30/09/25 if conditions met.</t>
        </is>
      </c>
      <c r="AD244" s="303" t="n"/>
      <c r="AE244" s="4" t="n"/>
      <c r="AF244" s="278" t="n"/>
      <c r="AG244" s="4" t="n"/>
    </row>
    <row r="245" ht="28.5" customFormat="1" customHeight="1" s="55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8" t="n">
        <v>45762</v>
      </c>
      <c r="M245" s="9" t="n">
        <v>47587</v>
      </c>
      <c r="N245" s="9" t="n"/>
      <c r="O245" s="9" t="n"/>
      <c r="P245" s="9" t="n">
        <v>46857</v>
      </c>
      <c r="Q245" s="10" t="n">
        <v>86450</v>
      </c>
      <c r="R245" s="10">
        <f>Q245</f>
        <v/>
      </c>
      <c r="S245" s="10" t="n"/>
      <c r="T245" s="10" t="n">
        <v>78200</v>
      </c>
      <c r="U245" s="10">
        <f>T245</f>
        <v/>
      </c>
      <c r="V245" s="27" t="n">
        <v>86500</v>
      </c>
      <c r="W245" s="10">
        <f>V245</f>
        <v/>
      </c>
      <c r="X245" s="277">
        <f>T245/H245</f>
        <v/>
      </c>
      <c r="Y245" s="10" t="inlineStr">
        <is>
          <t>B</t>
        </is>
      </c>
      <c r="Z245" s="60" t="n"/>
      <c r="AA245" s="230" t="n"/>
      <c r="AB245" s="14" t="inlineStr">
        <is>
          <t>No</t>
        </is>
      </c>
      <c r="AC245" s="4" t="inlineStr">
        <is>
          <t>Tenant break on 6 months notice.</t>
        </is>
      </c>
      <c r="AD245" s="303" t="n">
        <v>63</v>
      </c>
      <c r="AE245" s="4" t="n"/>
      <c r="AF245" s="278" t="n">
        <v>4</v>
      </c>
      <c r="AG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10" t="n"/>
      <c r="J246" s="10" t="n"/>
      <c r="T246" s="10" t="n"/>
      <c r="U246" s="10" t="n"/>
      <c r="V246" s="27" t="n"/>
      <c r="W246" s="10" t="n"/>
      <c r="X246" s="10" t="n"/>
      <c r="Y246" s="10" t="n"/>
      <c r="Z246" s="60" t="n"/>
      <c r="AA246" s="230" t="n"/>
      <c r="AB246" s="14" t="n"/>
      <c r="AF246" s="278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0" t="inlineStr">
        <is>
          <t>15/19 Great Titchfield Street</t>
        </is>
      </c>
      <c r="H247" s="18">
        <f>SUM(H237:H245)</f>
        <v/>
      </c>
      <c r="I247" s="19" t="n"/>
      <c r="J247" s="19" t="n"/>
      <c r="Q247" s="19">
        <f>SUM(Q237:Q245)</f>
        <v/>
      </c>
      <c r="R247" s="19" t="n"/>
      <c r="S247" s="19">
        <f>SUM(R236:R246)</f>
        <v/>
      </c>
      <c r="T247" s="19">
        <f>SUM(T237:T245)</f>
        <v/>
      </c>
      <c r="U247" s="19" t="n"/>
      <c r="V247" s="36">
        <f>SUM(V237:V245)</f>
        <v/>
      </c>
      <c r="W247" s="19" t="n"/>
      <c r="X247" s="19" t="n"/>
      <c r="Y247" s="19" t="n"/>
      <c r="Z247" s="61" t="n"/>
      <c r="AA247" s="36" t="n">
        <v>7475000</v>
      </c>
      <c r="AB247" s="14" t="n"/>
      <c r="AE247" s="29" t="n"/>
      <c r="AF247" s="279" t="n"/>
      <c r="AG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0" t="n"/>
      <c r="H248" s="18" t="n"/>
      <c r="I248" s="19" t="n"/>
      <c r="J248" s="19" t="n"/>
      <c r="Q248" s="19" t="n"/>
      <c r="R248" s="19" t="n"/>
      <c r="S248" s="19" t="n"/>
      <c r="T248" s="19" t="n"/>
      <c r="U248" s="19" t="n"/>
      <c r="V248" s="36" t="n"/>
      <c r="W248" s="19" t="n"/>
      <c r="X248" s="19" t="n"/>
      <c r="Y248" s="19" t="n"/>
      <c r="Z248" s="61" t="n"/>
      <c r="AA248" s="362" t="n"/>
      <c r="AB248" s="14" t="n"/>
      <c r="AF248" s="278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0" t="n"/>
      <c r="G249" s="6" t="inlineStr">
        <is>
          <t>Circus House,  21 Great Titchfield Street</t>
        </is>
      </c>
      <c r="H249" s="18" t="n"/>
      <c r="I249" s="19" t="n"/>
      <c r="J249" s="19" t="n"/>
      <c r="Q249" s="19" t="n"/>
      <c r="R249" s="19" t="n"/>
      <c r="S249" s="19" t="n"/>
      <c r="T249" s="19" t="n"/>
      <c r="U249" s="19" t="n"/>
      <c r="V249" s="36" t="n"/>
      <c r="W249" s="19" t="n"/>
      <c r="X249" s="19" t="n"/>
      <c r="Y249" s="19" t="n"/>
      <c r="Z249" s="61" t="n"/>
      <c r="AA249" s="362" t="n"/>
      <c r="AB249" s="14" t="n"/>
      <c r="AF249" s="278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10" t="n"/>
      <c r="J250" s="10" t="n"/>
      <c r="T250" s="10" t="n"/>
      <c r="U250" s="10" t="n"/>
      <c r="V250" s="27" t="n"/>
      <c r="W250" s="10" t="n"/>
      <c r="X250" s="10" t="n"/>
      <c r="Y250" s="10" t="n"/>
      <c r="Z250" s="60" t="n"/>
      <c r="AA250" s="230" t="n"/>
      <c r="AB250" s="14" t="n"/>
      <c r="AF250" s="278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8" t="n">
        <v>44348</v>
      </c>
      <c r="M251" s="9" t="n">
        <v>47999</v>
      </c>
      <c r="O251" s="9" t="n">
        <v>46174</v>
      </c>
      <c r="P251" s="9" t="n">
        <v>46173</v>
      </c>
      <c r="Q251" s="10" t="n">
        <v>75000</v>
      </c>
      <c r="R251" s="10">
        <f>Q251</f>
        <v/>
      </c>
      <c r="T251" s="10" t="n">
        <v>75800</v>
      </c>
      <c r="U251" s="10">
        <f>T251</f>
        <v/>
      </c>
      <c r="V251" s="27" t="n">
        <v>75000</v>
      </c>
      <c r="W251" s="10">
        <f>V251</f>
        <v/>
      </c>
      <c r="X251" s="277">
        <f>T251/H251</f>
        <v/>
      </c>
      <c r="Y251" s="10" t="inlineStr">
        <is>
          <t>B</t>
        </is>
      </c>
      <c r="Z251" s="60" t="n"/>
      <c r="AA251" s="230" t="n"/>
      <c r="AB251" s="14" t="inlineStr">
        <is>
          <t>No</t>
        </is>
      </c>
      <c r="AC251" s="4" t="inlineStr">
        <is>
          <t>Tenant break on 6 months notice. Rent free 01/06/26 to 31/08/26 if not exercised. Landlord rolling break from 07/10/25.</t>
        </is>
      </c>
      <c r="AF251" s="278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9" t="n">
        <v>45154</v>
      </c>
      <c r="Q252" s="10" t="n">
        <v>0</v>
      </c>
      <c r="R252" s="10">
        <f>Q252</f>
        <v/>
      </c>
      <c r="T252" s="10" t="n">
        <v>113900</v>
      </c>
      <c r="U252" s="10">
        <f>T252</f>
        <v/>
      </c>
      <c r="V252" s="27" t="n">
        <v>116800</v>
      </c>
      <c r="W252" s="10">
        <f>V252</f>
        <v/>
      </c>
      <c r="X252" s="277">
        <f>T252/H252</f>
        <v/>
      </c>
      <c r="Y252" s="10" t="inlineStr">
        <is>
          <t>E</t>
        </is>
      </c>
      <c r="Z252" s="60" t="n"/>
      <c r="AA252" s="230" t="n"/>
      <c r="AB252" s="14" t="inlineStr">
        <is>
          <t>No</t>
        </is>
      </c>
      <c r="AC252" s="4" t="inlineStr">
        <is>
          <t>Unit under offer.</t>
        </is>
      </c>
      <c r="AD252" s="303" t="n">
        <v>60</v>
      </c>
      <c r="AF252" s="278" t="n">
        <v>6</v>
      </c>
      <c r="AG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8" t="n">
        <v>44839</v>
      </c>
      <c r="M253" s="9" t="n">
        <v>46664</v>
      </c>
      <c r="P253" s="9" t="n">
        <v>45935</v>
      </c>
      <c r="Q253" s="10" t="n">
        <v>153216</v>
      </c>
      <c r="R253" s="10">
        <f>Q253</f>
        <v/>
      </c>
      <c r="T253" s="10" t="n">
        <v>153600</v>
      </c>
      <c r="U253" s="10">
        <f>T253</f>
        <v/>
      </c>
      <c r="V253" s="27" t="n">
        <v>151900</v>
      </c>
      <c r="W253" s="10">
        <f>V253</f>
        <v/>
      </c>
      <c r="X253" s="277">
        <f>T253/H253</f>
        <v/>
      </c>
      <c r="Y253" s="10" t="inlineStr">
        <is>
          <t>D</t>
        </is>
      </c>
      <c r="Z253" s="60" t="n"/>
      <c r="AA253" s="230" t="n"/>
      <c r="AB253" s="14" t="inlineStr">
        <is>
          <t>No</t>
        </is>
      </c>
      <c r="AC253" s="4" t="inlineStr">
        <is>
          <t>Rent reducing to £134,064 wef 05/10/25. Tenant break on 6 months notice.</t>
        </is>
      </c>
      <c r="AF253" s="278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8" t="n">
        <v>44879</v>
      </c>
      <c r="M254" s="9" t="n">
        <v>46704</v>
      </c>
      <c r="P254" s="9" t="n">
        <v>45974</v>
      </c>
      <c r="Q254" s="10" t="n">
        <v>310500</v>
      </c>
      <c r="R254" s="10">
        <f>Q254</f>
        <v/>
      </c>
      <c r="T254" s="10" t="n">
        <v>310800</v>
      </c>
      <c r="U254" s="10">
        <f>T254</f>
        <v/>
      </c>
      <c r="V254" s="27" t="n">
        <v>316400</v>
      </c>
      <c r="W254" s="10">
        <f>V254</f>
        <v/>
      </c>
      <c r="X254" s="277">
        <f>T254/H254</f>
        <v/>
      </c>
      <c r="Y254" s="10" t="inlineStr">
        <is>
          <t>D</t>
        </is>
      </c>
      <c r="Z254" s="60" t="n"/>
      <c r="AA254" s="230" t="n"/>
      <c r="AB254" s="14" t="inlineStr">
        <is>
          <t>No</t>
        </is>
      </c>
      <c r="AC254" s="4" t="inlineStr">
        <is>
          <t>Tenant break on 6 months notice. 3 months rent free if not exercised. Break notice served. Ongoing discussions regarding renewal of one floor.</t>
        </is>
      </c>
      <c r="AF254" s="278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8" t="n">
        <v>44883</v>
      </c>
      <c r="M255" s="9" t="n">
        <v>47074</v>
      </c>
      <c r="Q255" s="10" t="n">
        <v>151875</v>
      </c>
      <c r="R255" s="10">
        <f>Q255</f>
        <v/>
      </c>
      <c r="T255" s="10" t="n">
        <v>152900</v>
      </c>
      <c r="U255" s="10">
        <f>T255</f>
        <v/>
      </c>
      <c r="V255" s="27" t="n">
        <v>157500</v>
      </c>
      <c r="W255" s="10">
        <f>V255</f>
        <v/>
      </c>
      <c r="X255" s="277">
        <f>T255/H255</f>
        <v/>
      </c>
      <c r="Y255" s="10" t="inlineStr">
        <is>
          <t>E</t>
        </is>
      </c>
      <c r="Z255" s="60" t="n"/>
      <c r="AA255" s="230" t="n"/>
      <c r="AB255" s="14" t="inlineStr">
        <is>
          <t>No</t>
        </is>
      </c>
      <c r="AC255" s="4" t="inlineStr">
        <is>
          <t>Rent free wef 18/11/25 to 17/05/26</t>
        </is>
      </c>
      <c r="AF255" s="278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8" t="n">
        <v>44470</v>
      </c>
      <c r="M256" s="9" t="n">
        <v>46295</v>
      </c>
      <c r="Q256" s="10" t="n">
        <v>120750</v>
      </c>
      <c r="R256" s="10">
        <f>Q256</f>
        <v/>
      </c>
      <c r="T256" s="10" t="n">
        <v>141800</v>
      </c>
      <c r="U256" s="10">
        <f>T256</f>
        <v/>
      </c>
      <c r="V256" s="27" t="n">
        <v>142500</v>
      </c>
      <c r="W256" s="10">
        <f>V256</f>
        <v/>
      </c>
      <c r="X256" s="277">
        <f>T256/H256</f>
        <v/>
      </c>
      <c r="Y256" s="10" t="inlineStr">
        <is>
          <t>E</t>
        </is>
      </c>
      <c r="Z256" s="60" t="n"/>
      <c r="AA256" s="230" t="n"/>
      <c r="AB256" s="14" t="inlineStr">
        <is>
          <t>No</t>
        </is>
      </c>
      <c r="AF256" s="278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10" t="n"/>
      <c r="J257" s="10" t="n"/>
      <c r="T257" s="10" t="n"/>
      <c r="U257" s="10" t="n"/>
      <c r="V257" s="27" t="n"/>
      <c r="W257" s="10" t="n"/>
      <c r="X257" s="10" t="n"/>
      <c r="Y257" s="10" t="n"/>
      <c r="Z257" s="60" t="n"/>
      <c r="AA257" s="230" t="n"/>
      <c r="AB257" s="14" t="n"/>
      <c r="AF257" s="278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0" t="inlineStr">
        <is>
          <t>21 Great Titchfield Street</t>
        </is>
      </c>
      <c r="H258" s="18">
        <f>SUM(H251:H256)</f>
        <v/>
      </c>
      <c r="I258" s="19" t="n"/>
      <c r="J258" s="19" t="n"/>
      <c r="Q258" s="19">
        <f>SUM(Q251:Q256)</f>
        <v/>
      </c>
      <c r="R258" s="19" t="n"/>
      <c r="S258" s="19">
        <f>SUM(R250:R257)</f>
        <v/>
      </c>
      <c r="T258" s="18">
        <f>SUM(T251:T256)</f>
        <v/>
      </c>
      <c r="U258" s="19" t="n"/>
      <c r="V258" s="361">
        <f>SUM(V251:V256)</f>
        <v/>
      </c>
      <c r="W258" s="19" t="n"/>
      <c r="X258" s="19" t="n"/>
      <c r="Y258" s="19" t="n"/>
      <c r="Z258" s="61" t="n"/>
      <c r="AA258" s="36" t="n">
        <v>14625000</v>
      </c>
      <c r="AB258" s="14" t="n"/>
      <c r="AE258" s="29" t="n"/>
      <c r="AF258" s="279" t="n"/>
      <c r="AG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19" t="n"/>
      <c r="J259" s="19" t="n"/>
      <c r="Q259" s="19" t="n"/>
      <c r="R259" s="19" t="n"/>
      <c r="S259" s="19" t="n"/>
      <c r="T259" s="19" t="n"/>
      <c r="U259" s="19" t="n"/>
      <c r="V259" s="36" t="n"/>
      <c r="W259" s="19" t="n"/>
      <c r="X259" s="19" t="n"/>
      <c r="Y259" s="19" t="n"/>
      <c r="Z259" s="61" t="n"/>
      <c r="AA259" s="362" t="n"/>
      <c r="AB259" s="14" t="n"/>
      <c r="AF259" s="278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10" t="n"/>
      <c r="J260" s="10" t="n"/>
      <c r="K260" s="30" t="n"/>
      <c r="T260" s="11" t="n"/>
      <c r="U260" s="10" t="n"/>
      <c r="W260" s="10" t="n"/>
      <c r="X260" s="10" t="n"/>
      <c r="Y260" s="10" t="n"/>
      <c r="Z260" s="60" t="n"/>
      <c r="AA260" s="230" t="n"/>
      <c r="AB260" s="14" t="n"/>
      <c r="AF260" s="278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10" t="n"/>
      <c r="J261" s="10" t="n"/>
      <c r="K261" s="133" t="n"/>
      <c r="L261" s="21" t="n"/>
      <c r="M261" s="21" t="n"/>
      <c r="N261" s="21" t="n"/>
      <c r="T261" s="10" t="n"/>
      <c r="U261" s="10" t="n"/>
      <c r="V261" s="27" t="n"/>
      <c r="W261" s="10" t="n"/>
      <c r="X261" s="10" t="n"/>
      <c r="Y261" s="10" t="n"/>
      <c r="Z261" s="60" t="n"/>
      <c r="AA261" s="230" t="n"/>
      <c r="AB261" s="14" t="n"/>
      <c r="AF261" s="278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8" t="n">
        <v>44941</v>
      </c>
      <c r="M262" s="9" t="n">
        <v>47057</v>
      </c>
      <c r="Q262" s="10" t="n">
        <v>80000</v>
      </c>
      <c r="R262" s="10">
        <f>Q262</f>
        <v/>
      </c>
      <c r="T262" s="10" t="n">
        <v>80000</v>
      </c>
      <c r="U262" s="10">
        <f>T262</f>
        <v/>
      </c>
      <c r="V262" s="27" t="n">
        <v>70000</v>
      </c>
      <c r="W262" s="10">
        <f>V262</f>
        <v/>
      </c>
      <c r="X262" s="277">
        <f>T262/H262</f>
        <v/>
      </c>
      <c r="Y262" s="10" t="inlineStr">
        <is>
          <t>D</t>
        </is>
      </c>
      <c r="Z262" s="60" t="n"/>
      <c r="AA262" s="230" t="n"/>
      <c r="AB262" s="14" t="inlineStr">
        <is>
          <t>No</t>
        </is>
      </c>
      <c r="AC262" s="4" t="inlineStr">
        <is>
          <t>Fixed increases 01/05/26 wef £85,000, 01/05/27 wef £90,000 and 01/05/28 wef £95,000.</t>
        </is>
      </c>
      <c r="AF262" s="278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5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8" t="n">
        <v>45586</v>
      </c>
      <c r="M263" s="9" t="n">
        <v>46827</v>
      </c>
      <c r="P263" s="9" t="n">
        <v>46097</v>
      </c>
      <c r="Q263" s="10" t="n">
        <v>117500</v>
      </c>
      <c r="R263" s="10">
        <f>Q263</f>
        <v/>
      </c>
      <c r="T263" s="10" t="n">
        <v>115000</v>
      </c>
      <c r="U263" s="10">
        <f>T263</f>
        <v/>
      </c>
      <c r="V263" s="27" t="n">
        <v>115000</v>
      </c>
      <c r="W263" s="10">
        <f>V263</f>
        <v/>
      </c>
      <c r="X263" s="277">
        <f>T263/H263</f>
        <v/>
      </c>
      <c r="Y263" s="10" t="inlineStr">
        <is>
          <t>B</t>
        </is>
      </c>
      <c r="Z263" s="60" t="n"/>
      <c r="AA263" s="230" t="n"/>
      <c r="AB263" s="14" t="inlineStr">
        <is>
          <t>No</t>
        </is>
      </c>
      <c r="AC263" s="4" t="inlineStr">
        <is>
          <t>Tenant break on 6 months notice.</t>
        </is>
      </c>
      <c r="AF263" s="278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8" t="n">
        <v>45687</v>
      </c>
      <c r="M264" s="9" t="n">
        <v>49338</v>
      </c>
      <c r="O264" s="9" t="n">
        <v>47513</v>
      </c>
      <c r="Q264" s="10" t="n">
        <v>59000</v>
      </c>
      <c r="R264" s="10">
        <f>Q264</f>
        <v/>
      </c>
      <c r="T264" s="10" t="n">
        <v>91000</v>
      </c>
      <c r="U264" s="10">
        <f>T264</f>
        <v/>
      </c>
      <c r="V264" s="27" t="n">
        <v>114800</v>
      </c>
      <c r="W264" s="10">
        <f>V264</f>
        <v/>
      </c>
      <c r="X264" s="277">
        <f>T264/H264</f>
        <v/>
      </c>
      <c r="Y264" s="10" t="inlineStr">
        <is>
          <t>D</t>
        </is>
      </c>
      <c r="Z264" s="60" t="n"/>
      <c r="AA264" s="230" t="n"/>
      <c r="AB264" s="14" t="inlineStr">
        <is>
          <t>No</t>
        </is>
      </c>
      <c r="AC264" s="4" t="inlineStr">
        <is>
          <t>Rent increasing to £118,000 wef 30/04/26.</t>
        </is>
      </c>
      <c r="AF264" s="278" t="n">
        <v>3</v>
      </c>
      <c r="AG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8" t="n">
        <v>44722</v>
      </c>
      <c r="M265" s="9" t="n">
        <v>48374</v>
      </c>
      <c r="O265" s="9" t="n">
        <v>46548</v>
      </c>
      <c r="P265" s="9" t="n">
        <v>46547</v>
      </c>
      <c r="Q265" s="10" t="n">
        <v>230000</v>
      </c>
      <c r="R265" s="10">
        <f>Q265</f>
        <v/>
      </c>
      <c r="T265" s="10" t="n">
        <v>230000</v>
      </c>
      <c r="U265" s="10">
        <f>T265</f>
        <v/>
      </c>
      <c r="V265" s="27" t="n">
        <v>230000</v>
      </c>
      <c r="W265" s="10">
        <f>V265</f>
        <v/>
      </c>
      <c r="X265" s="277">
        <f>T265/H265</f>
        <v/>
      </c>
      <c r="Y265" s="10" t="inlineStr">
        <is>
          <t>B</t>
        </is>
      </c>
      <c r="Z265" s="60" t="n"/>
      <c r="AA265" s="230" t="n"/>
      <c r="AB265" s="14" t="inlineStr">
        <is>
          <t>No</t>
        </is>
      </c>
      <c r="AC265" s="13" t="inlineStr">
        <is>
          <t xml:space="preserve">Tenant break on 6 months notice. </t>
        </is>
      </c>
      <c r="AE265" s="13" t="n"/>
      <c r="AF265" s="282" t="n"/>
      <c r="AG265" s="13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9" t="n">
        <v>44121</v>
      </c>
      <c r="Q266" s="10" t="n">
        <v>0</v>
      </c>
      <c r="R266" s="10">
        <f>Q266</f>
        <v/>
      </c>
      <c r="T266" s="10" t="n">
        <v>87800</v>
      </c>
      <c r="U266" s="10">
        <f>T266</f>
        <v/>
      </c>
      <c r="V266" s="27" t="n">
        <v>93800</v>
      </c>
      <c r="W266" s="10">
        <f>V266</f>
        <v/>
      </c>
      <c r="X266" s="277">
        <f>T266/H266</f>
        <v/>
      </c>
      <c r="Y266" s="10" t="inlineStr">
        <is>
          <t>D</t>
        </is>
      </c>
      <c r="Z266" s="60" t="n"/>
      <c r="AA266" s="230" t="n"/>
      <c r="AB266" s="14" t="inlineStr">
        <is>
          <t>No</t>
        </is>
      </c>
      <c r="AC266" s="4" t="inlineStr">
        <is>
          <t>To be refurbished.</t>
        </is>
      </c>
      <c r="AD266" s="303" t="n">
        <v>65</v>
      </c>
      <c r="AF266" s="278" t="n">
        <v>1</v>
      </c>
      <c r="AG266" s="4" t="inlineStr">
        <is>
          <t>LEM</t>
        </is>
      </c>
    </row>
    <row r="267" ht="22.5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4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29" t="inlineStr">
        <is>
          <t>Vacant</t>
        </is>
      </c>
      <c r="N267" s="387" t="n">
        <v>45845</v>
      </c>
      <c r="Q267" s="27" t="n">
        <v>0</v>
      </c>
      <c r="R267" s="10">
        <f>Q267</f>
        <v/>
      </c>
      <c r="T267" s="10" t="n">
        <v>151300</v>
      </c>
      <c r="U267" s="10">
        <f>T267</f>
        <v/>
      </c>
      <c r="V267" s="27" t="n">
        <v>185300</v>
      </c>
      <c r="W267" s="10">
        <f>V267</f>
        <v/>
      </c>
      <c r="X267" s="277">
        <f>T267/H267</f>
        <v/>
      </c>
      <c r="Y267" s="10" t="inlineStr">
        <is>
          <t>C</t>
        </is>
      </c>
      <c r="Z267" s="60" t="n"/>
      <c r="AA267" s="230" t="n"/>
      <c r="AB267" s="14" t="inlineStr">
        <is>
          <t>No</t>
        </is>
      </c>
      <c r="AC267" s="29" t="inlineStr">
        <is>
          <t>LEM marketing.</t>
        </is>
      </c>
      <c r="AF267" s="278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5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8" t="n">
        <v>44272</v>
      </c>
      <c r="M268" s="9" t="n">
        <v>46097</v>
      </c>
      <c r="Q268" s="10" t="n">
        <v>52200</v>
      </c>
      <c r="R268" s="10">
        <f>Q268</f>
        <v/>
      </c>
      <c r="T268" s="10" t="n">
        <v>54900</v>
      </c>
      <c r="U268" s="10">
        <f>T268</f>
        <v/>
      </c>
      <c r="V268" s="27" t="n">
        <v>31400</v>
      </c>
      <c r="W268" s="10">
        <f>V268</f>
        <v/>
      </c>
      <c r="X268" s="277">
        <f>T268/H268</f>
        <v/>
      </c>
      <c r="Y268" s="10" t="inlineStr">
        <is>
          <t>E</t>
        </is>
      </c>
      <c r="Z268" s="60" t="n"/>
      <c r="AA268" s="230" t="n"/>
      <c r="AB268" s="14" t="inlineStr">
        <is>
          <t>No</t>
        </is>
      </c>
      <c r="AF268" s="278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8" t="n">
        <v>45807</v>
      </c>
      <c r="M269" s="9" t="n">
        <v>47143</v>
      </c>
      <c r="P269" s="9" t="n">
        <v>46408</v>
      </c>
      <c r="Q269" s="10" t="n">
        <v>231000</v>
      </c>
      <c r="R269" s="10">
        <f>Q269</f>
        <v/>
      </c>
      <c r="T269" s="10" t="n">
        <v>193200</v>
      </c>
      <c r="U269" s="10">
        <f>T269</f>
        <v/>
      </c>
      <c r="V269" s="27" t="n">
        <v>231000</v>
      </c>
      <c r="W269" s="10">
        <f>V269</f>
        <v/>
      </c>
      <c r="X269" s="277">
        <f>T269/H269</f>
        <v/>
      </c>
      <c r="Y269" s="27" t="inlineStr">
        <is>
          <t>B</t>
        </is>
      </c>
      <c r="Z269" s="60" t="n"/>
      <c r="AA269" s="230" t="n"/>
      <c r="AB269" s="14" t="inlineStr">
        <is>
          <t>No</t>
        </is>
      </c>
      <c r="AC269" s="4" t="inlineStr">
        <is>
          <t>Tenant break on 6 months notice. 1 month rent free wef 22/01/27 if not exercised.</t>
        </is>
      </c>
      <c r="AF269" s="278" t="n"/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8" t="n">
        <v>45114</v>
      </c>
      <c r="M270" s="9" t="n">
        <v>46209</v>
      </c>
      <c r="Q270" s="10" t="n">
        <v>56225</v>
      </c>
      <c r="R270" s="10">
        <f>Q270</f>
        <v/>
      </c>
      <c r="T270" s="10" t="n">
        <v>52800</v>
      </c>
      <c r="U270" s="10">
        <f>T270</f>
        <v/>
      </c>
      <c r="V270" s="27" t="n">
        <v>58200</v>
      </c>
      <c r="W270" s="10">
        <f>V270</f>
        <v/>
      </c>
      <c r="X270" s="277">
        <f>T270/H270</f>
        <v/>
      </c>
      <c r="Y270" s="10" t="inlineStr">
        <is>
          <t>D</t>
        </is>
      </c>
      <c r="Z270" s="60" t="n"/>
      <c r="AA270" s="230" t="n"/>
      <c r="AB270" s="14" t="inlineStr">
        <is>
          <t>No</t>
        </is>
      </c>
      <c r="AC270" s="4" t="inlineStr">
        <is>
          <t xml:space="preserve">Rent free @ 07/07/25 to 20/09/25 if not exercised. </t>
        </is>
      </c>
      <c r="AF270" s="278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8" t="n">
        <v>43378</v>
      </c>
      <c r="M271" s="9" t="n">
        <v>47030</v>
      </c>
      <c r="O271" s="9" t="n">
        <v>45204</v>
      </c>
      <c r="Q271" s="10" t="n">
        <v>257635</v>
      </c>
      <c r="R271" s="10">
        <f>Q271</f>
        <v/>
      </c>
      <c r="T271" s="10" t="n">
        <v>264100</v>
      </c>
      <c r="U271" s="10">
        <f>T271</f>
        <v/>
      </c>
      <c r="V271" s="27" t="n">
        <v>281400</v>
      </c>
      <c r="W271" s="10">
        <f>V271</f>
        <v/>
      </c>
      <c r="X271" s="277">
        <f>T271/H271</f>
        <v/>
      </c>
      <c r="Y271" s="10" t="inlineStr">
        <is>
          <t>D</t>
        </is>
      </c>
      <c r="Z271" s="60" t="n"/>
      <c r="AA271" s="230" t="n"/>
      <c r="AB271" s="14" t="inlineStr">
        <is>
          <t>No</t>
        </is>
      </c>
      <c r="AC271" s="4" t="inlineStr">
        <is>
          <t>Landlords redevelopment break @ 04/10/26 on 9 months notice.</t>
        </is>
      </c>
      <c r="AF271" s="278" t="n"/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8" t="n">
        <v>45317</v>
      </c>
      <c r="M272" s="9" t="n">
        <v>47143</v>
      </c>
      <c r="P272" s="9" t="n">
        <v>46047</v>
      </c>
      <c r="Q272" s="10" t="n">
        <v>304500</v>
      </c>
      <c r="R272" s="10">
        <f>Q272</f>
        <v/>
      </c>
      <c r="T272" s="10" t="n">
        <v>255600</v>
      </c>
      <c r="U272" s="10">
        <f>T272</f>
        <v/>
      </c>
      <c r="V272" s="27" t="n">
        <v>304500</v>
      </c>
      <c r="W272" s="10">
        <f>V272</f>
        <v/>
      </c>
      <c r="X272" s="277">
        <f>T272/H272</f>
        <v/>
      </c>
      <c r="Y272" s="10" t="inlineStr">
        <is>
          <t>B</t>
        </is>
      </c>
      <c r="Z272" s="60" t="n"/>
      <c r="AA272" s="230" t="n"/>
      <c r="AB272" s="14" t="inlineStr">
        <is>
          <t>No</t>
        </is>
      </c>
      <c r="AC272" s="4" t="inlineStr">
        <is>
          <t>Tenant breaks @ 26/01/26 &amp; 21/01/27 on 3 months notice. One month rent free if not exercised.</t>
        </is>
      </c>
      <c r="AF272" s="278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8" t="n">
        <v>45086</v>
      </c>
      <c r="M273" s="9" t="n">
        <v>46912</v>
      </c>
      <c r="P273" s="9" t="n">
        <v>46181</v>
      </c>
      <c r="Q273" s="10" t="n">
        <v>225875</v>
      </c>
      <c r="R273" s="10">
        <f>Q273</f>
        <v/>
      </c>
      <c r="T273" s="10" t="n">
        <v>196883</v>
      </c>
      <c r="U273" s="10">
        <f>T273</f>
        <v/>
      </c>
      <c r="V273" s="27" t="n">
        <v>230500</v>
      </c>
      <c r="W273" s="10">
        <f>V273</f>
        <v/>
      </c>
      <c r="X273" s="277">
        <f>T273/H273</f>
        <v/>
      </c>
      <c r="Y273" s="10" t="inlineStr">
        <is>
          <t>D</t>
        </is>
      </c>
      <c r="Z273" s="60" t="n"/>
      <c r="AA273" s="230" t="n"/>
      <c r="AB273" s="14" t="inlineStr">
        <is>
          <t>No</t>
        </is>
      </c>
      <c r="AC273" s="4" t="inlineStr">
        <is>
          <t>Tenant break on 6 months notice. Rent free @ 09/06/26 to 23/09/26 if not exercised.</t>
        </is>
      </c>
      <c r="AF273" s="278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8" t="n">
        <v>45019</v>
      </c>
      <c r="M274" s="9" t="n">
        <v>46845</v>
      </c>
      <c r="P274" s="9" t="n">
        <v>46114</v>
      </c>
      <c r="Q274" s="10" t="n">
        <v>133250</v>
      </c>
      <c r="R274" s="10">
        <f>Q274</f>
        <v/>
      </c>
      <c r="T274" s="10" t="n">
        <v>135167</v>
      </c>
      <c r="U274" s="10">
        <f>T274</f>
        <v/>
      </c>
      <c r="V274" s="27" t="n">
        <v>152200</v>
      </c>
      <c r="W274" s="10">
        <f>V274</f>
        <v/>
      </c>
      <c r="X274" s="277">
        <f>T274/H274</f>
        <v/>
      </c>
      <c r="Y274" s="10" t="inlineStr">
        <is>
          <t>D</t>
        </is>
      </c>
      <c r="Z274" s="60" t="n"/>
      <c r="AA274" s="230" t="n"/>
      <c r="AB274" s="14" t="inlineStr">
        <is>
          <t>No</t>
        </is>
      </c>
      <c r="AC274" s="4" t="inlineStr">
        <is>
          <t>Tenant break on 6 months notice. Rent reduces to £66,625 for 2 months if not exercised.</t>
        </is>
      </c>
      <c r="AF274" s="278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8" t="n">
        <v>45546</v>
      </c>
      <c r="M275" s="9" t="n">
        <v>45910</v>
      </c>
      <c r="Q275" s="10" t="n">
        <v>42016</v>
      </c>
      <c r="R275" s="10">
        <f>Q275</f>
        <v/>
      </c>
      <c r="T275" s="10" t="n">
        <v>26496</v>
      </c>
      <c r="U275" s="10">
        <f>T275</f>
        <v/>
      </c>
      <c r="V275" s="27" t="n">
        <v>42016</v>
      </c>
      <c r="W275" s="10">
        <f>V275</f>
        <v/>
      </c>
      <c r="X275" s="277">
        <f>T275/H275</f>
        <v/>
      </c>
      <c r="Y275" s="10" t="inlineStr">
        <is>
          <t>E</t>
        </is>
      </c>
      <c r="Z275" s="60" t="n"/>
      <c r="AA275" s="230" t="n"/>
      <c r="AB275" s="14" t="inlineStr">
        <is>
          <t>No</t>
        </is>
      </c>
      <c r="AC275" s="29" t="inlineStr">
        <is>
          <t>12 month lease renewal agreed.</t>
        </is>
      </c>
      <c r="AE275" s="29" t="n"/>
      <c r="AF275" s="279" t="n"/>
      <c r="AG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10" t="n"/>
      <c r="J276" s="10" t="n"/>
      <c r="T276" s="10" t="n"/>
      <c r="U276" s="10" t="n"/>
      <c r="V276" s="27" t="n"/>
      <c r="W276" s="10" t="n"/>
      <c r="X276" s="10" t="n"/>
      <c r="Y276" s="10" t="n"/>
      <c r="Z276" s="60" t="n"/>
      <c r="AA276" s="230" t="n"/>
      <c r="AB276" s="14" t="n"/>
      <c r="AF276" s="278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0" t="inlineStr">
        <is>
          <t>Moray House</t>
        </is>
      </c>
      <c r="H277" s="18">
        <f>SUM(H262:H275)</f>
        <v/>
      </c>
      <c r="I277" s="18" t="n"/>
      <c r="J277" s="18" t="n"/>
      <c r="Q277" s="19">
        <f>SUM(Q262:Q275)</f>
        <v/>
      </c>
      <c r="R277" s="19" t="n"/>
      <c r="S277" s="19">
        <f>SUM(R260:R276)</f>
        <v/>
      </c>
      <c r="T277" s="19">
        <f>SUM(T262:T275)</f>
        <v/>
      </c>
      <c r="U277" s="19" t="n"/>
      <c r="V277" s="36">
        <f>SUM(V262:V275)</f>
        <v/>
      </c>
      <c r="W277" s="19" t="n"/>
      <c r="X277" s="19" t="n"/>
      <c r="Y277" s="19" t="n"/>
      <c r="Z277" s="61" t="n"/>
      <c r="AA277" s="36" t="n">
        <v>35150000</v>
      </c>
      <c r="AB277" s="14" t="n"/>
      <c r="AE277" s="29" t="n"/>
      <c r="AF277" s="279" t="n"/>
      <c r="AG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19" t="n"/>
      <c r="J278" s="19" t="n"/>
      <c r="Q278" s="19" t="n"/>
      <c r="R278" s="19" t="n"/>
      <c r="S278" s="19" t="n"/>
      <c r="T278" s="19" t="n"/>
      <c r="U278" s="19" t="n"/>
      <c r="V278" s="36" t="n"/>
      <c r="W278" s="19" t="n"/>
      <c r="X278" s="19" t="n"/>
      <c r="Y278" s="19" t="n"/>
      <c r="Z278" s="61" t="n"/>
      <c r="AA278" s="362" t="n"/>
      <c r="AB278" s="14" t="n"/>
      <c r="AF278" s="278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10" t="n"/>
      <c r="J279" s="10" t="n"/>
      <c r="K279" s="30" t="n"/>
      <c r="P279" s="144" t="n"/>
      <c r="T279" s="11" t="n"/>
      <c r="U279" s="10" t="n"/>
      <c r="W279" s="10" t="n"/>
      <c r="X279" s="10" t="n"/>
      <c r="Y279" s="10" t="n"/>
      <c r="Z279" s="60" t="n"/>
      <c r="AA279" s="230" t="n"/>
      <c r="AB279" s="14" t="n"/>
      <c r="AF279" s="278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10" t="n"/>
      <c r="J280" s="10" t="n"/>
      <c r="P280" s="144" t="n"/>
      <c r="T280" s="11" t="n"/>
      <c r="U280" s="10" t="n"/>
      <c r="W280" s="10" t="n"/>
      <c r="X280" s="10" t="n"/>
      <c r="Y280" s="10" t="n"/>
      <c r="Z280" s="60" t="n"/>
      <c r="AA280" s="230" t="n"/>
      <c r="AB280" s="14" t="n"/>
      <c r="AF280" s="278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10">
        <f>H281</f>
        <v/>
      </c>
      <c r="J281" s="10" t="n">
        <v>2750</v>
      </c>
      <c r="K281" s="4" t="inlineStr">
        <is>
          <t>Morplan Ltd.</t>
        </is>
      </c>
      <c r="L281" s="8" t="n">
        <v>39814</v>
      </c>
      <c r="M281" s="9" t="n">
        <v>45747</v>
      </c>
      <c r="Q281" s="19" t="n">
        <v>104500</v>
      </c>
      <c r="R281" s="10">
        <f>Q281</f>
        <v/>
      </c>
      <c r="S281" s="19">
        <f>R281</f>
        <v/>
      </c>
      <c r="T281" s="19" t="n">
        <v>94400</v>
      </c>
      <c r="U281" s="10">
        <f>T281</f>
        <v/>
      </c>
      <c r="V281" s="36" t="n">
        <v>94400</v>
      </c>
      <c r="W281" s="10">
        <f>V281</f>
        <v/>
      </c>
      <c r="X281" s="277">
        <f>T281/H281</f>
        <v/>
      </c>
      <c r="Y281" s="10" t="inlineStr">
        <is>
          <t>B</t>
        </is>
      </c>
      <c r="Z281" s="60" t="n"/>
      <c r="AA281" s="36" t="n">
        <v>1375000</v>
      </c>
      <c r="AB281" s="14" t="inlineStr">
        <is>
          <t>Yes</t>
        </is>
      </c>
      <c r="AC281" s="4" t="inlineStr">
        <is>
          <t>Tenant holding over. S25 served terminating tenancy @ 12/10/24. Lease renewal agreed. Awaiting completion. Lease extension agreed to 31/03/25</t>
        </is>
      </c>
      <c r="AF281" s="278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10" t="n"/>
      <c r="J282" s="10" t="n"/>
      <c r="T282" s="10" t="n"/>
      <c r="U282" s="10" t="n"/>
      <c r="V282" s="27" t="n"/>
      <c r="W282" s="10" t="n"/>
      <c r="X282" s="10" t="n"/>
      <c r="Y282" s="10" t="n"/>
      <c r="Z282" s="60" t="n"/>
      <c r="AA282" s="36" t="n"/>
      <c r="AB282" s="14" t="n"/>
      <c r="AF282" s="278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10" t="n"/>
      <c r="J283" s="10" t="n"/>
      <c r="K283" s="30" t="n"/>
      <c r="T283" s="11" t="n"/>
      <c r="U283" s="10" t="n"/>
      <c r="W283" s="10" t="n"/>
      <c r="X283" s="10" t="n"/>
      <c r="Y283" s="10" t="n"/>
      <c r="Z283" s="60" t="n"/>
      <c r="AA283" s="36" t="n"/>
      <c r="AB283" s="14" t="n"/>
      <c r="AF283" s="278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4" t="n"/>
      <c r="I284" s="10" t="n"/>
      <c r="J284" s="10" t="n"/>
      <c r="K284" s="20" t="n"/>
      <c r="L284" s="121" t="n"/>
      <c r="T284" s="10" t="n"/>
      <c r="U284" s="10" t="n"/>
      <c r="V284" s="27" t="n"/>
      <c r="W284" s="10" t="n"/>
      <c r="X284" s="10" t="n"/>
      <c r="Y284" s="10" t="n"/>
      <c r="Z284" s="60" t="n"/>
      <c r="AA284" s="36" t="n"/>
      <c r="AB284" s="14" t="n"/>
      <c r="AF284" s="278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10">
        <f>H285</f>
        <v/>
      </c>
      <c r="J285" s="10" t="n">
        <v>1000</v>
      </c>
      <c r="K285" s="4" t="inlineStr">
        <is>
          <t>Morplan Ltd.</t>
        </is>
      </c>
      <c r="L285" s="8" t="n">
        <v>39814</v>
      </c>
      <c r="M285" s="9" t="n">
        <v>45747</v>
      </c>
      <c r="Q285" s="10" t="n">
        <v>50425</v>
      </c>
      <c r="R285" s="10">
        <f>Q285</f>
        <v/>
      </c>
      <c r="T285" s="10" t="n">
        <v>41000</v>
      </c>
      <c r="U285" s="10">
        <f>T285</f>
        <v/>
      </c>
      <c r="V285" s="27" t="n">
        <v>41000</v>
      </c>
      <c r="W285" s="10">
        <f>V285</f>
        <v/>
      </c>
      <c r="X285" s="277">
        <f>T285/H285</f>
        <v/>
      </c>
      <c r="Y285" s="10" t="inlineStr">
        <is>
          <t>B</t>
        </is>
      </c>
      <c r="Z285" s="60" t="n"/>
      <c r="AA285" s="36" t="n"/>
      <c r="AB285" s="14" t="inlineStr">
        <is>
          <t>Yes</t>
        </is>
      </c>
      <c r="AC285" s="4" t="inlineStr">
        <is>
          <t>Tenant holding over. S25 served terminating tenancy @ 12/10/24. Lease renewal agreed. Awaiting completion. Lease extension agreed to 31/03/25</t>
        </is>
      </c>
      <c r="AF285" s="278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10">
        <f>H286</f>
        <v/>
      </c>
      <c r="J286" s="10" t="n">
        <v>1000</v>
      </c>
      <c r="K286" s="4" t="inlineStr">
        <is>
          <t>Morplan Ltd.</t>
        </is>
      </c>
      <c r="L286" s="8" t="n">
        <v>45292</v>
      </c>
      <c r="Q286" s="10" t="n">
        <v>61575</v>
      </c>
      <c r="R286" s="10">
        <f>Q286</f>
        <v/>
      </c>
      <c r="T286" s="10" t="n">
        <v>58800</v>
      </c>
      <c r="U286" s="10">
        <f>T286</f>
        <v/>
      </c>
      <c r="V286" s="27" t="n">
        <v>58800</v>
      </c>
      <c r="W286" s="10">
        <f>V286</f>
        <v/>
      </c>
      <c r="X286" s="10" t="n"/>
      <c r="Y286" s="10" t="inlineStr">
        <is>
          <t>E</t>
        </is>
      </c>
      <c r="Z286" s="60" t="n"/>
      <c r="AA286" s="36" t="n"/>
      <c r="AB286" s="14" t="inlineStr">
        <is>
          <t>No</t>
        </is>
      </c>
      <c r="AC286" s="4" t="inlineStr">
        <is>
          <t>Lease renewal terms being discussed.</t>
        </is>
      </c>
      <c r="AF286" s="278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10" t="n"/>
      <c r="J287" s="10" t="n"/>
      <c r="T287" s="10" t="n"/>
      <c r="U287" s="10" t="n"/>
      <c r="V287" s="27" t="n"/>
      <c r="W287" s="10" t="n"/>
      <c r="X287" s="10" t="n"/>
      <c r="Y287" s="10" t="n"/>
      <c r="Z287" s="60" t="n"/>
      <c r="AA287" s="36" t="n"/>
      <c r="AB287" s="14" t="n"/>
      <c r="AF287" s="278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0" t="inlineStr">
        <is>
          <t>58 Great Titchfield Street</t>
        </is>
      </c>
      <c r="H288" s="18">
        <f>SUM(H285:H286)</f>
        <v/>
      </c>
      <c r="I288" s="19" t="n"/>
      <c r="J288" s="19" t="n"/>
      <c r="Q288" s="19">
        <f>SUM(Q285:Q286)</f>
        <v/>
      </c>
      <c r="R288" s="19" t="n"/>
      <c r="S288" s="19">
        <f>SUM(R284:R287)</f>
        <v/>
      </c>
      <c r="T288" s="19">
        <f>SUM(T285:T286)</f>
        <v/>
      </c>
      <c r="U288" s="19" t="n"/>
      <c r="V288" s="36">
        <f>SUM(V285:V286)</f>
        <v/>
      </c>
      <c r="W288" s="19" t="n"/>
      <c r="X288" s="19" t="n"/>
      <c r="Y288" s="19" t="n"/>
      <c r="Z288" s="61" t="n"/>
      <c r="AA288" s="36" t="n">
        <v>1525000</v>
      </c>
      <c r="AB288" s="14" t="n"/>
      <c r="AF288" s="278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10" t="n"/>
      <c r="J289" s="10" t="n"/>
      <c r="T289" s="10" t="n"/>
      <c r="U289" s="10" t="n"/>
      <c r="V289" s="27" t="n"/>
      <c r="W289" s="10" t="n"/>
      <c r="X289" s="10" t="n"/>
      <c r="Y289" s="10" t="n"/>
      <c r="Z289" s="60" t="n"/>
      <c r="AA289" s="36" t="n"/>
      <c r="AB289" s="14" t="n"/>
      <c r="AF289" s="278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10" t="n"/>
      <c r="J290" s="10" t="n"/>
      <c r="K290" s="30" t="n"/>
      <c r="T290" s="11" t="n"/>
      <c r="U290" s="10" t="n"/>
      <c r="W290" s="10" t="n"/>
      <c r="X290" s="10" t="n"/>
      <c r="Y290" s="10" t="n"/>
      <c r="Z290" s="60" t="n"/>
      <c r="AA290" s="36" t="n"/>
      <c r="AB290" s="14" t="n"/>
      <c r="AF290" s="278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10" t="n"/>
      <c r="J291" s="10" t="n"/>
      <c r="T291" s="10" t="n"/>
      <c r="U291" s="10" t="n"/>
      <c r="V291" s="27" t="n"/>
      <c r="W291" s="10" t="n"/>
      <c r="X291" s="10" t="n"/>
      <c r="Y291" s="10" t="n"/>
      <c r="Z291" s="60" t="n"/>
      <c r="AA291" s="36" t="n"/>
      <c r="AB291" s="14" t="n"/>
      <c r="AF291" s="278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7" t="n">
        <v>4284</v>
      </c>
      <c r="I292" s="10">
        <f>H292</f>
        <v/>
      </c>
      <c r="J292" s="10" t="n">
        <v>4250</v>
      </c>
      <c r="K292" s="4" t="inlineStr">
        <is>
          <t>Vacant</t>
        </is>
      </c>
      <c r="N292" s="9" t="n">
        <v>44387</v>
      </c>
      <c r="Q292" s="19" t="n">
        <v>0</v>
      </c>
      <c r="R292" s="10">
        <f>Q292</f>
        <v/>
      </c>
      <c r="S292" s="19">
        <f>R292</f>
        <v/>
      </c>
      <c r="T292" s="19" t="n">
        <v>0</v>
      </c>
      <c r="U292" s="10">
        <f>T292</f>
        <v/>
      </c>
      <c r="V292" s="36" t="n">
        <v>0</v>
      </c>
      <c r="W292" s="10">
        <f>V292</f>
        <v/>
      </c>
      <c r="X292" s="10" t="n"/>
      <c r="Y292" s="10" t="n"/>
      <c r="Z292" s="60" t="n"/>
      <c r="AA292" s="36" t="n">
        <v>1500000</v>
      </c>
      <c r="AB292" s="14" t="inlineStr">
        <is>
          <t>No</t>
        </is>
      </c>
      <c r="AC292" s="4" t="inlineStr">
        <is>
          <t>Mothballed.</t>
        </is>
      </c>
      <c r="AE292" s="29" t="n"/>
      <c r="AF292" s="279" t="n"/>
      <c r="AG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10" t="n"/>
      <c r="J293" s="10" t="n"/>
      <c r="T293" s="10" t="n"/>
      <c r="U293" s="10" t="n"/>
      <c r="V293" s="27" t="n"/>
      <c r="W293" s="10" t="n"/>
      <c r="X293" s="10" t="n"/>
      <c r="Y293" s="10" t="n"/>
      <c r="Z293" s="60" t="n"/>
      <c r="AA293" s="230" t="n"/>
      <c r="AB293" s="14" t="n"/>
      <c r="AF293" s="278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0" t="inlineStr">
        <is>
          <t>12 Hallam Street</t>
        </is>
      </c>
      <c r="H294" s="31">
        <f>SUM(H292:H293)</f>
        <v/>
      </c>
      <c r="I294" s="18" t="n"/>
      <c r="J294" s="18" t="n"/>
      <c r="K294" s="32" t="n"/>
      <c r="L294" s="33" t="n"/>
      <c r="M294" s="34" t="n"/>
      <c r="N294" s="34" t="n"/>
      <c r="O294" s="34" t="n"/>
      <c r="P294" s="34" t="n"/>
      <c r="Q294" s="31" t="n"/>
      <c r="R294" s="31" t="n"/>
      <c r="S294" s="31" t="n"/>
      <c r="T294" s="31">
        <f>SUM(T292:T293)</f>
        <v/>
      </c>
      <c r="U294" s="31" t="n"/>
      <c r="V294" s="376" t="n"/>
      <c r="W294" s="31" t="n"/>
      <c r="X294" s="31" t="n"/>
      <c r="Y294" s="31" t="n"/>
      <c r="Z294" s="62" t="n"/>
      <c r="AA294" s="360" t="n"/>
      <c r="AB294" s="14" t="n"/>
      <c r="AF294" s="278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10" t="n"/>
      <c r="J295" s="10" t="n"/>
      <c r="K295" s="30" t="n"/>
      <c r="T295" s="11" t="n"/>
      <c r="U295" s="10" t="n"/>
      <c r="W295" s="10" t="n"/>
      <c r="X295" s="10" t="n"/>
      <c r="Y295" s="10" t="n"/>
      <c r="Z295" s="60" t="n"/>
      <c r="AA295" s="36" t="n"/>
      <c r="AB295" s="14" t="n"/>
      <c r="AF295" s="278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10" t="n"/>
      <c r="J296" s="10" t="n"/>
      <c r="T296" s="10" t="n"/>
      <c r="U296" s="10" t="n"/>
      <c r="V296" s="27" t="n"/>
      <c r="W296" s="10" t="n"/>
      <c r="X296" s="10" t="n"/>
      <c r="Y296" s="10" t="n"/>
      <c r="Z296" s="60" t="n"/>
      <c r="AA296" s="36" t="n"/>
      <c r="AB296" s="14" t="n"/>
      <c r="AF296" s="278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10">
        <f>H297</f>
        <v/>
      </c>
      <c r="J297" s="10" t="n">
        <v>23500</v>
      </c>
      <c r="K297" s="4" t="inlineStr">
        <is>
          <t>Wesdom Investments Ltd.</t>
        </is>
      </c>
      <c r="L297" s="8" t="n">
        <v>45651</v>
      </c>
      <c r="M297" s="9" t="n">
        <v>49302</v>
      </c>
      <c r="O297" s="8" t="n">
        <v>47477</v>
      </c>
      <c r="P297" s="8" t="n"/>
      <c r="Q297" s="19" t="n">
        <v>660000</v>
      </c>
      <c r="R297" s="10">
        <f>Q297</f>
        <v/>
      </c>
      <c r="S297" s="19">
        <f>R297</f>
        <v/>
      </c>
      <c r="T297" s="19" t="n">
        <v>0</v>
      </c>
      <c r="U297" s="10">
        <f>T297</f>
        <v/>
      </c>
      <c r="V297" s="36" t="n">
        <v>0</v>
      </c>
      <c r="W297" s="10">
        <f>V297</f>
        <v/>
      </c>
      <c r="X297" s="10" t="n"/>
      <c r="Y297" s="10" t="inlineStr">
        <is>
          <t>B</t>
        </is>
      </c>
      <c r="Z297" s="60" t="n"/>
      <c r="AA297" s="36" t="n">
        <v>17100000</v>
      </c>
      <c r="AB297" s="14" t="inlineStr">
        <is>
          <t>No</t>
        </is>
      </c>
      <c r="AC297" s="136" t="inlineStr">
        <is>
          <t>Internal Lease to another Lee Family Group Company. CBRE value on a DCF basis and do not adopt ERV for valuation purposes. Guide ERV is £660,000 pa. Rent review is CPI indexed.</t>
        </is>
      </c>
      <c r="AD297" s="308" t="n"/>
      <c r="AE297" s="136" t="n"/>
      <c r="AF297" s="283" t="n"/>
      <c r="AG297" s="136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10" t="n"/>
      <c r="J298" s="10" t="n"/>
      <c r="Q298" s="19" t="n"/>
      <c r="R298" s="19" t="n"/>
      <c r="S298" s="19" t="n"/>
      <c r="T298" s="19" t="n"/>
      <c r="U298" s="19" t="n"/>
      <c r="V298" s="36" t="n"/>
      <c r="W298" s="19" t="n"/>
      <c r="X298" s="19" t="n"/>
      <c r="Y298" s="19" t="n"/>
      <c r="Z298" s="61" t="n"/>
      <c r="AA298" s="36" t="n"/>
      <c r="AB298" s="14" t="n"/>
      <c r="AF298" s="278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10" t="n"/>
      <c r="J299" s="10" t="n"/>
      <c r="K299" s="30" t="n"/>
      <c r="T299" s="11" t="n"/>
      <c r="U299" s="10" t="n"/>
      <c r="W299" s="10" t="n"/>
      <c r="X299" s="10" t="n"/>
      <c r="Y299" s="10" t="n"/>
      <c r="Z299" s="60" t="n"/>
      <c r="AA299" s="36" t="n"/>
      <c r="AB299" s="14" t="n"/>
      <c r="AF299" s="278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19" t="n"/>
      <c r="J300" s="19" t="n"/>
      <c r="K300" s="35" t="n"/>
      <c r="L300" s="44" t="n"/>
      <c r="Q300" s="19" t="n"/>
      <c r="R300" s="19" t="n"/>
      <c r="S300" s="19" t="n"/>
      <c r="T300" s="19" t="n"/>
      <c r="U300" s="19" t="n"/>
      <c r="V300" s="36" t="n"/>
      <c r="W300" s="19" t="n"/>
      <c r="X300" s="19" t="n"/>
      <c r="Y300" s="19" t="n"/>
      <c r="Z300" s="61" t="n"/>
      <c r="AA300" s="36" t="n"/>
      <c r="AB300" s="14" t="n"/>
      <c r="AC300" s="35" t="n"/>
      <c r="AD300" s="306" t="n"/>
      <c r="AE300" s="35" t="n"/>
      <c r="AF300" s="280" t="n"/>
      <c r="AG300" s="35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10">
        <f>H301</f>
        <v/>
      </c>
      <c r="J301" s="10" t="n">
        <v>500</v>
      </c>
      <c r="K301" s="4" t="inlineStr">
        <is>
          <t>Miss Julia Tressler</t>
        </is>
      </c>
      <c r="L301" s="8" t="n">
        <v>45664</v>
      </c>
      <c r="M301" s="9" t="n">
        <v>46028</v>
      </c>
      <c r="Q301" s="19" t="n">
        <v>25220</v>
      </c>
      <c r="R301" s="10">
        <f>Q301</f>
        <v/>
      </c>
      <c r="S301" s="19">
        <f>R301</f>
        <v/>
      </c>
      <c r="T301" s="19" t="n">
        <v>27000</v>
      </c>
      <c r="U301" s="10">
        <f>T301</f>
        <v/>
      </c>
      <c r="V301" s="36" t="n">
        <v>25220</v>
      </c>
      <c r="W301" s="10">
        <f>V301</f>
        <v/>
      </c>
      <c r="X301" s="10" t="n"/>
      <c r="Y301" s="10" t="inlineStr">
        <is>
          <t>D</t>
        </is>
      </c>
      <c r="Z301" s="60" t="n"/>
      <c r="AA301" s="36" t="n">
        <v>575000</v>
      </c>
      <c r="AB301" s="14" t="inlineStr">
        <is>
          <t>No</t>
        </is>
      </c>
      <c r="AE301" s="29" t="n"/>
      <c r="AF301" s="279" t="n"/>
      <c r="AG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19" t="n"/>
      <c r="J302" s="19" t="n"/>
      <c r="Q302" s="19" t="n"/>
      <c r="R302" s="19" t="n"/>
      <c r="S302" s="19" t="n"/>
      <c r="T302" s="19" t="n"/>
      <c r="U302" s="19" t="n"/>
      <c r="V302" s="36" t="n"/>
      <c r="W302" s="19" t="n"/>
      <c r="X302" s="19" t="n"/>
      <c r="Y302" s="19" t="n"/>
      <c r="Z302" s="61" t="n"/>
      <c r="AA302" s="362" t="n"/>
      <c r="AB302" s="14" t="n"/>
      <c r="AF302" s="278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0" t="inlineStr">
        <is>
          <t>Flat 1 2 Little Portland St</t>
        </is>
      </c>
      <c r="H303" s="31">
        <f>SUM(H301:H302)</f>
        <v/>
      </c>
      <c r="I303" s="18" t="n"/>
      <c r="J303" s="18" t="n"/>
      <c r="K303" s="32" t="n"/>
      <c r="L303" s="33" t="n"/>
      <c r="M303" s="34" t="n"/>
      <c r="N303" s="34" t="n"/>
      <c r="O303" s="34" t="n"/>
      <c r="P303" s="34" t="n"/>
      <c r="Q303" s="31" t="n"/>
      <c r="R303" s="31" t="n"/>
      <c r="S303" s="31" t="n"/>
      <c r="T303" s="31">
        <f>SUM(T301:T302)</f>
        <v/>
      </c>
      <c r="U303" s="31" t="n"/>
      <c r="V303" s="376" t="n"/>
      <c r="W303" s="31" t="n"/>
      <c r="X303" s="31" t="n"/>
      <c r="Y303" s="31" t="n"/>
      <c r="Z303" s="62" t="n"/>
      <c r="AA303" s="360" t="n"/>
      <c r="AB303" s="14" t="n"/>
      <c r="AF303" s="278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10" t="n"/>
      <c r="J304" s="10" t="n"/>
      <c r="K304" s="30" t="n"/>
      <c r="T304" s="11" t="n"/>
      <c r="U304" s="10" t="n"/>
      <c r="W304" s="10" t="n"/>
      <c r="X304" s="10" t="n"/>
      <c r="Y304" s="10" t="n"/>
      <c r="Z304" s="60" t="n"/>
      <c r="AA304" s="230" t="n"/>
      <c r="AB304" s="14" t="n"/>
      <c r="AF304" s="278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27" t="n"/>
      <c r="I305" s="10" t="n"/>
      <c r="J305" s="10" t="n"/>
      <c r="K305" s="124" t="n"/>
      <c r="T305" s="10" t="n"/>
      <c r="U305" s="10" t="n"/>
      <c r="V305" s="27" t="n"/>
      <c r="W305" s="10" t="n"/>
      <c r="X305" s="10" t="n"/>
      <c r="Y305" s="10" t="n"/>
      <c r="Z305" s="60" t="n"/>
      <c r="AA305" s="230" t="n"/>
      <c r="AB305" s="14" t="n"/>
      <c r="AF305" s="278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5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8" t="n">
        <v>44774</v>
      </c>
      <c r="M306" s="9" t="n">
        <v>46599</v>
      </c>
      <c r="P306" s="9" t="n">
        <v>45870</v>
      </c>
      <c r="Q306" s="10" t="n">
        <v>44735</v>
      </c>
      <c r="R306" s="10">
        <f>Q306</f>
        <v/>
      </c>
      <c r="T306" s="10" t="n">
        <v>45700</v>
      </c>
      <c r="U306" s="10">
        <f>T306</f>
        <v/>
      </c>
      <c r="V306" s="27" t="n">
        <v>47800</v>
      </c>
      <c r="W306" s="10">
        <f>V306</f>
        <v/>
      </c>
      <c r="X306" s="277">
        <f>T306/H306</f>
        <v/>
      </c>
      <c r="Y306" s="10" t="inlineStr">
        <is>
          <t>E</t>
        </is>
      </c>
      <c r="Z306" s="60" t="n"/>
      <c r="AA306" s="230" t="n"/>
      <c r="AB306" s="14" t="inlineStr">
        <is>
          <t>No</t>
        </is>
      </c>
      <c r="AC306" s="4" t="inlineStr">
        <is>
          <t>Tenant break on 6 months notice. 3 months rent free if not exercised.</t>
        </is>
      </c>
      <c r="AF306" s="278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5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9" t="n">
        <v>45456</v>
      </c>
      <c r="Q307" s="10" t="n">
        <v>0</v>
      </c>
      <c r="R307" s="10">
        <f>Q307</f>
        <v/>
      </c>
      <c r="T307" s="10" t="n">
        <v>0</v>
      </c>
      <c r="U307" s="10">
        <f>T307</f>
        <v/>
      </c>
      <c r="V307" s="27" t="n">
        <v>0</v>
      </c>
      <c r="W307" s="10">
        <f>V307</f>
        <v/>
      </c>
      <c r="X307" s="277" t="n"/>
      <c r="Y307" s="10" t="inlineStr">
        <is>
          <t>E</t>
        </is>
      </c>
      <c r="Z307" s="60" t="n"/>
      <c r="AA307" s="230" t="n"/>
      <c r="AB307" s="14" t="inlineStr">
        <is>
          <t>No</t>
        </is>
      </c>
      <c r="AF307" s="278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8" t="n">
        <v>45010</v>
      </c>
      <c r="M308" s="9" t="n">
        <v>48662</v>
      </c>
      <c r="O308" s="9" t="n">
        <v>46837</v>
      </c>
      <c r="Q308" s="10" t="n">
        <v>35000</v>
      </c>
      <c r="R308" s="10">
        <f>Q308</f>
        <v/>
      </c>
      <c r="T308" s="10" t="n">
        <v>35400</v>
      </c>
      <c r="U308" s="10">
        <f>T308</f>
        <v/>
      </c>
      <c r="V308" s="27" t="n">
        <v>35000</v>
      </c>
      <c r="W308" s="10">
        <f>V308</f>
        <v/>
      </c>
      <c r="X308" s="277">
        <f>T308/H308</f>
        <v/>
      </c>
      <c r="Y308" s="10" t="inlineStr">
        <is>
          <t>E</t>
        </is>
      </c>
      <c r="Z308" s="60" t="n"/>
      <c r="AA308" s="230" t="n"/>
      <c r="AB308" s="14" t="inlineStr">
        <is>
          <t>No</t>
        </is>
      </c>
      <c r="AF308" s="278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8" t="n">
        <v>43549</v>
      </c>
      <c r="M309" s="9" t="n">
        <v>46836</v>
      </c>
      <c r="O309" s="9" t="n">
        <v>45010</v>
      </c>
      <c r="Q309" s="10" t="n">
        <v>28200</v>
      </c>
      <c r="R309" s="10">
        <f>Q309</f>
        <v/>
      </c>
      <c r="T309" s="10" t="n">
        <v>32000</v>
      </c>
      <c r="U309" s="10">
        <f>T309</f>
        <v/>
      </c>
      <c r="V309" s="27" t="n">
        <v>21000</v>
      </c>
      <c r="W309" s="10">
        <f>V309</f>
        <v/>
      </c>
      <c r="X309" s="277">
        <f>T309/H309</f>
        <v/>
      </c>
      <c r="Y309" s="10" t="inlineStr">
        <is>
          <t>E</t>
        </is>
      </c>
      <c r="Z309" s="60" t="n"/>
      <c r="AA309" s="230" t="n"/>
      <c r="AB309" s="14" t="inlineStr">
        <is>
          <t>No</t>
        </is>
      </c>
      <c r="AC309" s="4" t="inlineStr">
        <is>
          <t>Mutual rolling break on 6 months notice. Internal Lease to another Lee Family Group Company.</t>
        </is>
      </c>
      <c r="AF309" s="278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8" t="n">
        <v>45001</v>
      </c>
      <c r="M310" s="38" t="n">
        <v>46827</v>
      </c>
      <c r="N310" s="38" t="n"/>
      <c r="P310" s="9" t="n">
        <v>46097</v>
      </c>
      <c r="Q310" s="10" t="n">
        <v>148590</v>
      </c>
      <c r="R310" s="10">
        <f>Q310</f>
        <v/>
      </c>
      <c r="T310" s="10" t="n">
        <v>148600</v>
      </c>
      <c r="U310" s="10">
        <f>T310</f>
        <v/>
      </c>
      <c r="V310" s="27" t="n">
        <v>148590</v>
      </c>
      <c r="W310" s="10">
        <f>V310</f>
        <v/>
      </c>
      <c r="X310" s="277">
        <f>T310/H310</f>
        <v/>
      </c>
      <c r="Y310" s="10" t="inlineStr">
        <is>
          <t>E</t>
        </is>
      </c>
      <c r="Z310" s="60" t="n"/>
      <c r="AA310" s="230" t="n"/>
      <c r="AB310" s="14" t="inlineStr">
        <is>
          <t>No</t>
        </is>
      </c>
      <c r="AC310" s="4" t="inlineStr">
        <is>
          <t>Mutual break in the event of planning enforcement. Tenant break on 6 months notice. 3 months rent free if not exercised.</t>
        </is>
      </c>
      <c r="AF310" s="278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8" t="n">
        <v>45000</v>
      </c>
      <c r="M311" s="38" t="n">
        <v>46827</v>
      </c>
      <c r="N311" s="38" t="n"/>
      <c r="P311" s="9" t="n">
        <v>46097</v>
      </c>
      <c r="Q311" s="10" t="n">
        <v>218325</v>
      </c>
      <c r="R311" s="10">
        <f>Q311</f>
        <v/>
      </c>
      <c r="T311" s="10" t="n">
        <v>218300</v>
      </c>
      <c r="U311" s="10">
        <f>T311</f>
        <v/>
      </c>
      <c r="V311" s="27" t="n">
        <v>218325</v>
      </c>
      <c r="W311" s="10">
        <f>V311</f>
        <v/>
      </c>
      <c r="X311" s="277">
        <f>T311/H311</f>
        <v/>
      </c>
      <c r="Y311" s="10" t="inlineStr">
        <is>
          <t>E</t>
        </is>
      </c>
      <c r="Z311" s="60" t="n"/>
      <c r="AA311" s="230" t="n"/>
      <c r="AB311" s="14" t="inlineStr">
        <is>
          <t>No</t>
        </is>
      </c>
      <c r="AC311" s="4" t="inlineStr">
        <is>
          <t>Mutual break in the event of planning enforcement. Tenant break on 6 months notice. 3 months rent free if not exercised.</t>
        </is>
      </c>
      <c r="AF311" s="278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8" t="n">
        <v>45200</v>
      </c>
      <c r="M312" s="38" t="n">
        <v>46827</v>
      </c>
      <c r="N312" s="38" t="n"/>
      <c r="P312" s="9" t="n">
        <v>46097</v>
      </c>
      <c r="Q312" s="10" t="n">
        <v>92250</v>
      </c>
      <c r="R312" s="10">
        <f>Q312</f>
        <v/>
      </c>
      <c r="T312" s="10" t="n">
        <v>92300</v>
      </c>
      <c r="U312" s="10">
        <f>T312</f>
        <v/>
      </c>
      <c r="V312" s="27" t="n">
        <v>92250</v>
      </c>
      <c r="W312" s="10">
        <f>V312</f>
        <v/>
      </c>
      <c r="X312" s="277">
        <f>T312/H312</f>
        <v/>
      </c>
      <c r="Y312" s="10" t="inlineStr">
        <is>
          <t>E</t>
        </is>
      </c>
      <c r="Z312" s="60" t="n"/>
      <c r="AA312" s="230" t="n"/>
      <c r="AB312" s="14" t="inlineStr">
        <is>
          <t>No</t>
        </is>
      </c>
      <c r="AC312" s="4" t="inlineStr">
        <is>
          <t>Tenant break on 6 months notice with £7.7k penalty clause.</t>
        </is>
      </c>
      <c r="AF312" s="278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5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9" t="n">
        <v>45173</v>
      </c>
      <c r="Q313" s="10" t="n">
        <v>0</v>
      </c>
      <c r="R313" s="10">
        <f>Q313</f>
        <v/>
      </c>
      <c r="T313" s="10" t="n">
        <v>8120</v>
      </c>
      <c r="U313" s="10">
        <f>T313</f>
        <v/>
      </c>
      <c r="V313" s="27" t="n">
        <v>8260</v>
      </c>
      <c r="W313" s="10">
        <f>V313</f>
        <v/>
      </c>
      <c r="X313" s="277">
        <f>T313/H313</f>
        <v/>
      </c>
      <c r="Y313" s="10" t="inlineStr">
        <is>
          <t>E</t>
        </is>
      </c>
      <c r="Z313" s="60" t="n"/>
      <c r="AA313" s="230" t="n"/>
      <c r="AB313" s="14" t="inlineStr">
        <is>
          <t>No</t>
        </is>
      </c>
      <c r="AC313" s="4" t="inlineStr">
        <is>
          <t>Unit under offer.</t>
        </is>
      </c>
      <c r="AF313" s="278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17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9" t="n">
        <v>45003</v>
      </c>
      <c r="Q314" s="10" t="n">
        <v>0</v>
      </c>
      <c r="R314" s="10">
        <f>Q314</f>
        <v/>
      </c>
      <c r="T314" s="10" t="n">
        <v>72100</v>
      </c>
      <c r="U314" s="10">
        <f>T314</f>
        <v/>
      </c>
      <c r="V314" s="27" t="n">
        <v>68200</v>
      </c>
      <c r="W314" s="10">
        <f>V314</f>
        <v/>
      </c>
      <c r="X314" s="277">
        <f>T314/H314</f>
        <v/>
      </c>
      <c r="Y314" s="10" t="inlineStr">
        <is>
          <t>E</t>
        </is>
      </c>
      <c r="Z314" s="60" t="inlineStr">
        <is>
          <t>*</t>
        </is>
      </c>
      <c r="AA314" s="230" t="n"/>
      <c r="AB314" s="14" t="inlineStr">
        <is>
          <t>No</t>
        </is>
      </c>
      <c r="AC314" s="4" t="inlineStr">
        <is>
          <t>Unit under offer.</t>
        </is>
      </c>
      <c r="AD314" s="303" t="n">
        <v>67.5</v>
      </c>
      <c r="AF314" s="278" t="n"/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8" t="n">
        <v>45456</v>
      </c>
      <c r="M315" s="9" t="n">
        <v>47281</v>
      </c>
      <c r="P315" s="9" t="n">
        <v>46550</v>
      </c>
      <c r="Q315" s="10" t="n">
        <v>140315</v>
      </c>
      <c r="R315" s="10">
        <f>Q315</f>
        <v/>
      </c>
      <c r="T315" s="10" t="n">
        <v>129800</v>
      </c>
      <c r="U315" s="10">
        <f>T315</f>
        <v/>
      </c>
      <c r="V315" s="27" t="n">
        <v>140315</v>
      </c>
      <c r="W315" s="10">
        <f>V315</f>
        <v/>
      </c>
      <c r="X315" s="277">
        <f>T315/H315</f>
        <v/>
      </c>
      <c r="Y315" s="10" t="inlineStr">
        <is>
          <t>E</t>
        </is>
      </c>
      <c r="Z315" s="60" t="n"/>
      <c r="AA315" s="230" t="n"/>
      <c r="AB315" s="14" t="inlineStr">
        <is>
          <t>No</t>
        </is>
      </c>
      <c r="AC315" s="4" t="inlineStr">
        <is>
          <t>Tenant break on 6 months notice.</t>
        </is>
      </c>
      <c r="AF315" s="278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8" t="n">
        <v>43866</v>
      </c>
      <c r="M316" s="9" t="n">
        <v>47518</v>
      </c>
      <c r="O316" s="9" t="n">
        <v>45693</v>
      </c>
      <c r="Q316" s="10" t="n">
        <v>1000</v>
      </c>
      <c r="R316" s="10">
        <f>Q316</f>
        <v/>
      </c>
      <c r="T316" s="10" t="n">
        <v>1000</v>
      </c>
      <c r="U316" s="10">
        <f>T316</f>
        <v/>
      </c>
      <c r="V316" s="27" t="n">
        <v>1000</v>
      </c>
      <c r="W316" s="10">
        <f>V316</f>
        <v/>
      </c>
      <c r="X316" s="277" t="n"/>
      <c r="Y316" s="10" t="n"/>
      <c r="Z316" s="60" t="n"/>
      <c r="AA316" s="230" t="n"/>
      <c r="AB316" s="14" t="inlineStr">
        <is>
          <t>Yes</t>
        </is>
      </c>
      <c r="AC316" s="4" t="inlineStr">
        <is>
          <t>Rent review is RPI. Rolling landlords redevelopment break after 04/02/25 on 9 months notice.</t>
        </is>
      </c>
      <c r="AF316" s="278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10" t="n"/>
      <c r="J317" s="10" t="n"/>
      <c r="T317" s="10" t="n"/>
      <c r="U317" s="10" t="n"/>
      <c r="V317" s="27" t="n"/>
      <c r="W317" s="10" t="n"/>
      <c r="X317" s="10" t="n"/>
      <c r="Y317" s="10" t="n"/>
      <c r="Z317" s="60" t="n"/>
      <c r="AA317" s="230" t="n"/>
      <c r="AB317" s="14" t="n"/>
      <c r="AF317" s="278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0" t="inlineStr">
        <is>
          <t>3/4/4a Little Portland St.</t>
        </is>
      </c>
      <c r="H318" s="19">
        <f>SUM(H306:H316)</f>
        <v/>
      </c>
      <c r="I318" s="19" t="n"/>
      <c r="J318" s="19" t="n"/>
      <c r="K318" s="13" t="n"/>
      <c r="Q318" s="19">
        <f>SUM(Q306:Q316)</f>
        <v/>
      </c>
      <c r="R318" s="19" t="n"/>
      <c r="S318" s="19">
        <f>SUM(R304:R317)</f>
        <v/>
      </c>
      <c r="T318" s="19">
        <f>SUM(T306:T316)</f>
        <v/>
      </c>
      <c r="U318" s="19" t="n"/>
      <c r="V318" s="36">
        <f>SUM(V306:V316)</f>
        <v/>
      </c>
      <c r="W318" s="19" t="n"/>
      <c r="X318" s="19" t="n"/>
      <c r="Y318" s="19" t="n"/>
      <c r="Z318" s="61" t="n"/>
      <c r="AA318" s="36" t="n">
        <v>11175000</v>
      </c>
      <c r="AB318" s="14" t="n"/>
      <c r="AE318" s="29" t="n"/>
      <c r="AF318" s="279" t="n"/>
      <c r="AG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19" t="n"/>
      <c r="J319" s="19" t="n"/>
      <c r="Q319" s="19" t="n"/>
      <c r="R319" s="19" t="n"/>
      <c r="S319" s="19" t="n"/>
      <c r="T319" s="19" t="n"/>
      <c r="U319" s="19" t="n"/>
      <c r="V319" s="36" t="n"/>
      <c r="W319" s="19" t="n"/>
      <c r="X319" s="19" t="n"/>
      <c r="Y319" s="19" t="n"/>
      <c r="Z319" s="61" t="n"/>
      <c r="AA319" s="36" t="n"/>
      <c r="AB319" s="14" t="n"/>
      <c r="AF319" s="278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10" t="n"/>
      <c r="J320" s="10" t="n"/>
      <c r="K320" s="30" t="n"/>
      <c r="T320" s="11" t="n"/>
      <c r="U320" s="10" t="n"/>
      <c r="W320" s="10" t="n"/>
      <c r="X320" s="10" t="n"/>
      <c r="Y320" s="10" t="n"/>
      <c r="Z320" s="60" t="n"/>
      <c r="AA320" s="36" t="n"/>
      <c r="AB320" s="14" t="n"/>
      <c r="AF320" s="278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10" t="n"/>
      <c r="J321" s="10" t="n"/>
      <c r="T321" s="10" t="n"/>
      <c r="U321" s="10" t="n"/>
      <c r="V321" s="27" t="n"/>
      <c r="W321" s="10" t="n"/>
      <c r="X321" s="10" t="n"/>
      <c r="Y321" s="10" t="n"/>
      <c r="Z321" s="60" t="n"/>
      <c r="AA321" s="36" t="n"/>
      <c r="AB321" s="14" t="n"/>
      <c r="AF321" s="278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10">
        <f>H322</f>
        <v/>
      </c>
      <c r="J322" s="10" t="n">
        <v>2500</v>
      </c>
      <c r="K322" s="4" t="inlineStr">
        <is>
          <t>The Social Little Portland Street Ltd.</t>
        </is>
      </c>
      <c r="L322" s="8" t="n">
        <v>43571</v>
      </c>
      <c r="M322" s="9" t="n">
        <v>47223</v>
      </c>
      <c r="O322" s="9" t="n">
        <v>45398</v>
      </c>
      <c r="Q322" s="10" t="n">
        <v>82500</v>
      </c>
      <c r="R322" s="10">
        <f>Q322</f>
        <v/>
      </c>
      <c r="T322" s="10" t="n">
        <v>70000</v>
      </c>
      <c r="U322" s="10">
        <f>T322</f>
        <v/>
      </c>
      <c r="V322" s="27" t="n">
        <v>70000</v>
      </c>
      <c r="W322" s="10">
        <f>V322</f>
        <v/>
      </c>
      <c r="X322" s="277">
        <f>T322/H322</f>
        <v/>
      </c>
      <c r="Y322" s="10" t="inlineStr">
        <is>
          <t>B</t>
        </is>
      </c>
      <c r="Z322" s="60" t="n"/>
      <c r="AA322" s="36" t="n"/>
      <c r="AB322" s="14" t="inlineStr">
        <is>
          <t>No</t>
        </is>
      </c>
      <c r="AF322" s="278" t="n"/>
    </row>
    <row r="323" ht="22.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10">
        <f>H323</f>
        <v/>
      </c>
      <c r="J323" s="10" t="n">
        <v>2000</v>
      </c>
      <c r="K323" s="4" t="inlineStr">
        <is>
          <t>Oaxaca Ltd.</t>
        </is>
      </c>
      <c r="L323" s="8" t="n">
        <v>43398</v>
      </c>
      <c r="M323" s="9" t="n">
        <v>47050</v>
      </c>
      <c r="O323" s="9" t="n">
        <v>45955</v>
      </c>
      <c r="P323" s="9" t="n">
        <v>45954</v>
      </c>
      <c r="Q323" s="10" t="n">
        <v>101200</v>
      </c>
      <c r="R323" s="10">
        <f>Q323</f>
        <v/>
      </c>
      <c r="T323" s="10" t="n">
        <v>117100</v>
      </c>
      <c r="U323" s="10">
        <f>T323</f>
        <v/>
      </c>
      <c r="V323" s="27" t="n">
        <v>128000</v>
      </c>
      <c r="W323" s="10">
        <f>V323</f>
        <v/>
      </c>
      <c r="X323" s="277">
        <f>T323/H323</f>
        <v/>
      </c>
      <c r="Y323" s="10" t="inlineStr">
        <is>
          <t>E</t>
        </is>
      </c>
      <c r="Z323" s="60" t="n"/>
      <c r="AA323" s="36" t="n"/>
      <c r="AB323" s="14" t="inlineStr">
        <is>
          <t>No</t>
        </is>
      </c>
      <c r="AC323" s="29" t="inlineStr">
        <is>
          <t>Tenant has a concession to continue paying rent of £101,200 until expiry. Tenant break option removed.</t>
        </is>
      </c>
      <c r="AF323" s="278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10" t="n"/>
      <c r="J324" s="10" t="n"/>
      <c r="T324" s="10" t="n"/>
      <c r="U324" s="10" t="n"/>
      <c r="V324" s="27" t="n"/>
      <c r="W324" s="10" t="n"/>
      <c r="X324" s="10" t="n"/>
      <c r="Y324" s="10" t="n"/>
      <c r="Z324" s="60" t="n"/>
      <c r="AA324" s="36" t="n"/>
      <c r="AB324" s="14" t="n"/>
      <c r="AF324" s="278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0" t="inlineStr">
        <is>
          <t>5 Little Portland Street</t>
        </is>
      </c>
      <c r="H325" s="18">
        <f>SUM(H322:H323)</f>
        <v/>
      </c>
      <c r="I325" s="19" t="n"/>
      <c r="J325" s="19" t="n"/>
      <c r="Q325" s="19">
        <f>SUM(Q322:Q323)</f>
        <v/>
      </c>
      <c r="R325" s="19" t="n"/>
      <c r="S325" s="19">
        <f>SUM(R321:R324)</f>
        <v/>
      </c>
      <c r="T325" s="19">
        <f>SUM(T322:T323)</f>
        <v/>
      </c>
      <c r="U325" s="19" t="n"/>
      <c r="V325" s="36">
        <f>SUM(V322:V323)</f>
        <v/>
      </c>
      <c r="W325" s="19" t="n"/>
      <c r="X325" s="19" t="n"/>
      <c r="Y325" s="19" t="n"/>
      <c r="Z325" s="61" t="n"/>
      <c r="AA325" s="36" t="n">
        <v>3150000</v>
      </c>
      <c r="AB325" s="14" t="n"/>
      <c r="AE325" s="29" t="n"/>
      <c r="AF325" s="279" t="n"/>
      <c r="AG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10" t="n"/>
      <c r="J326" s="10" t="n"/>
      <c r="T326" s="10" t="n"/>
      <c r="U326" s="10" t="n"/>
      <c r="V326" s="27" t="n"/>
      <c r="W326" s="10" t="n"/>
      <c r="X326" s="10" t="n"/>
      <c r="Y326" s="10" t="n"/>
      <c r="Z326" s="60" t="n"/>
      <c r="AA326" s="36" t="n"/>
      <c r="AB326" s="14" t="n"/>
      <c r="AF326" s="278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10" t="n"/>
      <c r="J327" s="10" t="n"/>
      <c r="K327" s="30" t="n"/>
      <c r="T327" s="11" t="n"/>
      <c r="U327" s="10" t="n"/>
      <c r="W327" s="10" t="n"/>
      <c r="X327" s="10" t="n"/>
      <c r="Y327" s="10" t="n"/>
      <c r="Z327" s="60" t="n"/>
      <c r="AA327" s="36" t="n"/>
      <c r="AB327" s="14" t="n"/>
      <c r="AF327" s="278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10" t="n"/>
      <c r="J328" s="10" t="n"/>
      <c r="K328" s="133" t="n"/>
      <c r="L328" s="21" t="n"/>
      <c r="M328" s="21" t="n"/>
      <c r="N328" s="21" t="n"/>
      <c r="T328" s="10" t="n"/>
      <c r="U328" s="10" t="n"/>
      <c r="V328" s="27" t="n"/>
      <c r="W328" s="10" t="n"/>
      <c r="X328" s="10" t="n"/>
      <c r="Y328" s="10" t="n"/>
      <c r="Z328" s="60" t="n"/>
      <c r="AA328" s="36" t="n"/>
      <c r="AB328" s="14" t="n"/>
      <c r="AF328" s="278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10">
        <f>H329</f>
        <v/>
      </c>
      <c r="J329" s="10" t="n">
        <v>4500</v>
      </c>
      <c r="K329" s="4" t="inlineStr">
        <is>
          <t>Burger &amp; Lobster Restaurant Group Ltd.</t>
        </is>
      </c>
      <c r="L329" s="8" t="n">
        <v>41585</v>
      </c>
      <c r="M329" s="9" t="n">
        <v>47063</v>
      </c>
      <c r="O329" s="9" t="n">
        <v>45237</v>
      </c>
      <c r="Q329" s="10" t="n">
        <v>170000</v>
      </c>
      <c r="R329" s="10">
        <f>Q329</f>
        <v/>
      </c>
      <c r="T329" s="10" t="n">
        <v>146900</v>
      </c>
      <c r="U329" s="10">
        <f>T329</f>
        <v/>
      </c>
      <c r="V329" s="27" t="n">
        <v>152100</v>
      </c>
      <c r="W329" s="10">
        <f>V329</f>
        <v/>
      </c>
      <c r="X329" s="277">
        <f>T329/H329</f>
        <v/>
      </c>
      <c r="Y329" s="10" t="inlineStr">
        <is>
          <t>B</t>
        </is>
      </c>
      <c r="Z329" s="60" t="n"/>
      <c r="AA329" s="36" t="n"/>
      <c r="AB329" s="14" t="inlineStr">
        <is>
          <t>No</t>
        </is>
      </c>
      <c r="AC329" s="4" t="inlineStr">
        <is>
          <t>Rent review not yet activated due to level of passing rent.</t>
        </is>
      </c>
      <c r="AF329" s="278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10">
        <f>H330</f>
        <v/>
      </c>
      <c r="J330" s="10" t="n">
        <v>10500</v>
      </c>
      <c r="K330" s="35" t="inlineStr">
        <is>
          <t>Exposure Promotions Ltd.</t>
        </is>
      </c>
      <c r="L330" s="8" t="n">
        <v>44552</v>
      </c>
      <c r="M330" s="9" t="n">
        <v>46377</v>
      </c>
      <c r="Q330" s="10" t="n">
        <v>573565</v>
      </c>
      <c r="R330" s="10">
        <f>Q330</f>
        <v/>
      </c>
      <c r="T330" s="10" t="n">
        <v>572700</v>
      </c>
      <c r="U330" s="10">
        <f>T330</f>
        <v/>
      </c>
      <c r="V330" s="27" t="n">
        <v>589700</v>
      </c>
      <c r="W330" s="10">
        <f>V330</f>
        <v/>
      </c>
      <c r="X330" s="10" t="n"/>
      <c r="Y330" s="10" t="inlineStr">
        <is>
          <t>C</t>
        </is>
      </c>
      <c r="Z330" s="60" t="n"/>
      <c r="AA330" s="36" t="n"/>
      <c r="AB330" s="14" t="inlineStr">
        <is>
          <t>No</t>
        </is>
      </c>
      <c r="AC330" s="4" t="inlineStr">
        <is>
          <t>Tenant break on 6 months notice. 3 months rent free if not exercised.</t>
        </is>
      </c>
      <c r="AF330" s="278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10" t="n"/>
      <c r="J331" s="10" t="n"/>
      <c r="T331" s="10" t="n"/>
      <c r="U331" s="10" t="n"/>
      <c r="V331" s="27" t="n"/>
      <c r="W331" s="10" t="n"/>
      <c r="X331" s="10" t="n"/>
      <c r="Y331" s="10" t="n"/>
      <c r="Z331" s="60" t="n"/>
      <c r="AA331" s="36" t="n"/>
      <c r="AB331" s="14" t="n"/>
      <c r="AF331" s="278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0" t="inlineStr">
        <is>
          <t>6 Little Portland St.</t>
        </is>
      </c>
      <c r="H332" s="18">
        <f>SUM(H329:H330)</f>
        <v/>
      </c>
      <c r="I332" s="19" t="n"/>
      <c r="J332" s="19" t="n"/>
      <c r="Q332" s="19">
        <f>SUM(Q329:Q330)</f>
        <v/>
      </c>
      <c r="R332" s="19" t="n"/>
      <c r="S332" s="19">
        <f>SUM(R327:R331)</f>
        <v/>
      </c>
      <c r="T332" s="19">
        <f>SUM(T329:T330)</f>
        <v/>
      </c>
      <c r="U332" s="19" t="n"/>
      <c r="V332" s="36">
        <f>SUM(V329:V330)</f>
        <v/>
      </c>
      <c r="W332" s="19" t="n"/>
      <c r="X332" s="19" t="n"/>
      <c r="Y332" s="19" t="n"/>
      <c r="Z332" s="61" t="n"/>
      <c r="AA332" s="36" t="n">
        <v>11050000</v>
      </c>
      <c r="AB332" s="14" t="n"/>
      <c r="AE332" s="29" t="n"/>
      <c r="AF332" s="279" t="n"/>
      <c r="AG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0" t="n"/>
      <c r="H333" s="18" t="n"/>
      <c r="I333" s="19" t="n"/>
      <c r="J333" s="19" t="n"/>
      <c r="Q333" s="19" t="n"/>
      <c r="R333" s="19" t="n"/>
      <c r="S333" s="19" t="n"/>
      <c r="T333" s="19" t="n"/>
      <c r="U333" s="19" t="n"/>
      <c r="V333" s="36" t="n"/>
      <c r="W333" s="19" t="n"/>
      <c r="X333" s="19" t="n"/>
      <c r="Y333" s="19" t="n"/>
      <c r="Z333" s="61" t="n"/>
      <c r="AA333" s="362" t="n"/>
      <c r="AB333" s="14" t="n"/>
      <c r="AF333" s="278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0" t="n"/>
      <c r="G334" s="6" t="inlineStr">
        <is>
          <t>9 Little Portland Street</t>
        </is>
      </c>
      <c r="H334" s="18" t="n"/>
      <c r="I334" s="19" t="n"/>
      <c r="J334" s="19" t="n"/>
      <c r="Q334" s="19" t="n"/>
      <c r="R334" s="19" t="n"/>
      <c r="S334" s="19" t="n"/>
      <c r="T334" s="19" t="n"/>
      <c r="U334" s="19" t="n"/>
      <c r="V334" s="36" t="n"/>
      <c r="W334" s="19" t="n"/>
      <c r="X334" s="19" t="n"/>
      <c r="Y334" s="19" t="n"/>
      <c r="Z334" s="61" t="n"/>
      <c r="AA334" s="362" t="n"/>
      <c r="AB334" s="14" t="n"/>
      <c r="AF334" s="278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0" t="n"/>
      <c r="H335" s="18" t="n"/>
      <c r="I335" s="19" t="n"/>
      <c r="J335" s="19" t="n"/>
      <c r="Q335" s="19" t="n"/>
      <c r="R335" s="19" t="n"/>
      <c r="S335" s="19" t="n"/>
      <c r="T335" s="19" t="n"/>
      <c r="U335" s="19" t="n"/>
      <c r="V335" s="36" t="n"/>
      <c r="W335" s="19" t="n"/>
      <c r="X335" s="19" t="n"/>
      <c r="Y335" s="19" t="n"/>
      <c r="Z335" s="61" t="n"/>
      <c r="AA335" s="362" t="n"/>
      <c r="AB335" s="14" t="n"/>
      <c r="AF335" s="278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10">
        <f>H336</f>
        <v/>
      </c>
      <c r="J336" s="10" t="n">
        <v>750</v>
      </c>
      <c r="K336" s="4" t="inlineStr">
        <is>
          <t>Order Line Ltd</t>
        </is>
      </c>
      <c r="L336" s="8" t="n">
        <v>44724</v>
      </c>
      <c r="Q336" s="10" t="n">
        <v>45000</v>
      </c>
      <c r="R336" s="10">
        <f>Q336</f>
        <v/>
      </c>
      <c r="T336" s="10" t="n">
        <v>41700</v>
      </c>
      <c r="U336" s="10">
        <f>T336</f>
        <v/>
      </c>
      <c r="V336" s="27" t="n">
        <v>45000</v>
      </c>
      <c r="W336" s="10">
        <f>V336</f>
        <v/>
      </c>
      <c r="X336" s="277">
        <f>T336/H336</f>
        <v/>
      </c>
      <c r="Y336" s="10" t="inlineStr">
        <is>
          <t>E</t>
        </is>
      </c>
      <c r="Z336" s="60" t="n"/>
      <c r="AA336" s="230" t="n"/>
      <c r="AB336" s="14" t="inlineStr">
        <is>
          <t>No</t>
        </is>
      </c>
      <c r="AC336" s="4" t="inlineStr">
        <is>
          <t>Tenancy at will granted based at existing rent.</t>
        </is>
      </c>
      <c r="AF336" s="278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10">
        <f>H337</f>
        <v/>
      </c>
      <c r="J337" s="10" t="n">
        <v>500</v>
      </c>
      <c r="K337" s="4" t="inlineStr">
        <is>
          <t>Vacant</t>
        </is>
      </c>
      <c r="N337" s="9" t="n">
        <v>43466</v>
      </c>
      <c r="Q337" s="10" t="n">
        <v>0</v>
      </c>
      <c r="R337" s="10">
        <f>Q337</f>
        <v/>
      </c>
      <c r="T337" s="10" t="n">
        <v>24900</v>
      </c>
      <c r="U337" s="10">
        <f>T337</f>
        <v/>
      </c>
      <c r="V337" s="27" t="n">
        <v>24900</v>
      </c>
      <c r="W337" s="10">
        <f>V337</f>
        <v/>
      </c>
      <c r="X337" s="10" t="n"/>
      <c r="Y337" s="10" t="inlineStr">
        <is>
          <t>E</t>
        </is>
      </c>
      <c r="Z337" s="60" t="n"/>
      <c r="AA337" s="230" t="n"/>
      <c r="AB337" s="14" t="inlineStr">
        <is>
          <t>No</t>
        </is>
      </c>
      <c r="AC337" s="4" t="inlineStr">
        <is>
          <t>To be refurbished.</t>
        </is>
      </c>
      <c r="AF337" s="278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10">
        <f>H338</f>
        <v/>
      </c>
      <c r="J338" s="10" t="n">
        <v>500</v>
      </c>
      <c r="K338" s="4" t="inlineStr">
        <is>
          <t>Vacant</t>
        </is>
      </c>
      <c r="N338" s="9" t="n">
        <v>43466</v>
      </c>
      <c r="Q338" s="10" t="n">
        <v>0</v>
      </c>
      <c r="R338" s="10">
        <f>Q338</f>
        <v/>
      </c>
      <c r="T338" s="10" t="n">
        <v>24000</v>
      </c>
      <c r="U338" s="10">
        <f>T338</f>
        <v/>
      </c>
      <c r="V338" s="27" t="n">
        <v>24000</v>
      </c>
      <c r="W338" s="10">
        <f>V338</f>
        <v/>
      </c>
      <c r="X338" s="10" t="n"/>
      <c r="Y338" s="10" t="inlineStr">
        <is>
          <t>E</t>
        </is>
      </c>
      <c r="Z338" s="60" t="n"/>
      <c r="AA338" s="230" t="n"/>
      <c r="AB338" s="14" t="inlineStr">
        <is>
          <t>No</t>
        </is>
      </c>
      <c r="AC338" s="4" t="inlineStr">
        <is>
          <t>To be refurbished.</t>
        </is>
      </c>
      <c r="AF338" s="278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10">
        <f>H339</f>
        <v/>
      </c>
      <c r="J339" s="10" t="n">
        <v>500</v>
      </c>
      <c r="K339" s="4" t="inlineStr">
        <is>
          <t>Skynet Ltd</t>
        </is>
      </c>
      <c r="L339" s="8" t="n">
        <v>44724</v>
      </c>
      <c r="Q339" s="10" t="n">
        <v>21060</v>
      </c>
      <c r="R339" s="10">
        <f>Q339</f>
        <v/>
      </c>
      <c r="T339" s="10" t="n">
        <v>19300</v>
      </c>
      <c r="U339" s="10">
        <f>T339</f>
        <v/>
      </c>
      <c r="V339" s="27" t="n">
        <v>19300</v>
      </c>
      <c r="W339" s="10">
        <f>V339</f>
        <v/>
      </c>
      <c r="X339" s="10" t="n"/>
      <c r="Y339" s="10" t="inlineStr">
        <is>
          <t>E</t>
        </is>
      </c>
      <c r="Z339" s="60" t="n"/>
      <c r="AA339" s="230" t="n"/>
      <c r="AB339" s="14" t="inlineStr">
        <is>
          <t>No</t>
        </is>
      </c>
      <c r="AC339" s="4" t="inlineStr">
        <is>
          <t>Tenancy at will granted based at existing rent.</t>
        </is>
      </c>
      <c r="AF339" s="278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2" t="n"/>
      <c r="I340" s="10" t="n"/>
      <c r="J340" s="10" t="n"/>
      <c r="T340" s="10" t="n"/>
      <c r="U340" s="10" t="n"/>
      <c r="V340" s="27" t="n"/>
      <c r="W340" s="10" t="n"/>
      <c r="X340" s="10" t="n"/>
      <c r="Y340" s="10" t="n"/>
      <c r="Z340" s="60" t="n"/>
      <c r="AA340" s="230" t="n"/>
      <c r="AB340" s="14" t="n"/>
      <c r="AF340" s="278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2" t="n"/>
      <c r="H341" s="18">
        <f>SUM(H336:H339)</f>
        <v/>
      </c>
      <c r="I341" s="10" t="n"/>
      <c r="J341" s="10" t="n"/>
      <c r="Q341" s="19">
        <f>SUM(Q336:Q339)</f>
        <v/>
      </c>
      <c r="R341" s="19" t="n"/>
      <c r="S341" s="19">
        <f>SUM(R336:R339)</f>
        <v/>
      </c>
      <c r="T341" s="19">
        <f>SUM(T336:T339)</f>
        <v/>
      </c>
      <c r="U341" s="10" t="n"/>
      <c r="V341" s="36">
        <f>SUM(V336:V339)</f>
        <v/>
      </c>
      <c r="W341" s="10" t="n"/>
      <c r="X341" s="10" t="n"/>
      <c r="Y341" s="10" t="n"/>
      <c r="Z341" s="60" t="n"/>
      <c r="AA341" s="361" t="n">
        <v>1450000</v>
      </c>
      <c r="AB341" s="14" t="n"/>
      <c r="AF341" s="278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2" t="n"/>
      <c r="G342" s="39" t="n"/>
      <c r="I342" s="10" t="n"/>
      <c r="J342" s="10" t="n"/>
      <c r="T342" s="10" t="n"/>
      <c r="U342" s="10" t="n"/>
      <c r="V342" s="27" t="n"/>
      <c r="W342" s="10" t="n"/>
      <c r="X342" s="10" t="n"/>
      <c r="Y342" s="10" t="n"/>
      <c r="Z342" s="60" t="n"/>
      <c r="AA342" s="361" t="n"/>
      <c r="AB342" s="14" t="n"/>
      <c r="AF342" s="278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0" t="n"/>
      <c r="H343" s="18" t="n"/>
      <c r="I343" s="19" t="n"/>
      <c r="J343" s="19" t="n"/>
      <c r="Q343" s="19" t="n"/>
      <c r="R343" s="19" t="n"/>
      <c r="S343" s="19" t="n"/>
      <c r="T343" s="19" t="n"/>
      <c r="U343" s="19" t="n"/>
      <c r="V343" s="36" t="n"/>
      <c r="W343" s="19" t="n"/>
      <c r="X343" s="19" t="n"/>
      <c r="Y343" s="19" t="n"/>
      <c r="Z343" s="61" t="n"/>
      <c r="AA343" s="361" t="n"/>
      <c r="AB343" s="14" t="n"/>
      <c r="AF343" s="278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19" t="n"/>
      <c r="J344" s="19" t="n"/>
      <c r="Q344" s="19" t="n"/>
      <c r="R344" s="19" t="n"/>
      <c r="S344" s="19" t="n"/>
      <c r="T344" s="19" t="n"/>
      <c r="U344" s="19" t="n"/>
      <c r="V344" s="36" t="n"/>
      <c r="W344" s="19" t="n"/>
      <c r="X344" s="19" t="n"/>
      <c r="Y344" s="19" t="n"/>
      <c r="Z344" s="61" t="n"/>
      <c r="AA344" s="361" t="n"/>
      <c r="AB344" s="14" t="n"/>
      <c r="AF344" s="278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10" t="n"/>
      <c r="J345" s="10" t="n"/>
      <c r="K345" s="30" t="n"/>
      <c r="T345" s="11" t="n"/>
      <c r="U345" s="10" t="n"/>
      <c r="W345" s="10" t="n"/>
      <c r="X345" s="10" t="n"/>
      <c r="Y345" s="10" t="n"/>
      <c r="Z345" s="60" t="n"/>
      <c r="AA345" s="361" t="n"/>
      <c r="AB345" s="14" t="n"/>
      <c r="AF345" s="278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19" t="n"/>
      <c r="J346" s="19" t="n"/>
      <c r="K346" s="26" t="n"/>
      <c r="Q346" s="19" t="n"/>
      <c r="R346" s="19" t="n"/>
      <c r="S346" s="19" t="n"/>
      <c r="T346" s="19" t="n"/>
      <c r="U346" s="19" t="n"/>
      <c r="V346" s="36" t="n"/>
      <c r="W346" s="19" t="n"/>
      <c r="X346" s="19" t="n"/>
      <c r="Y346" s="19" t="n"/>
      <c r="Z346" s="61" t="n"/>
      <c r="AA346" s="361" t="n"/>
      <c r="AB346" s="14" t="n"/>
      <c r="AF346" s="278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10">
        <f>H347</f>
        <v/>
      </c>
      <c r="J347" s="10" t="n">
        <v>3000</v>
      </c>
      <c r="K347" s="4" t="inlineStr">
        <is>
          <t>FRIBA Limited</t>
        </is>
      </c>
      <c r="L347" s="8" t="n">
        <v>43794</v>
      </c>
      <c r="M347" s="9" t="n">
        <v>47446</v>
      </c>
      <c r="O347" s="9" t="n">
        <v>45621</v>
      </c>
      <c r="Q347" s="10" t="n">
        <v>124773</v>
      </c>
      <c r="R347" s="10">
        <f>Q347</f>
        <v/>
      </c>
      <c r="T347" s="10" t="n">
        <v>126900</v>
      </c>
      <c r="U347" s="10">
        <f>T347</f>
        <v/>
      </c>
      <c r="V347" s="27" t="n">
        <v>155100</v>
      </c>
      <c r="W347" s="10">
        <f>V347</f>
        <v/>
      </c>
      <c r="X347" s="277">
        <f>T347/H347</f>
        <v/>
      </c>
      <c r="Y347" s="10" t="inlineStr">
        <is>
          <t>D</t>
        </is>
      </c>
      <c r="Z347" s="60" t="n"/>
      <c r="AA347" s="361" t="n"/>
      <c r="AB347" s="14" t="inlineStr">
        <is>
          <t>No</t>
        </is>
      </c>
      <c r="AC347" s="4" t="inlineStr">
        <is>
          <t>Premises inter connected with 19 Margaret Street and let under a single lease. The floor area is shown for this building only. Rent shown pro rata.</t>
        </is>
      </c>
      <c r="AF347" s="278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10">
        <f>H348</f>
        <v/>
      </c>
      <c r="J348" s="10" t="n">
        <v>1250</v>
      </c>
      <c r="K348" s="4" t="inlineStr">
        <is>
          <t>Vacant</t>
        </is>
      </c>
      <c r="N348" s="9" t="n">
        <v>44747</v>
      </c>
      <c r="Q348" s="10" t="n">
        <v>0</v>
      </c>
      <c r="R348" s="10">
        <f>Q348</f>
        <v/>
      </c>
      <c r="T348" s="10" t="n">
        <v>70500</v>
      </c>
      <c r="U348" s="10">
        <f>T348</f>
        <v/>
      </c>
      <c r="V348" s="27" t="n">
        <v>76900</v>
      </c>
      <c r="W348" s="10">
        <f>V348</f>
        <v/>
      </c>
      <c r="X348" s="10" t="n"/>
      <c r="Y348" s="10" t="inlineStr">
        <is>
          <t>D</t>
        </is>
      </c>
      <c r="Z348" s="60" t="n"/>
      <c r="AA348" s="361" t="n"/>
      <c r="AB348" s="14" t="inlineStr">
        <is>
          <t>No</t>
        </is>
      </c>
      <c r="AC348" s="29" t="inlineStr">
        <is>
          <t>Refurbishment completed. Under offer.</t>
        </is>
      </c>
      <c r="AD348" s="303" t="n">
        <v>67.5</v>
      </c>
      <c r="AF348" s="278" t="n">
        <v>1</v>
      </c>
      <c r="AG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10">
        <f>H349</f>
        <v/>
      </c>
      <c r="J349" s="10" t="n">
        <v>1250</v>
      </c>
      <c r="K349" s="4" t="inlineStr">
        <is>
          <t>Spanx UK Ltd</t>
        </is>
      </c>
      <c r="L349" s="8" t="n">
        <v>44733</v>
      </c>
      <c r="M349" s="9" t="n">
        <v>46558</v>
      </c>
      <c r="P349" s="9" t="n">
        <v>45828</v>
      </c>
      <c r="Q349" s="10" t="n">
        <v>71000</v>
      </c>
      <c r="R349" s="10">
        <f>Q349</f>
        <v/>
      </c>
      <c r="T349" s="10" t="n">
        <v>71000</v>
      </c>
      <c r="U349" s="10">
        <f>T349</f>
        <v/>
      </c>
      <c r="V349" s="27" t="n">
        <v>75900</v>
      </c>
      <c r="W349" s="10">
        <f>V349</f>
        <v/>
      </c>
      <c r="X349" s="10" t="n"/>
      <c r="Y349" s="10" t="inlineStr">
        <is>
          <t>D</t>
        </is>
      </c>
      <c r="Z349" s="60" t="n"/>
      <c r="AA349" s="361" t="n"/>
      <c r="AB349" s="14" t="inlineStr">
        <is>
          <t>No</t>
        </is>
      </c>
      <c r="AC349" s="4" t="inlineStr">
        <is>
          <t>Mutual break @ 20/06/25 on 6 months notice. Tenant break exercised. Break conditions not met. Lease to continue.</t>
        </is>
      </c>
      <c r="AF349" s="278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10">
        <f>H350</f>
        <v/>
      </c>
      <c r="J350" s="10" t="n">
        <v>1250</v>
      </c>
      <c r="K350" s="4" t="inlineStr">
        <is>
          <t>Caneparo Associates Ltd</t>
        </is>
      </c>
      <c r="L350" s="8" t="n">
        <v>44605</v>
      </c>
      <c r="M350" s="9" t="n">
        <v>46430</v>
      </c>
      <c r="Q350" s="10" t="n">
        <v>63000</v>
      </c>
      <c r="R350" s="10">
        <f>Q350</f>
        <v/>
      </c>
      <c r="T350" s="10" t="n">
        <v>63100</v>
      </c>
      <c r="U350" s="10">
        <f>T350</f>
        <v/>
      </c>
      <c r="V350" s="27" t="n">
        <v>67400</v>
      </c>
      <c r="W350" s="10">
        <f>V350</f>
        <v/>
      </c>
      <c r="X350" s="10" t="n"/>
      <c r="Y350" s="10" t="inlineStr">
        <is>
          <t>D</t>
        </is>
      </c>
      <c r="Z350" s="60" t="n"/>
      <c r="AA350" s="361" t="n"/>
      <c r="AB350" s="14" t="inlineStr">
        <is>
          <t>No</t>
        </is>
      </c>
      <c r="AF350" s="278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10" t="n"/>
      <c r="J351" s="10" t="n"/>
      <c r="T351" s="10" t="n"/>
      <c r="U351" s="10" t="n"/>
      <c r="V351" s="27" t="n"/>
      <c r="W351" s="10" t="n"/>
      <c r="X351" s="10" t="n"/>
      <c r="Y351" s="10" t="n"/>
      <c r="Z351" s="60" t="n"/>
      <c r="AA351" s="361" t="n"/>
      <c r="AB351" s="14" t="n"/>
      <c r="AF351" s="278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0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19">
        <f>SUM(R347:R351)</f>
        <v/>
      </c>
      <c r="T352" s="18">
        <f>SUM(T347:T351)</f>
        <v/>
      </c>
      <c r="U352" s="18" t="n"/>
      <c r="V352" s="361">
        <f>SUM(V347:V351)</f>
        <v/>
      </c>
      <c r="W352" s="18" t="n"/>
      <c r="X352" s="18" t="n"/>
      <c r="Y352" s="18" t="n"/>
      <c r="Z352" s="63" t="n"/>
      <c r="AA352" s="361" t="n">
        <v>5400000</v>
      </c>
      <c r="AB352" s="14" t="n"/>
      <c r="AF352" s="278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19" t="n"/>
      <c r="J353" s="19" t="n"/>
      <c r="Q353" s="19" t="n"/>
      <c r="R353" s="19" t="n"/>
      <c r="S353" s="19" t="n"/>
      <c r="T353" s="19" t="n"/>
      <c r="U353" s="19" t="n"/>
      <c r="V353" s="36" t="n"/>
      <c r="W353" s="19" t="n"/>
      <c r="X353" s="19" t="n"/>
      <c r="Y353" s="19" t="n"/>
      <c r="Z353" s="61" t="n"/>
      <c r="AA353" s="361" t="n"/>
      <c r="AB353" s="14" t="n"/>
      <c r="AF353" s="278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10" t="n"/>
      <c r="J354" s="10" t="n"/>
      <c r="K354" s="30" t="n"/>
      <c r="T354" s="11" t="n"/>
      <c r="U354" s="10" t="n"/>
      <c r="W354" s="10" t="n"/>
      <c r="X354" s="10" t="n"/>
      <c r="Y354" s="10" t="n"/>
      <c r="Z354" s="60" t="n"/>
      <c r="AA354" s="361" t="n"/>
      <c r="AB354" s="14" t="n"/>
      <c r="AF354" s="278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10" t="n"/>
      <c r="J355" s="10" t="n"/>
      <c r="K355" s="20" t="n"/>
      <c r="L355" s="21" t="n"/>
      <c r="T355" s="10" t="n"/>
      <c r="U355" s="10" t="n"/>
      <c r="V355" s="27" t="n"/>
      <c r="W355" s="10" t="n"/>
      <c r="X355" s="10" t="n"/>
      <c r="Y355" s="10" t="n"/>
      <c r="Z355" s="60" t="n"/>
      <c r="AA355" s="361" t="n"/>
      <c r="AB355" s="14" t="n"/>
      <c r="AF355" s="278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10">
        <f>H356</f>
        <v/>
      </c>
      <c r="J356" s="10" t="n">
        <v>10000</v>
      </c>
      <c r="K356" s="35" t="inlineStr">
        <is>
          <t>David Chipperfield Architects Ltd</t>
        </is>
      </c>
      <c r="L356" s="8" t="n">
        <v>45463</v>
      </c>
      <c r="M356" s="9" t="n">
        <v>49114</v>
      </c>
      <c r="O356" s="9" t="n">
        <v>47289</v>
      </c>
      <c r="P356" s="9" t="n">
        <v>47288</v>
      </c>
      <c r="Q356" s="19" t="n">
        <v>715000</v>
      </c>
      <c r="R356" s="19">
        <f>Q356</f>
        <v/>
      </c>
      <c r="S356" s="19">
        <f>R356</f>
        <v/>
      </c>
      <c r="T356" s="19" t="n">
        <v>715000</v>
      </c>
      <c r="U356" s="10">
        <f>T356</f>
        <v/>
      </c>
      <c r="V356" s="36" t="n">
        <v>715000</v>
      </c>
      <c r="W356" s="10">
        <f>V356</f>
        <v/>
      </c>
      <c r="X356" s="277">
        <f>T356/H356</f>
        <v/>
      </c>
      <c r="Y356" s="10" t="inlineStr">
        <is>
          <t>A</t>
        </is>
      </c>
      <c r="Z356" s="60" t="n"/>
      <c r="AA356" s="361" t="n">
        <v>12325000</v>
      </c>
      <c r="AB356" s="14" t="inlineStr">
        <is>
          <t>No</t>
        </is>
      </c>
      <c r="AC356" s="4" t="inlineStr">
        <is>
          <t>Tenant break on 6 months notice.</t>
        </is>
      </c>
      <c r="AF356" s="278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10" t="n"/>
      <c r="J357" s="10" t="n"/>
      <c r="T357" s="10" t="n"/>
      <c r="U357" s="10" t="n"/>
      <c r="V357" s="27" t="n"/>
      <c r="W357" s="10" t="n"/>
      <c r="X357" s="10" t="n"/>
      <c r="Y357" s="10" t="n"/>
      <c r="Z357" s="60" t="n"/>
      <c r="AA357" s="361" t="n"/>
      <c r="AB357" s="14" t="n"/>
      <c r="AF357" s="278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10" t="n"/>
      <c r="J358" s="10" t="n"/>
      <c r="K358" s="30" t="n"/>
      <c r="T358" s="11" t="n"/>
      <c r="U358" s="10" t="n"/>
      <c r="W358" s="10" t="n"/>
      <c r="X358" s="10" t="n"/>
      <c r="Y358" s="10" t="n"/>
      <c r="Z358" s="60" t="n"/>
      <c r="AA358" s="361" t="n"/>
      <c r="AB358" s="14" t="n"/>
      <c r="AF358" s="278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I359" s="10" t="n"/>
      <c r="J359" s="10" t="n"/>
      <c r="T359" s="10" t="n"/>
      <c r="U359" s="10" t="n"/>
      <c r="V359" s="27" t="n"/>
      <c r="W359" s="10" t="n"/>
      <c r="X359" s="10" t="n"/>
      <c r="Y359" s="10" t="n"/>
      <c r="Z359" s="60" t="n"/>
      <c r="AA359" s="361" t="n"/>
      <c r="AB359" s="14" t="n"/>
      <c r="AF359" s="278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10">
        <f>H360</f>
        <v/>
      </c>
      <c r="J360" s="10" t="n">
        <v>5000</v>
      </c>
      <c r="K360" s="4" t="inlineStr">
        <is>
          <t>Racoon Media Services Limited</t>
        </is>
      </c>
      <c r="L360" s="8" t="n">
        <v>45198</v>
      </c>
      <c r="M360" s="9" t="n">
        <v>48850</v>
      </c>
      <c r="O360" s="9" t="n">
        <v>47025</v>
      </c>
      <c r="P360" s="9" t="n">
        <v>46293</v>
      </c>
      <c r="Q360" s="19" t="n">
        <v>315000</v>
      </c>
      <c r="R360" s="10">
        <f>Q360</f>
        <v/>
      </c>
      <c r="S360" s="19">
        <f>R360</f>
        <v/>
      </c>
      <c r="T360" s="19" t="n">
        <v>266600</v>
      </c>
      <c r="U360" s="10">
        <f>T360</f>
        <v/>
      </c>
      <c r="V360" s="36" t="n">
        <v>324500</v>
      </c>
      <c r="W360" s="10">
        <f>V360</f>
        <v/>
      </c>
      <c r="X360" s="277">
        <f>T360/H360</f>
        <v/>
      </c>
      <c r="Y360" s="10" t="inlineStr">
        <is>
          <t>C</t>
        </is>
      </c>
      <c r="Z360" s="60" t="n"/>
      <c r="AA360" s="361" t="n">
        <v>5400000</v>
      </c>
      <c r="AB360" s="14" t="inlineStr">
        <is>
          <t>No</t>
        </is>
      </c>
      <c r="AC360" s="4" t="inlineStr">
        <is>
          <t>Tenant break on 6 months notice, if not exercised then a further 3 months rent free.</t>
        </is>
      </c>
      <c r="AF360" s="278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19" t="n"/>
      <c r="J361" s="19" t="n"/>
      <c r="Q361" s="19" t="n"/>
      <c r="R361" s="19" t="n"/>
      <c r="S361" s="19" t="n"/>
      <c r="T361" s="19" t="n"/>
      <c r="U361" s="19" t="n"/>
      <c r="V361" s="36" t="n"/>
      <c r="W361" s="19" t="n"/>
      <c r="X361" s="19" t="n"/>
      <c r="Y361" s="19" t="n"/>
      <c r="Z361" s="61" t="n"/>
      <c r="AA361" s="362" t="n"/>
      <c r="AB361" s="14" t="n"/>
      <c r="AF361" s="278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10" t="n"/>
      <c r="J362" s="10" t="n"/>
      <c r="K362" s="30" t="n"/>
      <c r="T362" s="11" t="n"/>
      <c r="U362" s="10" t="n"/>
      <c r="W362" s="10" t="n"/>
      <c r="X362" s="10" t="n"/>
      <c r="Y362" s="10" t="n"/>
      <c r="Z362" s="60" t="n"/>
      <c r="AA362" s="230" t="n"/>
      <c r="AB362" s="14" t="n"/>
      <c r="AF362" s="278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10" t="n"/>
      <c r="J363" s="10" t="n"/>
      <c r="K363" s="30" t="n"/>
      <c r="T363" s="11" t="n"/>
      <c r="U363" s="10" t="n"/>
      <c r="W363" s="10" t="n"/>
      <c r="X363" s="10" t="n"/>
      <c r="Y363" s="10" t="n"/>
      <c r="Z363" s="60" t="n"/>
      <c r="AA363" s="230" t="n"/>
      <c r="AB363" s="14" t="n"/>
      <c r="AF363" s="278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9" t="n">
        <v>43184</v>
      </c>
      <c r="M364" s="9" t="n">
        <v>46836</v>
      </c>
      <c r="O364" s="9" t="n">
        <v>45010</v>
      </c>
      <c r="Q364" s="10" t="n">
        <v>2400</v>
      </c>
      <c r="R364" s="10">
        <f>Q364</f>
        <v/>
      </c>
      <c r="T364" s="10" t="n">
        <v>2000</v>
      </c>
      <c r="U364" s="10">
        <f>T364</f>
        <v/>
      </c>
      <c r="V364" s="27" t="n">
        <v>2000</v>
      </c>
      <c r="W364" s="10">
        <f>V364</f>
        <v/>
      </c>
      <c r="X364" s="277">
        <f>T364/H364</f>
        <v/>
      </c>
      <c r="Y364" s="10" t="n"/>
      <c r="Z364" s="60" t="n"/>
      <c r="AA364" s="230" t="n"/>
      <c r="AB364" s="14" t="inlineStr">
        <is>
          <t>No</t>
        </is>
      </c>
      <c r="AC364" s="4" t="inlineStr">
        <is>
          <t>Mutual rolling break on 6 months notice. Internal Lease to another Lee Family Group Company.</t>
        </is>
      </c>
      <c r="AF364" s="278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9" t="n">
        <v>43184</v>
      </c>
      <c r="M365" s="9" t="n">
        <v>46836</v>
      </c>
      <c r="O365" s="9" t="n">
        <v>45010</v>
      </c>
      <c r="Q365" s="10" t="n">
        <v>24500</v>
      </c>
      <c r="R365" s="10">
        <f>Q365</f>
        <v/>
      </c>
      <c r="T365" s="10" t="n">
        <v>17500</v>
      </c>
      <c r="U365" s="10">
        <f>T365</f>
        <v/>
      </c>
      <c r="V365" s="27" t="n">
        <v>26200</v>
      </c>
      <c r="W365" s="10">
        <f>V365</f>
        <v/>
      </c>
      <c r="X365" s="10" t="n"/>
      <c r="Y365" s="10" t="inlineStr">
        <is>
          <t>D</t>
        </is>
      </c>
      <c r="Z365" s="60" t="n"/>
      <c r="AA365" s="230" t="n"/>
      <c r="AB365" s="14" t="inlineStr">
        <is>
          <t>No</t>
        </is>
      </c>
      <c r="AC365" s="4" t="inlineStr">
        <is>
          <t>Mutual rolling break on 6 months notice. Internal Lease to another Lee Family Group Company.</t>
        </is>
      </c>
      <c r="AF365" s="278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9" t="n">
        <v>43184</v>
      </c>
      <c r="M366" s="9" t="n">
        <v>46836</v>
      </c>
      <c r="O366" s="9" t="n">
        <v>45010</v>
      </c>
      <c r="Q366" s="10" t="n">
        <v>15600</v>
      </c>
      <c r="R366" s="10">
        <f>Q366</f>
        <v/>
      </c>
      <c r="T366" s="10" t="n">
        <v>12500</v>
      </c>
      <c r="U366" s="10">
        <f>T366</f>
        <v/>
      </c>
      <c r="V366" s="27" t="n">
        <v>18700</v>
      </c>
      <c r="W366" s="10">
        <f>V366</f>
        <v/>
      </c>
      <c r="X366" s="10" t="n"/>
      <c r="Y366" s="10" t="inlineStr">
        <is>
          <t>D</t>
        </is>
      </c>
      <c r="Z366" s="60" t="n"/>
      <c r="AA366" s="230" t="n"/>
      <c r="AB366" s="14" t="inlineStr">
        <is>
          <t>No</t>
        </is>
      </c>
      <c r="AC366" s="4" t="inlineStr">
        <is>
          <t>Mutual rolling break on 6 months notice. Internal Lease to another Lee Family Group Company.</t>
        </is>
      </c>
      <c r="AF366" s="278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9" t="n">
        <v>45010</v>
      </c>
      <c r="M367" s="9" t="n">
        <v>46836</v>
      </c>
      <c r="Q367" s="10" t="n">
        <v>84600</v>
      </c>
      <c r="R367" s="10">
        <f>Q367</f>
        <v/>
      </c>
      <c r="T367" s="10" t="n">
        <v>86100</v>
      </c>
      <c r="U367" s="10">
        <f>T367</f>
        <v/>
      </c>
      <c r="V367" s="27" t="n">
        <v>89800</v>
      </c>
      <c r="W367" s="10">
        <f>V367</f>
        <v/>
      </c>
      <c r="X367" s="10" t="n"/>
      <c r="Y367" s="10" t="inlineStr">
        <is>
          <t>C</t>
        </is>
      </c>
      <c r="Z367" s="60" t="n"/>
      <c r="AA367" s="230" t="n"/>
      <c r="AB367" s="14" t="inlineStr">
        <is>
          <t>No</t>
        </is>
      </c>
      <c r="AC367" s="4" t="inlineStr">
        <is>
          <t>Mutual rolling break on 6 months notice. Internal Lease to another Lee Family Group Company.</t>
        </is>
      </c>
      <c r="AF367" s="278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8" t="n">
        <v>45269</v>
      </c>
      <c r="M368" s="9" t="n">
        <v>46836</v>
      </c>
      <c r="Q368" s="10" t="n">
        <v>87750</v>
      </c>
      <c r="R368" s="10">
        <f>Q368</f>
        <v/>
      </c>
      <c r="T368" s="10" t="n">
        <v>89300</v>
      </c>
      <c r="U368" s="10">
        <f>T368</f>
        <v/>
      </c>
      <c r="V368" s="27" t="n">
        <v>93200</v>
      </c>
      <c r="W368" s="10">
        <f>V368</f>
        <v/>
      </c>
      <c r="X368" s="10" t="n"/>
      <c r="Y368" s="10" t="inlineStr">
        <is>
          <t>D</t>
        </is>
      </c>
      <c r="Z368" s="60" t="n"/>
      <c r="AA368" s="230" t="n"/>
      <c r="AB368" s="14" t="inlineStr">
        <is>
          <t>No</t>
        </is>
      </c>
      <c r="AC368" s="4" t="inlineStr">
        <is>
          <t>Mutual rolling break on 6 months notice. Internal Lease to another Lee Family Group Company.</t>
        </is>
      </c>
      <c r="AF368" s="278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9" t="n">
        <v>43184</v>
      </c>
      <c r="M369" s="9" t="n">
        <v>46836</v>
      </c>
      <c r="O369" s="9" t="n">
        <v>45010</v>
      </c>
      <c r="Q369" s="10" t="n">
        <v>79500</v>
      </c>
      <c r="R369" s="10">
        <f>Q369</f>
        <v/>
      </c>
      <c r="T369" s="10" t="n">
        <v>86700</v>
      </c>
      <c r="U369" s="10">
        <f>T369</f>
        <v/>
      </c>
      <c r="V369" s="27" t="n">
        <v>90300</v>
      </c>
      <c r="W369" s="10">
        <f>V369</f>
        <v/>
      </c>
      <c r="X369" s="10" t="n"/>
      <c r="Y369" s="10" t="inlineStr">
        <is>
          <t>D</t>
        </is>
      </c>
      <c r="Z369" s="60" t="n"/>
      <c r="AA369" s="230" t="n"/>
      <c r="AB369" s="14" t="inlineStr">
        <is>
          <t>No</t>
        </is>
      </c>
      <c r="AC369" s="4" t="inlineStr">
        <is>
          <t>Mutual rolling break on 6 months notice. Internal Lease to another Lee Family Group Company.</t>
        </is>
      </c>
      <c r="AF369" s="278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9" t="n">
        <v>43184</v>
      </c>
      <c r="M370" s="9" t="n">
        <v>46836</v>
      </c>
      <c r="O370" s="9" t="n">
        <v>45010</v>
      </c>
      <c r="Q370" s="10" t="n">
        <v>66000</v>
      </c>
      <c r="R370" s="10">
        <f>Q370</f>
        <v/>
      </c>
      <c r="T370" s="10" t="n">
        <v>72000</v>
      </c>
      <c r="U370" s="10">
        <f>T370</f>
        <v/>
      </c>
      <c r="V370" s="27" t="n">
        <v>75000</v>
      </c>
      <c r="W370" s="10">
        <f>V370</f>
        <v/>
      </c>
      <c r="X370" s="10" t="n"/>
      <c r="Y370" s="10" t="inlineStr">
        <is>
          <t>C</t>
        </is>
      </c>
      <c r="Z370" s="60" t="n"/>
      <c r="AA370" s="230" t="n"/>
      <c r="AB370" s="14" t="inlineStr">
        <is>
          <t>No</t>
        </is>
      </c>
      <c r="AC370" s="4" t="inlineStr">
        <is>
          <t>Mutual rolling break on 6 months notice. Internal Lease to another Lee Family Group Company.</t>
        </is>
      </c>
      <c r="AF370" s="278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9" t="n">
        <v>43184</v>
      </c>
      <c r="M371" s="9" t="n">
        <v>46836</v>
      </c>
      <c r="O371" s="9" t="n">
        <v>45010</v>
      </c>
      <c r="Q371" s="10" t="n">
        <v>18650</v>
      </c>
      <c r="R371" s="10">
        <f>Q371</f>
        <v/>
      </c>
      <c r="T371" s="10" t="n">
        <v>22400</v>
      </c>
      <c r="U371" s="10">
        <f>T371</f>
        <v/>
      </c>
      <c r="V371" s="27" t="n">
        <v>23300</v>
      </c>
      <c r="W371" s="10">
        <f>V371</f>
        <v/>
      </c>
      <c r="X371" s="10" t="n"/>
      <c r="Y371" s="10" t="inlineStr">
        <is>
          <t>D</t>
        </is>
      </c>
      <c r="Z371" s="60" t="n"/>
      <c r="AA371" s="230" t="n"/>
      <c r="AB371" s="14" t="inlineStr">
        <is>
          <t>No</t>
        </is>
      </c>
      <c r="AC371" s="4" t="inlineStr">
        <is>
          <t>Mutual rolling break on 6 months notice. Internal Lease to another Lee Family Group Company.</t>
        </is>
      </c>
      <c r="AF371" s="278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9" t="n">
        <v>43184</v>
      </c>
      <c r="M372" s="9" t="n">
        <v>46836</v>
      </c>
      <c r="O372" s="9" t="n">
        <v>45010</v>
      </c>
      <c r="Q372" s="10" t="n">
        <v>18150</v>
      </c>
      <c r="R372" s="10">
        <f>Q372</f>
        <v/>
      </c>
      <c r="T372" s="10" t="n">
        <v>20800</v>
      </c>
      <c r="U372" s="10">
        <f>T372</f>
        <v/>
      </c>
      <c r="V372" s="27" t="n">
        <v>21600</v>
      </c>
      <c r="W372" s="10">
        <f>V372</f>
        <v/>
      </c>
      <c r="X372" s="10" t="n"/>
      <c r="Y372" s="10" t="inlineStr">
        <is>
          <t>D</t>
        </is>
      </c>
      <c r="Z372" s="60" t="n"/>
      <c r="AA372" s="230" t="n"/>
      <c r="AB372" s="14" t="inlineStr">
        <is>
          <t>No</t>
        </is>
      </c>
      <c r="AC372" s="4" t="inlineStr">
        <is>
          <t>Mutual rolling break on 6 months notice. Internal Lease to another Lee Family Group Company.</t>
        </is>
      </c>
      <c r="AF372" s="278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10" t="n"/>
      <c r="J373" s="10" t="n"/>
      <c r="T373" s="10" t="n"/>
      <c r="U373" s="10" t="n"/>
      <c r="V373" s="27" t="n"/>
      <c r="W373" s="10" t="n"/>
      <c r="X373" s="10" t="n"/>
      <c r="Y373" s="10" t="n"/>
      <c r="Z373" s="60" t="n"/>
      <c r="AA373" s="230" t="n"/>
      <c r="AB373" s="14" t="n"/>
      <c r="AF373" s="278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0" t="inlineStr">
        <is>
          <t>9a Margaret Street</t>
        </is>
      </c>
      <c r="H374" s="18">
        <f>SUM(H364:H372)</f>
        <v/>
      </c>
      <c r="I374" s="19" t="n"/>
      <c r="J374" s="19" t="n"/>
      <c r="Q374" s="19">
        <f>SUM(Q364:Q372)</f>
        <v/>
      </c>
      <c r="R374" s="19" t="n"/>
      <c r="S374" s="19">
        <f>SUM(R362:R373)</f>
        <v/>
      </c>
      <c r="T374" s="19">
        <f>SUM(T364:T372)</f>
        <v/>
      </c>
      <c r="U374" s="19" t="n"/>
      <c r="V374" s="36">
        <f>SUM(V364:V372)</f>
        <v/>
      </c>
      <c r="W374" s="19" t="n"/>
      <c r="X374" s="19" t="n"/>
      <c r="Y374" s="19" t="n"/>
      <c r="Z374" s="61" t="n"/>
      <c r="AA374" s="361" t="n">
        <v>5400000</v>
      </c>
      <c r="AB374" s="14" t="n"/>
      <c r="AF374" s="278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19" t="n"/>
      <c r="J375" s="19" t="n"/>
      <c r="Q375" s="19" t="n"/>
      <c r="R375" s="19" t="n"/>
      <c r="S375" s="19" t="n"/>
      <c r="T375" s="19" t="n"/>
      <c r="U375" s="19" t="n"/>
      <c r="V375" s="36" t="n"/>
      <c r="W375" s="19" t="n"/>
      <c r="X375" s="19" t="n"/>
      <c r="Y375" s="19" t="n"/>
      <c r="Z375" s="61" t="n"/>
      <c r="AA375" s="36" t="n"/>
      <c r="AB375" s="14" t="n"/>
      <c r="AF375" s="278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10" t="n"/>
      <c r="J376" s="10" t="n"/>
      <c r="K376" s="30" t="n"/>
      <c r="T376" s="11" t="n"/>
      <c r="U376" s="10" t="n"/>
      <c r="W376" s="10" t="n"/>
      <c r="X376" s="10" t="n"/>
      <c r="Y376" s="10" t="n"/>
      <c r="Z376" s="60" t="n"/>
      <c r="AA376" s="36" t="n"/>
      <c r="AB376" s="14" t="n"/>
      <c r="AF376" s="278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10" t="n"/>
      <c r="J377" s="10" t="n"/>
      <c r="K377" s="20" t="n"/>
      <c r="L377" s="21" t="n"/>
      <c r="T377" s="10" t="n"/>
      <c r="U377" s="10" t="n"/>
      <c r="V377" s="27" t="n"/>
      <c r="W377" s="10" t="n"/>
      <c r="X377" s="10" t="n"/>
      <c r="Y377" s="10" t="n"/>
      <c r="Z377" s="60" t="n"/>
      <c r="AA377" s="36" t="n"/>
      <c r="AB377" s="14" t="n"/>
      <c r="AF377" s="278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10">
        <f>H378</f>
        <v/>
      </c>
      <c r="J378" s="10" t="n">
        <v>8500</v>
      </c>
      <c r="K378" s="4" t="inlineStr">
        <is>
          <t>DMR Film Ventures (Facilities) Ltd.</t>
        </is>
      </c>
      <c r="L378" s="8" t="n">
        <v>44390</v>
      </c>
      <c r="M378" s="9" t="n">
        <v>48041</v>
      </c>
      <c r="O378" s="9" t="n">
        <v>46216</v>
      </c>
      <c r="P378" s="9" t="n">
        <v>46215</v>
      </c>
      <c r="Q378" s="10" t="n">
        <v>450500</v>
      </c>
      <c r="R378" s="10">
        <f>Q378</f>
        <v/>
      </c>
      <c r="T378" s="10" t="n">
        <v>450500</v>
      </c>
      <c r="U378" s="10">
        <f>T378</f>
        <v/>
      </c>
      <c r="V378" s="27" t="n">
        <v>495300</v>
      </c>
      <c r="W378" s="10">
        <f>V378</f>
        <v/>
      </c>
      <c r="X378" s="277">
        <f>T378/H378</f>
        <v/>
      </c>
      <c r="Y378" s="10" t="inlineStr">
        <is>
          <t>C</t>
        </is>
      </c>
      <c r="Z378" s="60" t="n"/>
      <c r="AA378" s="36" t="n"/>
      <c r="AB378" s="14" t="inlineStr">
        <is>
          <t>No</t>
        </is>
      </c>
      <c r="AC378" s="4" t="inlineStr">
        <is>
          <t>Tenant break on 6 months notice. 6 months rent free if break not exercised.</t>
        </is>
      </c>
      <c r="AF378" s="278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10">
        <f>H379</f>
        <v/>
      </c>
      <c r="J379" s="10" t="n"/>
      <c r="K379" s="4" t="inlineStr">
        <is>
          <t>London Power Networks Plc</t>
        </is>
      </c>
      <c r="L379" s="8" t="n">
        <v>38840</v>
      </c>
      <c r="M379" s="9" t="n">
        <v>46144</v>
      </c>
      <c r="Q379" s="10" t="n">
        <v>1100</v>
      </c>
      <c r="R379" s="10">
        <f>Q379</f>
        <v/>
      </c>
      <c r="T379" s="10" t="n">
        <v>1100</v>
      </c>
      <c r="U379" s="10">
        <f>T379</f>
        <v/>
      </c>
      <c r="V379" s="27" t="n">
        <v>1100</v>
      </c>
      <c r="W379" s="10">
        <f>V379</f>
        <v/>
      </c>
      <c r="X379" s="10" t="n"/>
      <c r="Y379" s="10" t="n"/>
      <c r="Z379" s="60" t="n"/>
      <c r="AA379" s="36" t="n"/>
      <c r="AB379" s="14" t="inlineStr">
        <is>
          <t>No</t>
        </is>
      </c>
      <c r="AC379" s="4" t="inlineStr">
        <is>
          <t>Landlords rolling redevelopment option on 6 months notice.</t>
        </is>
      </c>
      <c r="AF379" s="278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10" t="n"/>
      <c r="J380" s="10" t="n"/>
      <c r="T380" s="10" t="n"/>
      <c r="U380" s="10" t="n"/>
      <c r="V380" s="27" t="n"/>
      <c r="W380" s="10" t="n"/>
      <c r="X380" s="10" t="n"/>
      <c r="Y380" s="10" t="n"/>
      <c r="Z380" s="60" t="n"/>
      <c r="AA380" s="36" t="n"/>
      <c r="AB380" s="14" t="n"/>
      <c r="AF380" s="278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0" t="inlineStr">
        <is>
          <t>10 Margaret Street</t>
        </is>
      </c>
      <c r="H381" s="18">
        <f>SUM(H378:H379)</f>
        <v/>
      </c>
      <c r="I381" s="19" t="n"/>
      <c r="J381" s="19" t="n"/>
      <c r="Q381" s="19">
        <f>SUM(Q378:Q379)</f>
        <v/>
      </c>
      <c r="R381" s="19" t="n"/>
      <c r="S381" s="19">
        <f>SUM(R376:R380)</f>
        <v/>
      </c>
      <c r="T381" s="19">
        <f>SUM(T378:T379)</f>
        <v/>
      </c>
      <c r="U381" s="19" t="n"/>
      <c r="V381" s="36">
        <f>SUM(V378:V379)</f>
        <v/>
      </c>
      <c r="W381" s="19" t="n"/>
      <c r="X381" s="19" t="n"/>
      <c r="Y381" s="19" t="n"/>
      <c r="Z381" s="61" t="n"/>
      <c r="AA381" s="36" t="n">
        <v>7275000</v>
      </c>
      <c r="AB381" s="14" t="n"/>
      <c r="AF381" s="278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10" t="n"/>
      <c r="J382" s="10" t="n"/>
      <c r="T382" s="10" t="n"/>
      <c r="U382" s="10" t="n"/>
      <c r="V382" s="27" t="n"/>
      <c r="W382" s="10" t="n"/>
      <c r="X382" s="10" t="n"/>
      <c r="Y382" s="10" t="n"/>
      <c r="Z382" s="60" t="n"/>
      <c r="AA382" s="230" t="n"/>
      <c r="AB382" s="14" t="n"/>
      <c r="AF382" s="278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10" t="n"/>
      <c r="J383" s="10" t="n"/>
      <c r="K383" s="30" t="n"/>
      <c r="T383" s="11" t="n"/>
      <c r="U383" s="10" t="n"/>
      <c r="W383" s="10" t="n"/>
      <c r="X383" s="10" t="n"/>
      <c r="Y383" s="10" t="n"/>
      <c r="Z383" s="60" t="n"/>
      <c r="AA383" s="230" t="n"/>
      <c r="AB383" s="14" t="n"/>
      <c r="AF383" s="278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10" t="n"/>
      <c r="J384" s="10" t="n"/>
      <c r="T384" s="10" t="n"/>
      <c r="U384" s="10" t="n"/>
      <c r="V384" s="27" t="n"/>
      <c r="W384" s="10" t="n"/>
      <c r="X384" s="10" t="n"/>
      <c r="Y384" s="10" t="n"/>
      <c r="Z384" s="60" t="n"/>
      <c r="AA384" s="230" t="n"/>
      <c r="AB384" s="14" t="n"/>
      <c r="AF384" s="278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10">
        <f>H385</f>
        <v/>
      </c>
      <c r="J385" s="10" t="n">
        <v>6500</v>
      </c>
      <c r="K385" s="4" t="inlineStr">
        <is>
          <t>Wimbledon Business Centre Ltd.</t>
        </is>
      </c>
      <c r="L385" s="8" t="n">
        <v>45062</v>
      </c>
      <c r="M385" s="9" t="n">
        <v>48714</v>
      </c>
      <c r="O385" s="9" t="n">
        <v>46889</v>
      </c>
      <c r="Q385" s="19" t="n">
        <v>350000</v>
      </c>
      <c r="R385" s="10">
        <f>Q385</f>
        <v/>
      </c>
      <c r="S385" s="19">
        <f>R385</f>
        <v/>
      </c>
      <c r="T385" s="19" t="n">
        <v>350000</v>
      </c>
      <c r="U385" s="10">
        <f>T385</f>
        <v/>
      </c>
      <c r="V385" s="36" t="n">
        <v>372700</v>
      </c>
      <c r="W385" s="10">
        <f>V385</f>
        <v/>
      </c>
      <c r="X385" s="277">
        <f>T385/H385</f>
        <v/>
      </c>
      <c r="Y385" s="10" t="inlineStr">
        <is>
          <t>D</t>
        </is>
      </c>
      <c r="Z385" s="60" t="n"/>
      <c r="AA385" s="364" t="n">
        <v>6300000</v>
      </c>
      <c r="AB385" s="14" t="inlineStr">
        <is>
          <t>No</t>
        </is>
      </c>
      <c r="AF385" s="278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19" t="n"/>
      <c r="J386" s="19" t="n"/>
      <c r="Q386" s="19" t="n"/>
      <c r="R386" s="19" t="n"/>
      <c r="S386" s="19" t="n"/>
      <c r="T386" s="19" t="n"/>
      <c r="U386" s="19" t="n"/>
      <c r="V386" s="36" t="n"/>
      <c r="W386" s="19" t="n"/>
      <c r="X386" s="19" t="n"/>
      <c r="Y386" s="19" t="n"/>
      <c r="Z386" s="61" t="n"/>
      <c r="AA386" s="364" t="n"/>
      <c r="AB386" s="14" t="n"/>
      <c r="AF386" s="278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0" t="inlineStr">
        <is>
          <t>12 Margaret Street</t>
        </is>
      </c>
      <c r="H387" s="31">
        <f>SUM(H385:H386)</f>
        <v/>
      </c>
      <c r="I387" s="18" t="n"/>
      <c r="J387" s="18" t="n"/>
      <c r="K387" s="32" t="n"/>
      <c r="L387" s="33" t="n"/>
      <c r="M387" s="34" t="n"/>
      <c r="N387" s="34" t="n"/>
      <c r="O387" s="34" t="n"/>
      <c r="P387" s="34" t="n"/>
      <c r="Q387" s="18" t="n"/>
      <c r="R387" s="18" t="n"/>
      <c r="S387" s="18" t="n"/>
      <c r="T387" s="31">
        <f>SUM(T385:T386)</f>
        <v/>
      </c>
      <c r="U387" s="31" t="n"/>
      <c r="V387" s="376" t="n"/>
      <c r="W387" s="31" t="n"/>
      <c r="X387" s="31" t="n"/>
      <c r="Y387" s="31" t="n"/>
      <c r="Z387" s="62" t="n"/>
      <c r="AA387" s="364" t="n"/>
      <c r="AB387" s="14" t="n"/>
      <c r="AF387" s="278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19" t="n"/>
      <c r="J388" s="19" t="n"/>
      <c r="Q388" s="19" t="n"/>
      <c r="R388" s="19" t="n"/>
      <c r="S388" s="19" t="n"/>
      <c r="T388" s="19" t="n"/>
      <c r="U388" s="19" t="n"/>
      <c r="V388" s="36" t="n"/>
      <c r="W388" s="19" t="n"/>
      <c r="X388" s="19" t="n"/>
      <c r="Y388" s="19" t="n"/>
      <c r="Z388" s="61" t="n"/>
      <c r="AA388" s="364" t="n"/>
      <c r="AB388" s="14" t="n"/>
      <c r="AF388" s="278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10" t="n"/>
      <c r="J389" s="10" t="n"/>
      <c r="K389" s="30" t="n"/>
      <c r="T389" s="11" t="n"/>
      <c r="U389" s="10" t="n"/>
      <c r="W389" s="10" t="n"/>
      <c r="X389" s="10" t="n"/>
      <c r="Y389" s="10" t="n"/>
      <c r="Z389" s="60" t="n"/>
      <c r="AA389" s="364" t="n"/>
      <c r="AB389" s="14" t="n"/>
      <c r="AF389" s="278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10" t="n"/>
      <c r="J390" s="10" t="n"/>
      <c r="T390" s="10" t="n"/>
      <c r="U390" s="10" t="n"/>
      <c r="V390" s="27" t="n"/>
      <c r="W390" s="10" t="n"/>
      <c r="X390" s="10" t="n"/>
      <c r="Y390" s="10" t="n"/>
      <c r="Z390" s="60" t="n"/>
      <c r="AA390" s="364" t="n"/>
      <c r="AB390" s="14" t="n"/>
      <c r="AF390" s="278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10">
        <f>H391</f>
        <v/>
      </c>
      <c r="J391" s="10" t="n">
        <v>5750</v>
      </c>
      <c r="K391" s="4" t="inlineStr">
        <is>
          <t>Arlettie London Ltd.</t>
        </is>
      </c>
      <c r="L391" s="8" t="n">
        <v>45240</v>
      </c>
      <c r="M391" s="9" t="n">
        <v>48892</v>
      </c>
      <c r="O391" s="9" t="n">
        <v>47067</v>
      </c>
      <c r="P391" s="9" t="n">
        <v>47066</v>
      </c>
      <c r="Q391" s="10" t="n">
        <v>282288</v>
      </c>
      <c r="R391" s="10">
        <f>Q391</f>
        <v/>
      </c>
      <c r="S391" s="19" t="n"/>
      <c r="T391" s="10" t="n">
        <v>258600</v>
      </c>
      <c r="U391" s="10">
        <f>T391</f>
        <v/>
      </c>
      <c r="V391" s="27" t="n">
        <v>282288</v>
      </c>
      <c r="W391" s="10">
        <f>V391</f>
        <v/>
      </c>
      <c r="X391" s="277">
        <f>T391/H391</f>
        <v/>
      </c>
      <c r="Y391" s="10" t="inlineStr">
        <is>
          <t>C</t>
        </is>
      </c>
      <c r="Z391" s="60" t="n"/>
      <c r="AA391" s="364" t="n"/>
      <c r="AB391" s="14" t="inlineStr">
        <is>
          <t>No</t>
        </is>
      </c>
      <c r="AC391" s="4" t="inlineStr">
        <is>
          <t>Tenant break on 6 months notice and penalty clause of £48,345.</t>
        </is>
      </c>
      <c r="AF391" s="278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10">
        <f>H392</f>
        <v/>
      </c>
      <c r="J392" s="10" t="n">
        <v>2500</v>
      </c>
      <c r="K392" s="4" t="inlineStr">
        <is>
          <t>Final Cut Ltd.</t>
        </is>
      </c>
      <c r="L392" s="8" t="n">
        <v>44665</v>
      </c>
      <c r="M392" s="9" t="n">
        <v>48852</v>
      </c>
      <c r="O392" s="9" t="n">
        <v>46491</v>
      </c>
      <c r="P392" s="9" t="n">
        <v>47026</v>
      </c>
      <c r="Q392" s="10" t="n">
        <v>152500</v>
      </c>
      <c r="R392" s="10">
        <f>Q392</f>
        <v/>
      </c>
      <c r="S392" s="19" t="n"/>
      <c r="T392" s="10" t="n">
        <v>152400</v>
      </c>
      <c r="U392" s="10">
        <f>T392</f>
        <v/>
      </c>
      <c r="V392" s="27" t="n">
        <v>152400</v>
      </c>
      <c r="W392" s="10">
        <f>V392</f>
        <v/>
      </c>
      <c r="X392" s="277">
        <f>T392/H392</f>
        <v/>
      </c>
      <c r="Y392" s="10" t="inlineStr">
        <is>
          <t>E</t>
        </is>
      </c>
      <c r="Z392" s="60" t="n"/>
      <c r="AA392" s="364" t="n"/>
      <c r="AB392" s="14" t="inlineStr">
        <is>
          <t>No</t>
        </is>
      </c>
      <c r="AC392" s="4" t="inlineStr">
        <is>
          <t xml:space="preserve">Tenant break on 6 months notice. </t>
        </is>
      </c>
      <c r="AF392" s="278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10">
        <f>H393</f>
        <v/>
      </c>
      <c r="J393" s="10" t="n">
        <v>2500</v>
      </c>
      <c r="K393" s="4" t="inlineStr">
        <is>
          <t>Final Cut Ltd.</t>
        </is>
      </c>
      <c r="L393" s="8" t="n">
        <v>44445</v>
      </c>
      <c r="M393" s="9" t="n">
        <v>47026</v>
      </c>
      <c r="O393" s="9" t="n">
        <v>46271</v>
      </c>
      <c r="Q393" s="10" t="n">
        <v>150000</v>
      </c>
      <c r="R393" s="10">
        <f>Q393</f>
        <v/>
      </c>
      <c r="S393" s="19" t="n"/>
      <c r="T393" s="10" t="n">
        <v>158800</v>
      </c>
      <c r="U393" s="10">
        <f>T393</f>
        <v/>
      </c>
      <c r="V393" s="27" t="n">
        <v>159800</v>
      </c>
      <c r="W393" s="10">
        <f>V393</f>
        <v/>
      </c>
      <c r="X393" s="277">
        <f>T393/H393</f>
        <v/>
      </c>
      <c r="Y393" s="10" t="inlineStr">
        <is>
          <t>E</t>
        </is>
      </c>
      <c r="Z393" s="60" t="n"/>
      <c r="AA393" s="364" t="n"/>
      <c r="AB393" s="14" t="inlineStr">
        <is>
          <t>No</t>
        </is>
      </c>
      <c r="AF393" s="278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10">
        <f>H394</f>
        <v/>
      </c>
      <c r="J394" s="10" t="n">
        <v>5000</v>
      </c>
      <c r="K394" s="4" t="inlineStr">
        <is>
          <t>Final Cut Ltd.</t>
        </is>
      </c>
      <c r="L394" s="8" t="n">
        <v>45259</v>
      </c>
      <c r="M394" s="9" t="n">
        <v>47026</v>
      </c>
      <c r="Q394" s="10" t="n">
        <v>307687</v>
      </c>
      <c r="R394" s="10">
        <f>Q394</f>
        <v/>
      </c>
      <c r="S394" s="19" t="n"/>
      <c r="T394" s="10" t="n">
        <v>314300</v>
      </c>
      <c r="U394" s="10">
        <f>T394</f>
        <v/>
      </c>
      <c r="V394" s="27" t="n">
        <v>311300</v>
      </c>
      <c r="W394" s="10">
        <f>V394</f>
        <v/>
      </c>
      <c r="X394" s="277">
        <f>T394/H394</f>
        <v/>
      </c>
      <c r="Y394" s="10" t="inlineStr">
        <is>
          <t>E</t>
        </is>
      </c>
      <c r="Z394" s="60" t="n"/>
      <c r="AA394" s="364" t="n"/>
      <c r="AB394" s="14" t="inlineStr">
        <is>
          <t>No</t>
        </is>
      </c>
      <c r="AF394" s="278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10">
        <f>H395</f>
        <v/>
      </c>
      <c r="J395" s="10" t="n">
        <v>2250</v>
      </c>
      <c r="K395" s="4" t="inlineStr">
        <is>
          <t>Final Cut Ltd.</t>
        </is>
      </c>
      <c r="L395" s="8" t="n">
        <v>45259</v>
      </c>
      <c r="M395" s="9" t="n">
        <v>47026</v>
      </c>
      <c r="Q395" s="10" t="n">
        <v>138500</v>
      </c>
      <c r="R395" s="10">
        <f>Q395</f>
        <v/>
      </c>
      <c r="S395" s="19" t="n"/>
      <c r="T395" s="10" t="n">
        <v>138500</v>
      </c>
      <c r="U395" s="10">
        <f>T395</f>
        <v/>
      </c>
      <c r="V395" s="27" t="n">
        <v>140700</v>
      </c>
      <c r="W395" s="10">
        <f>V395</f>
        <v/>
      </c>
      <c r="X395" s="277">
        <f>T395/H395</f>
        <v/>
      </c>
      <c r="Y395" s="10" t="inlineStr">
        <is>
          <t>E</t>
        </is>
      </c>
      <c r="Z395" s="60" t="n"/>
      <c r="AA395" s="364" t="n"/>
      <c r="AB395" s="14" t="inlineStr">
        <is>
          <t>No</t>
        </is>
      </c>
      <c r="AF395" s="278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0" t="inlineStr">
        <is>
          <t>13/14 Margaret Street</t>
        </is>
      </c>
      <c r="H396" s="31" t="n"/>
      <c r="I396" s="18" t="n"/>
      <c r="J396" s="18" t="n"/>
      <c r="K396" s="32" t="n"/>
      <c r="L396" s="33" t="n"/>
      <c r="M396" s="34" t="n"/>
      <c r="N396" s="34" t="n"/>
      <c r="O396" s="34" t="n"/>
      <c r="P396" s="34" t="n"/>
      <c r="Q396" s="31" t="n"/>
      <c r="R396" s="31" t="n"/>
      <c r="S396" s="31" t="n"/>
      <c r="T396" s="31" t="n"/>
      <c r="U396" s="31" t="n"/>
      <c r="V396" s="376" t="n"/>
      <c r="W396" s="31" t="n"/>
      <c r="X396" s="31" t="n"/>
      <c r="Y396" s="31" t="n"/>
      <c r="Z396" s="62" t="n"/>
      <c r="AA396" s="364" t="n"/>
      <c r="AB396" s="14" t="n"/>
      <c r="AF396" s="278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0" t="n"/>
      <c r="H397" s="45">
        <f>SUM(H391:H395)</f>
        <v/>
      </c>
      <c r="I397" s="18" t="n"/>
      <c r="J397" s="18" t="n"/>
      <c r="K397" s="32" t="n"/>
      <c r="L397" s="33" t="n"/>
      <c r="M397" s="34" t="n"/>
      <c r="N397" s="34" t="n"/>
      <c r="O397" s="34" t="n"/>
      <c r="P397" s="34" t="n"/>
      <c r="Q397" s="45">
        <f>SUM(Q391:Q395)</f>
        <v/>
      </c>
      <c r="R397" s="45" t="n"/>
      <c r="S397" s="19">
        <f>SUM(R391:R396)</f>
        <v/>
      </c>
      <c r="T397" s="45">
        <f>SUM(T391:T395)</f>
        <v/>
      </c>
      <c r="U397" s="45" t="n"/>
      <c r="V397" s="364">
        <f>SUM(V391:V395)</f>
        <v/>
      </c>
      <c r="W397" s="45" t="n"/>
      <c r="X397" s="45" t="n"/>
      <c r="Y397" s="45" t="n"/>
      <c r="Z397" s="66" t="n"/>
      <c r="AA397" s="364" t="n">
        <v>14675000</v>
      </c>
      <c r="AB397" s="14" t="n"/>
      <c r="AE397" s="29" t="n"/>
      <c r="AF397" s="279" t="n"/>
      <c r="AG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0" t="n"/>
      <c r="H398" s="31" t="n"/>
      <c r="I398" s="18" t="n"/>
      <c r="J398" s="18" t="n"/>
      <c r="K398" s="32" t="n"/>
      <c r="L398" s="33" t="n"/>
      <c r="M398" s="34" t="n"/>
      <c r="N398" s="34" t="n"/>
      <c r="O398" s="34" t="n"/>
      <c r="P398" s="34" t="n"/>
      <c r="Q398" s="31" t="n"/>
      <c r="R398" s="31" t="n"/>
      <c r="S398" s="31" t="n"/>
      <c r="T398" s="31" t="n"/>
      <c r="U398" s="31" t="n"/>
      <c r="V398" s="376" t="n"/>
      <c r="W398" s="31" t="n"/>
      <c r="X398" s="31" t="n"/>
      <c r="Y398" s="31" t="n"/>
      <c r="Z398" s="62" t="n"/>
      <c r="AA398" s="364" t="n"/>
      <c r="AB398" s="14" t="n"/>
      <c r="AF398" s="278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10" t="n"/>
      <c r="J399" s="10" t="n"/>
      <c r="K399" s="30" t="n"/>
      <c r="T399" s="11" t="n"/>
      <c r="U399" s="10" t="n"/>
      <c r="W399" s="10" t="n"/>
      <c r="X399" s="10" t="n"/>
      <c r="Y399" s="10" t="n"/>
      <c r="Z399" s="60" t="n"/>
      <c r="AA399" s="364" t="n"/>
      <c r="AB399" s="14" t="n"/>
      <c r="AF399" s="278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10" t="n"/>
      <c r="J400" s="10" t="n"/>
      <c r="T400" s="10" t="n"/>
      <c r="U400" s="10" t="n"/>
      <c r="V400" s="27" t="n"/>
      <c r="W400" s="10" t="n"/>
      <c r="X400" s="10" t="n"/>
      <c r="Y400" s="10" t="n"/>
      <c r="Z400" s="60" t="n"/>
      <c r="AA400" s="364" t="n"/>
      <c r="AB400" s="14" t="n"/>
      <c r="AF400" s="278" t="n"/>
    </row>
    <row r="401" ht="33.75" customHeight="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29" t="inlineStr">
        <is>
          <t>Ludorum Club Ltd</t>
        </is>
      </c>
      <c r="L401" s="388" t="n">
        <v>45887</v>
      </c>
      <c r="M401" s="387" t="n">
        <v>49538</v>
      </c>
      <c r="N401" s="387" t="n"/>
      <c r="O401" s="387" t="n">
        <v>47713</v>
      </c>
      <c r="P401" s="387" t="n">
        <v>47712</v>
      </c>
      <c r="Q401" s="27" t="n">
        <v>0</v>
      </c>
      <c r="R401" s="10">
        <f>Q401</f>
        <v/>
      </c>
      <c r="T401" s="10" t="n">
        <v>53800</v>
      </c>
      <c r="U401" s="10">
        <f>T401</f>
        <v/>
      </c>
      <c r="V401" s="27" t="n">
        <v>54000</v>
      </c>
      <c r="W401" s="10">
        <f>V401</f>
        <v/>
      </c>
      <c r="X401" s="277">
        <f>T401/H401</f>
        <v/>
      </c>
      <c r="Y401" s="10" t="inlineStr">
        <is>
          <t>E</t>
        </is>
      </c>
      <c r="Z401" s="60" t="n"/>
      <c r="AA401" s="364" t="n"/>
      <c r="AB401" s="14" t="inlineStr">
        <is>
          <t>No</t>
        </is>
      </c>
      <c r="AC401" s="29" t="inlineStr">
        <is>
          <t>New letiing completed. Rent £35,000 wef 18/02/26. Fixed increase to £70,000 wef 18/08/26. Tenant break on 6 months notice. 8 months rent free amortised over 12 months if not exercised.</t>
        </is>
      </c>
      <c r="AE401" s="4" t="n">
        <v>2</v>
      </c>
      <c r="AF401" s="278" t="n">
        <v>8</v>
      </c>
      <c r="AG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8" t="n">
        <v>45240</v>
      </c>
      <c r="M402" s="9" t="n">
        <v>48892</v>
      </c>
      <c r="O402" s="9" t="n">
        <v>47067</v>
      </c>
      <c r="P402" s="9" t="n">
        <v>47066</v>
      </c>
      <c r="Q402" s="10" t="n">
        <v>132000</v>
      </c>
      <c r="R402" s="10">
        <f>Q402</f>
        <v/>
      </c>
      <c r="T402" s="10" t="n">
        <v>130000</v>
      </c>
      <c r="U402" s="10">
        <f>T402</f>
        <v/>
      </c>
      <c r="V402" s="27" t="n">
        <v>132000</v>
      </c>
      <c r="W402" s="10">
        <f>V402</f>
        <v/>
      </c>
      <c r="X402" s="277">
        <f>T402/H402</f>
        <v/>
      </c>
      <c r="Y402" s="10" t="inlineStr">
        <is>
          <t>C</t>
        </is>
      </c>
      <c r="Z402" s="60" t="n"/>
      <c r="AA402" s="364" t="n"/>
      <c r="AB402" s="14" t="inlineStr">
        <is>
          <t>No</t>
        </is>
      </c>
      <c r="AC402" s="4" t="inlineStr">
        <is>
          <t>Tenant break on 6 months notice</t>
        </is>
      </c>
      <c r="AF402" s="278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9" t="n">
        <v>44403</v>
      </c>
      <c r="Q403" s="10" t="n">
        <v>0</v>
      </c>
      <c r="R403" s="10">
        <f>Q403</f>
        <v/>
      </c>
      <c r="T403" s="10" t="n">
        <v>85800</v>
      </c>
      <c r="U403" s="10">
        <f>T403</f>
        <v/>
      </c>
      <c r="V403" s="27" t="n">
        <v>106800</v>
      </c>
      <c r="W403" s="10">
        <f>V403</f>
        <v/>
      </c>
      <c r="X403" s="277">
        <f>T403/H403</f>
        <v/>
      </c>
      <c r="Y403" s="10" t="inlineStr">
        <is>
          <t>D</t>
        </is>
      </c>
      <c r="Z403" s="60" t="n"/>
      <c r="AA403" s="364" t="n"/>
      <c r="AB403" s="14" t="inlineStr">
        <is>
          <t>No</t>
        </is>
      </c>
      <c r="AC403" s="4" t="inlineStr">
        <is>
          <t>Unit under offer.</t>
        </is>
      </c>
      <c r="AD403" s="303" t="n">
        <v>65</v>
      </c>
      <c r="AF403" s="278" t="n">
        <v>1</v>
      </c>
      <c r="AG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8" t="n">
        <v>44798</v>
      </c>
      <c r="M404" s="9" t="n">
        <v>46623</v>
      </c>
      <c r="Q404" s="10" t="n">
        <v>73700</v>
      </c>
      <c r="R404" s="10">
        <f>Q404</f>
        <v/>
      </c>
      <c r="T404" s="10" t="n">
        <v>73500</v>
      </c>
      <c r="U404" s="10">
        <f>T404</f>
        <v/>
      </c>
      <c r="V404" s="27" t="n">
        <v>86200</v>
      </c>
      <c r="W404" s="10">
        <f>V404</f>
        <v/>
      </c>
      <c r="X404" s="277">
        <f>T404/H404</f>
        <v/>
      </c>
      <c r="Y404" s="10" t="inlineStr">
        <is>
          <t>D</t>
        </is>
      </c>
      <c r="Z404" s="60" t="n"/>
      <c r="AA404" s="364" t="n"/>
      <c r="AB404" s="14" t="inlineStr">
        <is>
          <t>No</t>
        </is>
      </c>
      <c r="AF404" s="278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9" t="n">
        <v>44097</v>
      </c>
      <c r="Q405" s="10" t="n">
        <v>0</v>
      </c>
      <c r="R405" s="10">
        <f>Q405</f>
        <v/>
      </c>
      <c r="T405" s="10" t="n">
        <v>65600</v>
      </c>
      <c r="U405" s="10">
        <f>T405</f>
        <v/>
      </c>
      <c r="V405" s="27" t="n">
        <v>75100</v>
      </c>
      <c r="W405" s="10">
        <f>V405</f>
        <v/>
      </c>
      <c r="X405" s="277">
        <f>T405/H405</f>
        <v/>
      </c>
      <c r="Y405" s="10" t="inlineStr">
        <is>
          <t>D</t>
        </is>
      </c>
      <c r="Z405" s="60" t="n"/>
      <c r="AA405" s="364" t="n"/>
      <c r="AB405" s="14" t="inlineStr">
        <is>
          <t>No</t>
        </is>
      </c>
      <c r="AC405" s="4" t="inlineStr">
        <is>
          <t>LEM marketing</t>
        </is>
      </c>
      <c r="AD405" s="303" t="n">
        <v>65</v>
      </c>
      <c r="AF405" s="278" t="n"/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9" t="n">
        <v>44814</v>
      </c>
      <c r="Q406" s="10" t="n">
        <v>0</v>
      </c>
      <c r="R406" s="10">
        <f>Q406</f>
        <v/>
      </c>
      <c r="T406" s="10" t="n">
        <v>45000</v>
      </c>
      <c r="U406" s="10">
        <f>T406</f>
        <v/>
      </c>
      <c r="V406" s="27" t="n">
        <v>55200</v>
      </c>
      <c r="W406" s="10">
        <f>V406</f>
        <v/>
      </c>
      <c r="X406" s="277">
        <f>T406/H406</f>
        <v/>
      </c>
      <c r="Y406" s="10" t="inlineStr">
        <is>
          <t>E</t>
        </is>
      </c>
      <c r="Z406" s="60" t="n"/>
      <c r="AA406" s="364" t="n"/>
      <c r="AB406" s="14" t="inlineStr">
        <is>
          <t>No</t>
        </is>
      </c>
      <c r="AC406" s="4" t="inlineStr">
        <is>
          <t>LEM marketing</t>
        </is>
      </c>
      <c r="AD406" s="303" t="n">
        <v>65</v>
      </c>
      <c r="AF406" s="278" t="n"/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5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9" t="n">
        <v>44063</v>
      </c>
      <c r="Q407" s="10" t="n">
        <v>0</v>
      </c>
      <c r="R407" s="10">
        <f>Q407</f>
        <v/>
      </c>
      <c r="T407" s="10" t="n">
        <v>39300</v>
      </c>
      <c r="U407" s="10">
        <f>T407</f>
        <v/>
      </c>
      <c r="V407" s="27" t="n">
        <v>44500</v>
      </c>
      <c r="W407" s="10">
        <f>V407</f>
        <v/>
      </c>
      <c r="X407" s="277">
        <f>T407/H407</f>
        <v/>
      </c>
      <c r="Y407" s="10" t="inlineStr">
        <is>
          <t>E</t>
        </is>
      </c>
      <c r="Z407" s="60" t="n"/>
      <c r="AA407" s="364" t="n"/>
      <c r="AB407" s="14" t="inlineStr">
        <is>
          <t>No</t>
        </is>
      </c>
      <c r="AC407" s="4" t="inlineStr">
        <is>
          <t>LEM marketing</t>
        </is>
      </c>
      <c r="AD407" s="303" t="n">
        <v>65</v>
      </c>
      <c r="AF407" s="278" t="n"/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10" t="n"/>
      <c r="J408" s="10" t="n"/>
      <c r="T408" s="10" t="n"/>
      <c r="U408" s="10" t="n"/>
      <c r="V408" s="27" t="n"/>
      <c r="W408" s="10" t="n"/>
      <c r="X408" s="10" t="n"/>
      <c r="Y408" s="10" t="n"/>
      <c r="Z408" s="60" t="n"/>
      <c r="AA408" s="364" t="n"/>
      <c r="AB408" s="14" t="n"/>
      <c r="AF408" s="278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0" t="inlineStr">
        <is>
          <t>15/16 Margaret Street</t>
        </is>
      </c>
      <c r="H409" s="18">
        <f>SUM(H401:H407)</f>
        <v/>
      </c>
      <c r="I409" s="19" t="n"/>
      <c r="J409" s="19" t="n"/>
      <c r="Q409" s="19">
        <f>SUM(Q401:Q408)</f>
        <v/>
      </c>
      <c r="R409" s="19" t="n"/>
      <c r="S409" s="19">
        <f>SUM(R399:R408)</f>
        <v/>
      </c>
      <c r="T409" s="19">
        <f>SUM(T401:T407)</f>
        <v/>
      </c>
      <c r="U409" s="19" t="n"/>
      <c r="V409" s="36">
        <f>SUM(V401:V407)</f>
        <v/>
      </c>
      <c r="W409" s="19" t="n"/>
      <c r="X409" s="19" t="n"/>
      <c r="Y409" s="19" t="n"/>
      <c r="Z409" s="61" t="n"/>
      <c r="AA409" s="364" t="n">
        <v>7750000</v>
      </c>
      <c r="AB409" s="14" t="n"/>
      <c r="AE409" s="29" t="n"/>
      <c r="AF409" s="279" t="n"/>
      <c r="AG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19" t="n"/>
      <c r="J410" s="19" t="n"/>
      <c r="Q410" s="19" t="n"/>
      <c r="R410" s="19" t="n"/>
      <c r="S410" s="19" t="n"/>
      <c r="T410" s="19" t="n"/>
      <c r="U410" s="19" t="n"/>
      <c r="V410" s="36" t="n"/>
      <c r="W410" s="19" t="n"/>
      <c r="X410" s="19" t="n"/>
      <c r="Y410" s="19" t="n"/>
      <c r="Z410" s="61" t="n"/>
      <c r="AA410" s="362" t="n"/>
      <c r="AB410" s="14" t="n"/>
      <c r="AF410" s="278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10" t="n"/>
      <c r="J411" s="10" t="n"/>
      <c r="K411" s="30" t="n"/>
      <c r="T411" s="11" t="n"/>
      <c r="U411" s="10" t="n"/>
      <c r="W411" s="10" t="n"/>
      <c r="X411" s="10" t="n"/>
      <c r="Y411" s="10" t="n"/>
      <c r="Z411" s="60" t="n"/>
      <c r="AA411" s="230" t="n"/>
      <c r="AB411" s="14" t="n"/>
      <c r="AF411" s="278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10" t="n"/>
      <c r="J412" s="10" t="n"/>
      <c r="T412" s="10" t="n"/>
      <c r="U412" s="10" t="n"/>
      <c r="V412" s="27" t="n"/>
      <c r="W412" s="10" t="n"/>
      <c r="X412" s="10" t="n"/>
      <c r="Y412" s="10" t="n"/>
      <c r="Z412" s="60" t="n"/>
      <c r="AA412" s="230" t="n"/>
      <c r="AB412" s="14" t="n"/>
      <c r="AF412" s="278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5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6" t="inlineStr">
        <is>
          <t>Arrow International Media Ltd.</t>
        </is>
      </c>
      <c r="L413" s="8" t="n">
        <v>44758</v>
      </c>
      <c r="M413" s="9" t="n">
        <v>46583</v>
      </c>
      <c r="Q413" s="10" t="n">
        <v>69440</v>
      </c>
      <c r="R413" s="10">
        <f>Q413</f>
        <v/>
      </c>
      <c r="T413" s="10" t="n">
        <v>69500</v>
      </c>
      <c r="U413" s="10">
        <f>T413</f>
        <v/>
      </c>
      <c r="V413" s="27" t="n">
        <v>69500</v>
      </c>
      <c r="W413" s="10">
        <f>V413</f>
        <v/>
      </c>
      <c r="X413" s="277">
        <f>T413/H413</f>
        <v/>
      </c>
      <c r="Y413" s="10" t="inlineStr">
        <is>
          <t>E</t>
        </is>
      </c>
      <c r="Z413" s="60" t="n"/>
      <c r="AA413" s="230" t="n"/>
      <c r="AB413" s="14" t="inlineStr">
        <is>
          <t>No</t>
        </is>
      </c>
      <c r="AF413" s="278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8" t="n">
        <v>45240</v>
      </c>
      <c r="M414" s="9" t="n">
        <v>48892</v>
      </c>
      <c r="O414" s="9" t="n">
        <v>47067</v>
      </c>
      <c r="P414" s="9" t="n">
        <v>47066</v>
      </c>
      <c r="Q414" s="10" t="n">
        <v>85500</v>
      </c>
      <c r="R414" s="10">
        <f>Q414</f>
        <v/>
      </c>
      <c r="T414" s="10" t="n">
        <v>84800</v>
      </c>
      <c r="U414" s="10">
        <f>T414</f>
        <v/>
      </c>
      <c r="V414" s="27" t="n">
        <v>85000</v>
      </c>
      <c r="W414" s="10">
        <f>V414</f>
        <v/>
      </c>
      <c r="X414" s="277">
        <f>T414/H414</f>
        <v/>
      </c>
      <c r="Y414" s="10" t="inlineStr">
        <is>
          <t>D</t>
        </is>
      </c>
      <c r="Z414" s="60" t="n"/>
      <c r="AA414" s="230" t="n"/>
      <c r="AB414" s="14" t="inlineStr">
        <is>
          <t>No</t>
        </is>
      </c>
      <c r="AC414" s="4" t="inlineStr">
        <is>
          <t>Tenant break on 6 months notice</t>
        </is>
      </c>
      <c r="AF414" s="278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5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8" t="n">
        <v>45525</v>
      </c>
      <c r="M415" s="9" t="n">
        <v>47350</v>
      </c>
      <c r="P415" s="9" t="n">
        <v>46620</v>
      </c>
      <c r="Q415" s="10" t="n">
        <v>90000</v>
      </c>
      <c r="R415" s="10">
        <f>Q415</f>
        <v/>
      </c>
      <c r="T415" s="10" t="n">
        <v>78000</v>
      </c>
      <c r="U415" s="10">
        <f>T415</f>
        <v/>
      </c>
      <c r="V415" s="27" t="n">
        <v>90000</v>
      </c>
      <c r="W415" s="10">
        <f>V415</f>
        <v/>
      </c>
      <c r="X415" s="277">
        <f>T415/H415</f>
        <v/>
      </c>
      <c r="Y415" s="10" t="inlineStr">
        <is>
          <t>E</t>
        </is>
      </c>
      <c r="Z415" s="60" t="n"/>
      <c r="AA415" s="230" t="n"/>
      <c r="AB415" s="14" t="inlineStr">
        <is>
          <t>No</t>
        </is>
      </c>
      <c r="AC415" s="4" t="inlineStr">
        <is>
          <t xml:space="preserve">Tenant break on 6 months notice. </t>
        </is>
      </c>
      <c r="AF415" s="278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8" t="n">
        <v>44758</v>
      </c>
      <c r="M416" s="9" t="n">
        <v>46583</v>
      </c>
      <c r="Q416" s="10" t="n">
        <v>106663</v>
      </c>
      <c r="R416" s="10">
        <f>Q416</f>
        <v/>
      </c>
      <c r="T416" s="10" t="n">
        <v>106700</v>
      </c>
      <c r="U416" s="10">
        <f>T416</f>
        <v/>
      </c>
      <c r="V416" s="27" t="n">
        <v>108500</v>
      </c>
      <c r="W416" s="10">
        <f>V416</f>
        <v/>
      </c>
      <c r="X416" s="277">
        <f>T416/H416</f>
        <v/>
      </c>
      <c r="Y416" s="10" t="inlineStr">
        <is>
          <t>E</t>
        </is>
      </c>
      <c r="Z416" s="60" t="n"/>
      <c r="AA416" s="230" t="n"/>
      <c r="AB416" s="14" t="inlineStr">
        <is>
          <t>No</t>
        </is>
      </c>
      <c r="AF416" s="278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8" t="n">
        <v>44758</v>
      </c>
      <c r="M417" s="9" t="n">
        <v>46583</v>
      </c>
      <c r="Q417" s="10" t="n">
        <v>41975</v>
      </c>
      <c r="R417" s="10">
        <f>Q417</f>
        <v/>
      </c>
      <c r="T417" s="10" t="n">
        <v>41700</v>
      </c>
      <c r="U417" s="10">
        <f>T417</f>
        <v/>
      </c>
      <c r="V417" s="27" t="n">
        <v>42500</v>
      </c>
      <c r="W417" s="10">
        <f>V417</f>
        <v/>
      </c>
      <c r="X417" s="277">
        <f>T417/H417</f>
        <v/>
      </c>
      <c r="Y417" s="10" t="inlineStr">
        <is>
          <t>E</t>
        </is>
      </c>
      <c r="Z417" s="60" t="n"/>
      <c r="AA417" s="230" t="n"/>
      <c r="AB417" s="14" t="inlineStr">
        <is>
          <t>No</t>
        </is>
      </c>
      <c r="AF417" s="278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5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8" t="n">
        <v>45438</v>
      </c>
      <c r="M418" s="9" t="n">
        <v>47263</v>
      </c>
      <c r="P418" s="9" t="n">
        <v>46532</v>
      </c>
      <c r="Q418" s="10" t="n">
        <v>70200</v>
      </c>
      <c r="R418" s="10">
        <f>Q418</f>
        <v/>
      </c>
      <c r="T418" s="10" t="n">
        <v>70200</v>
      </c>
      <c r="U418" s="10">
        <f>T418</f>
        <v/>
      </c>
      <c r="V418" s="27" t="n">
        <v>71400</v>
      </c>
      <c r="W418" s="10">
        <f>V418</f>
        <v/>
      </c>
      <c r="X418" s="277">
        <f>T418/H418</f>
        <v/>
      </c>
      <c r="Y418" s="10" t="inlineStr">
        <is>
          <t>D</t>
        </is>
      </c>
      <c r="Z418" s="60" t="n"/>
      <c r="AA418" s="230" t="n"/>
      <c r="AB418" s="14" t="inlineStr">
        <is>
          <t>No</t>
        </is>
      </c>
      <c r="AC418" s="4" t="inlineStr">
        <is>
          <t>Tenant break on 3 months notice. Two months rent free if not exercised.</t>
        </is>
      </c>
      <c r="AF418" s="278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8" t="n">
        <v>44758</v>
      </c>
      <c r="M419" s="9" t="n">
        <v>46583</v>
      </c>
      <c r="Q419" s="10" t="n">
        <v>107965</v>
      </c>
      <c r="R419" s="10">
        <f>Q419</f>
        <v/>
      </c>
      <c r="T419" s="10" t="n">
        <v>108000</v>
      </c>
      <c r="U419" s="10">
        <f>T419</f>
        <v/>
      </c>
      <c r="V419" s="27" t="n">
        <v>108000</v>
      </c>
      <c r="W419" s="10">
        <f>V419</f>
        <v/>
      </c>
      <c r="X419" s="277">
        <f>T419/H419</f>
        <v/>
      </c>
      <c r="Y419" s="10" t="inlineStr">
        <is>
          <t>E</t>
        </is>
      </c>
      <c r="Z419" s="60" t="n"/>
      <c r="AA419" s="230" t="n"/>
      <c r="AB419" s="14" t="inlineStr">
        <is>
          <t>No</t>
        </is>
      </c>
      <c r="AF419" s="278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8" t="n">
        <v>45735</v>
      </c>
      <c r="M420" s="9" t="n">
        <v>47560</v>
      </c>
      <c r="Q420" s="10" t="n">
        <v>7200</v>
      </c>
      <c r="R420" s="10">
        <f>Q420</f>
        <v/>
      </c>
      <c r="T420" s="10" t="n">
        <v>5410</v>
      </c>
      <c r="U420" s="10">
        <f>T420</f>
        <v/>
      </c>
      <c r="V420" s="27" t="n">
        <v>7200</v>
      </c>
      <c r="W420" s="10">
        <f>V420</f>
        <v/>
      </c>
      <c r="X420" s="277">
        <f>T420/H420</f>
        <v/>
      </c>
      <c r="Y420" s="10" t="inlineStr">
        <is>
          <t>E</t>
        </is>
      </c>
      <c r="Z420" s="60" t="inlineStr">
        <is>
          <t>*</t>
        </is>
      </c>
      <c r="AA420" s="230" t="n"/>
      <c r="AB420" s="14" t="inlineStr">
        <is>
          <t>No</t>
        </is>
      </c>
      <c r="AC420" s="4" t="inlineStr">
        <is>
          <t xml:space="preserve">All inclusive rent (excl rates). </t>
        </is>
      </c>
      <c r="AF420" s="278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9" t="n">
        <v>43909</v>
      </c>
      <c r="Q421" s="10" t="n">
        <v>0</v>
      </c>
      <c r="R421" s="10">
        <f>Q421</f>
        <v/>
      </c>
      <c r="T421" s="10" t="n">
        <v>16300</v>
      </c>
      <c r="U421" s="10">
        <f>T421</f>
        <v/>
      </c>
      <c r="V421" s="27" t="n">
        <v>16300</v>
      </c>
      <c r="W421" s="10">
        <f>V421</f>
        <v/>
      </c>
      <c r="X421" s="277">
        <f>T421/H421</f>
        <v/>
      </c>
      <c r="Y421" s="10" t="inlineStr">
        <is>
          <t>E</t>
        </is>
      </c>
      <c r="Z421" s="60" t="inlineStr">
        <is>
          <t>*</t>
        </is>
      </c>
      <c r="AA421" s="230" t="n"/>
      <c r="AB421" s="14" t="n"/>
      <c r="AC421" s="4" t="inlineStr">
        <is>
          <t>To be refurbished.</t>
        </is>
      </c>
      <c r="AF421" s="278" t="n"/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5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9" t="n">
        <v>45678</v>
      </c>
      <c r="Q422" s="10" t="n">
        <v>0</v>
      </c>
      <c r="R422" s="10">
        <f>Q422</f>
        <v/>
      </c>
      <c r="T422" s="10" t="n">
        <v>35600</v>
      </c>
      <c r="U422" s="10">
        <f>T422</f>
        <v/>
      </c>
      <c r="V422" s="27" t="n">
        <v>35600</v>
      </c>
      <c r="W422" s="10">
        <f>V422</f>
        <v/>
      </c>
      <c r="X422" s="277">
        <f>T422/H422</f>
        <v/>
      </c>
      <c r="Y422" s="10" t="inlineStr">
        <is>
          <t>E</t>
        </is>
      </c>
      <c r="Z422" s="60" t="n"/>
      <c r="AA422" s="230" t="n"/>
      <c r="AB422" s="14" t="inlineStr">
        <is>
          <t>No</t>
        </is>
      </c>
      <c r="AC422" s="4" t="inlineStr">
        <is>
          <t>LEM marketing.</t>
        </is>
      </c>
      <c r="AF422" s="278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5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9" t="n">
        <v>44555</v>
      </c>
      <c r="Q423" s="10" t="n">
        <v>0</v>
      </c>
      <c r="R423" s="10">
        <f>Q423</f>
        <v/>
      </c>
      <c r="T423" s="10" t="n">
        <v>37500</v>
      </c>
      <c r="U423" s="10">
        <f>T423</f>
        <v/>
      </c>
      <c r="V423" s="27" t="n">
        <v>37500</v>
      </c>
      <c r="W423" s="10">
        <f>V423</f>
        <v/>
      </c>
      <c r="X423" s="277">
        <f>T423/H423</f>
        <v/>
      </c>
      <c r="Y423" s="10" t="inlineStr">
        <is>
          <t>E</t>
        </is>
      </c>
      <c r="Z423" s="60" t="n"/>
      <c r="AA423" s="230" t="n"/>
      <c r="AB423" s="14" t="inlineStr">
        <is>
          <t>No</t>
        </is>
      </c>
      <c r="AC423" s="4" t="inlineStr">
        <is>
          <t>To be refurbished.</t>
        </is>
      </c>
      <c r="AD423" s="303" t="n">
        <v>62.5</v>
      </c>
      <c r="AF423" s="278" t="n">
        <v>1</v>
      </c>
      <c r="AG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5" t="n"/>
      <c r="I424" s="10" t="n"/>
      <c r="J424" s="10" t="n"/>
      <c r="K424" s="35" t="n"/>
      <c r="T424" s="10" t="n"/>
      <c r="U424" s="10" t="n"/>
      <c r="V424" s="27" t="n"/>
      <c r="W424" s="10" t="n"/>
      <c r="X424" s="10" t="n"/>
      <c r="Y424" s="10" t="n"/>
      <c r="Z424" s="60" t="n"/>
      <c r="AA424" s="230" t="n"/>
      <c r="AB424" s="14" t="n"/>
      <c r="AF424" s="278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0" t="inlineStr">
        <is>
          <t>17/18 Margaret Street</t>
        </is>
      </c>
      <c r="H425" s="18">
        <f>SUM(H413:H423)</f>
        <v/>
      </c>
      <c r="I425" s="19" t="n"/>
      <c r="J425" s="19" t="n"/>
      <c r="Q425" s="19">
        <f>SUM(Q413:Q423)</f>
        <v/>
      </c>
      <c r="R425" s="19" t="n"/>
      <c r="S425" s="19">
        <f>SUM(R413:R423)</f>
        <v/>
      </c>
      <c r="T425" s="19">
        <f>SUM(T413:T423)</f>
        <v/>
      </c>
      <c r="U425" s="19" t="n"/>
      <c r="V425" s="36">
        <f>SUM(V413:V423)</f>
        <v/>
      </c>
      <c r="W425" s="19" t="n"/>
      <c r="X425" s="19" t="n"/>
      <c r="Y425" s="19" t="n"/>
      <c r="Z425" s="61" t="n"/>
      <c r="AA425" s="36" t="n">
        <v>9900000</v>
      </c>
      <c r="AB425" s="14" t="n"/>
      <c r="AF425" s="278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19" t="n"/>
      <c r="J426" s="19" t="n"/>
      <c r="Q426" s="19" t="n"/>
      <c r="R426" s="19" t="n"/>
      <c r="S426" s="19" t="n"/>
      <c r="T426" s="19" t="n"/>
      <c r="U426" s="19" t="n"/>
      <c r="V426" s="36" t="n"/>
      <c r="W426" s="19" t="n"/>
      <c r="X426" s="19" t="n"/>
      <c r="Y426" s="19" t="n"/>
      <c r="Z426" s="61" t="n"/>
      <c r="AA426" s="36" t="n"/>
      <c r="AB426" s="14" t="n"/>
      <c r="AF426" s="278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10" t="n"/>
      <c r="J427" s="10" t="n"/>
      <c r="K427" s="30" t="n"/>
      <c r="T427" s="11" t="n"/>
      <c r="U427" s="10" t="n"/>
      <c r="W427" s="10" t="n"/>
      <c r="X427" s="10" t="n"/>
      <c r="Y427" s="10" t="n"/>
      <c r="Z427" s="60" t="n"/>
      <c r="AA427" s="36" t="n"/>
      <c r="AB427" s="14" t="n"/>
      <c r="AF427" s="278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19" t="n"/>
      <c r="J428" s="19" t="n"/>
      <c r="K428" s="26" t="n"/>
      <c r="Q428" s="19" t="n"/>
      <c r="R428" s="19" t="n"/>
      <c r="S428" s="19" t="n"/>
      <c r="T428" s="19" t="n"/>
      <c r="U428" s="19" t="n"/>
      <c r="V428" s="36" t="n"/>
      <c r="W428" s="19" t="n"/>
      <c r="X428" s="19" t="n"/>
      <c r="Y428" s="19" t="n"/>
      <c r="Z428" s="61" t="n"/>
      <c r="AA428" s="36" t="n"/>
      <c r="AB428" s="14" t="n"/>
      <c r="AF428" s="278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8" t="n">
        <v>43794</v>
      </c>
      <c r="M429" s="9" t="n">
        <v>47446</v>
      </c>
      <c r="O429" s="9" t="n">
        <v>45621</v>
      </c>
      <c r="Q429" s="10" t="n">
        <v>104885</v>
      </c>
      <c r="R429" s="10">
        <f>Q429</f>
        <v/>
      </c>
      <c r="T429" s="10" t="n">
        <v>100700</v>
      </c>
      <c r="U429" s="10">
        <f>T429</f>
        <v/>
      </c>
      <c r="V429" s="27" t="n">
        <v>142200</v>
      </c>
      <c r="W429" s="10">
        <f>V429</f>
        <v/>
      </c>
      <c r="X429" s="277">
        <f>T429/H429</f>
        <v/>
      </c>
      <c r="Y429" s="10" t="inlineStr">
        <is>
          <t>D</t>
        </is>
      </c>
      <c r="Z429" s="60" t="n"/>
      <c r="AA429" s="36" t="n"/>
      <c r="AB429" s="14" t="inlineStr">
        <is>
          <t>No</t>
        </is>
      </c>
      <c r="AC429" s="4" t="inlineStr">
        <is>
          <t>This unit interconnects with G &amp; B, 21 Lt Portland St. The floor area shown is only for this unit. Rent shown pro rata. Tenant break on 6 months notice. Rent review @ 25/11/24.</t>
        </is>
      </c>
      <c r="AF429" s="278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9" t="n">
        <v>43323</v>
      </c>
      <c r="Q430" s="10" t="n">
        <v>0</v>
      </c>
      <c r="R430" s="10">
        <f>Q430</f>
        <v/>
      </c>
      <c r="T430" s="10" t="n">
        <v>53900</v>
      </c>
      <c r="U430" s="10">
        <f>T430</f>
        <v/>
      </c>
      <c r="V430" s="27" t="n">
        <v>56400</v>
      </c>
      <c r="W430" s="10">
        <f>V430</f>
        <v/>
      </c>
      <c r="X430" s="277">
        <f>T430/H430</f>
        <v/>
      </c>
      <c r="Y430" s="10" t="inlineStr">
        <is>
          <t>D</t>
        </is>
      </c>
      <c r="Z430" s="60" t="n"/>
      <c r="AA430" s="36" t="n"/>
      <c r="AB430" s="14" t="inlineStr">
        <is>
          <t>No</t>
        </is>
      </c>
      <c r="AC430" s="4" t="inlineStr">
        <is>
          <t>LEM Marketing.</t>
        </is>
      </c>
      <c r="AD430" s="303" t="n">
        <v>61.5</v>
      </c>
      <c r="AF430" s="278" t="n"/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8" t="n">
        <v>45210</v>
      </c>
      <c r="M431" s="9" t="n">
        <v>46305</v>
      </c>
      <c r="Q431" s="10" t="n">
        <v>52800</v>
      </c>
      <c r="R431" s="10">
        <f>Q431</f>
        <v/>
      </c>
      <c r="T431" s="10" t="n">
        <v>53900</v>
      </c>
      <c r="U431" s="10">
        <f>T431</f>
        <v/>
      </c>
      <c r="V431" s="27" t="n">
        <v>56400</v>
      </c>
      <c r="W431" s="10">
        <f>V431</f>
        <v/>
      </c>
      <c r="X431" s="277">
        <f>T431/H431</f>
        <v/>
      </c>
      <c r="Y431" s="10" t="inlineStr">
        <is>
          <t>E</t>
        </is>
      </c>
      <c r="Z431" s="60" t="n"/>
      <c r="AA431" s="36" t="n"/>
      <c r="AB431" s="14" t="inlineStr">
        <is>
          <t>No</t>
        </is>
      </c>
      <c r="AF431" s="278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8" t="n">
        <v>44869</v>
      </c>
      <c r="M432" s="9" t="n">
        <v>46694</v>
      </c>
      <c r="P432" s="9" t="n">
        <v>45964</v>
      </c>
      <c r="Q432" s="10" t="n">
        <v>48300</v>
      </c>
      <c r="R432" s="10">
        <f>Q432</f>
        <v/>
      </c>
      <c r="T432" s="10" t="n">
        <v>46000</v>
      </c>
      <c r="U432" s="10">
        <f>T432</f>
        <v/>
      </c>
      <c r="V432" s="27" t="n">
        <v>48100</v>
      </c>
      <c r="W432" s="10">
        <f>V432</f>
        <v/>
      </c>
      <c r="X432" s="277">
        <f>T432/H432</f>
        <v/>
      </c>
      <c r="Y432" s="10" t="inlineStr">
        <is>
          <t>E</t>
        </is>
      </c>
      <c r="Z432" s="60" t="n"/>
      <c r="AA432" s="36" t="n"/>
      <c r="AB432" s="14" t="inlineStr">
        <is>
          <t>No</t>
        </is>
      </c>
      <c r="AC432" s="4" t="inlineStr">
        <is>
          <t>Tenant break on 6 months notice.</t>
        </is>
      </c>
      <c r="AF432" s="278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8" t="n">
        <v>45436</v>
      </c>
      <c r="M433" s="9" t="n">
        <v>46694</v>
      </c>
      <c r="P433" s="9" t="n">
        <v>45964</v>
      </c>
      <c r="Q433" s="10" t="n">
        <v>47725</v>
      </c>
      <c r="R433" s="10">
        <f>Q433</f>
        <v/>
      </c>
      <c r="T433" s="10" t="n">
        <v>45700</v>
      </c>
      <c r="U433" s="10">
        <f>T433</f>
        <v/>
      </c>
      <c r="V433" s="27" t="n">
        <v>47700</v>
      </c>
      <c r="W433" s="10">
        <f>V433</f>
        <v/>
      </c>
      <c r="X433" s="277">
        <f>T433/H433</f>
        <v/>
      </c>
      <c r="Y433" s="10" t="inlineStr">
        <is>
          <t>D</t>
        </is>
      </c>
      <c r="Z433" s="60" t="n"/>
      <c r="AA433" s="36" t="n"/>
      <c r="AB433" s="14" t="inlineStr">
        <is>
          <t>No</t>
        </is>
      </c>
      <c r="AC433" s="4" t="inlineStr">
        <is>
          <t>Tenant break on 6 months notice.</t>
        </is>
      </c>
      <c r="AF433" s="278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9" t="n">
        <v>45627</v>
      </c>
      <c r="Q434" s="10" t="n">
        <v>0</v>
      </c>
      <c r="R434" s="10">
        <f>Q434</f>
        <v/>
      </c>
      <c r="T434" s="10" t="n">
        <v>37700</v>
      </c>
      <c r="U434" s="10">
        <f>T434</f>
        <v/>
      </c>
      <c r="V434" s="27" t="n">
        <v>39400</v>
      </c>
      <c r="W434" s="10">
        <f>V434</f>
        <v/>
      </c>
      <c r="X434" s="277">
        <f>T434/H434</f>
        <v/>
      </c>
      <c r="Y434" s="10" t="inlineStr">
        <is>
          <t>E</t>
        </is>
      </c>
      <c r="Z434" s="60" t="n"/>
      <c r="AA434" s="36" t="n"/>
      <c r="AB434" s="14" t="inlineStr">
        <is>
          <t>No</t>
        </is>
      </c>
      <c r="AC434" s="4" t="inlineStr">
        <is>
          <t>LEM marketing.</t>
        </is>
      </c>
      <c r="AF434" s="278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10" t="n"/>
      <c r="J435" s="10" t="n"/>
      <c r="T435" s="10" t="n"/>
      <c r="U435" s="10" t="n"/>
      <c r="V435" s="27" t="n"/>
      <c r="W435" s="10" t="n"/>
      <c r="X435" s="10" t="n"/>
      <c r="Y435" s="10" t="n"/>
      <c r="Z435" s="60" t="n"/>
      <c r="AA435" s="36" t="n"/>
      <c r="AB435" s="14" t="n"/>
      <c r="AF435" s="278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0" t="inlineStr">
        <is>
          <t>19 Margaret Street</t>
        </is>
      </c>
      <c r="H436" s="18">
        <f>SUM(H429:H434)</f>
        <v/>
      </c>
      <c r="I436" s="19" t="n"/>
      <c r="J436" s="19" t="n"/>
      <c r="Q436" s="19">
        <f>SUM(Q429:Q434)</f>
        <v/>
      </c>
      <c r="R436" s="19" t="n"/>
      <c r="S436" s="19">
        <f>SUM(R428:R435)</f>
        <v/>
      </c>
      <c r="T436" s="19">
        <f>SUM(T429:T434)</f>
        <v/>
      </c>
      <c r="U436" s="19" t="n"/>
      <c r="V436" s="36">
        <f>SUM(V429:V434)</f>
        <v/>
      </c>
      <c r="W436" s="19" t="n"/>
      <c r="X436" s="19" t="n"/>
      <c r="Y436" s="19" t="n"/>
      <c r="Z436" s="61" t="n"/>
      <c r="AA436" s="36" t="n">
        <v>5725000</v>
      </c>
      <c r="AB436" s="14" t="n"/>
      <c r="AF436" s="278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19" t="n"/>
      <c r="J437" s="19" t="n"/>
      <c r="Q437" s="19" t="n"/>
      <c r="R437" s="19" t="n"/>
      <c r="S437" s="19" t="n"/>
      <c r="T437" s="19" t="n"/>
      <c r="U437" s="19" t="n"/>
      <c r="V437" s="36" t="n"/>
      <c r="W437" s="19" t="n"/>
      <c r="X437" s="19" t="n"/>
      <c r="Y437" s="19" t="n"/>
      <c r="Z437" s="61" t="n"/>
      <c r="AA437" s="362" t="n"/>
      <c r="AB437" s="14" t="n"/>
      <c r="AF437" s="278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10" t="n"/>
      <c r="J438" s="10" t="n"/>
      <c r="K438" s="30" t="n"/>
      <c r="T438" s="11" t="n"/>
      <c r="U438" s="10" t="n"/>
      <c r="W438" s="10" t="n"/>
      <c r="X438" s="10" t="n"/>
      <c r="Y438" s="10" t="n"/>
      <c r="Z438" s="60" t="n"/>
      <c r="AA438" s="230" t="n"/>
      <c r="AB438" s="14" t="n"/>
      <c r="AF438" s="278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10" t="n"/>
      <c r="J439" s="10" t="n"/>
      <c r="T439" s="11" t="n"/>
      <c r="U439" s="10" t="n"/>
      <c r="W439" s="10" t="n"/>
      <c r="X439" s="10" t="n"/>
      <c r="Y439" s="10" t="n"/>
      <c r="Z439" s="60" t="n"/>
      <c r="AA439" s="230" t="n"/>
      <c r="AB439" s="14" t="n"/>
      <c r="AF439" s="278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8" t="n">
        <v>45457</v>
      </c>
      <c r="M440" s="9" t="n">
        <v>47282</v>
      </c>
      <c r="P440" s="9" t="n">
        <v>46186</v>
      </c>
      <c r="Q440" s="10" t="n">
        <v>94417</v>
      </c>
      <c r="R440" s="10">
        <f>Q440</f>
        <v/>
      </c>
      <c r="T440" s="10" t="n">
        <v>86800</v>
      </c>
      <c r="U440" s="10">
        <f>T440</f>
        <v/>
      </c>
      <c r="V440" s="27" t="n">
        <v>94000</v>
      </c>
      <c r="W440" s="10">
        <f>V440</f>
        <v/>
      </c>
      <c r="X440" s="277">
        <f>T440/H440</f>
        <v/>
      </c>
      <c r="Y440" s="10" t="inlineStr">
        <is>
          <t>E</t>
        </is>
      </c>
      <c r="Z440" s="60" t="n"/>
      <c r="AA440" s="230" t="n"/>
      <c r="AB440" s="14" t="inlineStr">
        <is>
          <t>No</t>
        </is>
      </c>
      <c r="AC440" s="4" t="inlineStr">
        <is>
          <t>Rent increasing to £103,000 wef 14/06/27. Tenant break on 6 months notice. Penalty payment due if exercised. Further tenant break 13/06/27 on 6 months notice.</t>
        </is>
      </c>
      <c r="AF440" s="278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9" t="n">
        <v>43132</v>
      </c>
      <c r="Q441" s="10" t="n">
        <v>0</v>
      </c>
      <c r="R441" s="10">
        <f>Q441</f>
        <v/>
      </c>
      <c r="T441" s="10" t="n">
        <v>44200</v>
      </c>
      <c r="U441" s="10">
        <f>T441</f>
        <v/>
      </c>
      <c r="V441" s="27" t="n">
        <v>46200</v>
      </c>
      <c r="W441" s="10">
        <f>V441</f>
        <v/>
      </c>
      <c r="X441" s="277">
        <f>T441/H441</f>
        <v/>
      </c>
      <c r="Y441" s="10" t="inlineStr">
        <is>
          <t>E</t>
        </is>
      </c>
      <c r="Z441" s="60" t="n"/>
      <c r="AA441" s="230" t="n"/>
      <c r="AB441" s="14" t="inlineStr">
        <is>
          <t>No</t>
        </is>
      </c>
      <c r="AC441" s="29" t="inlineStr">
        <is>
          <t>Unit under refurbishment</t>
        </is>
      </c>
      <c r="AD441" s="303" t="n">
        <v>62.5</v>
      </c>
      <c r="AE441" s="4" t="n">
        <v>1</v>
      </c>
      <c r="AF441" s="278" t="n">
        <v>2</v>
      </c>
      <c r="AG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9" t="n">
        <v>42819</v>
      </c>
      <c r="Q442" s="10" t="n">
        <v>0</v>
      </c>
      <c r="R442" s="10">
        <f>Q442</f>
        <v/>
      </c>
      <c r="S442" s="25" t="n"/>
      <c r="T442" s="10" t="n">
        <v>44700</v>
      </c>
      <c r="U442" s="10">
        <f>T442</f>
        <v/>
      </c>
      <c r="V442" s="27" t="n">
        <v>46700</v>
      </c>
      <c r="W442" s="10">
        <f>V442</f>
        <v/>
      </c>
      <c r="X442" s="277">
        <f>T442/H442</f>
        <v/>
      </c>
      <c r="Y442" s="10" t="inlineStr">
        <is>
          <t>E</t>
        </is>
      </c>
      <c r="Z442" s="60" t="n"/>
      <c r="AA442" s="230" t="n"/>
      <c r="AB442" s="14" t="inlineStr">
        <is>
          <t>No</t>
        </is>
      </c>
      <c r="AC442" s="29" t="inlineStr">
        <is>
          <t>Unit under refurbishment</t>
        </is>
      </c>
      <c r="AD442" s="303" t="n">
        <v>62.5</v>
      </c>
      <c r="AE442" s="4" t="n">
        <v>1</v>
      </c>
      <c r="AF442" s="278" t="n">
        <v>2</v>
      </c>
      <c r="AG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8" t="n">
        <v>45533</v>
      </c>
      <c r="M443" s="9" t="n">
        <v>47358</v>
      </c>
      <c r="Q443" s="10" t="n">
        <v>46273</v>
      </c>
      <c r="R443" s="10">
        <f>Q443</f>
        <v/>
      </c>
      <c r="T443" s="10" t="n">
        <v>43500</v>
      </c>
      <c r="U443" s="10">
        <f>T443</f>
        <v/>
      </c>
      <c r="V443" s="27" t="n">
        <v>45500</v>
      </c>
      <c r="W443" s="10">
        <f>V443</f>
        <v/>
      </c>
      <c r="X443" s="277">
        <f>T443/H443</f>
        <v/>
      </c>
      <c r="Y443" s="10" t="inlineStr">
        <is>
          <t>E</t>
        </is>
      </c>
      <c r="Z443" s="60" t="n"/>
      <c r="AA443" s="230" t="n"/>
      <c r="AB443" s="14" t="inlineStr">
        <is>
          <t>No</t>
        </is>
      </c>
      <c r="AE443" s="29" t="n"/>
      <c r="AF443" s="279" t="n"/>
      <c r="AG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9" t="n">
        <v>44439</v>
      </c>
      <c r="Q444" s="10" t="n">
        <v>0</v>
      </c>
      <c r="R444" s="10">
        <f>Q444</f>
        <v/>
      </c>
      <c r="T444" s="10" t="n">
        <v>43800</v>
      </c>
      <c r="U444" s="10">
        <f>T444</f>
        <v/>
      </c>
      <c r="V444" s="27" t="n">
        <v>45800</v>
      </c>
      <c r="W444" s="10">
        <f>V444</f>
        <v/>
      </c>
      <c r="X444" s="277">
        <f>T444/H444</f>
        <v/>
      </c>
      <c r="Y444" s="10" t="inlineStr">
        <is>
          <t>E</t>
        </is>
      </c>
      <c r="Z444" s="60" t="n"/>
      <c r="AA444" s="230" t="n"/>
      <c r="AB444" s="14" t="inlineStr">
        <is>
          <t>No</t>
        </is>
      </c>
      <c r="AC444" s="29" t="inlineStr">
        <is>
          <t>Unit under refurbishment</t>
        </is>
      </c>
      <c r="AD444" s="303" t="n">
        <v>62.5</v>
      </c>
      <c r="AE444" s="4" t="n">
        <v>1</v>
      </c>
      <c r="AF444" s="278" t="n">
        <v>2</v>
      </c>
      <c r="AG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5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8" t="n">
        <v>45553</v>
      </c>
      <c r="M445" s="9" t="n">
        <v>46282</v>
      </c>
      <c r="Q445" s="10" t="n">
        <v>41250</v>
      </c>
      <c r="R445" s="10">
        <f>Q445</f>
        <v/>
      </c>
      <c r="T445" s="10" t="n">
        <v>39200</v>
      </c>
      <c r="U445" s="10">
        <f>T445</f>
        <v/>
      </c>
      <c r="V445" s="27" t="n">
        <v>41250</v>
      </c>
      <c r="W445" s="10">
        <f>V445</f>
        <v/>
      </c>
      <c r="X445" s="277">
        <f>T445/H445</f>
        <v/>
      </c>
      <c r="Y445" s="10" t="inlineStr">
        <is>
          <t>E</t>
        </is>
      </c>
      <c r="Z445" s="60" t="n"/>
      <c r="AA445" s="230" t="n"/>
      <c r="AB445" s="14" t="inlineStr">
        <is>
          <t>No</t>
        </is>
      </c>
      <c r="AF445" s="278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5" t="n"/>
      <c r="I446" s="10" t="n"/>
      <c r="J446" s="10" t="n"/>
      <c r="T446" s="10" t="n"/>
      <c r="U446" s="10">
        <f>T446</f>
        <v/>
      </c>
      <c r="V446" s="27" t="n"/>
      <c r="W446" s="10">
        <f>V446</f>
        <v/>
      </c>
      <c r="X446" s="10" t="n"/>
      <c r="Y446" s="10" t="n"/>
      <c r="Z446" s="60" t="n"/>
      <c r="AA446" s="230" t="n"/>
      <c r="AB446" s="14" t="n"/>
      <c r="AF446" s="278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0" t="inlineStr">
        <is>
          <t>20 Margaret Street</t>
        </is>
      </c>
      <c r="H447" s="18">
        <f>SUM(H440:H445)</f>
        <v/>
      </c>
      <c r="I447" s="19" t="n"/>
      <c r="J447" s="19" t="n"/>
      <c r="Q447" s="19">
        <f>SUM(Q440:Q445)</f>
        <v/>
      </c>
      <c r="R447" s="19" t="n"/>
      <c r="S447" s="19">
        <f>SUM(R438:R446)</f>
        <v/>
      </c>
      <c r="T447" s="19">
        <f>SUM(T440:T446)</f>
        <v/>
      </c>
      <c r="U447" s="19" t="n"/>
      <c r="V447" s="36">
        <f>SUM(V440:V446)</f>
        <v/>
      </c>
      <c r="W447" s="19" t="n"/>
      <c r="X447" s="19" t="n"/>
      <c r="Y447" s="19" t="n"/>
      <c r="Z447" s="61" t="n"/>
      <c r="AA447" s="36" t="n">
        <v>4150000</v>
      </c>
      <c r="AB447" s="14" t="n"/>
      <c r="AE447" s="29" t="n"/>
      <c r="AF447" s="279" t="n"/>
      <c r="AG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19" t="n"/>
      <c r="J448" s="19" t="n"/>
      <c r="Q448" s="19" t="n"/>
      <c r="R448" s="19" t="n"/>
      <c r="S448" s="19" t="n"/>
      <c r="T448" s="19" t="n"/>
      <c r="U448" s="19" t="n"/>
      <c r="V448" s="36" t="n"/>
      <c r="W448" s="19" t="n"/>
      <c r="X448" s="19" t="n"/>
      <c r="Y448" s="19" t="n"/>
      <c r="Z448" s="61" t="n"/>
      <c r="AA448" s="36" t="n"/>
      <c r="AB448" s="14" t="n"/>
      <c r="AF448" s="278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10" t="n"/>
      <c r="J449" s="10" t="n"/>
      <c r="K449" s="30" t="n"/>
      <c r="T449" s="11" t="n"/>
      <c r="U449" s="10" t="n"/>
      <c r="W449" s="10" t="n"/>
      <c r="X449" s="10" t="n"/>
      <c r="Y449" s="10" t="n"/>
      <c r="Z449" s="60" t="n"/>
      <c r="AA449" s="36" t="n"/>
      <c r="AB449" s="14" t="n"/>
      <c r="AF449" s="278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10" t="n"/>
      <c r="J450" s="10" t="n"/>
      <c r="L450" s="9" t="n"/>
      <c r="T450" s="10" t="n"/>
      <c r="U450" s="10" t="n"/>
      <c r="V450" s="27" t="n"/>
      <c r="W450" s="10" t="n"/>
      <c r="X450" s="10" t="n"/>
      <c r="Y450" s="10" t="n"/>
      <c r="Z450" s="60" t="n"/>
      <c r="AA450" s="36" t="n"/>
      <c r="AB450" s="14" t="n"/>
      <c r="AF450" s="278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8" t="n">
        <v>45262</v>
      </c>
      <c r="M451" s="9" t="n">
        <v>47088</v>
      </c>
      <c r="Q451" s="10" t="n">
        <v>11872</v>
      </c>
      <c r="R451" s="10">
        <f>Q451</f>
        <v/>
      </c>
      <c r="T451" s="10" t="n">
        <v>11660</v>
      </c>
      <c r="U451" s="10">
        <f>T451</f>
        <v/>
      </c>
      <c r="V451" s="27" t="n">
        <v>11660</v>
      </c>
      <c r="W451" s="10">
        <f>V451</f>
        <v/>
      </c>
      <c r="X451" s="277">
        <f>T451/H451</f>
        <v/>
      </c>
      <c r="Y451" s="10" t="inlineStr">
        <is>
          <t>E</t>
        </is>
      </c>
      <c r="Z451" s="60" t="n"/>
      <c r="AA451" s="36" t="n"/>
      <c r="AB451" s="14" t="inlineStr">
        <is>
          <t>No</t>
        </is>
      </c>
      <c r="AD451" s="305" t="n"/>
      <c r="AF451" s="278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8" t="n">
        <v>44756</v>
      </c>
      <c r="M452" s="9" t="n">
        <v>47154</v>
      </c>
      <c r="O452" s="9" t="n">
        <v>45328</v>
      </c>
      <c r="Q452" s="10" t="n">
        <v>37500</v>
      </c>
      <c r="R452" s="10">
        <f>Q452</f>
        <v/>
      </c>
      <c r="T452" s="10" t="n">
        <v>37502</v>
      </c>
      <c r="U452" s="10">
        <f>T452</f>
        <v/>
      </c>
      <c r="V452" s="27" t="n">
        <v>37500</v>
      </c>
      <c r="W452" s="10">
        <f>V452</f>
        <v/>
      </c>
      <c r="X452" s="277">
        <f>T452/H452</f>
        <v/>
      </c>
      <c r="Y452" s="10" t="inlineStr">
        <is>
          <t>B</t>
        </is>
      </c>
      <c r="Z452" s="60" t="n"/>
      <c r="AA452" s="36" t="n"/>
      <c r="AB452" s="14" t="inlineStr">
        <is>
          <t>No</t>
        </is>
      </c>
      <c r="AF452" s="278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8" t="n">
        <v>44750</v>
      </c>
      <c r="M453" s="9" t="n">
        <v>46575</v>
      </c>
      <c r="Q453" s="10" t="n">
        <v>9400</v>
      </c>
      <c r="R453" s="10">
        <f>Q453</f>
        <v/>
      </c>
      <c r="T453" s="10" t="n">
        <v>9460</v>
      </c>
      <c r="U453" s="10">
        <f>T453</f>
        <v/>
      </c>
      <c r="V453" s="27" t="n">
        <v>11180</v>
      </c>
      <c r="W453" s="10">
        <f>V453</f>
        <v/>
      </c>
      <c r="X453" s="277">
        <f>T453/H453</f>
        <v/>
      </c>
      <c r="Y453" s="10" t="inlineStr">
        <is>
          <t>E</t>
        </is>
      </c>
      <c r="Z453" s="60" t="n"/>
      <c r="AA453" s="36" t="n"/>
      <c r="AB453" s="14" t="inlineStr">
        <is>
          <t>No</t>
        </is>
      </c>
      <c r="AF453" s="278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8" t="n">
        <v>45194</v>
      </c>
      <c r="M454" s="9" t="n">
        <v>47020</v>
      </c>
      <c r="P454" s="9" t="n">
        <v>46289</v>
      </c>
      <c r="Q454" s="10" t="n">
        <v>7100</v>
      </c>
      <c r="R454" s="10">
        <f>Q454</f>
        <v/>
      </c>
      <c r="T454" s="10" t="n">
        <v>7000</v>
      </c>
      <c r="U454" s="10">
        <f>T454</f>
        <v/>
      </c>
      <c r="V454" s="27" t="n">
        <v>7605</v>
      </c>
      <c r="W454" s="10">
        <f>V454</f>
        <v/>
      </c>
      <c r="X454" s="277">
        <f>T454/H454</f>
        <v/>
      </c>
      <c r="Y454" s="10" t="inlineStr">
        <is>
          <t>E</t>
        </is>
      </c>
      <c r="Z454" s="60" t="n"/>
      <c r="AA454" s="36" t="n"/>
      <c r="AB454" s="14" t="inlineStr">
        <is>
          <t>No</t>
        </is>
      </c>
      <c r="AC454" s="4" t="inlineStr">
        <is>
          <t>Tenant break on 6 months notice.</t>
        </is>
      </c>
      <c r="AF454" s="278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8" t="n">
        <v>45632</v>
      </c>
      <c r="M455" s="9" t="n">
        <v>47457</v>
      </c>
      <c r="P455" s="9" t="n">
        <v>46519</v>
      </c>
      <c r="Q455" s="10" t="n">
        <v>9400</v>
      </c>
      <c r="R455" s="10">
        <f>Q455</f>
        <v/>
      </c>
      <c r="T455" s="10" t="n">
        <v>8925</v>
      </c>
      <c r="U455" s="10">
        <f>T455</f>
        <v/>
      </c>
      <c r="V455" s="27" t="n">
        <v>11050</v>
      </c>
      <c r="W455" s="10">
        <f>V455</f>
        <v/>
      </c>
      <c r="X455" s="277">
        <f>T455/H455</f>
        <v/>
      </c>
      <c r="Y455" s="10" t="inlineStr">
        <is>
          <t>E</t>
        </is>
      </c>
      <c r="Z455" s="60" t="n"/>
      <c r="AA455" s="36" t="n"/>
      <c r="AB455" s="14" t="inlineStr">
        <is>
          <t>No</t>
        </is>
      </c>
      <c r="AC455" s="4" t="inlineStr">
        <is>
          <t>Tenant break 12/05/27 on 6 months notice.</t>
        </is>
      </c>
      <c r="AF455" s="278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8" t="n">
        <v>44762</v>
      </c>
      <c r="M456" s="9" t="n">
        <v>46587</v>
      </c>
      <c r="Q456" s="10" t="n">
        <v>7605</v>
      </c>
      <c r="R456" s="10">
        <f>Q456</f>
        <v/>
      </c>
      <c r="T456" s="10" t="n">
        <v>7605</v>
      </c>
      <c r="U456" s="10">
        <f>T456</f>
        <v/>
      </c>
      <c r="V456" s="27" t="n">
        <v>8450</v>
      </c>
      <c r="W456" s="10">
        <f>V456</f>
        <v/>
      </c>
      <c r="X456" s="277">
        <f>T456/H456</f>
        <v/>
      </c>
      <c r="Y456" s="10" t="inlineStr">
        <is>
          <t>E</t>
        </is>
      </c>
      <c r="Z456" s="60" t="n"/>
      <c r="AA456" s="36" t="n"/>
      <c r="AB456" s="14" t="inlineStr">
        <is>
          <t>No</t>
        </is>
      </c>
      <c r="AF456" s="278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8" t="n">
        <v>45866</v>
      </c>
      <c r="M457" s="9" t="n">
        <v>46230</v>
      </c>
      <c r="Q457" s="10" t="n">
        <v>41600</v>
      </c>
      <c r="R457" s="10">
        <f>Q457</f>
        <v/>
      </c>
      <c r="T457" s="10" t="n">
        <v>36140</v>
      </c>
      <c r="U457" s="10">
        <f>T457</f>
        <v/>
      </c>
      <c r="V457" s="27" t="n">
        <v>41600</v>
      </c>
      <c r="W457" s="10">
        <f>V457</f>
        <v/>
      </c>
      <c r="X457" s="277">
        <f>T457/H457</f>
        <v/>
      </c>
      <c r="Y457" s="10" t="inlineStr">
        <is>
          <t>E</t>
        </is>
      </c>
      <c r="Z457" s="60" t="n"/>
      <c r="AA457" s="36" t="n"/>
      <c r="AB457" s="14" t="inlineStr">
        <is>
          <t>No</t>
        </is>
      </c>
      <c r="AF457" s="278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10" t="n"/>
      <c r="J458" s="10" t="n"/>
      <c r="T458" s="10" t="n"/>
      <c r="U458" s="10" t="n"/>
      <c r="V458" s="27" t="n"/>
      <c r="W458" s="10" t="n"/>
      <c r="X458" s="10" t="n"/>
      <c r="Y458" s="10" t="n"/>
      <c r="Z458" s="60" t="n"/>
      <c r="AA458" s="36" t="n"/>
      <c r="AB458" s="14" t="n"/>
      <c r="AF458" s="278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0" t="inlineStr">
        <is>
          <t>25 Margaret Street</t>
        </is>
      </c>
      <c r="H459" s="18">
        <f>SUM(H451:H457)</f>
        <v/>
      </c>
      <c r="I459" s="19" t="n"/>
      <c r="J459" s="19" t="n"/>
      <c r="Q459" s="19">
        <f>SUM(Q451:Q457)</f>
        <v/>
      </c>
      <c r="R459" s="19" t="n"/>
      <c r="S459" s="19">
        <f>SUM(R449:R458)</f>
        <v/>
      </c>
      <c r="T459" s="19">
        <f>SUM(T451:T457)</f>
        <v/>
      </c>
      <c r="U459" s="19" t="n"/>
      <c r="V459" s="36">
        <f>SUM(V451:V457)</f>
        <v/>
      </c>
      <c r="W459" s="19" t="n"/>
      <c r="X459" s="19" t="n"/>
      <c r="Y459" s="19" t="n"/>
      <c r="Z459" s="61" t="n"/>
      <c r="AA459" s="36" t="n">
        <v>2200000</v>
      </c>
      <c r="AB459" s="14" t="n"/>
      <c r="AF459" s="278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19" t="n"/>
      <c r="J460" s="19" t="n"/>
      <c r="Q460" s="19" t="n"/>
      <c r="R460" s="19" t="n"/>
      <c r="S460" s="19" t="n"/>
      <c r="T460" s="19" t="n"/>
      <c r="U460" s="19" t="n"/>
      <c r="V460" s="36" t="n"/>
      <c r="W460" s="19" t="n"/>
      <c r="X460" s="19" t="n"/>
      <c r="Y460" s="19" t="n"/>
      <c r="Z460" s="61" t="n"/>
      <c r="AA460" s="362" t="n"/>
      <c r="AB460" s="14" t="n"/>
      <c r="AF460" s="278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10" t="n"/>
      <c r="J461" s="10" t="n"/>
      <c r="K461" s="30" t="n"/>
      <c r="T461" s="11" t="n"/>
      <c r="U461" s="10" t="n"/>
      <c r="W461" s="10" t="n"/>
      <c r="X461" s="10" t="n"/>
      <c r="Y461" s="10" t="n"/>
      <c r="Z461" s="60" t="n"/>
      <c r="AA461" s="230" t="n"/>
      <c r="AB461" s="14" t="n"/>
      <c r="AF461" s="278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4" t="n"/>
      <c r="I462" s="10" t="n"/>
      <c r="J462" s="10" t="n"/>
      <c r="T462" s="10" t="n"/>
      <c r="U462" s="10" t="n"/>
      <c r="V462" s="27" t="n"/>
      <c r="W462" s="10" t="n"/>
      <c r="X462" s="10" t="n"/>
      <c r="Y462" s="10" t="n"/>
      <c r="Z462" s="60" t="n"/>
      <c r="AA462" s="230" t="n"/>
      <c r="AB462" s="14" t="n"/>
      <c r="AF462" s="278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8" t="n">
        <v>40946</v>
      </c>
      <c r="M463" s="8" t="n">
        <v>46424</v>
      </c>
      <c r="N463" s="8" t="n"/>
      <c r="Q463" s="10" t="n">
        <v>230000</v>
      </c>
      <c r="R463" s="10">
        <f>Q463</f>
        <v/>
      </c>
      <c r="T463" s="10" t="n">
        <v>225000</v>
      </c>
      <c r="U463" s="10">
        <f>T463</f>
        <v/>
      </c>
      <c r="V463" s="27" t="n">
        <v>201500</v>
      </c>
      <c r="W463" s="10">
        <f>V463</f>
        <v/>
      </c>
      <c r="X463" s="277">
        <f>T463/H463</f>
        <v/>
      </c>
      <c r="Y463" s="10" t="inlineStr">
        <is>
          <t>B</t>
        </is>
      </c>
      <c r="Z463" s="60" t="n"/>
      <c r="AA463" s="230" t="n"/>
      <c r="AB463" s="14" t="inlineStr">
        <is>
          <t>No</t>
        </is>
      </c>
      <c r="AC463" s="4" t="inlineStr">
        <is>
          <t>Rent rises to £232,500 @ 07/02/26.</t>
        </is>
      </c>
      <c r="AF463" s="278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5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8" t="n">
        <v>45178</v>
      </c>
      <c r="M464" s="38" t="n">
        <v>47004</v>
      </c>
      <c r="N464" s="38" t="n"/>
      <c r="Q464" s="10" t="n">
        <v>53200</v>
      </c>
      <c r="R464" s="10">
        <f>Q464</f>
        <v/>
      </c>
      <c r="T464" s="10" t="n">
        <v>53200</v>
      </c>
      <c r="U464" s="10">
        <f>T464</f>
        <v/>
      </c>
      <c r="V464" s="27" t="n">
        <v>58000</v>
      </c>
      <c r="W464" s="10">
        <f>V464</f>
        <v/>
      </c>
      <c r="X464" s="277">
        <f>T464/H464</f>
        <v/>
      </c>
      <c r="Y464" s="10" t="inlineStr">
        <is>
          <t>B</t>
        </is>
      </c>
      <c r="Z464" s="60" t="n"/>
      <c r="AA464" s="230" t="n"/>
      <c r="AB464" s="14" t="inlineStr">
        <is>
          <t>No</t>
        </is>
      </c>
      <c r="AC464" s="4" t="inlineStr">
        <is>
          <t>Landlord break @ 08/09/26 on 6 months notice</t>
        </is>
      </c>
      <c r="AF464" s="278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5" t="inlineStr">
        <is>
          <t>Oreno Ramen Limited</t>
        </is>
      </c>
      <c r="L465" s="8" t="n">
        <v>44663</v>
      </c>
      <c r="M465" s="9" t="n">
        <v>50141</v>
      </c>
      <c r="O465" s="9" t="n">
        <v>46489</v>
      </c>
      <c r="P465" s="9" t="n">
        <v>48315</v>
      </c>
      <c r="Q465" s="10" t="n">
        <v>95000</v>
      </c>
      <c r="R465" s="10">
        <f>Q465</f>
        <v/>
      </c>
      <c r="T465" s="10" t="n">
        <v>100500</v>
      </c>
      <c r="U465" s="10">
        <f>T465</f>
        <v/>
      </c>
      <c r="V465" s="27" t="n">
        <v>95500</v>
      </c>
      <c r="W465" s="10">
        <f>V465</f>
        <v/>
      </c>
      <c r="X465" s="277">
        <f>T465/H465</f>
        <v/>
      </c>
      <c r="Y465" s="27" t="inlineStr">
        <is>
          <t>B</t>
        </is>
      </c>
      <c r="Z465" s="60" t="n"/>
      <c r="AA465" s="230" t="n"/>
      <c r="AB465" s="14" t="inlineStr">
        <is>
          <t>No</t>
        </is>
      </c>
      <c r="AC465" s="4" t="inlineStr">
        <is>
          <t>Stepped rent. £100,000 wef 12/04/26. Mutual break on 9 months notice.</t>
        </is>
      </c>
      <c r="AF465" s="278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5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5" t="inlineStr">
        <is>
          <t>48 Margaret Street Trading Ltd</t>
        </is>
      </c>
      <c r="L466" s="8" t="n">
        <v>45111</v>
      </c>
      <c r="M466" s="9" t="n">
        <v>48763</v>
      </c>
      <c r="O466" s="9" t="n">
        <v>46938</v>
      </c>
      <c r="Q466" s="10" t="n">
        <v>105000</v>
      </c>
      <c r="R466" s="10">
        <f>Q466</f>
        <v/>
      </c>
      <c r="T466" s="10" t="n">
        <v>96300</v>
      </c>
      <c r="U466" s="10">
        <f>T466</f>
        <v/>
      </c>
      <c r="V466" s="27" t="n">
        <v>102200</v>
      </c>
      <c r="W466" s="10">
        <f>V466</f>
        <v/>
      </c>
      <c r="X466" s="277">
        <f>T466/H466</f>
        <v/>
      </c>
      <c r="Y466" s="10" t="inlineStr">
        <is>
          <t>B</t>
        </is>
      </c>
      <c r="Z466" s="60" t="n"/>
      <c r="AA466" s="230" t="n"/>
      <c r="AB466" s="14" t="inlineStr">
        <is>
          <t>No</t>
        </is>
      </c>
      <c r="AF466" s="278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5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8" t="n">
        <v>45329</v>
      </c>
      <c r="M467" s="9" t="n">
        <v>46059</v>
      </c>
      <c r="Q467" s="10" t="n">
        <v>150000</v>
      </c>
      <c r="R467" s="10">
        <f>Q467</f>
        <v/>
      </c>
      <c r="T467" s="10" t="n">
        <v>180000</v>
      </c>
      <c r="U467" s="10">
        <f>T467</f>
        <v/>
      </c>
      <c r="V467" s="27" t="n">
        <v>177300</v>
      </c>
      <c r="W467" s="10">
        <f>V467</f>
        <v/>
      </c>
      <c r="X467" s="277">
        <f>T467/H467</f>
        <v/>
      </c>
      <c r="Y467" s="10" t="inlineStr">
        <is>
          <t>C</t>
        </is>
      </c>
      <c r="Z467" s="60" t="n"/>
      <c r="AA467" s="230" t="n"/>
      <c r="AB467" s="14" t="inlineStr">
        <is>
          <t>No</t>
        </is>
      </c>
      <c r="AF467" s="278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5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5" t="inlineStr">
        <is>
          <t>Hypecore Limited</t>
        </is>
      </c>
      <c r="L468" s="8" t="n">
        <v>45429</v>
      </c>
      <c r="M468" s="9" t="n">
        <v>47254</v>
      </c>
      <c r="P468" s="9" t="n">
        <v>46158</v>
      </c>
      <c r="Q468" s="10" t="n">
        <v>20520</v>
      </c>
      <c r="R468" s="10">
        <f>Q468</f>
        <v/>
      </c>
      <c r="T468" s="10" t="n">
        <v>19000</v>
      </c>
      <c r="U468" s="10">
        <f>T468</f>
        <v/>
      </c>
      <c r="V468" s="27" t="n">
        <v>21000</v>
      </c>
      <c r="W468" s="10">
        <f>V468</f>
        <v/>
      </c>
      <c r="X468" s="277">
        <f>T468/H468</f>
        <v/>
      </c>
      <c r="Y468" s="10" t="inlineStr">
        <is>
          <t>C</t>
        </is>
      </c>
      <c r="Z468" s="60" t="n"/>
      <c r="AA468" s="230" t="n"/>
      <c r="AB468" s="14" t="inlineStr">
        <is>
          <t>No</t>
        </is>
      </c>
      <c r="AC468" s="4" t="inlineStr">
        <is>
          <t>Tenant break on 6 months notice.</t>
        </is>
      </c>
      <c r="AF468" s="278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5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8" t="n">
        <v>45450</v>
      </c>
      <c r="M469" s="9" t="n">
        <v>47275</v>
      </c>
      <c r="P469" s="9" t="n">
        <v>46574</v>
      </c>
      <c r="Q469" s="10" t="n">
        <v>21850</v>
      </c>
      <c r="R469" s="10">
        <f>Q469</f>
        <v/>
      </c>
      <c r="T469" s="10" t="n">
        <v>18900</v>
      </c>
      <c r="U469" s="10">
        <f>T469</f>
        <v/>
      </c>
      <c r="V469" s="27" t="n">
        <v>22700</v>
      </c>
      <c r="W469" s="10">
        <f>V469</f>
        <v/>
      </c>
      <c r="X469" s="277">
        <f>T469/H469</f>
        <v/>
      </c>
      <c r="Y469" s="10" t="inlineStr">
        <is>
          <t>C</t>
        </is>
      </c>
      <c r="Z469" s="60" t="n"/>
      <c r="AA469" s="230" t="n"/>
      <c r="AB469" s="14" t="inlineStr">
        <is>
          <t>No</t>
        </is>
      </c>
      <c r="AC469" s="4" t="inlineStr">
        <is>
          <t>Tenant break on 6 months notice. One month rent free from 07/06/27 if break not exercised.</t>
        </is>
      </c>
      <c r="AF469" s="278" t="n"/>
    </row>
    <row r="470" ht="22.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5" t="inlineStr">
        <is>
          <t>Fitzrovia IT Ltd</t>
        </is>
      </c>
      <c r="L470" s="8" t="n">
        <v>45846</v>
      </c>
      <c r="M470" s="9" t="n">
        <v>48402</v>
      </c>
      <c r="O470" s="9" t="n">
        <v>47672</v>
      </c>
      <c r="P470" s="9" t="n">
        <v>47671</v>
      </c>
      <c r="Q470" s="10" t="n">
        <v>0</v>
      </c>
      <c r="R470" s="10">
        <f>Q470</f>
        <v/>
      </c>
      <c r="T470" s="10" t="n">
        <v>182500</v>
      </c>
      <c r="U470" s="10">
        <f>T470</f>
        <v/>
      </c>
      <c r="V470" s="27" t="n">
        <v>151400</v>
      </c>
      <c r="W470" s="10">
        <f>V470</f>
        <v/>
      </c>
      <c r="X470" s="277">
        <f>T470/H470</f>
        <v/>
      </c>
      <c r="Y470" s="10" t="inlineStr">
        <is>
          <t>C</t>
        </is>
      </c>
      <c r="Z470" s="60" t="n"/>
      <c r="AA470" s="230" t="n"/>
      <c r="AB470" s="14" t="inlineStr">
        <is>
          <t>No</t>
        </is>
      </c>
      <c r="AC470" s="4" t="inlineStr">
        <is>
          <t>Rent £75,980 wef 08/11/25 increasing to £151,960 wef 08/01/27. Tenant break on 6 months notice. Penalty of £25,327 if exercised.</t>
        </is>
      </c>
      <c r="AD470" s="303" t="n">
        <v>72.5</v>
      </c>
      <c r="AE470" s="4" t="n">
        <v>1</v>
      </c>
      <c r="AF470" s="278" t="n">
        <v>1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5" t="inlineStr">
        <is>
          <t>Vacant</t>
        </is>
      </c>
      <c r="N471" s="9" t="n">
        <v>45504</v>
      </c>
      <c r="Q471" s="10" t="n">
        <v>0</v>
      </c>
      <c r="R471" s="10">
        <f>Q471</f>
        <v/>
      </c>
      <c r="T471" s="10" t="n">
        <v>138800</v>
      </c>
      <c r="U471" s="10">
        <f>T471</f>
        <v/>
      </c>
      <c r="V471" s="27" t="n">
        <v>141700</v>
      </c>
      <c r="W471" s="10">
        <f>V471</f>
        <v/>
      </c>
      <c r="X471" s="277">
        <f>T471/H471</f>
        <v/>
      </c>
      <c r="Y471" s="10" t="inlineStr">
        <is>
          <t>C</t>
        </is>
      </c>
      <c r="Z471" s="60" t="n"/>
      <c r="AA471" s="230" t="n"/>
      <c r="AB471" s="14" t="inlineStr">
        <is>
          <t>No</t>
        </is>
      </c>
      <c r="AD471" s="303" t="n">
        <v>72.5</v>
      </c>
      <c r="AE471" s="29" t="n">
        <v>1</v>
      </c>
      <c r="AF471" s="279" t="n">
        <v>3</v>
      </c>
      <c r="AG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5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5" t="inlineStr">
        <is>
          <t>Vacant</t>
        </is>
      </c>
      <c r="N472" s="9" t="n">
        <v>45635</v>
      </c>
      <c r="Q472" s="10" t="n">
        <v>0</v>
      </c>
      <c r="R472" s="10">
        <f>Q472</f>
        <v/>
      </c>
      <c r="T472" s="10" t="n">
        <v>19500</v>
      </c>
      <c r="U472" s="10">
        <f>T472</f>
        <v/>
      </c>
      <c r="V472" s="27" t="n">
        <v>22400</v>
      </c>
      <c r="W472" s="10">
        <f>V472</f>
        <v/>
      </c>
      <c r="X472" s="277">
        <f>T472/H472</f>
        <v/>
      </c>
      <c r="Y472" s="10" t="inlineStr">
        <is>
          <t>C</t>
        </is>
      </c>
      <c r="Z472" s="60" t="n"/>
      <c r="AA472" s="230" t="n"/>
      <c r="AB472" s="14" t="inlineStr">
        <is>
          <t>No</t>
        </is>
      </c>
      <c r="AC472" s="4" t="inlineStr">
        <is>
          <t>LEM marketing.</t>
        </is>
      </c>
      <c r="AD472" s="305" t="n"/>
      <c r="AF472" s="278" t="n"/>
    </row>
    <row r="473" ht="25.5" customFormat="1" customHeight="1" s="55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5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8" t="n">
        <v>45680</v>
      </c>
      <c r="M473" s="9" t="n">
        <v>47505</v>
      </c>
      <c r="N473" s="9" t="n"/>
      <c r="O473" s="9" t="n"/>
      <c r="P473" s="9" t="n">
        <v>46774</v>
      </c>
      <c r="Q473" s="10" t="n">
        <v>21060</v>
      </c>
      <c r="R473" s="10">
        <f>Q473</f>
        <v/>
      </c>
      <c r="S473" s="10" t="n"/>
      <c r="T473" s="10" t="n">
        <v>0</v>
      </c>
      <c r="U473" s="10">
        <f>T473</f>
        <v/>
      </c>
      <c r="V473" s="27" t="n">
        <v>19500</v>
      </c>
      <c r="W473" s="10">
        <f>V473</f>
        <v/>
      </c>
      <c r="X473" s="277">
        <f>T473/H473</f>
        <v/>
      </c>
      <c r="Y473" s="10" t="inlineStr">
        <is>
          <t>C</t>
        </is>
      </c>
      <c r="Z473" s="60" t="n"/>
      <c r="AA473" s="230" t="n"/>
      <c r="AB473" s="14" t="inlineStr">
        <is>
          <t>No</t>
        </is>
      </c>
      <c r="AC473" s="4" t="inlineStr">
        <is>
          <t>Tenant break on 6 months notice.</t>
        </is>
      </c>
      <c r="AD473" s="303" t="n"/>
      <c r="AE473" s="4" t="n"/>
      <c r="AF473" s="278" t="n"/>
      <c r="AG473" s="4" t="n"/>
    </row>
    <row r="474" customFormat="1" s="55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5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8" t="n"/>
      <c r="M474" s="9" t="n"/>
      <c r="N474" s="9" t="n">
        <v>45434</v>
      </c>
      <c r="O474" s="9" t="n"/>
      <c r="P474" s="9" t="n"/>
      <c r="Q474" s="10" t="n">
        <v>0</v>
      </c>
      <c r="R474" s="10">
        <f>Q474</f>
        <v/>
      </c>
      <c r="S474" s="10" t="n"/>
      <c r="T474" s="10" t="n">
        <v>42000</v>
      </c>
      <c r="U474" s="10">
        <f>T474</f>
        <v/>
      </c>
      <c r="V474" s="27" t="n">
        <v>41500</v>
      </c>
      <c r="W474" s="10">
        <f>V474</f>
        <v/>
      </c>
      <c r="X474" s="277">
        <f>T474/H474</f>
        <v/>
      </c>
      <c r="Y474" s="10" t="inlineStr">
        <is>
          <t>C</t>
        </is>
      </c>
      <c r="Z474" s="60" t="n"/>
      <c r="AA474" s="230" t="n"/>
      <c r="AB474" s="14" t="inlineStr">
        <is>
          <t>No</t>
        </is>
      </c>
      <c r="AC474" s="4" t="inlineStr">
        <is>
          <t>LEM marketing.</t>
        </is>
      </c>
      <c r="AD474" s="303" t="n">
        <v>62.5</v>
      </c>
      <c r="AE474" s="4" t="n"/>
      <c r="AF474" s="278" t="n"/>
      <c r="AG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5" t="n"/>
      <c r="I475" s="10" t="n"/>
      <c r="J475" s="10" t="n"/>
      <c r="T475" s="10" t="n"/>
      <c r="U475" s="10" t="n"/>
      <c r="V475" s="27" t="n"/>
      <c r="W475" s="10" t="n"/>
      <c r="X475" s="10" t="n"/>
      <c r="Y475" s="10" t="n"/>
      <c r="Z475" s="60" t="n"/>
      <c r="AA475" s="230" t="n"/>
      <c r="AB475" s="14" t="n"/>
      <c r="AF475" s="278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1" t="inlineStr">
        <is>
          <t>47,48 &amp; 50 Margaret Street</t>
        </is>
      </c>
      <c r="H476" s="18">
        <f>SUM(H463:H474)</f>
        <v/>
      </c>
      <c r="I476" s="19" t="n"/>
      <c r="J476" s="19" t="n"/>
      <c r="Q476" s="19">
        <f>SUM(Q463:Q474)</f>
        <v/>
      </c>
      <c r="R476" s="19" t="n"/>
      <c r="S476" s="19">
        <f>SUM(R461:R475)</f>
        <v/>
      </c>
      <c r="T476" s="19">
        <f>SUM(T463:T474)</f>
        <v/>
      </c>
      <c r="U476" s="19" t="n"/>
      <c r="V476" s="36">
        <f>SUM(V463:V474)</f>
        <v/>
      </c>
      <c r="W476" s="19" t="n"/>
      <c r="X476" s="19" t="n"/>
      <c r="Y476" s="19" t="n"/>
      <c r="Z476" s="61" t="n"/>
      <c r="AA476" s="36" t="n">
        <v>16325000</v>
      </c>
      <c r="AB476" s="14" t="n"/>
      <c r="AE476" s="29" t="n"/>
      <c r="AF476" s="279" t="n"/>
      <c r="AG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AA477" s="230" t="n"/>
      <c r="AB477" s="14" t="n"/>
      <c r="AF477" s="278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10" t="n"/>
      <c r="J478" s="10" t="n"/>
      <c r="K478" s="30" t="n"/>
      <c r="T478" s="11" t="n"/>
      <c r="U478" s="10" t="n"/>
      <c r="W478" s="10" t="n"/>
      <c r="X478" s="10" t="n"/>
      <c r="Y478" s="10" t="n"/>
      <c r="Z478" s="60" t="n"/>
      <c r="AA478" s="230" t="n"/>
      <c r="AB478" s="14" t="n"/>
      <c r="AF478" s="278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10" t="n"/>
      <c r="J479" s="10" t="n"/>
      <c r="T479" s="10" t="n"/>
      <c r="U479" s="10" t="n"/>
      <c r="V479" s="27" t="n"/>
      <c r="W479" s="10" t="n"/>
      <c r="X479" s="10" t="n"/>
      <c r="Y479" s="10" t="n"/>
      <c r="Z479" s="60" t="n"/>
      <c r="AA479" s="230" t="n"/>
      <c r="AB479" s="14" t="n"/>
      <c r="AF479" s="278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5" t="inlineStr">
        <is>
          <t>Kiss The Hippo Fritzrovia Ltd.</t>
        </is>
      </c>
      <c r="L480" s="8" t="n">
        <v>43881</v>
      </c>
      <c r="M480" s="8" t="n">
        <v>47240</v>
      </c>
      <c r="N480" s="8" t="n"/>
      <c r="Q480" s="10" t="n">
        <v>0</v>
      </c>
      <c r="R480" s="10">
        <f>Q480</f>
        <v/>
      </c>
      <c r="T480" s="10" t="n">
        <v>0</v>
      </c>
      <c r="U480" s="10">
        <f>T480</f>
        <v/>
      </c>
      <c r="V480" s="27" t="n">
        <v>0</v>
      </c>
      <c r="W480" s="10">
        <f>V480</f>
        <v/>
      </c>
      <c r="X480" s="277">
        <f>T480/H480</f>
        <v/>
      </c>
      <c r="Y480" s="10" t="n"/>
      <c r="Z480" s="60" t="inlineStr">
        <is>
          <t>*</t>
        </is>
      </c>
      <c r="AA480" s="230" t="n"/>
      <c r="AB480" s="14" t="inlineStr">
        <is>
          <t>No</t>
        </is>
      </c>
      <c r="AC480" s="4" t="inlineStr">
        <is>
          <t>The rent is a peppercorn.</t>
        </is>
      </c>
      <c r="AF480" s="278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>
        <f>I481</f>
        <v/>
      </c>
      <c r="K481" s="35" t="inlineStr">
        <is>
          <t>Kiss The Hippo Fritzrovia Ltd.</t>
        </is>
      </c>
      <c r="L481" s="8" t="n">
        <v>43588</v>
      </c>
      <c r="M481" s="8" t="n">
        <v>47240</v>
      </c>
      <c r="N481" s="8" t="n"/>
      <c r="Q481" s="10" t="n">
        <v>70000</v>
      </c>
      <c r="R481" s="10">
        <f>Q481</f>
        <v/>
      </c>
      <c r="T481" s="10" t="n">
        <v>57500</v>
      </c>
      <c r="U481" s="10">
        <f>T481</f>
        <v/>
      </c>
      <c r="V481" s="27" t="n">
        <v>57500</v>
      </c>
      <c r="W481" s="10">
        <f>V481</f>
        <v/>
      </c>
      <c r="X481" s="277">
        <f>T481/H481</f>
        <v/>
      </c>
      <c r="Y481" s="10" t="inlineStr">
        <is>
          <t>A</t>
        </is>
      </c>
      <c r="Z481" s="60" t="n"/>
      <c r="AA481" s="230" t="n"/>
      <c r="AB481" s="14" t="inlineStr">
        <is>
          <t>No</t>
        </is>
      </c>
      <c r="AF481" s="278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Vault</t>
        </is>
      </c>
      <c r="G482" s="14" t="inlineStr">
        <is>
          <t>Storage</t>
        </is>
      </c>
      <c r="H482" s="7" t="n">
        <v>90</v>
      </c>
      <c r="I482" s="7">
        <f>H482</f>
        <v/>
      </c>
      <c r="J482" s="7">
        <f>I482</f>
        <v/>
      </c>
      <c r="K482" s="4" t="inlineStr">
        <is>
          <t>Vacant / Landlord</t>
        </is>
      </c>
      <c r="M482" s="38" t="n"/>
      <c r="N482" s="38" t="n">
        <v>44681</v>
      </c>
      <c r="Q482" s="10" t="n">
        <v>0</v>
      </c>
      <c r="R482" s="10">
        <f>Q482</f>
        <v/>
      </c>
      <c r="T482" s="10" t="n">
        <v>5665</v>
      </c>
      <c r="U482" s="10">
        <f>T482</f>
        <v/>
      </c>
      <c r="V482" s="27" t="n">
        <v>900</v>
      </c>
      <c r="W482" s="10">
        <f>V482</f>
        <v/>
      </c>
      <c r="X482" s="277">
        <f>T482/H482</f>
        <v/>
      </c>
      <c r="Y482" s="10" t="n"/>
      <c r="Z482" s="60" t="n"/>
      <c r="AA482" s="230" t="n"/>
      <c r="AB482" s="14" t="inlineStr">
        <is>
          <t>No</t>
        </is>
      </c>
      <c r="AF482" s="278" t="n"/>
    </row>
    <row r="483" ht="22.5" customHeight="1">
      <c r="A483" s="2" t="n"/>
      <c r="B483" s="355" t="inlineStr">
        <is>
          <t>SH</t>
        </is>
      </c>
      <c r="C483" s="355" t="inlineStr">
        <is>
          <t>MEL</t>
        </is>
      </c>
      <c r="D483" s="356" t="n">
        <v>550510</v>
      </c>
      <c r="E483" s="357" t="inlineStr">
        <is>
          <t>51-53 Margaret Street</t>
        </is>
      </c>
      <c r="F483" s="35" t="inlineStr">
        <is>
          <t>Basement &amp; Ground Floor (East)</t>
        </is>
      </c>
      <c r="G483" s="22" t="inlineStr">
        <is>
          <t>Shop</t>
        </is>
      </c>
      <c r="H483" s="359" t="n">
        <v>1922</v>
      </c>
      <c r="I483" s="7">
        <f>H483</f>
        <v/>
      </c>
      <c r="J483" s="7">
        <f>I483</f>
        <v/>
      </c>
      <c r="K483" s="4" t="inlineStr">
        <is>
          <t>Fred Bakery Ltd.</t>
        </is>
      </c>
      <c r="L483" s="8" t="n">
        <v>45845</v>
      </c>
      <c r="M483" s="9" t="n">
        <v>51323</v>
      </c>
      <c r="O483" s="9" t="n">
        <v>47671</v>
      </c>
      <c r="P483" s="9" t="n">
        <v>47670</v>
      </c>
      <c r="Q483" s="10" t="n">
        <v>0</v>
      </c>
      <c r="R483" s="10">
        <f>Q483</f>
        <v/>
      </c>
      <c r="T483" s="10" t="n">
        <v>126000</v>
      </c>
      <c r="U483" s="10">
        <f>T483</f>
        <v/>
      </c>
      <c r="V483" s="27" t="n">
        <v>132000</v>
      </c>
      <c r="W483" s="10">
        <f>V483</f>
        <v/>
      </c>
      <c r="X483" s="277">
        <f>T483/H483</f>
        <v/>
      </c>
      <c r="Y483" s="10" t="inlineStr">
        <is>
          <t>D</t>
        </is>
      </c>
      <c r="Z483" s="60" t="n"/>
      <c r="AA483" s="230" t="n"/>
      <c r="AB483" s="14" t="inlineStr">
        <is>
          <t>No</t>
        </is>
      </c>
      <c r="AC483" s="4" t="inlineStr">
        <is>
          <t>Rent £66,000 wef 07/11/25 increasing to £132,000 wef 07/05/26. Mutual break on 6 months notice.</t>
        </is>
      </c>
      <c r="AF483" s="278" t="n"/>
    </row>
    <row r="484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5" t="inlineStr">
        <is>
          <t>First Floor (East)</t>
        </is>
      </c>
      <c r="G484" s="22" t="inlineStr">
        <is>
          <t>Office</t>
        </is>
      </c>
      <c r="H484" s="7" t="n">
        <v>635</v>
      </c>
      <c r="I484" s="7">
        <f>H484</f>
        <v/>
      </c>
      <c r="J484" s="7" t="n">
        <v>750</v>
      </c>
      <c r="K484" s="4" t="inlineStr">
        <is>
          <t>More &amp; More Studio Limited</t>
        </is>
      </c>
      <c r="L484" s="8" t="n">
        <v>45431</v>
      </c>
      <c r="M484" s="9" t="n">
        <v>46525</v>
      </c>
      <c r="Q484" s="10" t="n">
        <v>36500</v>
      </c>
      <c r="R484" s="10">
        <f>Q484</f>
        <v/>
      </c>
      <c r="T484" s="10" t="n">
        <v>36500</v>
      </c>
      <c r="U484" s="10">
        <f>T484</f>
        <v/>
      </c>
      <c r="V484" s="27" t="n">
        <v>38100</v>
      </c>
      <c r="W484" s="10">
        <f>V484</f>
        <v/>
      </c>
      <c r="X484" s="277">
        <f>T484/H484</f>
        <v/>
      </c>
      <c r="Y484" s="10" t="inlineStr">
        <is>
          <t>E</t>
        </is>
      </c>
      <c r="Z484" s="60" t="n"/>
      <c r="AA484" s="230" t="n"/>
      <c r="AB484" s="14" t="inlineStr">
        <is>
          <t>No</t>
        </is>
      </c>
      <c r="AF484" s="278" t="n"/>
    </row>
    <row r="485" ht="18" customHeight="1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5" t="inlineStr">
        <is>
          <t>First Floor (West)</t>
        </is>
      </c>
      <c r="G485" s="14" t="inlineStr">
        <is>
          <t>Office</t>
        </is>
      </c>
      <c r="H485" s="42" t="n">
        <v>450</v>
      </c>
      <c r="I485" s="7">
        <f>H485</f>
        <v/>
      </c>
      <c r="J485" s="7" t="n">
        <v>500</v>
      </c>
      <c r="K485" s="4" t="inlineStr">
        <is>
          <t>Vacant</t>
        </is>
      </c>
      <c r="N485" s="38" t="n">
        <v>42943</v>
      </c>
      <c r="Q485" s="10" t="n">
        <v>0</v>
      </c>
      <c r="R485" s="10">
        <f>Q485</f>
        <v/>
      </c>
      <c r="T485" s="10" t="n">
        <v>23600</v>
      </c>
      <c r="U485" s="10">
        <f>T485</f>
        <v/>
      </c>
      <c r="V485" s="27" t="n">
        <v>25900</v>
      </c>
      <c r="W485" s="10">
        <f>V485</f>
        <v/>
      </c>
      <c r="X485" s="277">
        <f>T485/H485</f>
        <v/>
      </c>
      <c r="Y485" s="10" t="inlineStr">
        <is>
          <t>B</t>
        </is>
      </c>
      <c r="Z485" s="60" t="n"/>
      <c r="AA485" s="230" t="n"/>
      <c r="AB485" s="14" t="inlineStr">
        <is>
          <t>No</t>
        </is>
      </c>
      <c r="AF485" s="278" t="n">
        <v>2</v>
      </c>
      <c r="AG485" s="4" t="inlineStr">
        <is>
          <t>LEM / RIB</t>
        </is>
      </c>
    </row>
    <row r="486" ht="24.75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4" t="inlineStr">
        <is>
          <t>Second Floor (East)</t>
        </is>
      </c>
      <c r="G486" s="14" t="inlineStr">
        <is>
          <t>Office</t>
        </is>
      </c>
      <c r="H486" s="7" t="n">
        <v>615</v>
      </c>
      <c r="I486" s="7">
        <f>H486</f>
        <v/>
      </c>
      <c r="J486" s="7" t="n">
        <v>500</v>
      </c>
      <c r="K486" s="4" t="inlineStr">
        <is>
          <t>G. McGonagle &amp; I. Robertson</t>
        </is>
      </c>
      <c r="L486" s="8" t="n">
        <v>45092</v>
      </c>
      <c r="M486" s="9" t="n">
        <v>46918</v>
      </c>
      <c r="P486" s="9" t="n">
        <v>46187</v>
      </c>
      <c r="Q486" s="227" t="n">
        <v>35363</v>
      </c>
      <c r="R486" s="10">
        <f>Q486</f>
        <v/>
      </c>
      <c r="T486" s="10" t="n">
        <v>32300</v>
      </c>
      <c r="U486" s="10">
        <f>T486</f>
        <v/>
      </c>
      <c r="V486" s="27" t="n">
        <v>35363</v>
      </c>
      <c r="W486" s="10">
        <f>V486</f>
        <v/>
      </c>
      <c r="X486" s="277">
        <f>T486/H486</f>
        <v/>
      </c>
      <c r="Y486" s="10" t="n"/>
      <c r="Z486" s="60" t="n"/>
      <c r="AA486" s="230" t="n"/>
      <c r="AB486" s="14" t="inlineStr">
        <is>
          <t>No</t>
        </is>
      </c>
      <c r="AC486" s="4" t="inlineStr">
        <is>
          <t>Tenant break on 6 months notice. 2 months rent free if not exercised.</t>
        </is>
      </c>
      <c r="AF486" s="278" t="n"/>
    </row>
    <row r="487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(West)</t>
        </is>
      </c>
      <c r="G487" s="14" t="inlineStr">
        <is>
          <t>Office</t>
        </is>
      </c>
      <c r="H487" s="7" t="n">
        <v>500</v>
      </c>
      <c r="I487" s="7">
        <f>H487</f>
        <v/>
      </c>
      <c r="J487" s="7" t="n">
        <v>500</v>
      </c>
      <c r="K487" s="35" t="inlineStr">
        <is>
          <t>Vacant</t>
        </is>
      </c>
      <c r="N487" s="9" t="n">
        <v>43820</v>
      </c>
      <c r="Q487" s="10" t="n">
        <v>0</v>
      </c>
      <c r="R487" s="10">
        <f>Q487</f>
        <v/>
      </c>
      <c r="T487" s="10" t="n">
        <v>26300</v>
      </c>
      <c r="U487" s="10">
        <f>T487</f>
        <v/>
      </c>
      <c r="V487" s="27" t="n">
        <v>28800</v>
      </c>
      <c r="W487" s="10">
        <f>V487</f>
        <v/>
      </c>
      <c r="X487" s="277">
        <f>T487/H487</f>
        <v/>
      </c>
      <c r="Y487" s="10" t="inlineStr">
        <is>
          <t>E</t>
        </is>
      </c>
      <c r="Z487" s="60" t="n"/>
      <c r="AA487" s="230" t="n"/>
      <c r="AB487" s="14" t="inlineStr">
        <is>
          <t>No</t>
        </is>
      </c>
      <c r="AC487" s="4" t="inlineStr">
        <is>
          <t>LEM marketing.</t>
        </is>
      </c>
      <c r="AD487" s="303" t="n">
        <v>58.5</v>
      </c>
      <c r="AF487" s="278" t="n">
        <v>1</v>
      </c>
      <c r="AG487" s="4" t="inlineStr">
        <is>
          <t>LEM / RIB</t>
        </is>
      </c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Third Floor (West)</t>
        </is>
      </c>
      <c r="G488" s="14" t="inlineStr">
        <is>
          <t>Office</t>
        </is>
      </c>
      <c r="H488" s="7" t="n">
        <v>504</v>
      </c>
      <c r="I488" s="7">
        <f>H488</f>
        <v/>
      </c>
      <c r="J488" s="7" t="n">
        <v>500</v>
      </c>
      <c r="K488" s="35" t="inlineStr">
        <is>
          <t>Reishi Clinic Ltd</t>
        </is>
      </c>
      <c r="L488" s="8" t="n">
        <v>45601</v>
      </c>
      <c r="M488" s="9" t="n">
        <v>47426</v>
      </c>
      <c r="P488" s="9" t="n">
        <v>46330</v>
      </c>
      <c r="Q488" s="10" t="n">
        <v>28050</v>
      </c>
      <c r="R488" s="10">
        <f>Q488</f>
        <v/>
      </c>
      <c r="T488" s="10" t="n">
        <v>26500</v>
      </c>
      <c r="U488" s="10">
        <f>T488</f>
        <v/>
      </c>
      <c r="V488" s="27" t="n">
        <v>29000</v>
      </c>
      <c r="W488" s="10">
        <f>V488</f>
        <v/>
      </c>
      <c r="X488" s="277">
        <f>T488/H488</f>
        <v/>
      </c>
      <c r="Y488" s="10" t="inlineStr">
        <is>
          <t>E</t>
        </is>
      </c>
      <c r="Z488" s="60" t="n"/>
      <c r="AA488" s="230" t="n"/>
      <c r="AB488" s="14" t="inlineStr">
        <is>
          <t>No</t>
        </is>
      </c>
      <c r="AC488" s="4" t="inlineStr">
        <is>
          <t>Tenant break on 6 months notice.</t>
        </is>
      </c>
      <c r="AD488" s="305" t="n"/>
      <c r="AF488" s="278" t="n"/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(East)</t>
        </is>
      </c>
      <c r="G489" s="14" t="inlineStr">
        <is>
          <t>Office</t>
        </is>
      </c>
      <c r="H489" s="7" t="n">
        <v>591</v>
      </c>
      <c r="I489" s="7">
        <f>H489</f>
        <v/>
      </c>
      <c r="J489" s="7" t="n">
        <v>500</v>
      </c>
      <c r="K489" s="35" t="inlineStr">
        <is>
          <t>Vacant</t>
        </is>
      </c>
      <c r="N489" s="9" t="n">
        <v>44119</v>
      </c>
      <c r="Q489" s="10" t="n">
        <v>0</v>
      </c>
      <c r="R489" s="10">
        <f>Q489</f>
        <v/>
      </c>
      <c r="T489" s="10" t="n">
        <v>31000</v>
      </c>
      <c r="U489" s="10">
        <f>T489</f>
        <v/>
      </c>
      <c r="V489" s="27" t="n">
        <v>34000</v>
      </c>
      <c r="W489" s="10">
        <f>V489</f>
        <v/>
      </c>
      <c r="X489" s="277">
        <f>T489/H489</f>
        <v/>
      </c>
      <c r="Y489" s="10" t="inlineStr">
        <is>
          <t>E</t>
        </is>
      </c>
      <c r="Z489" s="60" t="n"/>
      <c r="AA489" s="230" t="n"/>
      <c r="AB489" s="14" t="inlineStr">
        <is>
          <t>No</t>
        </is>
      </c>
      <c r="AC489" s="4" t="inlineStr">
        <is>
          <t>LEM marketing.</t>
        </is>
      </c>
      <c r="AD489" s="303" t="n">
        <v>58.5</v>
      </c>
      <c r="AF489" s="278" t="n">
        <v>1</v>
      </c>
      <c r="AG489" s="4" t="inlineStr">
        <is>
          <t>LEM/LDG</t>
        </is>
      </c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Fourth Floor (West)</t>
        </is>
      </c>
      <c r="G490" s="14" t="inlineStr">
        <is>
          <t>Office</t>
        </is>
      </c>
      <c r="H490" s="7" t="n">
        <v>450</v>
      </c>
      <c r="I490" s="7">
        <f>H490</f>
        <v/>
      </c>
      <c r="J490" s="7" t="n">
        <v>500</v>
      </c>
      <c r="K490" s="35" t="inlineStr">
        <is>
          <t>Vacant</t>
        </is>
      </c>
      <c r="N490" s="9" t="n">
        <v>43389</v>
      </c>
      <c r="Q490" s="10" t="n">
        <v>0</v>
      </c>
      <c r="R490" s="10">
        <f>Q490</f>
        <v/>
      </c>
      <c r="T490" s="10" t="n">
        <v>23600</v>
      </c>
      <c r="U490" s="10">
        <f>T490</f>
        <v/>
      </c>
      <c r="V490" s="27" t="n">
        <v>25900</v>
      </c>
      <c r="W490" s="10">
        <f>V490</f>
        <v/>
      </c>
      <c r="X490" s="277">
        <f>T490/H490</f>
        <v/>
      </c>
      <c r="Y490" s="10" t="inlineStr">
        <is>
          <t>E</t>
        </is>
      </c>
      <c r="Z490" s="60" t="n"/>
      <c r="AA490" s="230" t="n"/>
      <c r="AB490" s="14" t="inlineStr">
        <is>
          <t>No</t>
        </is>
      </c>
      <c r="AC490" s="4" t="inlineStr">
        <is>
          <t>LEM marketing.</t>
        </is>
      </c>
      <c r="AD490" s="303" t="n">
        <v>58.5</v>
      </c>
      <c r="AF490" s="278" t="n"/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(East)</t>
        </is>
      </c>
      <c r="G491" s="14" t="inlineStr">
        <is>
          <t>Office</t>
        </is>
      </c>
      <c r="H491" s="7" t="n">
        <v>582</v>
      </c>
      <c r="I491" s="7">
        <f>H491</f>
        <v/>
      </c>
      <c r="J491" s="7" t="n">
        <v>500</v>
      </c>
      <c r="K491" s="35" t="inlineStr">
        <is>
          <t>MDB Sarl</t>
        </is>
      </c>
      <c r="L491" s="8" t="n">
        <v>45614</v>
      </c>
      <c r="M491" s="9" t="n">
        <v>46343</v>
      </c>
      <c r="Q491" s="10" t="n">
        <v>42282</v>
      </c>
      <c r="R491" s="10">
        <f>Q491</f>
        <v/>
      </c>
      <c r="T491" s="10" t="n">
        <v>34000</v>
      </c>
      <c r="U491" s="10">
        <f>T491</f>
        <v/>
      </c>
      <c r="V491" s="27" t="n">
        <v>35500</v>
      </c>
      <c r="W491" s="10">
        <f>V491</f>
        <v/>
      </c>
      <c r="X491" s="277">
        <f>T491/H491</f>
        <v/>
      </c>
      <c r="Y491" s="10" t="inlineStr">
        <is>
          <t>E</t>
        </is>
      </c>
      <c r="Z491" s="60" t="n"/>
      <c r="AA491" s="230" t="n"/>
      <c r="AB491" s="14" t="inlineStr">
        <is>
          <t>No</t>
        </is>
      </c>
      <c r="AC491" s="4" t="inlineStr">
        <is>
          <t>All inclusive Service charge &amp; Insurance.</t>
        </is>
      </c>
      <c r="AD491" s="305" t="n"/>
      <c r="AF491" s="278" t="n"/>
    </row>
    <row r="492" ht="14.25" customHeight="1">
      <c r="A492" s="2" t="n"/>
      <c r="B492" s="11" t="n"/>
      <c r="C492" s="11" t="inlineStr">
        <is>
          <t>MEL</t>
        </is>
      </c>
      <c r="D492" s="2" t="n"/>
      <c r="E492" s="4" t="n"/>
      <c r="T492" s="10" t="n"/>
      <c r="U492" s="10" t="n"/>
      <c r="V492" s="27" t="n"/>
      <c r="W492" s="10" t="n"/>
      <c r="X492" s="10" t="n"/>
      <c r="Y492" s="10" t="n"/>
      <c r="Z492" s="60" t="n"/>
      <c r="AA492" s="230" t="n"/>
      <c r="AB492" s="14" t="n"/>
      <c r="AF492" s="278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F493" s="90" t="inlineStr">
        <is>
          <t>51/53 Margaret Street</t>
        </is>
      </c>
      <c r="H493" s="18">
        <f>SUM(H480:H491)</f>
        <v/>
      </c>
      <c r="I493" s="19" t="n"/>
      <c r="J493" s="19" t="n"/>
      <c r="Q493" s="19">
        <f>SUM(Q480:Q491)</f>
        <v/>
      </c>
      <c r="R493" s="19" t="n"/>
      <c r="S493" s="19">
        <f>SUM(R479:R491)</f>
        <v/>
      </c>
      <c r="T493" s="19">
        <f>SUM(T480:T491)</f>
        <v/>
      </c>
      <c r="U493" s="19" t="n"/>
      <c r="V493" s="36">
        <f>SUM(V480:V491)</f>
        <v/>
      </c>
      <c r="W493" s="19" t="n"/>
      <c r="X493" s="19" t="n"/>
      <c r="Y493" s="19" t="n"/>
      <c r="Z493" s="61" t="n"/>
      <c r="AA493" s="36" t="n">
        <v>6275000</v>
      </c>
      <c r="AB493" s="14" t="n"/>
      <c r="AE493" s="29" t="n"/>
      <c r="AF493" s="279" t="n"/>
      <c r="AG493" s="29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H494" s="18" t="n"/>
      <c r="I494" s="19" t="n"/>
      <c r="J494" s="19" t="n"/>
      <c r="Q494" s="19" t="n"/>
      <c r="R494" s="19" t="n"/>
      <c r="S494" s="19" t="n"/>
      <c r="T494" s="19" t="n"/>
      <c r="U494" s="19" t="n"/>
      <c r="V494" s="36" t="n"/>
      <c r="W494" s="19" t="n"/>
      <c r="X494" s="19" t="n"/>
      <c r="Y494" s="19" t="n"/>
      <c r="Z494" s="61" t="n"/>
      <c r="AA494" s="362" t="n"/>
      <c r="AB494" s="14" t="n"/>
      <c r="AF494" s="278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G495" s="6" t="inlineStr">
        <is>
          <t>63-64 Margaret Street</t>
        </is>
      </c>
      <c r="I495" s="10" t="n"/>
      <c r="J495" s="10" t="n"/>
      <c r="K495" s="30" t="n"/>
      <c r="T495" s="11" t="n"/>
      <c r="U495" s="10" t="n"/>
      <c r="W495" s="10" t="n"/>
      <c r="X495" s="10" t="n"/>
      <c r="Y495" s="10" t="n"/>
      <c r="Z495" s="60" t="n"/>
      <c r="AA495" s="230" t="n"/>
      <c r="AB495" s="14" t="n"/>
      <c r="AF495" s="278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26" t="n"/>
      <c r="I496" s="10" t="n"/>
      <c r="J496" s="10" t="n"/>
      <c r="K496" s="30" t="n"/>
      <c r="T496" s="11" t="n"/>
      <c r="U496" s="10" t="n"/>
      <c r="W496" s="10" t="n"/>
      <c r="X496" s="10" t="n"/>
      <c r="Y496" s="10" t="n"/>
      <c r="Z496" s="60" t="n"/>
      <c r="AA496" s="230" t="n"/>
      <c r="AB496" s="14" t="n"/>
      <c r="AF496" s="278" t="n"/>
    </row>
    <row r="497" ht="22.5" customHeight="1">
      <c r="A497" s="2" t="n"/>
      <c r="B497" s="11" t="inlineStr">
        <is>
          <t>CM</t>
        </is>
      </c>
      <c r="C497" s="11" t="inlineStr">
        <is>
          <t>MEL</t>
        </is>
      </c>
      <c r="D497" s="2" t="n">
        <v>550610</v>
      </c>
      <c r="E497" s="4" t="inlineStr">
        <is>
          <t>63-64 Margaret Street</t>
        </is>
      </c>
      <c r="F497" s="35" t="inlineStr">
        <is>
          <t>Ground Floor &amp; Basement (East)</t>
        </is>
      </c>
      <c r="G497" s="14" t="inlineStr">
        <is>
          <t>Showroom/ Educational</t>
        </is>
      </c>
      <c r="H497" s="7" t="n">
        <v>2047</v>
      </c>
      <c r="I497" s="7">
        <f>H497</f>
        <v/>
      </c>
      <c r="J497" s="7" t="n">
        <v>2000</v>
      </c>
      <c r="K497" s="4" t="inlineStr">
        <is>
          <t>Apollo Galleries Limited</t>
        </is>
      </c>
      <c r="L497" s="8" t="n">
        <v>45100</v>
      </c>
      <c r="M497" s="9" t="n">
        <v>48752</v>
      </c>
      <c r="O497" s="9" t="n">
        <v>46926</v>
      </c>
      <c r="P497" s="9" t="n">
        <v>46195</v>
      </c>
      <c r="Q497" s="10" t="n">
        <v>105000</v>
      </c>
      <c r="R497" s="10">
        <f>Q497</f>
        <v/>
      </c>
      <c r="T497" s="10" t="n">
        <v>100000</v>
      </c>
      <c r="U497" s="10">
        <f>T497</f>
        <v/>
      </c>
      <c r="V497" s="27" t="n">
        <v>105000</v>
      </c>
      <c r="W497" s="10">
        <f>V497</f>
        <v/>
      </c>
      <c r="X497" s="277">
        <f>T497/H497</f>
        <v/>
      </c>
      <c r="Y497" s="10" t="inlineStr">
        <is>
          <t>E</t>
        </is>
      </c>
      <c r="Z497" s="60" t="n"/>
      <c r="AA497" s="230" t="n"/>
      <c r="AB497" s="14" t="inlineStr">
        <is>
          <t>No</t>
        </is>
      </c>
      <c r="AC497" s="4" t="inlineStr">
        <is>
          <t>Tenant break on 6 months notice.</t>
        </is>
      </c>
      <c r="AF497" s="278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4" t="inlineStr">
        <is>
          <t>Ground  &amp; Basement (West) &amp; Rear Block</t>
        </is>
      </c>
      <c r="G498" s="14" t="inlineStr">
        <is>
          <t>Retail</t>
        </is>
      </c>
      <c r="H498" s="7" t="n">
        <v>2185</v>
      </c>
      <c r="I498" s="7">
        <f>H498</f>
        <v/>
      </c>
      <c r="J498" s="7" t="n">
        <v>2000</v>
      </c>
      <c r="K498" s="4" t="inlineStr">
        <is>
          <t>Margaret Howell Ltd</t>
        </is>
      </c>
      <c r="L498" s="8" t="n">
        <v>42655</v>
      </c>
      <c r="M498" s="9" t="n">
        <v>46306</v>
      </c>
      <c r="Q498" s="10" t="n">
        <v>100000</v>
      </c>
      <c r="R498" s="10">
        <f>Q498</f>
        <v/>
      </c>
      <c r="T498" s="10" t="n">
        <v>90000</v>
      </c>
      <c r="U498" s="10">
        <f>T498</f>
        <v/>
      </c>
      <c r="V498" s="27" t="n">
        <v>100000</v>
      </c>
      <c r="W498" s="10">
        <f>V498</f>
        <v/>
      </c>
      <c r="X498" s="277">
        <f>T498/H498</f>
        <v/>
      </c>
      <c r="Y498" s="10" t="inlineStr">
        <is>
          <t>C</t>
        </is>
      </c>
      <c r="Z498" s="60" t="n"/>
      <c r="AA498" s="230" t="n"/>
      <c r="AB498" s="14" t="inlineStr">
        <is>
          <t>No</t>
        </is>
      </c>
      <c r="AC498" s="4" t="inlineStr">
        <is>
          <t xml:space="preserve">Tenant break on 6 months notice and a Landlord Redevelopment Break @ 01/09/22 on 6 months notice. Break not exercised. </t>
        </is>
      </c>
      <c r="AF498" s="278" t="n"/>
    </row>
    <row r="499" ht="24.7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35" t="inlineStr">
        <is>
          <t>First Floor (East)</t>
        </is>
      </c>
      <c r="G499" s="14" t="inlineStr">
        <is>
          <t>Office</t>
        </is>
      </c>
      <c r="H499" s="7" t="n">
        <v>727</v>
      </c>
      <c r="I499" s="7">
        <f>H499</f>
        <v/>
      </c>
      <c r="J499" s="7" t="n">
        <v>250</v>
      </c>
      <c r="K499" s="4" t="inlineStr">
        <is>
          <t>Kipas London Ltd</t>
        </is>
      </c>
      <c r="L499" s="8" t="n">
        <v>44703</v>
      </c>
      <c r="M499" s="9" t="n">
        <v>46528</v>
      </c>
      <c r="Q499" s="10" t="n">
        <v>42350</v>
      </c>
      <c r="R499" s="10">
        <f>Q499</f>
        <v/>
      </c>
      <c r="T499" s="10" t="n">
        <v>40000</v>
      </c>
      <c r="U499" s="10">
        <f>T499</f>
        <v/>
      </c>
      <c r="V499" s="27" t="n">
        <v>48700</v>
      </c>
      <c r="W499" s="10">
        <f>V499</f>
        <v/>
      </c>
      <c r="X499" s="277">
        <f>T499/H499</f>
        <v/>
      </c>
      <c r="Y499" s="10" t="inlineStr">
        <is>
          <t>D</t>
        </is>
      </c>
      <c r="Z499" s="60" t="n"/>
      <c r="AA499" s="230" t="n"/>
      <c r="AB499" s="14" t="inlineStr">
        <is>
          <t>No</t>
        </is>
      </c>
      <c r="AF499" s="278" t="n"/>
    </row>
    <row r="500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4" t="inlineStr">
        <is>
          <t>First Floor (West) (Front)</t>
        </is>
      </c>
      <c r="G500" s="14" t="inlineStr">
        <is>
          <t>Office</t>
        </is>
      </c>
      <c r="H500" s="7" t="n">
        <v>710</v>
      </c>
      <c r="I500" s="7">
        <f>H500</f>
        <v/>
      </c>
      <c r="J500" s="7" t="n">
        <v>750</v>
      </c>
      <c r="K500" s="4" t="inlineStr">
        <is>
          <t>Staybrook Asset Management Ltd</t>
        </is>
      </c>
      <c r="L500" s="8" t="n">
        <v>45551</v>
      </c>
      <c r="M500" s="9" t="n">
        <v>46645</v>
      </c>
      <c r="P500" s="9" t="n">
        <v>46280</v>
      </c>
      <c r="Q500" s="10" t="n">
        <v>47250</v>
      </c>
      <c r="R500" s="10">
        <f>Q500</f>
        <v/>
      </c>
      <c r="T500" s="10" t="n">
        <v>35000</v>
      </c>
      <c r="U500" s="10">
        <f>T500</f>
        <v/>
      </c>
      <c r="V500" s="27" t="n">
        <v>47600</v>
      </c>
      <c r="W500" s="10">
        <f>V500</f>
        <v/>
      </c>
      <c r="X500" s="277">
        <f>T500/H500</f>
        <v/>
      </c>
      <c r="Y500" s="10" t="inlineStr">
        <is>
          <t>D</t>
        </is>
      </c>
      <c r="Z500" s="60" t="n"/>
      <c r="AA500" s="230" t="n"/>
      <c r="AB500" s="14" t="inlineStr">
        <is>
          <t>No</t>
        </is>
      </c>
      <c r="AC500" s="4" t="inlineStr">
        <is>
          <t>Tenant break on 6 months notice. 1 month rent free if not exercised.</t>
        </is>
      </c>
      <c r="AE500" s="29" t="n"/>
      <c r="AF500" s="279" t="n"/>
      <c r="AG500" s="29" t="n"/>
    </row>
    <row r="501" ht="23.25" customHeight="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(Rear)</t>
        </is>
      </c>
      <c r="G501" s="14" t="inlineStr">
        <is>
          <t>Office</t>
        </is>
      </c>
      <c r="H501" s="7" t="n">
        <v>130</v>
      </c>
      <c r="I501" s="7">
        <f>H501</f>
        <v/>
      </c>
      <c r="J501" s="7" t="n">
        <v>250</v>
      </c>
      <c r="K501" s="4" t="inlineStr">
        <is>
          <t>Face2Face Counselling Services Ltd</t>
        </is>
      </c>
      <c r="L501" s="8" t="n">
        <v>45456</v>
      </c>
      <c r="M501" s="9" t="n">
        <v>47085</v>
      </c>
      <c r="P501" s="9" t="n">
        <v>46354</v>
      </c>
      <c r="Q501" s="10" t="n">
        <v>7320</v>
      </c>
      <c r="R501" s="10">
        <f>Q501</f>
        <v/>
      </c>
      <c r="T501" s="10" t="n">
        <v>7000</v>
      </c>
      <c r="U501" s="10">
        <f>T501</f>
        <v/>
      </c>
      <c r="V501" s="27" t="n">
        <v>7360</v>
      </c>
      <c r="W501" s="10">
        <f>V501</f>
        <v/>
      </c>
      <c r="X501" s="277">
        <f>T501/H501</f>
        <v/>
      </c>
      <c r="Y501" s="10" t="inlineStr">
        <is>
          <t>D</t>
        </is>
      </c>
      <c r="Z501" s="60" t="n"/>
      <c r="AA501" s="230" t="n"/>
      <c r="AB501" s="14" t="inlineStr">
        <is>
          <t>No</t>
        </is>
      </c>
      <c r="AC501" s="4" t="inlineStr">
        <is>
          <t>Tenant break on 6 months notice.</t>
        </is>
      </c>
      <c r="AF501" s="278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Second Floor (East)</t>
        </is>
      </c>
      <c r="G502" s="39" t="inlineStr">
        <is>
          <t>Office</t>
        </is>
      </c>
      <c r="H502" s="7" t="n">
        <v>710</v>
      </c>
      <c r="I502" s="7">
        <f>H502</f>
        <v/>
      </c>
      <c r="J502" s="7" t="n">
        <v>750</v>
      </c>
      <c r="K502" s="4" t="inlineStr">
        <is>
          <t>Cihangir Group Limited.</t>
        </is>
      </c>
      <c r="L502" s="8" t="n">
        <v>45253</v>
      </c>
      <c r="M502" s="9" t="n">
        <v>46348</v>
      </c>
      <c r="Q502" s="10" t="n">
        <v>42350</v>
      </c>
      <c r="R502" s="10">
        <f>Q502</f>
        <v/>
      </c>
      <c r="T502" s="10" t="n">
        <v>38700</v>
      </c>
      <c r="U502" s="10">
        <f>T502</f>
        <v/>
      </c>
      <c r="V502" s="27" t="n">
        <v>45100</v>
      </c>
      <c r="W502" s="10">
        <f>V502</f>
        <v/>
      </c>
      <c r="X502" s="277">
        <f>T502/H502</f>
        <v/>
      </c>
      <c r="Y502" s="10" t="inlineStr">
        <is>
          <t>D</t>
        </is>
      </c>
      <c r="Z502" s="60" t="n"/>
      <c r="AA502" s="230" t="n"/>
      <c r="AB502" s="14" t="inlineStr">
        <is>
          <t>No</t>
        </is>
      </c>
      <c r="AF502" s="278" t="n"/>
    </row>
    <row r="503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(Rear)</t>
        </is>
      </c>
      <c r="G503" s="39" t="inlineStr">
        <is>
          <t>Office</t>
        </is>
      </c>
      <c r="H503" s="7" t="n">
        <v>130</v>
      </c>
      <c r="I503" s="7">
        <f>H503</f>
        <v/>
      </c>
      <c r="J503" s="7" t="n">
        <v>250</v>
      </c>
      <c r="K503" s="4" t="inlineStr">
        <is>
          <t>Face2Face Counselling Services Ltd</t>
        </is>
      </c>
      <c r="L503" s="8" t="n">
        <v>45259</v>
      </c>
      <c r="M503" s="9" t="n">
        <v>47085</v>
      </c>
      <c r="P503" s="9" t="n">
        <v>46354</v>
      </c>
      <c r="Q503" s="10" t="n">
        <v>7320</v>
      </c>
      <c r="R503" s="10">
        <f>Q503</f>
        <v/>
      </c>
      <c r="T503" s="10" t="n">
        <v>6300</v>
      </c>
      <c r="U503" s="10">
        <f>T503</f>
        <v/>
      </c>
      <c r="V503" s="27" t="n">
        <v>8700</v>
      </c>
      <c r="W503" s="10">
        <f>V503</f>
        <v/>
      </c>
      <c r="X503" s="277">
        <f>T503/H503</f>
        <v/>
      </c>
      <c r="Y503" s="10" t="inlineStr">
        <is>
          <t>D</t>
        </is>
      </c>
      <c r="Z503" s="60" t="n"/>
      <c r="AA503" s="230" t="n"/>
      <c r="AB503" s="14" t="inlineStr">
        <is>
          <t>No</t>
        </is>
      </c>
      <c r="AC503" s="4" t="inlineStr">
        <is>
          <t>Tenant break on 6 months notice.</t>
        </is>
      </c>
      <c r="AF503" s="278" t="n"/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(West)</t>
        </is>
      </c>
      <c r="G504" s="14" t="inlineStr">
        <is>
          <t>Office</t>
        </is>
      </c>
      <c r="H504" s="7" t="n">
        <v>727</v>
      </c>
      <c r="I504" s="7">
        <f>H504</f>
        <v/>
      </c>
      <c r="J504" s="7" t="n">
        <v>750</v>
      </c>
      <c r="K504" s="4" t="inlineStr">
        <is>
          <t>Vacant</t>
        </is>
      </c>
      <c r="N504" s="9" t="n">
        <v>43080</v>
      </c>
      <c r="Q504" s="10" t="n">
        <v>0</v>
      </c>
      <c r="R504" s="10">
        <f>Q504</f>
        <v/>
      </c>
      <c r="T504" s="10" t="n">
        <v>35000</v>
      </c>
      <c r="U504" s="10">
        <f>T504</f>
        <v/>
      </c>
      <c r="V504" s="27" t="n">
        <v>41800</v>
      </c>
      <c r="W504" s="10">
        <f>V504</f>
        <v/>
      </c>
      <c r="X504" s="277">
        <f>T504/H504</f>
        <v/>
      </c>
      <c r="Y504" s="10" t="inlineStr">
        <is>
          <t>D</t>
        </is>
      </c>
      <c r="Z504" s="60" t="n"/>
      <c r="AA504" s="230" t="n"/>
      <c r="AB504" s="14" t="inlineStr">
        <is>
          <t>No</t>
        </is>
      </c>
      <c r="AC504" s="4" t="inlineStr">
        <is>
          <t>To be refurbished.</t>
        </is>
      </c>
      <c r="AD504" s="303" t="n">
        <v>62.5</v>
      </c>
      <c r="AF504" s="278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Third Floor (East)</t>
        </is>
      </c>
      <c r="G505" s="14" t="inlineStr">
        <is>
          <t>Office</t>
        </is>
      </c>
      <c r="H505" s="7" t="n">
        <v>760</v>
      </c>
      <c r="I505" s="7">
        <f>H505</f>
        <v/>
      </c>
      <c r="J505" s="7" t="n">
        <v>750</v>
      </c>
      <c r="K505" s="4" t="inlineStr">
        <is>
          <t>Vacant</t>
        </is>
      </c>
      <c r="N505" s="9" t="n">
        <v>43593</v>
      </c>
      <c r="Q505" s="10" t="n">
        <v>0</v>
      </c>
      <c r="R505" s="10">
        <f>Q505</f>
        <v/>
      </c>
      <c r="T505" s="10" t="n">
        <v>40000</v>
      </c>
      <c r="U505" s="10">
        <f>T505</f>
        <v/>
      </c>
      <c r="V505" s="27" t="n">
        <v>43700</v>
      </c>
      <c r="W505" s="10">
        <f>V505</f>
        <v/>
      </c>
      <c r="X505" s="277">
        <f>T505/H505</f>
        <v/>
      </c>
      <c r="Y505" s="10" t="inlineStr">
        <is>
          <t>D</t>
        </is>
      </c>
      <c r="Z505" s="60" t="n"/>
      <c r="AA505" s="230" t="n"/>
      <c r="AB505" s="14" t="inlineStr">
        <is>
          <t>No</t>
        </is>
      </c>
      <c r="AC505" s="4" t="inlineStr">
        <is>
          <t>To be refurbished.</t>
        </is>
      </c>
      <c r="AD505" s="303" t="n">
        <v>62.5</v>
      </c>
      <c r="AE505" s="4" t="n">
        <v>2</v>
      </c>
      <c r="AF505" s="278" t="n">
        <v>3</v>
      </c>
      <c r="AG505" s="4" t="inlineStr">
        <is>
          <t>LEM</t>
        </is>
      </c>
    </row>
    <row r="506" ht="14.25" customHeight="1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(West)</t>
        </is>
      </c>
      <c r="G506" s="14" t="inlineStr">
        <is>
          <t>Office</t>
        </is>
      </c>
      <c r="H506" s="7" t="n">
        <v>666</v>
      </c>
      <c r="I506" s="7">
        <f>H506</f>
        <v/>
      </c>
      <c r="J506" s="7" t="n">
        <v>750</v>
      </c>
      <c r="K506" s="4" t="inlineStr">
        <is>
          <t>Vacant</t>
        </is>
      </c>
      <c r="N506" s="9" t="n">
        <v>42905</v>
      </c>
      <c r="Q506" s="10" t="n">
        <v>0</v>
      </c>
      <c r="R506" s="10">
        <f>Q506</f>
        <v/>
      </c>
      <c r="T506" s="10" t="n">
        <v>35000</v>
      </c>
      <c r="U506" s="10">
        <f>T506</f>
        <v/>
      </c>
      <c r="V506" s="27" t="n">
        <v>38300</v>
      </c>
      <c r="W506" s="10">
        <f>V506</f>
        <v/>
      </c>
      <c r="X506" s="277">
        <f>T506/H506</f>
        <v/>
      </c>
      <c r="Y506" s="10" t="inlineStr">
        <is>
          <t>D</t>
        </is>
      </c>
      <c r="Z506" s="60" t="n"/>
      <c r="AA506" s="230" t="n"/>
      <c r="AB506" s="14" t="inlineStr">
        <is>
          <t>No</t>
        </is>
      </c>
      <c r="AC506" s="4" t="inlineStr">
        <is>
          <t>To be refurbished.</t>
        </is>
      </c>
      <c r="AD506" s="303" t="n">
        <v>62.5</v>
      </c>
      <c r="AE506" s="4" t="n">
        <v>0</v>
      </c>
      <c r="AF506" s="278" t="n">
        <v>1</v>
      </c>
      <c r="AG506" s="4" t="inlineStr">
        <is>
          <t>LEM</t>
        </is>
      </c>
    </row>
    <row r="507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Fourth Floor (East)</t>
        </is>
      </c>
      <c r="G507" s="14" t="inlineStr">
        <is>
          <t>Office</t>
        </is>
      </c>
      <c r="H507" s="7" t="n">
        <v>767</v>
      </c>
      <c r="I507" s="7">
        <f>H507</f>
        <v/>
      </c>
      <c r="J507" s="7" t="n">
        <v>750</v>
      </c>
      <c r="K507" s="4" t="inlineStr">
        <is>
          <t>Vacant</t>
        </is>
      </c>
      <c r="N507" s="9" t="n">
        <v>45719</v>
      </c>
      <c r="Q507" s="10" t="n">
        <v>0</v>
      </c>
      <c r="R507" s="10">
        <f>Q507</f>
        <v/>
      </c>
      <c r="T507" s="10" t="n">
        <v>40000</v>
      </c>
      <c r="U507" s="10">
        <f>T507</f>
        <v/>
      </c>
      <c r="V507" s="27" t="n">
        <v>44100</v>
      </c>
      <c r="W507" s="10">
        <f>V507</f>
        <v/>
      </c>
      <c r="X507" s="277">
        <f>T507/H507</f>
        <v/>
      </c>
      <c r="Y507" s="10" t="inlineStr">
        <is>
          <t>D</t>
        </is>
      </c>
      <c r="Z507" s="60" t="n"/>
      <c r="AA507" s="230" t="n"/>
      <c r="AB507" s="14" t="inlineStr">
        <is>
          <t>No</t>
        </is>
      </c>
      <c r="AC507" s="4" t="inlineStr">
        <is>
          <t>To be refurbished.</t>
        </is>
      </c>
      <c r="AE507" s="29" t="n"/>
      <c r="AF507" s="279" t="n"/>
      <c r="AG507" s="29" t="n"/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(West)</t>
        </is>
      </c>
      <c r="G508" s="14" t="inlineStr">
        <is>
          <t>Office</t>
        </is>
      </c>
      <c r="H508" s="7" t="n">
        <v>645</v>
      </c>
      <c r="I508" s="7">
        <f>H508</f>
        <v/>
      </c>
      <c r="J508" s="7" t="n">
        <v>750</v>
      </c>
      <c r="K508" s="4" t="inlineStr">
        <is>
          <t>Vacant</t>
        </is>
      </c>
      <c r="N508" s="9" t="n">
        <v>44263</v>
      </c>
      <c r="Q508" s="10" t="n">
        <v>0</v>
      </c>
      <c r="R508" s="10">
        <f>Q508</f>
        <v/>
      </c>
      <c r="T508" s="10" t="n">
        <v>35000</v>
      </c>
      <c r="U508" s="10">
        <f>T508</f>
        <v/>
      </c>
      <c r="V508" s="27" t="n">
        <v>37100</v>
      </c>
      <c r="W508" s="10">
        <f>V508</f>
        <v/>
      </c>
      <c r="X508" s="277">
        <f>T508/H508</f>
        <v/>
      </c>
      <c r="Y508" s="10" t="inlineStr">
        <is>
          <t>D</t>
        </is>
      </c>
      <c r="Z508" s="60" t="n"/>
      <c r="AA508" s="230" t="n"/>
      <c r="AB508" s="14" t="inlineStr">
        <is>
          <t>No</t>
        </is>
      </c>
      <c r="AC508" s="4" t="inlineStr">
        <is>
          <t>To be refurbished.</t>
        </is>
      </c>
      <c r="AD508" s="303" t="n">
        <v>60</v>
      </c>
      <c r="AF508" s="278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Fifth Floor (East)</t>
        </is>
      </c>
      <c r="G509" s="14" t="inlineStr">
        <is>
          <t>Office</t>
        </is>
      </c>
      <c r="H509" s="7" t="n">
        <v>767</v>
      </c>
      <c r="I509" s="7">
        <f>H509</f>
        <v/>
      </c>
      <c r="J509" s="7" t="n">
        <v>750</v>
      </c>
      <c r="K509" s="4" t="inlineStr">
        <is>
          <t>Vacant</t>
        </is>
      </c>
      <c r="N509" s="9" t="n">
        <v>44263</v>
      </c>
      <c r="Q509" s="10" t="n">
        <v>0</v>
      </c>
      <c r="R509" s="10">
        <f>Q509</f>
        <v/>
      </c>
      <c r="T509" s="10" t="n">
        <v>40000</v>
      </c>
      <c r="U509" s="10">
        <f>T509</f>
        <v/>
      </c>
      <c r="V509" s="27" t="n">
        <v>44100</v>
      </c>
      <c r="W509" s="10">
        <f>V509</f>
        <v/>
      </c>
      <c r="X509" s="277">
        <f>T509/H509</f>
        <v/>
      </c>
      <c r="Y509" s="10" t="inlineStr">
        <is>
          <t>D</t>
        </is>
      </c>
      <c r="Z509" s="60" t="n"/>
      <c r="AA509" s="230" t="n"/>
      <c r="AB509" s="14" t="inlineStr">
        <is>
          <t>No</t>
        </is>
      </c>
      <c r="AC509" s="4" t="inlineStr">
        <is>
          <t>To be refurbished.</t>
        </is>
      </c>
      <c r="AD509" s="303" t="n">
        <v>60</v>
      </c>
      <c r="AF509" s="278" t="n"/>
    </row>
    <row r="510" ht="14.25" customHeight="1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(West)</t>
        </is>
      </c>
      <c r="G510" s="14" t="inlineStr">
        <is>
          <t>Office</t>
        </is>
      </c>
      <c r="H510" s="7" t="n">
        <v>534</v>
      </c>
      <c r="I510" s="7">
        <f>H510</f>
        <v/>
      </c>
      <c r="J510" s="7" t="n">
        <v>500</v>
      </c>
      <c r="K510" s="4" t="inlineStr">
        <is>
          <t>Vacant</t>
        </is>
      </c>
      <c r="N510" s="9" t="n">
        <v>43061</v>
      </c>
      <c r="Q510" s="10" t="n">
        <v>0</v>
      </c>
      <c r="R510" s="10">
        <f>Q510</f>
        <v/>
      </c>
      <c r="T510" s="10" t="n">
        <v>0</v>
      </c>
      <c r="U510" s="10">
        <f>T510</f>
        <v/>
      </c>
      <c r="V510" s="27" t="n">
        <v>30700</v>
      </c>
      <c r="W510" s="10">
        <f>V510</f>
        <v/>
      </c>
      <c r="X510" s="277">
        <f>T510/H510</f>
        <v/>
      </c>
      <c r="Y510" s="10" t="inlineStr">
        <is>
          <t>D</t>
        </is>
      </c>
      <c r="Z510" s="60" t="n"/>
      <c r="AA510" s="230" t="n"/>
      <c r="AB510" s="14" t="inlineStr">
        <is>
          <t>No</t>
        </is>
      </c>
      <c r="AC510" s="4" t="inlineStr">
        <is>
          <t>To be refurbished.</t>
        </is>
      </c>
      <c r="AD510" s="303" t="n">
        <v>60</v>
      </c>
      <c r="AF510" s="278" t="n"/>
    </row>
    <row r="511" ht="14.25" customHeight="1">
      <c r="A511" s="2" t="n"/>
      <c r="B511" s="11" t="n"/>
      <c r="C511" s="11" t="inlineStr">
        <is>
          <t>MEL</t>
        </is>
      </c>
      <c r="D511" s="2" t="n"/>
      <c r="E511" s="4" t="n"/>
      <c r="T511" s="10" t="n"/>
      <c r="U511" s="10">
        <f>T511</f>
        <v/>
      </c>
      <c r="V511" s="27" t="n"/>
      <c r="W511" s="10">
        <f>V511</f>
        <v/>
      </c>
      <c r="X511" s="10" t="n"/>
      <c r="Y511" s="10" t="n"/>
      <c r="Z511" s="60" t="n"/>
      <c r="AA511" s="230" t="n"/>
      <c r="AB511" s="14" t="n"/>
      <c r="AF511" s="278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F512" s="90" t="inlineStr">
        <is>
          <t>63/64 Margaret Street</t>
        </is>
      </c>
      <c r="H512" s="18">
        <f>SUM(H497:H510)</f>
        <v/>
      </c>
      <c r="I512" s="19" t="n"/>
      <c r="J512" s="19" t="n"/>
      <c r="Q512" s="18">
        <f>SUM(Q497:Q510)</f>
        <v/>
      </c>
      <c r="R512" s="18" t="n"/>
      <c r="S512" s="18">
        <f>SUM(R496:R510)</f>
        <v/>
      </c>
      <c r="T512" s="18">
        <f>SUM(T497:T510)</f>
        <v/>
      </c>
      <c r="U512" s="10" t="n"/>
      <c r="V512" s="361">
        <f>SUM(V497:V510)</f>
        <v/>
      </c>
      <c r="W512" s="10" t="n"/>
      <c r="X512" s="10" t="n"/>
      <c r="Y512" s="10" t="n"/>
      <c r="Z512" s="60" t="n"/>
      <c r="AA512" s="36" t="n">
        <v>8050000</v>
      </c>
      <c r="AB512" s="14" t="n"/>
      <c r="AE512" s="29" t="n"/>
      <c r="AF512" s="279" t="n"/>
      <c r="AG512" s="29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H513" s="18" t="n"/>
      <c r="I513" s="19" t="n"/>
      <c r="J513" s="19" t="n"/>
      <c r="Q513" s="19" t="n"/>
      <c r="R513" s="19" t="n"/>
      <c r="S513" s="19" t="n"/>
      <c r="T513" s="18" t="n"/>
      <c r="U513" s="19" t="n"/>
      <c r="V513" s="361" t="n"/>
      <c r="W513" s="19" t="n"/>
      <c r="X513" s="19" t="n"/>
      <c r="Y513" s="19" t="n"/>
      <c r="Z513" s="61" t="n"/>
      <c r="AA513" s="36" t="n"/>
      <c r="AB513" s="14" t="n"/>
      <c r="AF513" s="278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G514" s="6" t="inlineStr">
        <is>
          <t>65 Margaret Street</t>
        </is>
      </c>
      <c r="I514" s="10" t="n"/>
      <c r="J514" s="10" t="n"/>
      <c r="K514" s="30" t="n"/>
      <c r="T514" s="19" t="n"/>
      <c r="U514" s="19" t="n"/>
      <c r="V514" s="36" t="n"/>
      <c r="W514" s="19" t="n"/>
      <c r="X514" s="19" t="n"/>
      <c r="Y514" s="19" t="n"/>
      <c r="Z514" s="61" t="n"/>
      <c r="AA514" s="36" t="n"/>
      <c r="AB514" s="14" t="n"/>
      <c r="AF514" s="278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26" t="n"/>
      <c r="H515" s="24" t="n"/>
      <c r="I515" s="10" t="n"/>
      <c r="J515" s="10" t="n"/>
      <c r="K515" s="20" t="n"/>
      <c r="L515" s="21" t="n"/>
      <c r="T515" s="11" t="n"/>
      <c r="U515" s="10" t="n"/>
      <c r="W515" s="10" t="n"/>
      <c r="X515" s="10" t="n"/>
      <c r="Y515" s="10" t="n"/>
      <c r="Z515" s="60" t="n"/>
      <c r="AA515" s="36" t="n"/>
      <c r="AB515" s="14" t="n"/>
      <c r="AF515" s="278" t="n"/>
    </row>
    <row r="516" ht="23.25" customHeight="1">
      <c r="A516" s="2" t="n"/>
      <c r="B516" s="11" t="inlineStr">
        <is>
          <t>CM</t>
        </is>
      </c>
      <c r="C516" s="11" t="inlineStr">
        <is>
          <t>MEL</t>
        </is>
      </c>
      <c r="D516" s="2" t="n">
        <v>550620</v>
      </c>
      <c r="E516" s="4" t="inlineStr">
        <is>
          <t>65 Margaret Street</t>
        </is>
      </c>
      <c r="F516" s="4" t="inlineStr">
        <is>
          <t>Ground Floor &amp; Basement</t>
        </is>
      </c>
      <c r="G516" s="14" t="inlineStr">
        <is>
          <t>A1/D1</t>
        </is>
      </c>
      <c r="H516" s="7" t="n">
        <v>930</v>
      </c>
      <c r="I516" s="7">
        <f>H516</f>
        <v/>
      </c>
      <c r="J516" s="7" t="n">
        <v>1000</v>
      </c>
      <c r="K516" s="4" t="inlineStr">
        <is>
          <t>Advanced Beauty Medical Clinics Ltd</t>
        </is>
      </c>
      <c r="L516" s="8" t="n">
        <v>45588</v>
      </c>
      <c r="M516" s="9" t="n">
        <v>46132</v>
      </c>
      <c r="Q516" s="10" t="n">
        <v>46500</v>
      </c>
      <c r="R516" s="10">
        <f>Q516</f>
        <v/>
      </c>
      <c r="T516" s="10" t="n">
        <v>45350</v>
      </c>
      <c r="U516" s="10">
        <f>T516</f>
        <v/>
      </c>
      <c r="V516" s="27" t="n">
        <v>45350</v>
      </c>
      <c r="W516" s="10">
        <f>V516</f>
        <v/>
      </c>
      <c r="X516" s="277">
        <f>T516/H516</f>
        <v/>
      </c>
      <c r="Y516" s="27" t="inlineStr">
        <is>
          <t>B</t>
        </is>
      </c>
      <c r="Z516" s="60" t="n"/>
      <c r="AA516" s="36" t="n"/>
      <c r="AB516" s="14" t="inlineStr">
        <is>
          <t>No</t>
        </is>
      </c>
      <c r="AF516" s="278" t="n"/>
    </row>
    <row r="517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35" t="inlineStr">
        <is>
          <t>First Floor</t>
        </is>
      </c>
      <c r="G517" s="14" t="inlineStr">
        <is>
          <t>Office</t>
        </is>
      </c>
      <c r="H517" s="7" t="n">
        <v>360</v>
      </c>
      <c r="I517" s="7">
        <f>H517</f>
        <v/>
      </c>
      <c r="J517" s="7" t="n">
        <v>250</v>
      </c>
      <c r="K517" s="4" t="inlineStr">
        <is>
          <t>Advanced Beauty Medical Clinics Ltd</t>
        </is>
      </c>
      <c r="L517" s="8" t="n">
        <v>44307</v>
      </c>
      <c r="M517" s="9" t="n">
        <v>46132</v>
      </c>
      <c r="Q517" s="10" t="n">
        <v>18500</v>
      </c>
      <c r="R517" s="10">
        <f>Q517</f>
        <v/>
      </c>
      <c r="T517" s="10" t="n">
        <v>20200</v>
      </c>
      <c r="U517" s="10">
        <f>T517</f>
        <v/>
      </c>
      <c r="V517" s="27" t="n">
        <v>21200</v>
      </c>
      <c r="W517" s="10">
        <f>V517</f>
        <v/>
      </c>
      <c r="X517" s="277">
        <f>T517/H517</f>
        <v/>
      </c>
      <c r="Y517" s="10" t="inlineStr">
        <is>
          <t>D</t>
        </is>
      </c>
      <c r="Z517" s="60" t="n"/>
      <c r="AA517" s="36" t="n"/>
      <c r="AB517" s="14" t="inlineStr">
        <is>
          <t>No</t>
        </is>
      </c>
      <c r="AF517" s="278" t="n"/>
    </row>
    <row r="518" ht="33.75" customHeight="1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4" t="inlineStr">
        <is>
          <t>Second Floor</t>
        </is>
      </c>
      <c r="G518" s="14" t="inlineStr">
        <is>
          <t>Office</t>
        </is>
      </c>
      <c r="H518" s="7" t="n">
        <v>375</v>
      </c>
      <c r="I518" s="7">
        <f>H518</f>
        <v/>
      </c>
      <c r="J518" s="7" t="n">
        <v>500</v>
      </c>
      <c r="K518" s="29" t="inlineStr">
        <is>
          <t>Olga Mantsiou</t>
        </is>
      </c>
      <c r="L518" s="388" t="n">
        <v>45891</v>
      </c>
      <c r="M518" s="387" t="n">
        <v>46986</v>
      </c>
      <c r="N518" s="387" t="n"/>
      <c r="O518" s="387" t="n"/>
      <c r="P518" s="387" t="n">
        <v>46440</v>
      </c>
      <c r="Q518" s="27" t="n">
        <v>0</v>
      </c>
      <c r="R518" s="10">
        <f>Q518</f>
        <v/>
      </c>
      <c r="T518" s="10" t="n">
        <v>21000</v>
      </c>
      <c r="U518" s="10">
        <f>T518</f>
        <v/>
      </c>
      <c r="V518" s="27" t="n">
        <v>22100</v>
      </c>
      <c r="W518" s="10">
        <f>V518</f>
        <v/>
      </c>
      <c r="X518" s="277">
        <f>T518/H518</f>
        <v/>
      </c>
      <c r="Y518" s="10" t="inlineStr">
        <is>
          <t>D</t>
        </is>
      </c>
      <c r="Z518" s="60" t="n"/>
      <c r="AA518" s="36" t="n"/>
      <c r="AB518" s="14" t="inlineStr">
        <is>
          <t>No</t>
        </is>
      </c>
      <c r="AC518" s="29" t="inlineStr">
        <is>
          <t>New letting completed. Rent £18,529 wef 22/09/25. Fixed increase to £18,667 wef 22/02/27. Tenant break on 6 months notice. 2 months rent free if not exercised.</t>
        </is>
      </c>
      <c r="AF518" s="278" t="n"/>
    </row>
    <row r="519" ht="23.25" customHeight="1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Third Floor</t>
        </is>
      </c>
      <c r="G519" s="14" t="inlineStr">
        <is>
          <t>Office</t>
        </is>
      </c>
      <c r="H519" s="7" t="n">
        <v>350</v>
      </c>
      <c r="I519" s="7">
        <f>H519</f>
        <v/>
      </c>
      <c r="J519" s="7" t="n">
        <v>500</v>
      </c>
      <c r="K519" s="4" t="inlineStr">
        <is>
          <t>Leap Productions Limited</t>
        </is>
      </c>
      <c r="L519" s="8" t="n">
        <v>44974</v>
      </c>
      <c r="M519" s="9" t="n">
        <v>46799</v>
      </c>
      <c r="P519" s="9" t="n">
        <v>46069</v>
      </c>
      <c r="Q519" s="10" t="n">
        <v>19600</v>
      </c>
      <c r="R519" s="10">
        <f>Q519</f>
        <v/>
      </c>
      <c r="T519" s="10" t="n">
        <v>19600</v>
      </c>
      <c r="U519" s="10">
        <f>T519</f>
        <v/>
      </c>
      <c r="V519" s="27" t="n">
        <v>20700</v>
      </c>
      <c r="W519" s="10">
        <f>V519</f>
        <v/>
      </c>
      <c r="X519" s="277">
        <f>T519/H519</f>
        <v/>
      </c>
      <c r="Y519" s="10" t="inlineStr">
        <is>
          <t>D</t>
        </is>
      </c>
      <c r="Z519" s="60" t="n"/>
      <c r="AA519" s="36" t="n"/>
      <c r="AB519" s="14" t="inlineStr">
        <is>
          <t>No</t>
        </is>
      </c>
      <c r="AC519" s="4" t="inlineStr">
        <is>
          <t>Tenant break on 6 months notice.</t>
        </is>
      </c>
      <c r="AF519" s="278" t="n"/>
    </row>
    <row r="520" ht="22.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Fourth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Philips Lockhart Ltd.</t>
        </is>
      </c>
      <c r="L520" s="8" t="n">
        <v>45359</v>
      </c>
      <c r="M520" s="9" t="n">
        <v>46453</v>
      </c>
      <c r="P520" s="9" t="n">
        <v>45907</v>
      </c>
      <c r="Q520" s="10" t="n">
        <v>19600</v>
      </c>
      <c r="R520" s="10">
        <f>Q520</f>
        <v/>
      </c>
      <c r="T520" s="10" t="n">
        <v>17500</v>
      </c>
      <c r="U520" s="10">
        <f>T520</f>
        <v/>
      </c>
      <c r="V520" s="27" t="n">
        <v>20000</v>
      </c>
      <c r="W520" s="10">
        <f>V520</f>
        <v/>
      </c>
      <c r="X520" s="277">
        <f>T520/H520</f>
        <v/>
      </c>
      <c r="Y520" s="10" t="inlineStr">
        <is>
          <t>D</t>
        </is>
      </c>
      <c r="Z520" s="60" t="n"/>
      <c r="AA520" s="36" t="n"/>
      <c r="AB520" s="14" t="inlineStr">
        <is>
          <t>No</t>
        </is>
      </c>
      <c r="AC520" s="4" t="inlineStr">
        <is>
          <t>Tenant break on 6 months notice. 2 months rent free at 08/09/25 if break not exercised.</t>
        </is>
      </c>
      <c r="AF520" s="278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Fifth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Mercury Creations Limited</t>
        </is>
      </c>
      <c r="L521" s="8" t="n">
        <v>45744</v>
      </c>
      <c r="M521" s="9" t="n">
        <v>47569</v>
      </c>
      <c r="P521" s="9" t="n">
        <v>46839</v>
      </c>
      <c r="Q521" s="10" t="n">
        <v>19950</v>
      </c>
      <c r="R521" s="10">
        <f>Q521</f>
        <v/>
      </c>
      <c r="T521" s="10" t="n">
        <v>17500</v>
      </c>
      <c r="U521" s="10">
        <f>T521</f>
        <v/>
      </c>
      <c r="V521" s="27" t="n">
        <v>20300</v>
      </c>
      <c r="W521" s="10">
        <f>V521</f>
        <v/>
      </c>
      <c r="X521" s="277">
        <f>T521/H521</f>
        <v/>
      </c>
      <c r="Y521" s="10" t="inlineStr">
        <is>
          <t>D</t>
        </is>
      </c>
      <c r="Z521" s="60" t="n"/>
      <c r="AA521" s="36" t="n"/>
      <c r="AB521" s="14" t="inlineStr">
        <is>
          <t>No</t>
        </is>
      </c>
      <c r="AC521" s="4" t="inlineStr">
        <is>
          <t>Tenant break on 6 months notice. 2 months rent free if not exercised.</t>
        </is>
      </c>
      <c r="AE521" s="4" t="n">
        <v>1</v>
      </c>
      <c r="AF521" s="278" t="n">
        <v>3</v>
      </c>
      <c r="AG521" s="4" t="inlineStr">
        <is>
          <t>LEM</t>
        </is>
      </c>
    </row>
    <row r="522" ht="14.25" customHeight="1">
      <c r="A522" s="2" t="n"/>
      <c r="B522" s="11" t="n"/>
      <c r="C522" s="11" t="inlineStr">
        <is>
          <t>MEL</t>
        </is>
      </c>
      <c r="D522" s="2" t="n"/>
      <c r="E522" s="4" t="n"/>
      <c r="I522" s="10" t="n"/>
      <c r="J522" s="10" t="n"/>
      <c r="T522" s="10" t="n"/>
      <c r="U522" s="10">
        <f>T522</f>
        <v/>
      </c>
      <c r="V522" s="27" t="n"/>
      <c r="W522" s="10">
        <f>V522</f>
        <v/>
      </c>
      <c r="X522" s="10" t="n"/>
      <c r="Y522" s="10" t="n"/>
      <c r="Z522" s="60" t="n"/>
      <c r="AA522" s="36" t="n"/>
      <c r="AB522" s="14" t="n"/>
      <c r="AF522" s="278" t="n"/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F523" s="90" t="inlineStr">
        <is>
          <t>65 Margaret Street</t>
        </is>
      </c>
      <c r="H523" s="18">
        <f>SUM(H516:H521)</f>
        <v/>
      </c>
      <c r="I523" s="19" t="n"/>
      <c r="J523" s="19" t="n"/>
      <c r="Q523" s="19">
        <f>SUM(Q516:Q521)</f>
        <v/>
      </c>
      <c r="R523" s="19" t="n"/>
      <c r="S523" s="19">
        <f>SUM(R516:R521)</f>
        <v/>
      </c>
      <c r="T523" s="19">
        <f>SUM(T516:T521)</f>
        <v/>
      </c>
      <c r="U523" s="10" t="n"/>
      <c r="V523" s="36">
        <f>SUM(V516:V521)</f>
        <v/>
      </c>
      <c r="W523" s="10" t="n"/>
      <c r="X523" s="10" t="n"/>
      <c r="Y523" s="10" t="n"/>
      <c r="Z523" s="60" t="n"/>
      <c r="AA523" s="36" t="n">
        <v>2100000</v>
      </c>
      <c r="AB523" s="14" t="n"/>
      <c r="AE523" s="29" t="n"/>
      <c r="AF523" s="279" t="n"/>
      <c r="AG523" s="29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I524" s="10" t="n"/>
      <c r="J524" s="10" t="n"/>
      <c r="T524" s="10" t="n"/>
      <c r="U524" s="10" t="n"/>
      <c r="V524" s="27" t="n"/>
      <c r="W524" s="10" t="n"/>
      <c r="X524" s="10" t="n"/>
      <c r="Y524" s="10" t="n"/>
      <c r="Z524" s="60" t="n"/>
      <c r="AA524" s="230" t="n"/>
      <c r="AB524" s="14" t="n"/>
      <c r="AF524" s="278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G525" s="6" t="inlineStr">
        <is>
          <t>75-77 Margaret Street</t>
        </is>
      </c>
      <c r="I525" s="10" t="n"/>
      <c r="J525" s="10" t="n"/>
      <c r="K525" s="30" t="n"/>
      <c r="T525" s="11" t="n"/>
      <c r="U525" s="10" t="n"/>
      <c r="W525" s="10" t="n"/>
      <c r="X525" s="10" t="n"/>
      <c r="Y525" s="10" t="n"/>
      <c r="Z525" s="60" t="n"/>
      <c r="AA525" s="230" t="n"/>
      <c r="AB525" s="14" t="n"/>
      <c r="AF525" s="278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I526" s="10" t="n"/>
      <c r="J526" s="10" t="n"/>
      <c r="T526" s="10" t="n"/>
      <c r="U526" s="10" t="n"/>
      <c r="V526" s="27" t="n"/>
      <c r="W526" s="10" t="n"/>
      <c r="X526" s="10" t="n"/>
      <c r="Y526" s="10" t="n"/>
      <c r="Z526" s="60" t="n"/>
      <c r="AA526" s="230" t="n"/>
      <c r="AB526" s="14" t="n"/>
      <c r="AF526" s="278" t="n"/>
    </row>
    <row r="527" ht="23.25" customHeight="1">
      <c r="A527" s="2" t="n"/>
      <c r="B527" s="11" t="inlineStr">
        <is>
          <t>CD</t>
        </is>
      </c>
      <c r="C527" s="11" t="inlineStr">
        <is>
          <t>MEL</t>
        </is>
      </c>
      <c r="D527" s="2" t="n">
        <v>550640</v>
      </c>
      <c r="E527" s="4" t="inlineStr">
        <is>
          <t>75-77 Margaret Street</t>
        </is>
      </c>
      <c r="F527" s="4" t="inlineStr">
        <is>
          <t>Sub-Basement</t>
        </is>
      </c>
      <c r="G527" s="14" t="inlineStr">
        <is>
          <t>Office</t>
        </is>
      </c>
      <c r="H527" s="7" t="n">
        <v>3760</v>
      </c>
      <c r="I527" s="7">
        <f>H527</f>
        <v/>
      </c>
      <c r="J527" s="7" t="n">
        <v>2750</v>
      </c>
      <c r="K527" s="4" t="inlineStr">
        <is>
          <t>M&amp;C Saatchi World Services Ltd.</t>
        </is>
      </c>
      <c r="L527" s="8" t="n">
        <v>44769</v>
      </c>
      <c r="M527" s="9" t="n">
        <v>46594</v>
      </c>
      <c r="Q527" s="10" t="n">
        <v>95000</v>
      </c>
      <c r="R527" s="10">
        <f>Q527</f>
        <v/>
      </c>
      <c r="T527" s="10" t="n">
        <v>95000</v>
      </c>
      <c r="U527" s="10">
        <f>T527</f>
        <v/>
      </c>
      <c r="V527" s="27" t="n">
        <v>95000</v>
      </c>
      <c r="W527" s="10">
        <f>V527</f>
        <v/>
      </c>
      <c r="X527" s="277">
        <f>T527/H527</f>
        <v/>
      </c>
      <c r="Y527" s="10" t="inlineStr">
        <is>
          <t>E</t>
        </is>
      </c>
      <c r="Z527" s="60" t="n"/>
      <c r="AA527" s="230" t="n"/>
      <c r="AB527" s="14" t="inlineStr">
        <is>
          <t>No</t>
        </is>
      </c>
      <c r="AF527" s="278" t="n"/>
    </row>
    <row r="528" ht="22.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Lower Ground Floor</t>
        </is>
      </c>
      <c r="G528" s="14" t="inlineStr">
        <is>
          <t>Retail / Showroom</t>
        </is>
      </c>
      <c r="H528" s="7" t="n">
        <v>7994</v>
      </c>
      <c r="I528" s="7">
        <f>H528</f>
        <v/>
      </c>
      <c r="J528" s="7" t="n">
        <v>8000</v>
      </c>
      <c r="K528" s="4" t="inlineStr">
        <is>
          <t>EDC2 Ltd.</t>
        </is>
      </c>
      <c r="L528" s="8" t="n">
        <v>45417</v>
      </c>
      <c r="M528" s="9" t="n">
        <v>49068</v>
      </c>
      <c r="O528" s="9" t="n">
        <v>47243</v>
      </c>
      <c r="P528" s="9" t="n">
        <v>47242</v>
      </c>
      <c r="Q528" s="10" t="n">
        <v>424275</v>
      </c>
      <c r="R528" s="10">
        <f>Q528</f>
        <v/>
      </c>
      <c r="T528" s="10" t="n">
        <v>379100</v>
      </c>
      <c r="U528" s="10">
        <f>T528</f>
        <v/>
      </c>
      <c r="V528" s="27" t="n">
        <v>424275</v>
      </c>
      <c r="W528" s="10">
        <f>V528</f>
        <v/>
      </c>
      <c r="X528" s="277">
        <f>T528/H528</f>
        <v/>
      </c>
      <c r="Y528" s="10" t="inlineStr">
        <is>
          <t>B</t>
        </is>
      </c>
      <c r="Z528" s="60" t="n"/>
      <c r="AA528" s="230" t="n"/>
      <c r="AB528" s="14" t="inlineStr">
        <is>
          <t>No</t>
        </is>
      </c>
      <c r="AC528" s="4" t="inlineStr">
        <is>
          <t>Tenant break on 6 months notice. Half rent for 1year from 05/05/29 if break not exercised. Penalty clause of £106k if exercised.</t>
        </is>
      </c>
      <c r="AF528" s="278" t="n"/>
    </row>
    <row r="529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First Floor (Front)</t>
        </is>
      </c>
      <c r="G529" s="14" t="inlineStr">
        <is>
          <t>Office</t>
        </is>
      </c>
      <c r="H529" s="7" t="n">
        <v>2106</v>
      </c>
      <c r="I529" s="7">
        <f>H529</f>
        <v/>
      </c>
      <c r="J529" s="7" t="n">
        <v>2000</v>
      </c>
      <c r="K529" s="4" t="inlineStr">
        <is>
          <t>Maxguard Limited</t>
        </is>
      </c>
      <c r="L529" s="8" t="n">
        <v>44317</v>
      </c>
      <c r="M529" s="9" t="n">
        <v>46142</v>
      </c>
      <c r="Q529" s="10" t="n">
        <v>115500</v>
      </c>
      <c r="R529" s="10">
        <f>Q529</f>
        <v/>
      </c>
      <c r="T529" s="10" t="n">
        <v>120700</v>
      </c>
      <c r="U529" s="10">
        <f>T529</f>
        <v/>
      </c>
      <c r="V529" s="27" t="n">
        <v>133700</v>
      </c>
      <c r="W529" s="10">
        <f>V529</f>
        <v/>
      </c>
      <c r="X529" s="277">
        <f>T529/H529</f>
        <v/>
      </c>
      <c r="Y529" s="10" t="inlineStr">
        <is>
          <t>D</t>
        </is>
      </c>
      <c r="Z529" s="60" t="n"/>
      <c r="AA529" s="230" t="n"/>
      <c r="AB529" s="14" t="inlineStr">
        <is>
          <t>No</t>
        </is>
      </c>
      <c r="AF529" s="278" t="n"/>
    </row>
    <row r="530" ht="14.25" customHeight="1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(Rear)</t>
        </is>
      </c>
      <c r="G530" s="14" t="inlineStr">
        <is>
          <t>Office</t>
        </is>
      </c>
      <c r="H530" s="7" t="n">
        <v>1218</v>
      </c>
      <c r="I530" s="7">
        <f>H530</f>
        <v/>
      </c>
      <c r="J530" s="7" t="n">
        <v>1250</v>
      </c>
      <c r="K530" s="4" t="inlineStr">
        <is>
          <t>Vacant</t>
        </is>
      </c>
      <c r="N530" s="9" t="n">
        <v>42705</v>
      </c>
      <c r="Q530" s="10" t="n">
        <v>0</v>
      </c>
      <c r="R530" s="10">
        <f>Q530</f>
        <v/>
      </c>
      <c r="T530" s="10" t="n">
        <v>61500</v>
      </c>
      <c r="U530" s="10">
        <f>T530</f>
        <v/>
      </c>
      <c r="V530" s="27" t="n">
        <v>67000</v>
      </c>
      <c r="W530" s="10">
        <f>V530</f>
        <v/>
      </c>
      <c r="X530" s="277">
        <f>T530/H530</f>
        <v/>
      </c>
      <c r="Y530" s="10" t="inlineStr">
        <is>
          <t>D</t>
        </is>
      </c>
      <c r="Z530" s="60" t="n"/>
      <c r="AA530" s="230" t="n"/>
      <c r="AB530" s="14" t="inlineStr">
        <is>
          <t>No</t>
        </is>
      </c>
      <c r="AC530" s="4" t="inlineStr">
        <is>
          <t>To be refurbished.</t>
        </is>
      </c>
      <c r="AD530" s="303" t="n">
        <v>62.5</v>
      </c>
      <c r="AF530" s="278" t="n"/>
    </row>
    <row r="53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Second Floor (Front)</t>
        </is>
      </c>
      <c r="G531" s="14" t="inlineStr">
        <is>
          <t>Office</t>
        </is>
      </c>
      <c r="H531" s="7" t="n">
        <v>2256</v>
      </c>
      <c r="I531" s="7">
        <f>H531</f>
        <v/>
      </c>
      <c r="J531" s="7" t="n">
        <v>2250</v>
      </c>
      <c r="K531" s="4" t="inlineStr">
        <is>
          <t>Vacant</t>
        </is>
      </c>
      <c r="N531" s="9" t="n">
        <v>44782</v>
      </c>
      <c r="Q531" s="10" t="n">
        <v>0</v>
      </c>
      <c r="R531" s="10">
        <f>Q531</f>
        <v/>
      </c>
      <c r="T531" s="10" t="n">
        <v>129200</v>
      </c>
      <c r="U531" s="10">
        <f>T531</f>
        <v/>
      </c>
      <c r="V531" s="27" t="n">
        <v>135400</v>
      </c>
      <c r="W531" s="10">
        <f>V531</f>
        <v/>
      </c>
      <c r="X531" s="277">
        <f>T531/H531</f>
        <v/>
      </c>
      <c r="Y531" s="10" t="inlineStr">
        <is>
          <t>D</t>
        </is>
      </c>
      <c r="Z531" s="60" t="n"/>
      <c r="AA531" s="230" t="n"/>
      <c r="AB531" s="14" t="inlineStr">
        <is>
          <t>No</t>
        </is>
      </c>
      <c r="AC531" s="4" t="inlineStr">
        <is>
          <t>To be refurbished.</t>
        </is>
      </c>
      <c r="AD531" s="303" t="n">
        <v>62.5</v>
      </c>
      <c r="AE531" s="4" t="n">
        <v>1</v>
      </c>
      <c r="AF531" s="278" t="n">
        <v>1</v>
      </c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(Rear)</t>
        </is>
      </c>
      <c r="G532" s="14" t="inlineStr">
        <is>
          <t>Office</t>
        </is>
      </c>
      <c r="H532" s="7" t="n">
        <v>1218</v>
      </c>
      <c r="I532" s="7">
        <f>H532</f>
        <v/>
      </c>
      <c r="J532" s="7" t="n">
        <v>1250</v>
      </c>
      <c r="K532" s="4" t="inlineStr">
        <is>
          <t>Vacant</t>
        </is>
      </c>
      <c r="N532" s="9" t="n">
        <v>42513</v>
      </c>
      <c r="Q532" s="10" t="n">
        <v>0</v>
      </c>
      <c r="R532" s="10">
        <f>Q532</f>
        <v/>
      </c>
      <c r="T532" s="10" t="n">
        <v>59700</v>
      </c>
      <c r="U532" s="10">
        <f>T532</f>
        <v/>
      </c>
      <c r="V532" s="27" t="n">
        <v>67000</v>
      </c>
      <c r="W532" s="10">
        <f>V532</f>
        <v/>
      </c>
      <c r="X532" s="277">
        <f>T532/H532</f>
        <v/>
      </c>
      <c r="Y532" s="10" t="inlineStr">
        <is>
          <t>E</t>
        </is>
      </c>
      <c r="Z532" s="60" t="n"/>
      <c r="AA532" s="230" t="n"/>
      <c r="AB532" s="14" t="inlineStr">
        <is>
          <t>No</t>
        </is>
      </c>
      <c r="AC532" s="4" t="inlineStr">
        <is>
          <t>To be refurbished.</t>
        </is>
      </c>
      <c r="AD532" s="303" t="n">
        <v>62.5</v>
      </c>
      <c r="AF532" s="278" t="n"/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Third Floor</t>
        </is>
      </c>
      <c r="G533" s="14" t="inlineStr">
        <is>
          <t>Office</t>
        </is>
      </c>
      <c r="H533" s="7" t="n">
        <v>2194</v>
      </c>
      <c r="I533" s="7">
        <f>H533</f>
        <v/>
      </c>
      <c r="J533" s="7" t="n">
        <v>2000</v>
      </c>
      <c r="K533" s="4" t="inlineStr">
        <is>
          <t>Major League Baseball Europe Ltd.</t>
        </is>
      </c>
      <c r="L533" s="8" t="n">
        <v>45082</v>
      </c>
      <c r="M533" s="9" t="n">
        <v>46908</v>
      </c>
      <c r="P533" s="9" t="n">
        <v>46177</v>
      </c>
      <c r="Q533" s="10" t="n">
        <v>130980</v>
      </c>
      <c r="R533" s="10">
        <f>Q533</f>
        <v/>
      </c>
      <c r="T533" s="10" t="n">
        <v>122200</v>
      </c>
      <c r="U533" s="10">
        <f>T533</f>
        <v/>
      </c>
      <c r="V533" s="27" t="n">
        <v>134900</v>
      </c>
      <c r="W533" s="10">
        <f>V533</f>
        <v/>
      </c>
      <c r="X533" s="277">
        <f>T533/H533</f>
        <v/>
      </c>
      <c r="Y533" s="10" t="inlineStr">
        <is>
          <t>C</t>
        </is>
      </c>
      <c r="Z533" s="60" t="n"/>
      <c r="AA533" s="230" t="n"/>
      <c r="AB533" s="14" t="inlineStr">
        <is>
          <t>No</t>
        </is>
      </c>
      <c r="AC533" s="4" t="inlineStr">
        <is>
          <t>Tenant break on 6 months notice.</t>
        </is>
      </c>
      <c r="AE533" s="29" t="n"/>
      <c r="AF533" s="279" t="n"/>
      <c r="AG533" s="29" t="n"/>
    </row>
    <row r="534" ht="21" customHeight="1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Fourth Floor</t>
        </is>
      </c>
      <c r="G534" s="14" t="inlineStr">
        <is>
          <t>Office</t>
        </is>
      </c>
      <c r="H534" s="7" t="n">
        <v>2080</v>
      </c>
      <c r="I534" s="7">
        <f>H534</f>
        <v/>
      </c>
      <c r="J534" s="7" t="n">
        <v>2000</v>
      </c>
      <c r="K534" s="4" t="inlineStr">
        <is>
          <t>Vacant</t>
        </is>
      </c>
      <c r="N534" s="9" t="n">
        <v>44647</v>
      </c>
      <c r="Q534" s="10" t="n">
        <v>0</v>
      </c>
      <c r="R534" s="10">
        <f>Q534</f>
        <v/>
      </c>
      <c r="T534" s="10" t="n">
        <v>117900</v>
      </c>
      <c r="U534" s="10">
        <f>T534</f>
        <v/>
      </c>
      <c r="V534" s="27" t="n">
        <v>127900</v>
      </c>
      <c r="W534" s="10">
        <f>V534</f>
        <v/>
      </c>
      <c r="X534" s="277">
        <f>T534/H534</f>
        <v/>
      </c>
      <c r="Y534" s="10" t="inlineStr">
        <is>
          <t>D</t>
        </is>
      </c>
      <c r="Z534" s="60" t="n"/>
      <c r="AA534" s="230" t="n"/>
      <c r="AB534" s="14" t="inlineStr">
        <is>
          <t>No</t>
        </is>
      </c>
      <c r="AC534" s="4" t="inlineStr">
        <is>
          <t>To be refurbished.</t>
        </is>
      </c>
      <c r="AD534" s="303" t="n">
        <v>63</v>
      </c>
      <c r="AE534" s="4" t="n">
        <v>1</v>
      </c>
      <c r="AF534" s="278" t="n">
        <v>4</v>
      </c>
      <c r="AG534" s="4" t="inlineStr">
        <is>
          <t>LEM / LDG</t>
        </is>
      </c>
    </row>
    <row r="535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Fifth Floor</t>
        </is>
      </c>
      <c r="G535" s="14" t="inlineStr">
        <is>
          <t>Office</t>
        </is>
      </c>
      <c r="H535" s="7" t="n">
        <v>1713</v>
      </c>
      <c r="I535" s="7">
        <f>H535</f>
        <v/>
      </c>
      <c r="J535" s="7" t="n">
        <v>1750</v>
      </c>
      <c r="K535" s="4" t="inlineStr">
        <is>
          <t>Vacant</t>
        </is>
      </c>
      <c r="N535" s="9" t="n">
        <v>45195</v>
      </c>
      <c r="Q535" s="10" t="n">
        <v>0</v>
      </c>
      <c r="R535" s="10">
        <f>Q535</f>
        <v/>
      </c>
      <c r="T535" s="10" t="n">
        <v>94300</v>
      </c>
      <c r="U535" s="10">
        <f>T535</f>
        <v/>
      </c>
      <c r="V535" s="27" t="n">
        <v>105300</v>
      </c>
      <c r="W535" s="10">
        <f>V535</f>
        <v/>
      </c>
      <c r="X535" s="277">
        <f>T535/H535</f>
        <v/>
      </c>
      <c r="Y535" s="10" t="inlineStr">
        <is>
          <t>E</t>
        </is>
      </c>
      <c r="Z535" s="60" t="n"/>
      <c r="AA535" s="230" t="n"/>
      <c r="AB535" s="14" t="inlineStr">
        <is>
          <t>No</t>
        </is>
      </c>
      <c r="AC535" s="4" t="inlineStr">
        <is>
          <t>To be refurbished.</t>
        </is>
      </c>
      <c r="AD535" s="303" t="n">
        <v>65</v>
      </c>
      <c r="AE535" s="4" t="n">
        <v>1</v>
      </c>
      <c r="AF535" s="278" t="n">
        <v>1</v>
      </c>
    </row>
    <row r="536" ht="14.25" customHeight="1">
      <c r="A536" s="2" t="n"/>
      <c r="B536" s="11" t="n"/>
      <c r="C536" s="11" t="inlineStr">
        <is>
          <t>MEL</t>
        </is>
      </c>
      <c r="D536" s="2" t="n"/>
      <c r="E536" s="4" t="n"/>
      <c r="I536" s="10" t="n"/>
      <c r="J536" s="10" t="n"/>
      <c r="T536" s="10" t="n"/>
      <c r="U536" s="10" t="n"/>
      <c r="V536" s="27" t="n"/>
      <c r="W536" s="10" t="n"/>
      <c r="X536" s="10" t="n"/>
      <c r="Y536" s="10" t="n"/>
      <c r="Z536" s="60" t="n"/>
      <c r="AA536" s="230" t="n"/>
      <c r="AB536" s="14" t="n"/>
      <c r="AF536" s="278" t="n"/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F537" s="90" t="inlineStr">
        <is>
          <t>75/77 Margaret Street</t>
        </is>
      </c>
      <c r="H537" s="18">
        <f>SUM(H527:H535)</f>
        <v/>
      </c>
      <c r="I537" s="19" t="n"/>
      <c r="J537" s="19" t="n"/>
      <c r="Q537" s="19">
        <f>SUM(Q527:Q535)</f>
        <v/>
      </c>
      <c r="R537" s="19" t="n"/>
      <c r="S537" s="19">
        <f>SUM(R525:R536)</f>
        <v/>
      </c>
      <c r="T537" s="19">
        <f>SUM(T527:T535)</f>
        <v/>
      </c>
      <c r="U537" s="19" t="n"/>
      <c r="V537" s="36">
        <f>SUM(V527:V535)</f>
        <v/>
      </c>
      <c r="W537" s="19" t="n"/>
      <c r="X537" s="19" t="n"/>
      <c r="Y537" s="19" t="n"/>
      <c r="Z537" s="61" t="n"/>
      <c r="AA537" s="36" t="n">
        <v>16875000</v>
      </c>
      <c r="AB537" s="14" t="n"/>
      <c r="AE537" s="29" t="n"/>
      <c r="AF537" s="279" t="n"/>
      <c r="AG537" s="29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I538" s="10" t="n"/>
      <c r="J538" s="10" t="n"/>
      <c r="T538" s="10" t="n"/>
      <c r="U538" s="10" t="n"/>
      <c r="V538" s="27" t="n"/>
      <c r="W538" s="10" t="n"/>
      <c r="X538" s="10" t="n"/>
      <c r="Y538" s="10" t="n"/>
      <c r="Z538" s="60" t="n"/>
      <c r="AA538" s="36" t="n"/>
      <c r="AB538" s="14" t="n"/>
      <c r="AF538" s="278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G539" s="6" t="inlineStr">
        <is>
          <t>Sackville House - 78 Margaret Street</t>
        </is>
      </c>
      <c r="I539" s="10" t="n"/>
      <c r="J539" s="10" t="n"/>
      <c r="K539" s="30" t="n"/>
      <c r="T539" s="11" t="n"/>
      <c r="U539" s="10" t="n"/>
      <c r="W539" s="10" t="n"/>
      <c r="X539" s="10" t="n"/>
      <c r="Y539" s="10" t="n"/>
      <c r="Z539" s="60" t="n"/>
      <c r="AA539" s="36" t="n"/>
      <c r="AB539" s="14" t="n"/>
      <c r="AF539" s="278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n"/>
      <c r="H540" s="24" t="n"/>
      <c r="I540" s="10" t="n"/>
      <c r="J540" s="10" t="n"/>
      <c r="T540" s="10" t="n"/>
      <c r="U540" s="10" t="n"/>
      <c r="V540" s="27" t="n"/>
      <c r="W540" s="10" t="n"/>
      <c r="X540" s="10" t="n"/>
      <c r="Y540" s="10" t="n"/>
      <c r="Z540" s="60" t="n"/>
      <c r="AA540" s="36" t="n"/>
      <c r="AB540" s="14" t="n"/>
      <c r="AF540" s="278" t="n"/>
    </row>
    <row r="541">
      <c r="A541" s="2" t="n"/>
      <c r="B541" s="11" t="inlineStr">
        <is>
          <t>JM</t>
        </is>
      </c>
      <c r="C541" s="11" t="inlineStr">
        <is>
          <t>MEL</t>
        </is>
      </c>
      <c r="D541" s="2" t="n">
        <v>550630</v>
      </c>
      <c r="E541" s="4" t="inlineStr">
        <is>
          <t>Sackville House - 78 Margaret Street</t>
        </is>
      </c>
      <c r="F541" s="4" t="inlineStr">
        <is>
          <t>Basement</t>
        </is>
      </c>
      <c r="G541" s="14" t="inlineStr">
        <is>
          <t>Storage</t>
        </is>
      </c>
      <c r="H541" s="7" t="n">
        <v>927</v>
      </c>
      <c r="I541" s="7">
        <f>H541</f>
        <v/>
      </c>
      <c r="J541" s="7" t="n">
        <v>1000</v>
      </c>
      <c r="K541" s="4" t="inlineStr">
        <is>
          <t>Vacant</t>
        </is>
      </c>
      <c r="L541" s="4" t="n"/>
      <c r="M541" s="4" t="n"/>
      <c r="N541" s="9" t="n">
        <v>45785</v>
      </c>
      <c r="Q541" s="10" t="n">
        <v>0</v>
      </c>
      <c r="R541" s="10">
        <f>Q541</f>
        <v/>
      </c>
      <c r="T541" s="10" t="n">
        <v>13900</v>
      </c>
      <c r="U541" s="10">
        <f>T541</f>
        <v/>
      </c>
      <c r="V541" s="27" t="n">
        <v>18500</v>
      </c>
      <c r="W541" s="10">
        <f>V541</f>
        <v/>
      </c>
      <c r="X541" s="277">
        <f>T541/H541</f>
        <v/>
      </c>
      <c r="Y541" s="10" t="inlineStr">
        <is>
          <t>D</t>
        </is>
      </c>
      <c r="Z541" s="60" t="n"/>
      <c r="AA541" s="36" t="n"/>
      <c r="AB541" s="14" t="inlineStr">
        <is>
          <t>No</t>
        </is>
      </c>
      <c r="AC541" s="4" t="inlineStr">
        <is>
          <t>Mothballed.</t>
        </is>
      </c>
      <c r="AE541" s="29" t="n"/>
      <c r="AF541" s="279" t="n"/>
      <c r="AG541" s="29" t="n"/>
    </row>
    <row r="542" ht="14.25" customHeight="1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35" t="inlineStr">
        <is>
          <t>Ground</t>
        </is>
      </c>
      <c r="G542" s="14" t="inlineStr">
        <is>
          <t>Office</t>
        </is>
      </c>
      <c r="H542" s="7" t="n">
        <v>1010</v>
      </c>
      <c r="I542" s="7">
        <f>H542</f>
        <v/>
      </c>
      <c r="J542" s="7" t="n">
        <v>1000</v>
      </c>
      <c r="K542" s="4" t="inlineStr">
        <is>
          <t>Vacant</t>
        </is>
      </c>
      <c r="N542" s="9" t="n">
        <v>42794</v>
      </c>
      <c r="Q542" s="10" t="n">
        <v>0</v>
      </c>
      <c r="R542" s="10">
        <f>Q542</f>
        <v/>
      </c>
      <c r="T542" s="10" t="n">
        <v>55600</v>
      </c>
      <c r="U542" s="10">
        <f>T542</f>
        <v/>
      </c>
      <c r="V542" s="27" t="n">
        <v>60600</v>
      </c>
      <c r="W542" s="10">
        <f>V542</f>
        <v/>
      </c>
      <c r="X542" s="277">
        <f>T542/H542</f>
        <v/>
      </c>
      <c r="Y542" s="10" t="inlineStr">
        <is>
          <t>D</t>
        </is>
      </c>
      <c r="Z542" s="60" t="n"/>
      <c r="AA542" s="36" t="n"/>
      <c r="AB542" s="14" t="inlineStr">
        <is>
          <t>No</t>
        </is>
      </c>
      <c r="AC542" s="4" t="inlineStr">
        <is>
          <t>Mothballed.</t>
        </is>
      </c>
      <c r="AE542" s="29" t="n"/>
      <c r="AF542" s="279" t="n"/>
      <c r="AG542" s="29" t="n"/>
    </row>
    <row r="543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4" t="inlineStr">
        <is>
          <t>First Floor</t>
        </is>
      </c>
      <c r="G543" s="14" t="inlineStr">
        <is>
          <t>Office</t>
        </is>
      </c>
      <c r="H543" s="7" t="n">
        <v>971</v>
      </c>
      <c r="I543" s="7">
        <f>H543</f>
        <v/>
      </c>
      <c r="J543" s="7" t="n">
        <v>1000</v>
      </c>
      <c r="K543" s="4" t="inlineStr">
        <is>
          <t>Vacant</t>
        </is>
      </c>
      <c r="N543" s="9" t="n">
        <v>44071</v>
      </c>
      <c r="Q543" s="10" t="n">
        <v>0</v>
      </c>
      <c r="R543" s="10">
        <f>Q543</f>
        <v/>
      </c>
      <c r="T543" s="10" t="n">
        <v>53400</v>
      </c>
      <c r="U543" s="10">
        <f>T543</f>
        <v/>
      </c>
      <c r="V543" s="27" t="n">
        <v>58300</v>
      </c>
      <c r="W543" s="10">
        <f>V543</f>
        <v/>
      </c>
      <c r="X543" s="277">
        <f>T543/H543</f>
        <v/>
      </c>
      <c r="Y543" s="10" t="inlineStr">
        <is>
          <t>D</t>
        </is>
      </c>
      <c r="Z543" s="60" t="n"/>
      <c r="AA543" s="36" t="n"/>
      <c r="AB543" s="14" t="inlineStr">
        <is>
          <t>No</t>
        </is>
      </c>
      <c r="AC543" s="4" t="inlineStr">
        <is>
          <t>Mothballed.</t>
        </is>
      </c>
      <c r="AE543" s="29" t="n"/>
      <c r="AF543" s="279" t="n"/>
      <c r="AG543" s="29" t="n"/>
    </row>
    <row r="544" ht="14.25" customHeight="1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Second Floor</t>
        </is>
      </c>
      <c r="G544" s="14" t="inlineStr">
        <is>
          <t>Office</t>
        </is>
      </c>
      <c r="H544" s="7" t="n">
        <v>1000</v>
      </c>
      <c r="I544" s="7">
        <f>H544</f>
        <v/>
      </c>
      <c r="J544" s="7" t="n">
        <v>1000</v>
      </c>
      <c r="K544" s="4" t="inlineStr">
        <is>
          <t>Vacant</t>
        </is>
      </c>
      <c r="N544" s="9" t="n">
        <v>43261</v>
      </c>
      <c r="Q544" s="10" t="n">
        <v>0</v>
      </c>
      <c r="R544" s="10">
        <f>Q544</f>
        <v/>
      </c>
      <c r="T544" s="10" t="n">
        <v>52500</v>
      </c>
      <c r="U544" s="10">
        <f>T544</f>
        <v/>
      </c>
      <c r="V544" s="27" t="n">
        <v>57500</v>
      </c>
      <c r="W544" s="10">
        <f>V544</f>
        <v/>
      </c>
      <c r="X544" s="277">
        <f>T544/H544</f>
        <v/>
      </c>
      <c r="Y544" s="10" t="inlineStr">
        <is>
          <t>D</t>
        </is>
      </c>
      <c r="Z544" s="60" t="n"/>
      <c r="AA544" s="36" t="n"/>
      <c r="AB544" s="14" t="inlineStr">
        <is>
          <t>No</t>
        </is>
      </c>
      <c r="AC544" s="4" t="inlineStr">
        <is>
          <t>Mothballed.</t>
        </is>
      </c>
      <c r="AE544" s="29" t="n"/>
      <c r="AF544" s="279" t="n"/>
      <c r="AG544" s="29" t="n"/>
    </row>
    <row r="545" ht="14.25" customHeight="1">
      <c r="A545" s="2" t="n"/>
      <c r="B545" s="11" t="n"/>
      <c r="C545" s="11" t="inlineStr">
        <is>
          <t>MEL</t>
        </is>
      </c>
      <c r="D545" s="2" t="n"/>
      <c r="E545" s="4" t="n"/>
      <c r="I545" s="10" t="n"/>
      <c r="J545" s="10" t="n"/>
      <c r="T545" s="10" t="n"/>
      <c r="U545" s="10" t="n"/>
      <c r="V545" s="27" t="n"/>
      <c r="W545" s="10" t="n"/>
      <c r="X545" s="10" t="n"/>
      <c r="Y545" s="10" t="n"/>
      <c r="Z545" s="60" t="n"/>
      <c r="AA545" s="36" t="n"/>
      <c r="AB545" s="14" t="n"/>
      <c r="AF545" s="278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F546" s="90" t="inlineStr">
        <is>
          <t>78 Margaret Street</t>
        </is>
      </c>
      <c r="H546" s="18">
        <f>SUM(H541:H544)</f>
        <v/>
      </c>
      <c r="I546" s="19" t="n"/>
      <c r="J546" s="19" t="n"/>
      <c r="Q546" s="19">
        <f>SUM(Q541:Q544)</f>
        <v/>
      </c>
      <c r="R546" s="19" t="n"/>
      <c r="S546" s="19">
        <f>SUM(R540:R545)</f>
        <v/>
      </c>
      <c r="T546" s="19">
        <f>SUM(T541:T544)</f>
        <v/>
      </c>
      <c r="U546" s="19" t="n"/>
      <c r="V546" s="36">
        <f>SUM(V541:V544)</f>
        <v/>
      </c>
      <c r="W546" s="19" t="n"/>
      <c r="X546" s="19" t="n"/>
      <c r="Y546" s="19" t="n"/>
      <c r="Z546" s="61" t="n"/>
      <c r="AA546" s="36" t="n">
        <v>2075000</v>
      </c>
      <c r="AB546" s="14" t="n"/>
      <c r="AF546" s="278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H547" s="18" t="n"/>
      <c r="I547" s="19" t="n"/>
      <c r="J547" s="19" t="n"/>
      <c r="Q547" s="19" t="n"/>
      <c r="R547" s="19" t="n"/>
      <c r="S547" s="19" t="n"/>
      <c r="T547" s="19" t="n"/>
      <c r="U547" s="19" t="n"/>
      <c r="V547" s="36" t="n"/>
      <c r="W547" s="19" t="n"/>
      <c r="X547" s="19" t="n"/>
      <c r="Y547" s="19" t="n"/>
      <c r="Z547" s="61" t="n"/>
      <c r="AA547" s="362" t="n"/>
      <c r="AB547" s="14" t="n"/>
      <c r="AF547" s="278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G548" s="6" t="inlineStr">
        <is>
          <t>Kenilworth House - 79-80 Margaret Street</t>
        </is>
      </c>
      <c r="I548" s="10" t="n"/>
      <c r="J548" s="10" t="n"/>
      <c r="K548" s="30" t="n"/>
      <c r="T548" s="11" t="n"/>
      <c r="U548" s="10" t="n"/>
      <c r="W548" s="10" t="n"/>
      <c r="X548" s="10" t="n"/>
      <c r="Y548" s="10" t="n"/>
      <c r="Z548" s="60" t="n"/>
      <c r="AA548" s="230" t="n"/>
      <c r="AB548" s="14" t="n"/>
      <c r="AF548" s="278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n"/>
      <c r="I549" s="10" t="n"/>
      <c r="J549" s="10" t="n"/>
      <c r="K549" s="30" t="n"/>
      <c r="T549" s="11" t="n"/>
      <c r="U549" s="10" t="n"/>
      <c r="W549" s="10" t="n"/>
      <c r="X549" s="10" t="n"/>
      <c r="Y549" s="10" t="n"/>
      <c r="Z549" s="60" t="n"/>
      <c r="AA549" s="230" t="n"/>
      <c r="AB549" s="14" t="n"/>
    </row>
    <row r="550" ht="23.25" customHeight="1">
      <c r="A550" s="2" t="n"/>
      <c r="B550" s="11" t="inlineStr">
        <is>
          <t>JM</t>
        </is>
      </c>
      <c r="C550" s="11" t="inlineStr">
        <is>
          <t>MEL</t>
        </is>
      </c>
      <c r="D550" s="2" t="n">
        <v>550690</v>
      </c>
      <c r="E550" s="4" t="inlineStr">
        <is>
          <t>Kenilworth House - 79-80 Margaret Street</t>
        </is>
      </c>
      <c r="F550" s="4" t="inlineStr">
        <is>
          <t>Basement (E)</t>
        </is>
      </c>
      <c r="G550" s="39" t="inlineStr">
        <is>
          <t>Office</t>
        </is>
      </c>
      <c r="H550" s="7" t="n">
        <v>1519</v>
      </c>
      <c r="I550" s="7">
        <f>H550</f>
        <v/>
      </c>
      <c r="J550" s="7" t="n">
        <v>1500</v>
      </c>
      <c r="K550" s="4" t="inlineStr">
        <is>
          <t>Jewells Retail Ltd</t>
        </is>
      </c>
      <c r="L550" s="8" t="n">
        <v>45824</v>
      </c>
      <c r="M550" s="9" t="n">
        <v>46188</v>
      </c>
      <c r="Q550" s="10" t="n">
        <v>61812</v>
      </c>
      <c r="R550" s="10">
        <f>Q550</f>
        <v/>
      </c>
      <c r="T550" s="10" t="n">
        <v>53600</v>
      </c>
      <c r="U550" s="10">
        <f>T550</f>
        <v/>
      </c>
      <c r="V550" s="27" t="n">
        <v>54700</v>
      </c>
      <c r="W550" s="10">
        <f>V550</f>
        <v/>
      </c>
      <c r="X550" s="277">
        <f>T550/H550</f>
        <v/>
      </c>
      <c r="Y550" s="10" t="inlineStr">
        <is>
          <t>E</t>
        </is>
      </c>
      <c r="Z550" s="60" t="inlineStr">
        <is>
          <t>*</t>
        </is>
      </c>
      <c r="AA550" s="230" t="n"/>
      <c r="AB550" s="14" t="inlineStr">
        <is>
          <t>No</t>
        </is>
      </c>
      <c r="AC550" s="4" t="inlineStr">
        <is>
          <t>Rent all inclusive (excl rates).</t>
        </is>
      </c>
      <c r="AE550" s="4" t="n">
        <v>1</v>
      </c>
      <c r="AF550" s="278" t="n">
        <v>4</v>
      </c>
      <c r="AG550" s="4" t="inlineStr">
        <is>
          <t>LEM</t>
        </is>
      </c>
    </row>
    <row r="551" ht="33.7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 xml:space="preserve">Ground (East) </t>
        </is>
      </c>
      <c r="G551" s="14" t="inlineStr">
        <is>
          <t>Office</t>
        </is>
      </c>
      <c r="H551" s="7" t="n">
        <v>1525</v>
      </c>
      <c r="I551" s="7">
        <f>H551</f>
        <v/>
      </c>
      <c r="J551" s="7" t="n">
        <v>1500</v>
      </c>
      <c r="K551" s="4" t="inlineStr">
        <is>
          <t xml:space="preserve">Lualdi UK </t>
        </is>
      </c>
      <c r="L551" s="8" t="n">
        <v>45834</v>
      </c>
      <c r="M551" s="9" t="n">
        <v>47659</v>
      </c>
      <c r="Q551" s="10" t="n">
        <v>0</v>
      </c>
      <c r="R551" s="10">
        <f>Q551</f>
        <v/>
      </c>
      <c r="T551" s="10" t="n">
        <v>90600</v>
      </c>
      <c r="U551" s="10">
        <f>T551</f>
        <v/>
      </c>
      <c r="V551" s="27" t="n">
        <v>91500</v>
      </c>
      <c r="W551" s="10">
        <f>V551</f>
        <v/>
      </c>
      <c r="X551" s="277">
        <f>T551/H551</f>
        <v/>
      </c>
      <c r="Y551" s="10" t="inlineStr">
        <is>
          <t>E</t>
        </is>
      </c>
      <c r="Z551" s="60" t="n"/>
      <c r="AA551" s="230" t="n"/>
      <c r="AB551" s="14" t="inlineStr">
        <is>
          <t>No</t>
        </is>
      </c>
      <c r="AC551" s="4" t="inlineStr">
        <is>
          <t>Stepped rent. Rent £62,500 wef 26/09/25. Fixed increases to £72,500 wef 26/06/26, £82,000 wef 26/06/27, £90,000 wef 26/06/28 and £93,000 wef 26/06/29.</t>
        </is>
      </c>
      <c r="AF551" s="278" t="n"/>
    </row>
    <row r="552" ht="28.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>Ground (West) &amp; Part Basement</t>
        </is>
      </c>
      <c r="G552" s="14" t="inlineStr">
        <is>
          <t>Showroom</t>
        </is>
      </c>
      <c r="H552" s="7" t="n">
        <v>1989</v>
      </c>
      <c r="I552" s="7">
        <f>H552</f>
        <v/>
      </c>
      <c r="J552" s="7" t="n">
        <v>2000</v>
      </c>
      <c r="K552" s="4" t="inlineStr">
        <is>
          <t>Edwards Cheshire Company Ltd.</t>
        </is>
      </c>
      <c r="L552" s="8" t="n">
        <v>42874</v>
      </c>
      <c r="M552" s="9" t="n">
        <v>46525</v>
      </c>
      <c r="O552" s="9" t="n">
        <v>44700</v>
      </c>
      <c r="Q552" s="10" t="n">
        <v>82575</v>
      </c>
      <c r="R552" s="10">
        <f>Q552</f>
        <v/>
      </c>
      <c r="T552" s="10" t="n">
        <v>75000</v>
      </c>
      <c r="U552" s="10">
        <f>T552</f>
        <v/>
      </c>
      <c r="V552" s="27" t="n">
        <v>87300</v>
      </c>
      <c r="W552" s="10">
        <f>V552</f>
        <v/>
      </c>
      <c r="X552" s="277">
        <f>T552/H552</f>
        <v/>
      </c>
      <c r="Y552" s="10" t="inlineStr">
        <is>
          <t>C</t>
        </is>
      </c>
      <c r="Z552" s="60" t="n"/>
      <c r="AA552" s="230" t="n"/>
      <c r="AB552" s="14" t="inlineStr">
        <is>
          <t>No</t>
        </is>
      </c>
      <c r="AF552" s="278" t="n"/>
    </row>
    <row r="553" ht="22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First Floor (East)</t>
        </is>
      </c>
      <c r="G553" s="14" t="inlineStr">
        <is>
          <t>Showroom/ Office</t>
        </is>
      </c>
      <c r="H553" s="7" t="n">
        <v>1143</v>
      </c>
      <c r="I553" s="7">
        <f>H553</f>
        <v/>
      </c>
      <c r="J553" s="7" t="n">
        <v>1000</v>
      </c>
      <c r="K553" s="4" t="inlineStr">
        <is>
          <t>Vacant</t>
        </is>
      </c>
      <c r="N553" s="9" t="n">
        <v>44293</v>
      </c>
      <c r="Q553" s="10" t="n">
        <v>0</v>
      </c>
      <c r="R553" s="10">
        <f>Q553</f>
        <v/>
      </c>
      <c r="T553" s="10" t="n">
        <v>73600</v>
      </c>
      <c r="U553" s="10">
        <f>T553</f>
        <v/>
      </c>
      <c r="V553" s="27" t="n">
        <v>74300</v>
      </c>
      <c r="W553" s="10">
        <f>V553</f>
        <v/>
      </c>
      <c r="X553" s="277">
        <f>T553/H553</f>
        <v/>
      </c>
      <c r="Y553" s="10" t="inlineStr">
        <is>
          <t>D</t>
        </is>
      </c>
      <c r="Z553" s="60" t="n"/>
      <c r="AA553" s="230" t="n"/>
      <c r="AB553" s="14" t="inlineStr">
        <is>
          <t>No</t>
        </is>
      </c>
      <c r="AC553" s="4" t="inlineStr">
        <is>
          <t>Mothballed.</t>
        </is>
      </c>
      <c r="AE553" s="29" t="n"/>
      <c r="AF553" s="279" t="n"/>
      <c r="AG553" s="29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35" t="inlineStr">
        <is>
          <t>First Floor (West)</t>
        </is>
      </c>
      <c r="G554" s="14" t="inlineStr">
        <is>
          <t>Office</t>
        </is>
      </c>
      <c r="H554" s="7" t="n">
        <v>805</v>
      </c>
      <c r="I554" s="7">
        <f>H554</f>
        <v/>
      </c>
      <c r="J554" s="7" t="n">
        <v>1000</v>
      </c>
      <c r="K554" s="4" t="inlineStr">
        <is>
          <t>Vacant</t>
        </is>
      </c>
      <c r="N554" s="9" t="n">
        <v>44336</v>
      </c>
      <c r="Q554" s="10" t="n">
        <v>0</v>
      </c>
      <c r="R554" s="10">
        <f>Q554</f>
        <v/>
      </c>
      <c r="T554" s="10" t="n">
        <v>45600</v>
      </c>
      <c r="U554" s="10">
        <f>T554</f>
        <v/>
      </c>
      <c r="V554" s="27" t="n">
        <v>52300</v>
      </c>
      <c r="W554" s="10">
        <f>V554</f>
        <v/>
      </c>
      <c r="X554" s="277">
        <f>T554/H554</f>
        <v/>
      </c>
      <c r="Y554" s="10" t="inlineStr">
        <is>
          <t>D</t>
        </is>
      </c>
      <c r="Z554" s="60" t="n"/>
      <c r="AA554" s="230" t="n"/>
      <c r="AB554" s="14" t="inlineStr">
        <is>
          <t>No</t>
        </is>
      </c>
      <c r="AC554" s="4" t="inlineStr">
        <is>
          <t>Mothballed.</t>
        </is>
      </c>
      <c r="AE554" s="29" t="n"/>
      <c r="AF554" s="279" t="n"/>
      <c r="AG554" s="29" t="n"/>
    </row>
    <row r="555" ht="28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4" t="inlineStr">
        <is>
          <t>Second Floor (East)</t>
        </is>
      </c>
      <c r="G555" s="14" t="inlineStr">
        <is>
          <t>Office</t>
        </is>
      </c>
      <c r="H555" s="7" t="n">
        <v>1171</v>
      </c>
      <c r="I555" s="7">
        <f>H555</f>
        <v/>
      </c>
      <c r="J555" s="7" t="n">
        <v>1000</v>
      </c>
      <c r="K555" s="4" t="inlineStr">
        <is>
          <t>Vacant</t>
        </is>
      </c>
      <c r="M555" s="38" t="n"/>
      <c r="N555" s="38" t="n">
        <v>44049</v>
      </c>
      <c r="Q555" s="10" t="n">
        <v>0</v>
      </c>
      <c r="R555" s="10">
        <f>Q555</f>
        <v/>
      </c>
      <c r="T555" s="10" t="n">
        <v>72300</v>
      </c>
      <c r="U555" s="10">
        <f>T555</f>
        <v/>
      </c>
      <c r="V555" s="27" t="n">
        <v>76100</v>
      </c>
      <c r="W555" s="10">
        <f>V555</f>
        <v/>
      </c>
      <c r="X555" s="277">
        <f>T555/H555</f>
        <v/>
      </c>
      <c r="Y555" s="10" t="inlineStr">
        <is>
          <t>D</t>
        </is>
      </c>
      <c r="Z555" s="60" t="n"/>
      <c r="AA555" s="230" t="n"/>
      <c r="AB555" s="14" t="inlineStr">
        <is>
          <t>No</t>
        </is>
      </c>
      <c r="AC555" s="4" t="inlineStr">
        <is>
          <t>Mothballed.</t>
        </is>
      </c>
      <c r="AE555" s="29" t="n"/>
      <c r="AF555" s="279" t="n"/>
      <c r="AG555" s="29" t="n"/>
    </row>
    <row r="556" ht="25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(West)</t>
        </is>
      </c>
      <c r="G556" s="14" t="inlineStr">
        <is>
          <t>Office</t>
        </is>
      </c>
      <c r="H556" s="7" t="n">
        <v>793</v>
      </c>
      <c r="I556" s="7">
        <f>H556</f>
        <v/>
      </c>
      <c r="J556" s="7" t="n">
        <v>750</v>
      </c>
      <c r="K556" s="4" t="inlineStr">
        <is>
          <t>Vacant</t>
        </is>
      </c>
      <c r="M556" s="38" t="n"/>
      <c r="N556" s="38" t="n">
        <v>44805</v>
      </c>
      <c r="Q556" s="10" t="n">
        <v>0</v>
      </c>
      <c r="R556" s="10">
        <f>Q556</f>
        <v/>
      </c>
      <c r="T556" s="10" t="n">
        <v>46300</v>
      </c>
      <c r="U556" s="10">
        <f>T556</f>
        <v/>
      </c>
      <c r="V556" s="27" t="n">
        <v>51500</v>
      </c>
      <c r="W556" s="10">
        <f>V556</f>
        <v/>
      </c>
      <c r="X556" s="277">
        <f>T556/H556</f>
        <v/>
      </c>
      <c r="Y556" s="10" t="inlineStr">
        <is>
          <t>D</t>
        </is>
      </c>
      <c r="Z556" s="60" t="n"/>
      <c r="AA556" s="230" t="n"/>
      <c r="AB556" s="14" t="inlineStr">
        <is>
          <t>No</t>
        </is>
      </c>
      <c r="AC556" s="4" t="inlineStr">
        <is>
          <t>Mothballed.</t>
        </is>
      </c>
      <c r="AE556" s="29" t="n"/>
      <c r="AF556" s="279" t="n"/>
      <c r="AG556" s="29" t="n"/>
    </row>
    <row r="557" ht="16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Third Floor (East)</t>
        </is>
      </c>
      <c r="G557" s="14" t="inlineStr">
        <is>
          <t>Office</t>
        </is>
      </c>
      <c r="H557" s="7" t="n">
        <v>1030</v>
      </c>
      <c r="I557" s="7">
        <f>H557</f>
        <v/>
      </c>
      <c r="J557" s="7" t="n">
        <v>1000</v>
      </c>
      <c r="K557" s="4" t="inlineStr">
        <is>
          <t>Vacant</t>
        </is>
      </c>
      <c r="N557" s="9" t="n">
        <v>43914</v>
      </c>
      <c r="Q557" s="10" t="n">
        <v>0</v>
      </c>
      <c r="R557" s="10">
        <f>Q557</f>
        <v/>
      </c>
      <c r="T557" s="10" t="n">
        <v>63800</v>
      </c>
      <c r="U557" s="10">
        <f>T557</f>
        <v/>
      </c>
      <c r="V557" s="27" t="n">
        <v>67000</v>
      </c>
      <c r="W557" s="10">
        <f>V557</f>
        <v/>
      </c>
      <c r="X557" s="277">
        <f>T557/H557</f>
        <v/>
      </c>
      <c r="Y557" s="10" t="inlineStr">
        <is>
          <t>D</t>
        </is>
      </c>
      <c r="Z557" s="60" t="n"/>
      <c r="AA557" s="230" t="n"/>
      <c r="AB557" s="14" t="inlineStr">
        <is>
          <t>No</t>
        </is>
      </c>
      <c r="AC557" s="4" t="inlineStr">
        <is>
          <t>Mothballed.</t>
        </is>
      </c>
      <c r="AE557" s="29" t="n"/>
      <c r="AF557" s="279" t="n"/>
      <c r="AG557" s="29" t="n"/>
    </row>
    <row r="558" ht="22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(West)</t>
        </is>
      </c>
      <c r="G558" s="14" t="inlineStr">
        <is>
          <t>Office</t>
        </is>
      </c>
      <c r="H558" s="7" t="n">
        <v>731</v>
      </c>
      <c r="I558" s="7">
        <f>H558</f>
        <v/>
      </c>
      <c r="J558" s="7" t="n">
        <v>750</v>
      </c>
      <c r="K558" s="4" t="inlineStr">
        <is>
          <t>Vacant</t>
        </is>
      </c>
      <c r="N558" s="9" t="n">
        <v>44321</v>
      </c>
      <c r="Q558" s="10" t="n">
        <v>0</v>
      </c>
      <c r="R558" s="10">
        <f>Q558</f>
        <v/>
      </c>
      <c r="T558" s="10" t="n">
        <v>46100</v>
      </c>
      <c r="U558" s="10">
        <f>T558</f>
        <v/>
      </c>
      <c r="V558" s="27" t="n">
        <v>47500</v>
      </c>
      <c r="W558" s="10">
        <f>V558</f>
        <v/>
      </c>
      <c r="X558" s="277">
        <f>T558/H558</f>
        <v/>
      </c>
      <c r="Y558" s="10" t="inlineStr">
        <is>
          <t>D</t>
        </is>
      </c>
      <c r="Z558" s="60" t="n"/>
      <c r="AA558" s="230" t="n"/>
      <c r="AB558" s="14" t="inlineStr">
        <is>
          <t>No</t>
        </is>
      </c>
      <c r="AC558" s="4" t="inlineStr">
        <is>
          <t>Mothballed.</t>
        </is>
      </c>
      <c r="AE558" s="29" t="n"/>
      <c r="AF558" s="279" t="n"/>
      <c r="AG558" s="29" t="n"/>
    </row>
    <row r="559" ht="14.2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Fourth Floor (East)</t>
        </is>
      </c>
      <c r="G559" s="14" t="inlineStr">
        <is>
          <t>Office</t>
        </is>
      </c>
      <c r="H559" s="7" t="n">
        <v>949</v>
      </c>
      <c r="I559" s="7">
        <f>H559</f>
        <v/>
      </c>
      <c r="J559" s="7" t="n">
        <v>1000</v>
      </c>
      <c r="K559" s="4" t="inlineStr">
        <is>
          <t>Vacant</t>
        </is>
      </c>
      <c r="N559" s="9" t="n">
        <v>42550</v>
      </c>
      <c r="Q559" s="10" t="n">
        <v>0</v>
      </c>
      <c r="R559" s="10">
        <f>Q559</f>
        <v/>
      </c>
      <c r="T559" s="10" t="n">
        <v>55600</v>
      </c>
      <c r="U559" s="10">
        <f>T559</f>
        <v/>
      </c>
      <c r="V559" s="27" t="n">
        <v>59300</v>
      </c>
      <c r="W559" s="10">
        <f>V559</f>
        <v/>
      </c>
      <c r="X559" s="277">
        <f>T559/H559</f>
        <v/>
      </c>
      <c r="Y559" s="10" t="inlineStr">
        <is>
          <t>D</t>
        </is>
      </c>
      <c r="Z559" s="60" t="n"/>
      <c r="AA559" s="230" t="n"/>
      <c r="AB559" s="14" t="inlineStr">
        <is>
          <t>No</t>
        </is>
      </c>
      <c r="AC559" s="4" t="inlineStr">
        <is>
          <t>Mothballed.</t>
        </is>
      </c>
      <c r="AE559" s="29" t="n"/>
      <c r="AF559" s="279" t="n"/>
      <c r="AG559" s="29" t="n"/>
    </row>
    <row r="560" ht="28.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(West)</t>
        </is>
      </c>
      <c r="G560" s="14" t="inlineStr">
        <is>
          <t>Office</t>
        </is>
      </c>
      <c r="H560" s="7" t="n">
        <v>601</v>
      </c>
      <c r="I560" s="7">
        <f>H560</f>
        <v/>
      </c>
      <c r="J560" s="7" t="n">
        <v>500</v>
      </c>
      <c r="K560" s="4" t="inlineStr">
        <is>
          <t>Vacant</t>
        </is>
      </c>
      <c r="M560" s="38" t="n"/>
      <c r="N560" s="38" t="n">
        <v>44027</v>
      </c>
      <c r="Q560" s="10" t="n">
        <v>0</v>
      </c>
      <c r="R560" s="10">
        <f>Q560</f>
        <v/>
      </c>
      <c r="T560" s="10" t="n">
        <v>36800</v>
      </c>
      <c r="U560" s="10">
        <f>T560</f>
        <v/>
      </c>
      <c r="V560" s="27" t="n">
        <v>37600</v>
      </c>
      <c r="W560" s="10">
        <f>V560</f>
        <v/>
      </c>
      <c r="X560" s="277">
        <f>T560/H560</f>
        <v/>
      </c>
      <c r="Y560" s="10" t="inlineStr">
        <is>
          <t>D</t>
        </is>
      </c>
      <c r="Z560" s="60" t="n"/>
      <c r="AA560" s="230" t="n"/>
      <c r="AB560" s="14" t="inlineStr">
        <is>
          <t>No</t>
        </is>
      </c>
      <c r="AC560" s="4" t="inlineStr">
        <is>
          <t>Mothballed.</t>
        </is>
      </c>
      <c r="AE560" s="29" t="n"/>
      <c r="AF560" s="279" t="n"/>
      <c r="AG560" s="29" t="n"/>
    </row>
    <row r="561" ht="14.2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Fifth Floor (East)</t>
        </is>
      </c>
      <c r="G561" s="14" t="inlineStr">
        <is>
          <t>Office</t>
        </is>
      </c>
      <c r="H561" s="7" t="n">
        <v>730</v>
      </c>
      <c r="I561" s="7">
        <f>H561</f>
        <v/>
      </c>
      <c r="J561" s="7" t="n">
        <v>750</v>
      </c>
      <c r="K561" s="4" t="inlineStr">
        <is>
          <t>Vacant</t>
        </is>
      </c>
      <c r="N561" s="9" t="n">
        <v>42723</v>
      </c>
      <c r="Q561" s="10" t="n">
        <v>0</v>
      </c>
      <c r="R561" s="10">
        <f>Q561</f>
        <v/>
      </c>
      <c r="T561" s="10" t="n">
        <v>44700</v>
      </c>
      <c r="U561" s="10">
        <f>T561</f>
        <v/>
      </c>
      <c r="V561" s="27" t="n">
        <v>45600</v>
      </c>
      <c r="W561" s="10">
        <f>V561</f>
        <v/>
      </c>
      <c r="X561" s="277">
        <f>T561/H561</f>
        <v/>
      </c>
      <c r="Y561" s="10" t="inlineStr">
        <is>
          <t>D</t>
        </is>
      </c>
      <c r="Z561" s="60" t="n"/>
      <c r="AA561" s="230" t="n"/>
      <c r="AB561" s="14" t="inlineStr">
        <is>
          <t>No</t>
        </is>
      </c>
      <c r="AC561" s="4" t="inlineStr">
        <is>
          <t>Mothballed.</t>
        </is>
      </c>
      <c r="AE561" s="29" t="n"/>
      <c r="AF561" s="279" t="n"/>
      <c r="AG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(West)</t>
        </is>
      </c>
      <c r="G562" s="14" t="inlineStr">
        <is>
          <t>Office</t>
        </is>
      </c>
      <c r="H562" s="7" t="n">
        <v>462</v>
      </c>
      <c r="I562" s="7">
        <f>H562</f>
        <v/>
      </c>
      <c r="J562" s="7" t="n">
        <v>500</v>
      </c>
      <c r="K562" s="4" t="inlineStr">
        <is>
          <t>Vacant</t>
        </is>
      </c>
      <c r="N562" s="9" t="n">
        <v>43824</v>
      </c>
      <c r="Q562" s="10" t="n">
        <v>0</v>
      </c>
      <c r="R562" s="10">
        <f>Q562</f>
        <v/>
      </c>
      <c r="T562" s="10" t="n">
        <v>27300</v>
      </c>
      <c r="U562" s="10">
        <f>T562</f>
        <v/>
      </c>
      <c r="V562" s="27" t="n">
        <v>28900</v>
      </c>
      <c r="W562" s="10">
        <f>V562</f>
        <v/>
      </c>
      <c r="X562" s="277">
        <f>T562/H562</f>
        <v/>
      </c>
      <c r="Y562" s="10" t="inlineStr">
        <is>
          <t>D</t>
        </is>
      </c>
      <c r="Z562" s="60" t="n"/>
      <c r="AA562" s="230" t="n"/>
      <c r="AB562" s="14" t="inlineStr">
        <is>
          <t>No</t>
        </is>
      </c>
      <c r="AC562" s="4" t="inlineStr">
        <is>
          <t>Mothballed.</t>
        </is>
      </c>
      <c r="AE562" s="29" t="n"/>
      <c r="AF562" s="279" t="n"/>
      <c r="AG562" s="29" t="n"/>
    </row>
    <row r="563" ht="14.25" customHeight="1">
      <c r="A563" s="2" t="n"/>
      <c r="B563" s="11" t="n"/>
      <c r="C563" s="11" t="inlineStr">
        <is>
          <t>MEL</t>
        </is>
      </c>
      <c r="D563" s="2" t="n"/>
      <c r="E563" s="4" t="n"/>
      <c r="I563" s="10" t="n"/>
      <c r="J563" s="10" t="n"/>
      <c r="T563" s="10" t="n"/>
      <c r="U563" s="10" t="n"/>
      <c r="V563" s="27" t="n"/>
      <c r="W563" s="10" t="n"/>
      <c r="X563" s="10" t="n"/>
      <c r="Y563" s="10" t="n"/>
      <c r="Z563" s="60" t="n"/>
      <c r="AA563" s="230" t="n"/>
      <c r="AB563" s="14" t="n"/>
      <c r="AF563" s="278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F564" s="90" t="inlineStr">
        <is>
          <t>79/80 Margaret Street</t>
        </is>
      </c>
      <c r="H564" s="18">
        <f>SUM(H550:H562)</f>
        <v/>
      </c>
      <c r="I564" s="19" t="n"/>
      <c r="J564" s="19" t="n"/>
      <c r="Q564" s="19">
        <f>SUM(Q550:Q563)</f>
        <v/>
      </c>
      <c r="R564" s="19" t="n"/>
      <c r="S564" s="19">
        <f>SUM(R548:R563)</f>
        <v/>
      </c>
      <c r="T564" s="19">
        <f>SUM(T550:T562)</f>
        <v/>
      </c>
      <c r="U564" s="19" t="n"/>
      <c r="V564" s="36">
        <f>SUM(V550:V562)</f>
        <v/>
      </c>
      <c r="W564" s="19" t="n"/>
      <c r="X564" s="19" t="n"/>
      <c r="Y564" s="19" t="n"/>
      <c r="Z564" s="61" t="n"/>
      <c r="AA564" s="36" t="n">
        <v>8875000</v>
      </c>
      <c r="AB564" s="14" t="n"/>
      <c r="AE564" s="29" t="n"/>
      <c r="AF564" s="279" t="n"/>
      <c r="AG564" s="29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H565" s="18" t="n"/>
      <c r="I565" s="19" t="n"/>
      <c r="J565" s="19" t="n"/>
      <c r="Q565" s="19" t="n"/>
      <c r="R565" s="19" t="n"/>
      <c r="S565" s="19" t="n"/>
      <c r="T565" s="19" t="n"/>
      <c r="U565" s="19" t="n"/>
      <c r="V565" s="36" t="n"/>
      <c r="W565" s="19" t="n"/>
      <c r="X565" s="19" t="n"/>
      <c r="Y565" s="19" t="n"/>
      <c r="Z565" s="61" t="n"/>
      <c r="AA565" s="36" t="n"/>
      <c r="AB565" s="14" t="n"/>
      <c r="AF565" s="278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G566" s="6" t="inlineStr">
        <is>
          <t>4 Market Place</t>
        </is>
      </c>
      <c r="I566" s="10" t="n"/>
      <c r="J566" s="10" t="n"/>
      <c r="K566" s="30" t="n"/>
      <c r="T566" s="11" t="n"/>
      <c r="U566" s="10" t="n"/>
      <c r="W566" s="10" t="n"/>
      <c r="X566" s="10" t="n"/>
      <c r="Y566" s="10" t="n"/>
      <c r="Z566" s="60" t="n"/>
      <c r="AA566" s="36" t="n"/>
      <c r="AB566" s="14" t="n"/>
      <c r="AF566" s="278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n"/>
      <c r="H567" s="24" t="n"/>
      <c r="I567" s="10" t="n"/>
      <c r="J567" s="10" t="n"/>
      <c r="T567" s="10" t="n"/>
      <c r="U567" s="10" t="n"/>
      <c r="V567" s="27" t="n"/>
      <c r="W567" s="10" t="n"/>
      <c r="X567" s="10" t="n"/>
      <c r="Y567" s="10" t="n"/>
      <c r="Z567" s="60" t="n"/>
      <c r="AA567" s="36" t="n"/>
      <c r="AB567" s="14" t="n"/>
      <c r="AF567" s="278" t="n"/>
    </row>
    <row r="568">
      <c r="A568" s="2" t="n"/>
      <c r="B568" s="11" t="inlineStr">
        <is>
          <t>WS</t>
        </is>
      </c>
      <c r="C568" s="11" t="inlineStr">
        <is>
          <t>MEL</t>
        </is>
      </c>
      <c r="D568" s="2" t="n">
        <v>550810</v>
      </c>
      <c r="E568" s="4" t="inlineStr">
        <is>
          <t>4 Market Place</t>
        </is>
      </c>
      <c r="F568" s="4" t="inlineStr">
        <is>
          <t>Ground, Basement &amp; Vaults</t>
        </is>
      </c>
      <c r="G568" s="14" t="inlineStr">
        <is>
          <t>Restaurant</t>
        </is>
      </c>
      <c r="H568" s="7" t="n">
        <v>1190</v>
      </c>
      <c r="I568" s="7">
        <f>H568</f>
        <v/>
      </c>
      <c r="J568" s="7" t="n">
        <v>1000</v>
      </c>
      <c r="K568" s="4" t="inlineStr">
        <is>
          <t>Honest Burgers Ltd</t>
        </is>
      </c>
      <c r="L568" s="8" t="n">
        <v>41673</v>
      </c>
      <c r="M568" s="9" t="n">
        <v>47151</v>
      </c>
      <c r="Q568" s="10" t="n">
        <v>115000</v>
      </c>
      <c r="R568" s="10">
        <f>Q568</f>
        <v/>
      </c>
      <c r="T568" s="10" t="n">
        <v>106000</v>
      </c>
      <c r="U568" s="10">
        <f>T568</f>
        <v/>
      </c>
      <c r="V568" s="27" t="n">
        <v>115000</v>
      </c>
      <c r="W568" s="10">
        <f>V568</f>
        <v/>
      </c>
      <c r="X568" s="277">
        <f>T568/H568</f>
        <v/>
      </c>
      <c r="Y568" s="10" t="inlineStr">
        <is>
          <t>D</t>
        </is>
      </c>
      <c r="Z568" s="60" t="n"/>
      <c r="AA568" s="36" t="n"/>
      <c r="AB568" s="14" t="inlineStr">
        <is>
          <t>No</t>
        </is>
      </c>
      <c r="AC568" s="4" t="inlineStr">
        <is>
          <t xml:space="preserve">Landlords redevelopment break @ 02/02/24 on 6 months notice. </t>
        </is>
      </c>
      <c r="AF568" s="278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35" t="inlineStr">
        <is>
          <t>First to Third Floors</t>
        </is>
      </c>
      <c r="G569" s="14" t="inlineStr">
        <is>
          <t>Office</t>
        </is>
      </c>
      <c r="H569" s="7" t="n">
        <v>1044</v>
      </c>
      <c r="I569" s="7">
        <f>H569</f>
        <v/>
      </c>
      <c r="J569" s="7" t="n">
        <v>1000</v>
      </c>
      <c r="K569" s="4" t="inlineStr">
        <is>
          <t>Feel Films Ltd.</t>
        </is>
      </c>
      <c r="L569" s="8" t="n">
        <v>45413</v>
      </c>
      <c r="M569" s="9" t="n">
        <v>47238</v>
      </c>
      <c r="P569" s="9" t="n">
        <v>46326</v>
      </c>
      <c r="Q569" s="10" t="n">
        <v>52500</v>
      </c>
      <c r="R569" s="10">
        <f>Q569</f>
        <v/>
      </c>
      <c r="T569" s="10" t="n">
        <v>53800</v>
      </c>
      <c r="U569" s="10">
        <f>T569</f>
        <v/>
      </c>
      <c r="V569" s="27" t="n">
        <v>53800</v>
      </c>
      <c r="W569" s="10">
        <f>V569</f>
        <v/>
      </c>
      <c r="X569" s="277">
        <f>T569/H569</f>
        <v/>
      </c>
      <c r="Y569" s="10" t="inlineStr">
        <is>
          <t>D</t>
        </is>
      </c>
      <c r="Z569" s="60" t="n"/>
      <c r="AA569" s="36" t="n"/>
      <c r="AB569" s="14" t="inlineStr">
        <is>
          <t>No</t>
        </is>
      </c>
      <c r="AC569" s="4" t="inlineStr">
        <is>
          <t>Tenant break on 6 months notice.</t>
        </is>
      </c>
      <c r="AF569" s="278" t="n"/>
    </row>
    <row r="570" ht="14.25" customHeight="1">
      <c r="A570" s="2" t="n"/>
      <c r="B570" s="11" t="n"/>
      <c r="C570" s="11" t="inlineStr">
        <is>
          <t>MEL</t>
        </is>
      </c>
      <c r="D570" s="2" t="n"/>
      <c r="E570" s="4" t="n"/>
      <c r="I570" s="10" t="n"/>
      <c r="J570" s="10" t="n"/>
      <c r="T570" s="10" t="n"/>
      <c r="U570" s="10" t="n"/>
      <c r="V570" s="27" t="n"/>
      <c r="W570" s="10" t="n"/>
      <c r="X570" s="10" t="n"/>
      <c r="Y570" s="10" t="n"/>
      <c r="Z570" s="60" t="n"/>
      <c r="AA570" s="36" t="n"/>
      <c r="AB570" s="14" t="n"/>
      <c r="AF570" s="278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F571" s="90" t="inlineStr">
        <is>
          <t>4 Market Place</t>
        </is>
      </c>
      <c r="H571" s="18">
        <f>SUM(H568:H569)</f>
        <v/>
      </c>
      <c r="I571" s="19" t="n"/>
      <c r="J571" s="19" t="n"/>
      <c r="Q571" s="19">
        <f>SUM(Q568:Q569)</f>
        <v/>
      </c>
      <c r="R571" s="19" t="n"/>
      <c r="S571" s="19">
        <f>SUM(R566:R570)</f>
        <v/>
      </c>
      <c r="T571" s="19">
        <f>SUM(T568:T569)</f>
        <v/>
      </c>
      <c r="U571" s="19" t="n"/>
      <c r="V571" s="36">
        <f>SUM(V568:V569)</f>
        <v/>
      </c>
      <c r="W571" s="19" t="n"/>
      <c r="X571" s="19" t="n"/>
      <c r="Y571" s="19" t="n"/>
      <c r="Z571" s="61" t="n"/>
      <c r="AA571" s="36" t="n">
        <v>3000000</v>
      </c>
      <c r="AB571" s="14" t="n"/>
      <c r="AE571" s="29" t="n"/>
      <c r="AF571" s="279" t="n"/>
      <c r="AG571" s="29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I572" s="10" t="n"/>
      <c r="J572" s="10" t="n"/>
      <c r="T572" s="10" t="n"/>
      <c r="U572" s="10" t="n"/>
      <c r="V572" s="27" t="n"/>
      <c r="W572" s="10" t="n"/>
      <c r="X572" s="10" t="n"/>
      <c r="Y572" s="10" t="n"/>
      <c r="Z572" s="60" t="n"/>
      <c r="AA572" s="36" t="n"/>
      <c r="AB572" s="14" t="n"/>
      <c r="AF572" s="278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G573" s="6" t="inlineStr">
        <is>
          <t>11-13 Market Place</t>
        </is>
      </c>
      <c r="I573" s="10" t="n"/>
      <c r="J573" s="10" t="n"/>
      <c r="K573" s="30" t="n"/>
      <c r="T573" s="11" t="n"/>
      <c r="U573" s="10" t="n"/>
      <c r="W573" s="10" t="n"/>
      <c r="X573" s="10" t="n"/>
      <c r="Y573" s="10" t="n"/>
      <c r="Z573" s="60" t="n"/>
      <c r="AA573" s="36" t="n"/>
      <c r="AB573" s="14" t="n"/>
      <c r="AF573" s="278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I574" s="10" t="n"/>
      <c r="J574" s="10" t="n"/>
      <c r="T574" s="10" t="n"/>
      <c r="U574" s="10" t="n"/>
      <c r="V574" s="27" t="n"/>
      <c r="W574" s="10" t="n"/>
      <c r="X574" s="10" t="n"/>
      <c r="Y574" s="10" t="n"/>
      <c r="Z574" s="60" t="n"/>
      <c r="AA574" s="36" t="n"/>
      <c r="AB574" s="14" t="n"/>
      <c r="AF574" s="278" t="n"/>
    </row>
    <row r="575" ht="28.5" customHeight="1">
      <c r="A575" s="2" t="n"/>
      <c r="B575" s="11" t="inlineStr">
        <is>
          <t>WS</t>
        </is>
      </c>
      <c r="C575" s="11" t="inlineStr">
        <is>
          <t>MEL</t>
        </is>
      </c>
      <c r="D575" s="2" t="n">
        <v>550490</v>
      </c>
      <c r="E575" s="4" t="inlineStr">
        <is>
          <t>11-13 Market Place</t>
        </is>
      </c>
      <c r="F575" s="4" t="inlineStr">
        <is>
          <t>Whole Building</t>
        </is>
      </c>
      <c r="G575" s="14" t="inlineStr">
        <is>
          <t>Bar &amp; Office</t>
        </is>
      </c>
      <c r="H575" s="18" t="n">
        <v>6979</v>
      </c>
      <c r="I575" s="10">
        <f>H575</f>
        <v/>
      </c>
      <c r="J575" s="10" t="n">
        <v>7000</v>
      </c>
      <c r="K575" s="4" t="inlineStr">
        <is>
          <t>Market Place (London) Holdings Ltd</t>
        </is>
      </c>
      <c r="L575" s="8" t="n">
        <v>44185</v>
      </c>
      <c r="M575" s="9" t="n">
        <v>47836</v>
      </c>
      <c r="O575" s="9" t="n">
        <v>46011</v>
      </c>
      <c r="Q575" s="19" t="n">
        <v>420000</v>
      </c>
      <c r="R575" s="10">
        <f>Q575</f>
        <v/>
      </c>
      <c r="S575" s="19">
        <f>R575</f>
        <v/>
      </c>
      <c r="T575" s="19" t="n">
        <v>364600</v>
      </c>
      <c r="U575" s="10">
        <f>T575</f>
        <v/>
      </c>
      <c r="V575" s="36" t="n">
        <v>420000</v>
      </c>
      <c r="W575" s="10">
        <f>V575</f>
        <v/>
      </c>
      <c r="X575" s="277">
        <f>T575/H575</f>
        <v/>
      </c>
      <c r="Y575" s="10" t="inlineStr">
        <is>
          <t>E</t>
        </is>
      </c>
      <c r="Z575" s="60" t="n"/>
      <c r="AA575" s="36" t="n">
        <v>7550000</v>
      </c>
      <c r="AB575" s="14" t="inlineStr">
        <is>
          <t>No</t>
        </is>
      </c>
      <c r="AC575" s="4" t="inlineStr">
        <is>
          <t>Upper floors sublet.</t>
        </is>
      </c>
      <c r="AF575" s="278" t="n"/>
    </row>
    <row r="576" ht="14.25" customHeight="1">
      <c r="A576" s="2" t="n"/>
      <c r="B576" s="11" t="n"/>
      <c r="C576" s="11" t="inlineStr">
        <is>
          <t>MEL</t>
        </is>
      </c>
      <c r="D576" s="2" t="n"/>
      <c r="E576" s="4" t="n"/>
      <c r="G576" s="47" t="n"/>
      <c r="H576" s="18" t="n"/>
      <c r="I576" s="19" t="n"/>
      <c r="J576" s="19" t="n"/>
      <c r="Q576" s="19" t="n"/>
      <c r="R576" s="19" t="n"/>
      <c r="S576" s="19" t="n"/>
      <c r="T576" s="19" t="n"/>
      <c r="U576" s="19" t="n"/>
      <c r="V576" s="36" t="n"/>
      <c r="W576" s="19" t="n"/>
      <c r="X576" s="19" t="n"/>
      <c r="Y576" s="19" t="n"/>
      <c r="Z576" s="61" t="n"/>
      <c r="AA576" s="362" t="n"/>
      <c r="AB576" s="14" t="n"/>
      <c r="AF576" s="278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6" t="inlineStr">
        <is>
          <t>Radiant House, 34-38 Mortimer Street &amp; 3-4 Bywell Place</t>
        </is>
      </c>
      <c r="I577" s="10" t="n"/>
      <c r="J577" s="10" t="n"/>
      <c r="K577" s="30" t="n"/>
      <c r="T577" s="11" t="n"/>
      <c r="U577" s="10" t="n"/>
      <c r="W577" s="10" t="n"/>
      <c r="X577" s="10" t="n"/>
      <c r="Y577" s="10" t="n"/>
      <c r="Z577" s="60" t="n"/>
      <c r="AA577" s="230" t="n"/>
      <c r="AB577" s="14" t="n"/>
      <c r="AF577" s="278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F578" s="94" t="n"/>
      <c r="G578" s="5" t="n"/>
      <c r="H578" s="124" t="n"/>
      <c r="I578" s="3" t="n"/>
      <c r="J578" s="3" t="n"/>
      <c r="K578" s="124" t="n"/>
      <c r="L578" s="128" t="n"/>
      <c r="M578" s="125" t="n"/>
      <c r="N578" s="125" t="n"/>
      <c r="O578" s="125" t="n"/>
      <c r="Q578" s="3" t="n"/>
      <c r="R578" s="3" t="n"/>
      <c r="S578" s="3" t="n"/>
      <c r="T578" s="234" t="n"/>
      <c r="U578" s="3" t="n"/>
      <c r="V578" s="51" t="n"/>
      <c r="W578" s="3" t="n"/>
      <c r="X578" s="3" t="n"/>
      <c r="Y578" s="3" t="n"/>
      <c r="Z578" s="67" t="n"/>
      <c r="AA578" s="365" t="n"/>
      <c r="AB578" s="14" t="n"/>
      <c r="AC578" s="35" t="n"/>
      <c r="AD578" s="306" t="n"/>
      <c r="AE578" s="35" t="n"/>
      <c r="AF578" s="280" t="n"/>
      <c r="AG578" s="35" t="n"/>
    </row>
    <row r="579" ht="28.5" customHeight="1">
      <c r="A579" s="2" t="n"/>
      <c r="B579" s="11" t="inlineStr">
        <is>
          <t>JM</t>
        </is>
      </c>
      <c r="C579" s="11" t="inlineStr">
        <is>
          <t>MEL</t>
        </is>
      </c>
      <c r="D579" s="2" t="n">
        <v>550940</v>
      </c>
      <c r="E579" s="4" t="inlineStr">
        <is>
          <t>Radiant House, 34-38 Mortimer Street &amp; 3-4 Bywell Place</t>
        </is>
      </c>
      <c r="F579" s="4" t="inlineStr">
        <is>
          <t>Ground &amp; Basement (34)</t>
        </is>
      </c>
      <c r="G579" s="14" t="inlineStr">
        <is>
          <t>Showroom/Studio</t>
        </is>
      </c>
      <c r="H579" s="23" t="n">
        <v>2662</v>
      </c>
      <c r="I579" s="7">
        <f>H579</f>
        <v/>
      </c>
      <c r="J579" s="7" t="n">
        <v>2500</v>
      </c>
      <c r="K579" s="4" t="inlineStr">
        <is>
          <t>Ab-Anbar Limited</t>
        </is>
      </c>
      <c r="L579" s="8" t="n">
        <v>44942</v>
      </c>
      <c r="M579" s="9" t="n">
        <v>46767</v>
      </c>
      <c r="P579" s="9" t="n">
        <v>46037</v>
      </c>
      <c r="Q579" s="10" t="n">
        <v>100000</v>
      </c>
      <c r="R579" s="10">
        <f>Q579</f>
        <v/>
      </c>
      <c r="T579" s="23" t="n">
        <v>100000</v>
      </c>
      <c r="U579" s="10">
        <f>T579</f>
        <v/>
      </c>
      <c r="V579" s="231" t="n">
        <v>100000</v>
      </c>
      <c r="W579" s="10">
        <f>V579</f>
        <v/>
      </c>
      <c r="X579" s="277">
        <f>T579/H579</f>
        <v/>
      </c>
      <c r="Y579" s="10" t="inlineStr">
        <is>
          <t>E</t>
        </is>
      </c>
      <c r="Z579" s="60" t="n"/>
      <c r="AA579" s="230" t="n"/>
      <c r="AB579" s="14" t="inlineStr">
        <is>
          <t>No</t>
        </is>
      </c>
      <c r="AC579" s="4" t="inlineStr">
        <is>
          <t>Tenant break on 6 months notice. 3 months rent free if not exercised.</t>
        </is>
      </c>
      <c r="AF579" s="278" t="n"/>
    </row>
    <row r="580" ht="24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(36-38)</t>
        </is>
      </c>
      <c r="G580" s="14" t="inlineStr">
        <is>
          <t>Office</t>
        </is>
      </c>
      <c r="H580" s="23" t="n">
        <v>3452</v>
      </c>
      <c r="I580" s="7">
        <f>H580</f>
        <v/>
      </c>
      <c r="J580" s="7" t="n">
        <v>3500</v>
      </c>
      <c r="K580" s="4" t="inlineStr">
        <is>
          <t>Europride Ltd.</t>
        </is>
      </c>
      <c r="L580" s="8" t="n">
        <v>45707</v>
      </c>
      <c r="M580" s="9" t="n">
        <v>46071</v>
      </c>
      <c r="P580" s="9" t="n">
        <v>45887</v>
      </c>
      <c r="Q580" s="23" t="n">
        <v>138440</v>
      </c>
      <c r="R580" s="10">
        <f>Q580</f>
        <v/>
      </c>
      <c r="T580" s="23" t="n">
        <v>109600</v>
      </c>
      <c r="U580" s="10">
        <f>T580</f>
        <v/>
      </c>
      <c r="V580" s="231" t="n">
        <v>112000</v>
      </c>
      <c r="W580" s="10">
        <f>V580</f>
        <v/>
      </c>
      <c r="X580" s="277">
        <f>T580/H580</f>
        <v/>
      </c>
      <c r="Y580" s="10" t="inlineStr">
        <is>
          <t>E</t>
        </is>
      </c>
      <c r="Z580" s="60" t="n"/>
      <c r="AA580" s="230" t="n"/>
      <c r="AB580" s="14" t="inlineStr">
        <is>
          <t>No</t>
        </is>
      </c>
      <c r="AC580" s="4" t="inlineStr">
        <is>
          <t>Tenant break on 6 months notice.</t>
        </is>
      </c>
      <c r="AF580" s="278" t="n"/>
    </row>
    <row r="581" ht="28.5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Part Ground, First to Fourth Floor (34)</t>
        </is>
      </c>
      <c r="G581" s="14" t="inlineStr">
        <is>
          <t>Office</t>
        </is>
      </c>
      <c r="H581" s="23" t="n">
        <v>2274</v>
      </c>
      <c r="I581" s="7">
        <f>H581</f>
        <v/>
      </c>
      <c r="J581" s="7" t="n">
        <v>2250</v>
      </c>
      <c r="K581" s="4" t="inlineStr">
        <is>
          <t>Vacant</t>
        </is>
      </c>
      <c r="N581" s="9" t="n">
        <v>44280</v>
      </c>
      <c r="Q581" s="10" t="n">
        <v>0</v>
      </c>
      <c r="R581" s="10">
        <f>Q581</f>
        <v/>
      </c>
      <c r="T581" s="23" t="n">
        <v>124700</v>
      </c>
      <c r="U581" s="10">
        <f>T581</f>
        <v/>
      </c>
      <c r="V581" s="231" t="n">
        <v>125100</v>
      </c>
      <c r="W581" s="10">
        <f>V581</f>
        <v/>
      </c>
      <c r="X581" s="277">
        <f>T581/H581</f>
        <v/>
      </c>
      <c r="Y581" s="10" t="inlineStr">
        <is>
          <t>E</t>
        </is>
      </c>
      <c r="Z581" s="60" t="n"/>
      <c r="AA581" s="230" t="n"/>
      <c r="AB581" s="14" t="inlineStr">
        <is>
          <t>Yes</t>
        </is>
      </c>
      <c r="AC581" s="4" t="inlineStr">
        <is>
          <t>LEM marketing.</t>
        </is>
      </c>
      <c r="AD581" s="305" t="n"/>
      <c r="AF581" s="278" t="n"/>
    </row>
    <row r="582" ht="22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First (36-38)</t>
        </is>
      </c>
      <c r="G582" s="14" t="inlineStr">
        <is>
          <t>Office</t>
        </is>
      </c>
      <c r="H582" s="23" t="n">
        <v>1201</v>
      </c>
      <c r="I582" s="7">
        <f>H582</f>
        <v/>
      </c>
      <c r="J582" s="7" t="n">
        <v>1250</v>
      </c>
      <c r="K582" s="4" t="inlineStr">
        <is>
          <t>Vacant</t>
        </is>
      </c>
      <c r="N582" s="9" t="n">
        <v>45521</v>
      </c>
      <c r="Q582" s="10" t="n">
        <v>0</v>
      </c>
      <c r="R582" s="10">
        <f>Q582</f>
        <v/>
      </c>
      <c r="T582" s="23" t="n">
        <v>64100</v>
      </c>
      <c r="U582" s="10">
        <f>T582</f>
        <v/>
      </c>
      <c r="V582" s="231" t="n">
        <v>63100</v>
      </c>
      <c r="W582" s="10">
        <f>V582</f>
        <v/>
      </c>
      <c r="X582" s="277">
        <f>T582/H582</f>
        <v/>
      </c>
      <c r="Y582" s="10" t="inlineStr">
        <is>
          <t>D</t>
        </is>
      </c>
      <c r="Z582" s="60" t="n"/>
      <c r="AA582" s="230" t="n"/>
      <c r="AB582" s="14" t="inlineStr">
        <is>
          <t>No</t>
        </is>
      </c>
      <c r="AC582" s="4" t="inlineStr">
        <is>
          <t>LEM marketing.</t>
        </is>
      </c>
      <c r="AE582" s="29" t="n"/>
      <c r="AF582" s="279" t="n"/>
      <c r="AG582" s="29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Second (36-38)</t>
        </is>
      </c>
      <c r="G583" s="14" t="inlineStr">
        <is>
          <t>Office</t>
        </is>
      </c>
      <c r="H583" s="23" t="n">
        <v>1255</v>
      </c>
      <c r="I583" s="7">
        <f>H583</f>
        <v/>
      </c>
      <c r="J583" s="7" t="n">
        <v>1250</v>
      </c>
      <c r="K583" s="4" t="inlineStr">
        <is>
          <t>Vacant</t>
        </is>
      </c>
      <c r="N583" s="9" t="n">
        <v>44320</v>
      </c>
      <c r="Q583" s="10" t="n">
        <v>0</v>
      </c>
      <c r="R583" s="10">
        <f>Q583</f>
        <v/>
      </c>
      <c r="T583" s="23" t="n">
        <v>67300</v>
      </c>
      <c r="U583" s="10">
        <f>T583</f>
        <v/>
      </c>
      <c r="V583" s="231" t="n">
        <v>69000</v>
      </c>
      <c r="W583" s="10">
        <f>V583</f>
        <v/>
      </c>
      <c r="X583" s="277">
        <f>T583/H583</f>
        <v/>
      </c>
      <c r="Y583" s="10" t="inlineStr">
        <is>
          <t>D</t>
        </is>
      </c>
      <c r="Z583" s="60" t="n"/>
      <c r="AA583" s="230" t="n"/>
      <c r="AB583" s="14" t="inlineStr">
        <is>
          <t>No</t>
        </is>
      </c>
      <c r="AC583" s="4" t="inlineStr">
        <is>
          <t>To be refurbished.</t>
        </is>
      </c>
      <c r="AF583" s="278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Third (36-38)</t>
        </is>
      </c>
      <c r="G584" s="14" t="inlineStr">
        <is>
          <t>Office</t>
        </is>
      </c>
      <c r="H584" s="23" t="n">
        <v>1252</v>
      </c>
      <c r="I584" s="7">
        <f>H584</f>
        <v/>
      </c>
      <c r="J584" s="7" t="n">
        <v>1250</v>
      </c>
      <c r="K584" s="4" t="inlineStr">
        <is>
          <t>Vacant</t>
        </is>
      </c>
      <c r="N584" s="9" t="n">
        <v>44622</v>
      </c>
      <c r="Q584" s="10" t="n">
        <v>0</v>
      </c>
      <c r="R584" s="10">
        <f>Q584</f>
        <v/>
      </c>
      <c r="T584" s="23" t="n">
        <v>67600</v>
      </c>
      <c r="U584" s="10">
        <f>T584</f>
        <v/>
      </c>
      <c r="V584" s="231" t="n">
        <v>68900</v>
      </c>
      <c r="W584" s="10">
        <f>V584</f>
        <v/>
      </c>
      <c r="X584" s="277">
        <f>T584/H584</f>
        <v/>
      </c>
      <c r="Y584" s="10" t="inlineStr">
        <is>
          <t>E</t>
        </is>
      </c>
      <c r="Z584" s="60" t="n"/>
      <c r="AA584" s="230" t="n"/>
      <c r="AB584" s="14" t="inlineStr">
        <is>
          <t>No</t>
        </is>
      </c>
      <c r="AC584" s="4" t="inlineStr">
        <is>
          <t>To be refurbished.</t>
        </is>
      </c>
      <c r="AF584" s="278" t="n"/>
    </row>
    <row r="585" ht="16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Fourth (36-38)</t>
        </is>
      </c>
      <c r="G585" s="14" t="inlineStr">
        <is>
          <t>Office</t>
        </is>
      </c>
      <c r="H585" s="23" t="n">
        <v>1055</v>
      </c>
      <c r="I585" s="7">
        <f>H585</f>
        <v/>
      </c>
      <c r="J585" s="7" t="n">
        <v>1000</v>
      </c>
      <c r="K585" s="4" t="inlineStr">
        <is>
          <t>Carver Associates Ltd.</t>
        </is>
      </c>
      <c r="L585" s="8" t="n">
        <v>44887</v>
      </c>
      <c r="M585" s="9" t="n">
        <v>46712</v>
      </c>
      <c r="O585" s="9" t="n">
        <v>45983</v>
      </c>
      <c r="P585" s="9" t="n">
        <v>45982</v>
      </c>
      <c r="Q585" s="23" t="n">
        <v>63070</v>
      </c>
      <c r="R585" s="10">
        <f>Q585</f>
        <v/>
      </c>
      <c r="T585" s="23" t="n">
        <v>61000</v>
      </c>
      <c r="U585" s="10">
        <f>T585</f>
        <v/>
      </c>
      <c r="V585" s="231" t="n">
        <v>60700</v>
      </c>
      <c r="W585" s="10">
        <f>V585</f>
        <v/>
      </c>
      <c r="X585" s="277">
        <f>T585/H585</f>
        <v/>
      </c>
      <c r="Y585" s="10" t="inlineStr">
        <is>
          <t>D</t>
        </is>
      </c>
      <c r="Z585" s="60" t="n"/>
      <c r="AA585" s="230" t="n"/>
      <c r="AB585" s="14" t="inlineStr">
        <is>
          <t>No</t>
        </is>
      </c>
      <c r="AC585" s="4" t="inlineStr">
        <is>
          <t xml:space="preserve">Tenant has annual breaks on 6 months notice. </t>
        </is>
      </c>
      <c r="AF585" s="278" t="n"/>
    </row>
    <row r="586" ht="23.2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Ground &amp; Basement, 3-4 Bywell Place</t>
        </is>
      </c>
      <c r="G586" s="11" t="inlineStr">
        <is>
          <t>Office</t>
        </is>
      </c>
      <c r="H586" s="23" t="n">
        <v>1167</v>
      </c>
      <c r="I586" s="7">
        <f>H586</f>
        <v/>
      </c>
      <c r="J586" s="7" t="n">
        <v>1000</v>
      </c>
      <c r="K586" s="4" t="inlineStr">
        <is>
          <t>Solo60 Ltd</t>
        </is>
      </c>
      <c r="L586" s="8" t="n">
        <v>45573</v>
      </c>
      <c r="M586" s="9" t="n">
        <v>47398</v>
      </c>
      <c r="Q586" s="10" t="n">
        <v>46800</v>
      </c>
      <c r="R586" s="10">
        <f>Q586</f>
        <v/>
      </c>
      <c r="T586" s="23" t="n">
        <v>37700</v>
      </c>
      <c r="U586" s="10">
        <f>T586</f>
        <v/>
      </c>
      <c r="V586" s="231" t="n">
        <v>49600</v>
      </c>
      <c r="W586" s="10">
        <f>V586</f>
        <v/>
      </c>
      <c r="X586" s="277">
        <f>T586/H586</f>
        <v/>
      </c>
      <c r="Y586" s="10" t="inlineStr">
        <is>
          <t>B</t>
        </is>
      </c>
      <c r="Z586" s="60" t="inlineStr">
        <is>
          <t>*</t>
        </is>
      </c>
      <c r="AA586" s="230" t="n"/>
      <c r="AB586" s="14" t="inlineStr">
        <is>
          <t>No</t>
        </is>
      </c>
      <c r="AF586" s="278" t="n"/>
    </row>
    <row r="587" ht="22.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First , 3-4 Bywell Place</t>
        </is>
      </c>
      <c r="G587" s="11" t="inlineStr">
        <is>
          <t>Office</t>
        </is>
      </c>
      <c r="H587" s="23" t="n">
        <v>922</v>
      </c>
      <c r="I587" s="7">
        <f>H587</f>
        <v/>
      </c>
      <c r="J587" s="7" t="n">
        <v>1000</v>
      </c>
      <c r="K587" s="4" t="inlineStr">
        <is>
          <t>Olsen UK Limited</t>
        </is>
      </c>
      <c r="L587" s="8" t="n">
        <v>45204</v>
      </c>
      <c r="M587" s="9" t="n">
        <v>46299</v>
      </c>
      <c r="Q587" s="23" t="n">
        <v>45800</v>
      </c>
      <c r="R587" s="10">
        <f>Q587</f>
        <v/>
      </c>
      <c r="T587" s="23" t="n">
        <v>39100</v>
      </c>
      <c r="U587" s="10">
        <f>T587</f>
        <v/>
      </c>
      <c r="V587" s="231" t="n">
        <v>39200</v>
      </c>
      <c r="W587" s="10">
        <f>V587</f>
        <v/>
      </c>
      <c r="X587" s="277">
        <f>T587/H587</f>
        <v/>
      </c>
      <c r="Y587" s="10" t="inlineStr">
        <is>
          <t>B</t>
        </is>
      </c>
      <c r="Z587" s="60" t="inlineStr">
        <is>
          <t>*</t>
        </is>
      </c>
      <c r="AA587" s="230" t="n"/>
      <c r="AB587" s="14" t="inlineStr">
        <is>
          <t>No</t>
        </is>
      </c>
      <c r="AF587" s="278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Second, 3-4 Bywell Place</t>
        </is>
      </c>
      <c r="G588" s="11" t="inlineStr">
        <is>
          <t>Office</t>
        </is>
      </c>
      <c r="H588" s="23" t="n">
        <v>781</v>
      </c>
      <c r="I588" s="7">
        <f>H588</f>
        <v/>
      </c>
      <c r="J588" s="7" t="n">
        <v>750</v>
      </c>
      <c r="K588" s="4" t="inlineStr">
        <is>
          <t>Vacant</t>
        </is>
      </c>
      <c r="N588" s="9" t="n">
        <v>45383</v>
      </c>
      <c r="Q588" s="10" t="n">
        <v>0</v>
      </c>
      <c r="R588" s="10">
        <f>Q588</f>
        <v/>
      </c>
      <c r="T588" s="23" t="n">
        <v>37300</v>
      </c>
      <c r="U588" s="10">
        <f>T588</f>
        <v/>
      </c>
      <c r="V588" s="231" t="n">
        <v>33200</v>
      </c>
      <c r="W588" s="10">
        <f>V588</f>
        <v/>
      </c>
      <c r="X588" s="277">
        <f>T588/H588</f>
        <v/>
      </c>
      <c r="Y588" s="10" t="inlineStr">
        <is>
          <t>B</t>
        </is>
      </c>
      <c r="Z588" s="60" t="inlineStr">
        <is>
          <t>*</t>
        </is>
      </c>
      <c r="AA588" s="230" t="n"/>
      <c r="AB588" s="14" t="inlineStr">
        <is>
          <t>No</t>
        </is>
      </c>
      <c r="AC588" s="4" t="inlineStr">
        <is>
          <t>LEM marketing.</t>
        </is>
      </c>
      <c r="AF588" s="278" t="n"/>
    </row>
    <row r="589" ht="14.25" customHeight="1">
      <c r="A589" s="2" t="n"/>
      <c r="B589" s="11" t="n"/>
      <c r="C589" s="11" t="inlineStr">
        <is>
          <t>MEL</t>
        </is>
      </c>
      <c r="D589" s="2" t="n"/>
      <c r="E589" s="4" t="n"/>
      <c r="G589" s="11" t="n"/>
      <c r="H589" s="23" t="n"/>
      <c r="I589" s="23" t="n"/>
      <c r="J589" s="23" t="n"/>
      <c r="Q589" s="23" t="n"/>
      <c r="R589" s="23" t="n"/>
      <c r="S589" s="23" t="n"/>
      <c r="T589" s="23" t="n"/>
      <c r="U589" s="23" t="n"/>
      <c r="V589" s="231" t="n"/>
      <c r="W589" s="23" t="n"/>
      <c r="X589" s="23" t="n"/>
      <c r="Y589" s="23" t="n"/>
      <c r="Z589" s="68" t="n"/>
      <c r="AA589" s="230" t="n"/>
      <c r="AB589" s="14" t="n"/>
      <c r="AF589" s="278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F590" s="90" t="inlineStr">
        <is>
          <t>Radiant House</t>
        </is>
      </c>
      <c r="H590" s="48">
        <f>SUM(H579:H588)</f>
        <v/>
      </c>
      <c r="I590" s="48" t="n"/>
      <c r="J590" s="48" t="n"/>
      <c r="Q590" s="48">
        <f>SUM(Q579:Q588)</f>
        <v/>
      </c>
      <c r="R590" s="48" t="n"/>
      <c r="S590" s="19">
        <f>SUM(R578:R589)</f>
        <v/>
      </c>
      <c r="T590" s="48">
        <f>SUM(T579:T588)</f>
        <v/>
      </c>
      <c r="U590" s="48" t="n"/>
      <c r="V590" s="366">
        <f>SUM(V579:V588)</f>
        <v/>
      </c>
      <c r="W590" s="48" t="n"/>
      <c r="X590" s="48" t="n"/>
      <c r="Y590" s="48" t="n"/>
      <c r="Z590" s="69" t="n"/>
      <c r="AA590" s="366" t="n">
        <v>9375000</v>
      </c>
      <c r="AB590" s="14" t="n"/>
      <c r="AE590" s="29" t="n"/>
      <c r="AF590" s="279" t="n"/>
      <c r="AG590" s="29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H591" s="48" t="n"/>
      <c r="I591" s="48" t="n"/>
      <c r="J591" s="48" t="n"/>
      <c r="Q591" s="48" t="n"/>
      <c r="R591" s="48" t="n"/>
      <c r="S591" s="48" t="n"/>
      <c r="T591" s="48" t="n"/>
      <c r="U591" s="48" t="n"/>
      <c r="V591" s="366" t="n"/>
      <c r="W591" s="48" t="n"/>
      <c r="X591" s="48" t="n"/>
      <c r="Y591" s="48" t="n"/>
      <c r="Z591" s="69" t="n"/>
      <c r="AA591" s="366" t="n"/>
      <c r="AB591" s="14" t="n"/>
      <c r="AF591" s="278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G592" s="6" t="inlineStr">
        <is>
          <t>Gilmoora House, 57-61 Mortimer Street</t>
        </is>
      </c>
      <c r="I592" s="10" t="n"/>
      <c r="J592" s="10" t="n"/>
      <c r="K592" s="30" t="n"/>
      <c r="T592" s="11" t="n"/>
      <c r="U592" s="10" t="n"/>
      <c r="W592" s="10" t="n"/>
      <c r="X592" s="10" t="n"/>
      <c r="Y592" s="10" t="n"/>
      <c r="Z592" s="60" t="n"/>
      <c r="AA592" s="366" t="n"/>
      <c r="AB592" s="14" t="n"/>
      <c r="AF592" s="278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n"/>
      <c r="H593" s="134" t="n"/>
      <c r="I593" s="10" t="n"/>
      <c r="J593" s="10" t="n"/>
      <c r="K593" s="13" t="n"/>
      <c r="L593" s="9" t="n"/>
      <c r="M593" s="8" t="n"/>
      <c r="N593" s="8" t="n"/>
      <c r="T593" s="10" t="n"/>
      <c r="U593" s="10" t="n"/>
      <c r="V593" s="27" t="n"/>
      <c r="W593" s="10" t="n"/>
      <c r="X593" s="10" t="n"/>
      <c r="Y593" s="10" t="n"/>
      <c r="Z593" s="60" t="n"/>
      <c r="AA593" s="366" t="n"/>
      <c r="AB593" s="14" t="n"/>
      <c r="AF593" s="278" t="n"/>
    </row>
    <row r="594" ht="22.5" customHeight="1">
      <c r="A594" s="2" t="n"/>
      <c r="B594" s="11" t="inlineStr">
        <is>
          <t>CM</t>
        </is>
      </c>
      <c r="C594" s="11" t="inlineStr">
        <is>
          <t>MEL</t>
        </is>
      </c>
      <c r="D594" s="2" t="n">
        <v>550390</v>
      </c>
      <c r="E594" s="4" t="inlineStr">
        <is>
          <t>Gilmoora House, 57-61 Mortimer Street</t>
        </is>
      </c>
      <c r="F594" s="4" t="inlineStr">
        <is>
          <t>Part Basement &amp; Part Ground Floor - 36 Gt Titchfield St</t>
        </is>
      </c>
      <c r="G594" s="14" t="inlineStr">
        <is>
          <t>Medical</t>
        </is>
      </c>
      <c r="H594" s="7" t="n">
        <v>6542</v>
      </c>
      <c r="I594" s="10">
        <f>H594</f>
        <v/>
      </c>
      <c r="J594" s="10" t="n">
        <v>6500</v>
      </c>
      <c r="K594" s="4" t="inlineStr">
        <is>
          <t>The Central London Clinic Ltd.</t>
        </is>
      </c>
      <c r="L594" s="8" t="n">
        <v>44609</v>
      </c>
      <c r="M594" s="9" t="n">
        <v>50087</v>
      </c>
      <c r="O594" s="8" t="n">
        <v>46435</v>
      </c>
      <c r="P594" s="8" t="n">
        <v>48260</v>
      </c>
      <c r="Q594" s="10" t="n">
        <v>210000</v>
      </c>
      <c r="R594" s="10">
        <f>Q594</f>
        <v/>
      </c>
      <c r="T594" s="235" t="n">
        <v>210000</v>
      </c>
      <c r="U594" s="10">
        <f>T594</f>
        <v/>
      </c>
      <c r="V594" s="378" t="n">
        <v>232000</v>
      </c>
      <c r="W594" s="10">
        <f>V594</f>
        <v/>
      </c>
      <c r="X594" s="277">
        <f>T594/H594</f>
        <v/>
      </c>
      <c r="Y594" s="10" t="inlineStr">
        <is>
          <t>A</t>
        </is>
      </c>
      <c r="Z594" s="60" t="n"/>
      <c r="AA594" s="366" t="n"/>
      <c r="AB594" s="14" t="inlineStr">
        <is>
          <t>No</t>
        </is>
      </c>
      <c r="AC594" s="4" t="inlineStr">
        <is>
          <t>Mutual break on 6 months notice.</t>
        </is>
      </c>
      <c r="AF594" s="278" t="n"/>
    </row>
    <row r="595" ht="28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35" t="inlineStr">
        <is>
          <t>Part Ground to Fifth Floors</t>
        </is>
      </c>
      <c r="G595" s="14" t="inlineStr">
        <is>
          <t>Office</t>
        </is>
      </c>
      <c r="H595" s="7" t="n">
        <v>20993</v>
      </c>
      <c r="I595" s="10">
        <f>H595</f>
        <v/>
      </c>
      <c r="J595" s="10" t="n">
        <v>21000</v>
      </c>
      <c r="K595" s="4" t="inlineStr">
        <is>
          <t>Gilmoora House Ltd</t>
        </is>
      </c>
      <c r="L595" s="8" t="n">
        <v>45564</v>
      </c>
      <c r="M595" s="9" t="n">
        <v>47389</v>
      </c>
      <c r="Q595" s="10" t="n">
        <v>1000000</v>
      </c>
      <c r="R595" s="10">
        <f>Q595</f>
        <v/>
      </c>
      <c r="T595" s="10" t="n">
        <v>1688000</v>
      </c>
      <c r="U595" s="10">
        <f>T595</f>
        <v/>
      </c>
      <c r="V595" s="27" t="n">
        <v>2005000</v>
      </c>
      <c r="W595" s="10">
        <f>V595</f>
        <v/>
      </c>
      <c r="X595" s="277">
        <f>T595/H595</f>
        <v/>
      </c>
      <c r="Y595" s="10" t="inlineStr">
        <is>
          <t>E</t>
        </is>
      </c>
      <c r="Z595" s="60" t="n"/>
      <c r="AA595" s="366" t="n"/>
      <c r="AB595" s="14" t="inlineStr">
        <is>
          <t>No</t>
        </is>
      </c>
      <c r="AC595" s="4" t="inlineStr">
        <is>
          <t>Internal Lease to another Lee Family Group Company.</t>
        </is>
      </c>
      <c r="AF595" s="278" t="n"/>
    </row>
    <row r="596" ht="14.25" customHeight="1">
      <c r="A596" s="2" t="n"/>
      <c r="B596" s="11" t="n"/>
      <c r="C596" s="11" t="inlineStr">
        <is>
          <t>MEL</t>
        </is>
      </c>
      <c r="D596" s="2" t="n"/>
      <c r="E596" s="4" t="n"/>
      <c r="F596" s="35" t="n"/>
      <c r="I596" s="10" t="n"/>
      <c r="J596" s="10" t="n"/>
      <c r="T596" s="10" t="n"/>
      <c r="U596" s="10" t="n"/>
      <c r="V596" s="27" t="n"/>
      <c r="W596" s="10" t="n"/>
      <c r="X596" s="10" t="n"/>
      <c r="Y596" s="10" t="n"/>
      <c r="Z596" s="60" t="n"/>
      <c r="AA596" s="366" t="n"/>
      <c r="AB596" s="14" t="n"/>
      <c r="AF596" s="278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90" t="inlineStr">
        <is>
          <t>57/61 Mortimer Street</t>
        </is>
      </c>
      <c r="H597" s="18">
        <f>SUM(H594:H595)</f>
        <v/>
      </c>
      <c r="I597" s="19" t="n"/>
      <c r="J597" s="19" t="n"/>
      <c r="Q597" s="19">
        <f>SUM(Q594:Q595)</f>
        <v/>
      </c>
      <c r="R597" s="19" t="n"/>
      <c r="S597" s="19">
        <f>SUM(R593:R596)</f>
        <v/>
      </c>
      <c r="T597" s="48">
        <f>SUM(T594:T595)</f>
        <v/>
      </c>
      <c r="U597" s="19" t="n"/>
      <c r="V597" s="366">
        <f>SUM(V594:V595)</f>
        <v/>
      </c>
      <c r="W597" s="19" t="n"/>
      <c r="X597" s="19" t="n"/>
      <c r="Y597" s="19" t="n"/>
      <c r="Z597" s="61" t="n"/>
      <c r="AA597" s="366" t="n">
        <v>24550000</v>
      </c>
      <c r="AB597" s="14" t="n"/>
      <c r="AE597" s="29" t="n"/>
      <c r="AF597" s="279" t="n"/>
      <c r="AG597" s="29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H598" s="18" t="n"/>
      <c r="I598" s="19" t="n"/>
      <c r="J598" s="19" t="n"/>
      <c r="Q598" s="19" t="n"/>
      <c r="R598" s="19" t="n"/>
      <c r="S598" s="19" t="n"/>
      <c r="T598" s="19" t="n"/>
      <c r="U598" s="19" t="n"/>
      <c r="V598" s="36" t="n"/>
      <c r="W598" s="19" t="n"/>
      <c r="X598" s="19" t="n"/>
      <c r="Y598" s="19" t="n"/>
      <c r="Z598" s="61" t="n"/>
      <c r="AA598" s="366" t="n"/>
      <c r="AB598" s="14" t="n"/>
      <c r="AF598" s="278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19" t="n"/>
      <c r="J599" s="19" t="n"/>
      <c r="Q599" s="19" t="n"/>
      <c r="R599" s="19" t="n"/>
      <c r="S599" s="19" t="n"/>
      <c r="T599" s="19" t="n"/>
      <c r="U599" s="19" t="n"/>
      <c r="V599" s="36" t="n"/>
      <c r="W599" s="19" t="n"/>
      <c r="X599" s="19" t="n"/>
      <c r="Y599" s="19" t="n"/>
      <c r="Z599" s="61" t="n"/>
      <c r="AA599" s="362" t="n"/>
      <c r="AB599" s="14" t="n"/>
      <c r="AF599" s="278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G600" s="6" t="inlineStr">
        <is>
          <t>67 - 81 Mortimer Street</t>
        </is>
      </c>
      <c r="I600" s="10" t="n"/>
      <c r="J600" s="10" t="n"/>
      <c r="K600" s="30" t="n"/>
      <c r="T600" s="11" t="n"/>
      <c r="U600" s="10" t="n"/>
      <c r="W600" s="10" t="n"/>
      <c r="X600" s="10" t="n"/>
      <c r="Y600" s="10" t="n"/>
      <c r="Z600" s="60" t="n"/>
      <c r="AA600" s="230" t="n"/>
      <c r="AB600" s="14" t="n"/>
      <c r="AF600" s="278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12" t="n"/>
      <c r="I601" s="10" t="n"/>
      <c r="J601" s="10" t="n"/>
      <c r="K601" s="13" t="n"/>
      <c r="L601" s="9" t="n"/>
      <c r="T601" s="10" t="n"/>
      <c r="U601" s="10" t="n"/>
      <c r="V601" s="27" t="n"/>
      <c r="W601" s="10" t="n"/>
      <c r="X601" s="10" t="n"/>
      <c r="Y601" s="10" t="n"/>
      <c r="Z601" s="60" t="n"/>
      <c r="AA601" s="230" t="n"/>
      <c r="AB601" s="14" t="n"/>
      <c r="AF601" s="278" t="n"/>
    </row>
    <row r="602" ht="22.5" customHeight="1">
      <c r="A602" s="2" t="n"/>
      <c r="B602" s="11" t="inlineStr">
        <is>
          <t>WS</t>
        </is>
      </c>
      <c r="C602" s="11" t="inlineStr">
        <is>
          <t>MEL</t>
        </is>
      </c>
      <c r="D602" s="2" t="n">
        <v>550870</v>
      </c>
      <c r="E602" s="4" t="inlineStr">
        <is>
          <t>67 - 81 Mortimer Street</t>
        </is>
      </c>
      <c r="F602" s="4" t="inlineStr">
        <is>
          <t>Ground Floor &amp; Bsmt. (No.67)</t>
        </is>
      </c>
      <c r="G602" s="14" t="inlineStr">
        <is>
          <t>Shop</t>
        </is>
      </c>
      <c r="H602" s="7" t="n">
        <v>1330</v>
      </c>
      <c r="I602" s="7">
        <f>H602</f>
        <v/>
      </c>
      <c r="J602" s="7" t="n">
        <v>1250</v>
      </c>
      <c r="K602" s="4" t="inlineStr">
        <is>
          <t>Status Beauty Limited</t>
        </is>
      </c>
      <c r="L602" s="8" t="n">
        <v>44936</v>
      </c>
      <c r="M602" s="9" t="n">
        <v>46761</v>
      </c>
      <c r="P602" s="9" t="n">
        <v>46031</v>
      </c>
      <c r="Q602" s="10" t="n">
        <v>70000</v>
      </c>
      <c r="R602" s="10">
        <f>Q602</f>
        <v/>
      </c>
      <c r="T602" s="10" t="n">
        <v>69900</v>
      </c>
      <c r="U602" s="10">
        <f>T602</f>
        <v/>
      </c>
      <c r="V602" s="27" t="n">
        <v>69900</v>
      </c>
      <c r="W602" s="10">
        <f>V602</f>
        <v/>
      </c>
      <c r="X602" s="277">
        <f>T602/H602</f>
        <v/>
      </c>
      <c r="Y602" s="10" t="inlineStr">
        <is>
          <t>D</t>
        </is>
      </c>
      <c r="Z602" s="60" t="n"/>
      <c r="AA602" s="230" t="n"/>
      <c r="AB602" s="14" t="inlineStr">
        <is>
          <t>No</t>
        </is>
      </c>
      <c r="AC602" s="4" t="inlineStr">
        <is>
          <t>Tenant break on 6 months notice. Rent free from 10/01/26 to 28/03/26 if not exercised.</t>
        </is>
      </c>
      <c r="AF602" s="278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(No.69)</t>
        </is>
      </c>
      <c r="G603" s="14" t="inlineStr">
        <is>
          <t>Shop/ Showroom</t>
        </is>
      </c>
      <c r="H603" s="7" t="n">
        <v>1486</v>
      </c>
      <c r="I603" s="7">
        <f>H603</f>
        <v/>
      </c>
      <c r="J603" s="7" t="n">
        <v>1500</v>
      </c>
      <c r="K603" s="4" t="inlineStr">
        <is>
          <t>ABC Smile Limited</t>
        </is>
      </c>
      <c r="L603" s="8" t="n">
        <v>44314</v>
      </c>
      <c r="M603" s="9" t="n">
        <v>47965</v>
      </c>
      <c r="P603" s="9" t="n">
        <v>46139</v>
      </c>
      <c r="Q603" s="10" t="n">
        <v>59500</v>
      </c>
      <c r="R603" s="10">
        <f>Q603</f>
        <v/>
      </c>
      <c r="T603" s="10" t="n">
        <v>64900</v>
      </c>
      <c r="U603" s="10">
        <f>T603</f>
        <v/>
      </c>
      <c r="V603" s="27" t="n">
        <v>64900</v>
      </c>
      <c r="W603" s="10">
        <f>V603</f>
        <v/>
      </c>
      <c r="X603" s="277">
        <f>T603/H603</f>
        <v/>
      </c>
      <c r="Y603" s="10" t="inlineStr">
        <is>
          <t>C</t>
        </is>
      </c>
      <c r="Z603" s="60" t="n"/>
      <c r="AA603" s="230" t="n"/>
      <c r="AB603" s="14" t="inlineStr">
        <is>
          <t>No</t>
        </is>
      </c>
      <c r="AC603" s="4" t="inlineStr">
        <is>
          <t>Tenant break on 6 month notice.</t>
        </is>
      </c>
      <c r="AF603" s="278" t="n"/>
    </row>
    <row r="604" ht="30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35" t="inlineStr">
        <is>
          <t>Ground Floor &amp; Bsmt. (No.71)</t>
        </is>
      </c>
      <c r="G604" s="14" t="inlineStr">
        <is>
          <t>Shop/ Showroom</t>
        </is>
      </c>
      <c r="H604" s="7" t="n">
        <v>1204</v>
      </c>
      <c r="I604" s="7">
        <f>H604</f>
        <v/>
      </c>
      <c r="J604" s="7" t="n">
        <v>1250</v>
      </c>
      <c r="K604" s="4" t="inlineStr">
        <is>
          <t>Folia Ltd.</t>
        </is>
      </c>
      <c r="L604" s="8" t="n">
        <v>45741</v>
      </c>
      <c r="M604" s="9" t="n">
        <v>46836</v>
      </c>
      <c r="P604" s="9" t="n">
        <v>46106</v>
      </c>
      <c r="Q604" s="10" t="n">
        <v>0</v>
      </c>
      <c r="R604" s="10">
        <f>Q604</f>
        <v/>
      </c>
      <c r="T604" s="10" t="n">
        <v>53100</v>
      </c>
      <c r="U604" s="10">
        <f>T604</f>
        <v/>
      </c>
      <c r="V604" s="27" t="n">
        <v>55800</v>
      </c>
      <c r="W604" s="10">
        <f>V604</f>
        <v/>
      </c>
      <c r="X604" s="277">
        <f>T604/H604</f>
        <v/>
      </c>
      <c r="Y604" s="10" t="inlineStr">
        <is>
          <t>C</t>
        </is>
      </c>
      <c r="Z604" s="60" t="n"/>
      <c r="AA604" s="230" t="n"/>
      <c r="AB604" s="14" t="inlineStr">
        <is>
          <t>No</t>
        </is>
      </c>
      <c r="AC604" s="35" t="inlineStr">
        <is>
          <t>Rent £55,000 wef 6 weeks after landlord works completed. Works delayed and date of tenant return end of Sept-25. Further tenant break 25/03/27.</t>
        </is>
      </c>
      <c r="AD604" s="306" t="n"/>
      <c r="AE604" s="35" t="n"/>
      <c r="AF604" s="280" t="n"/>
      <c r="AG604" s="35" t="n"/>
    </row>
    <row r="605" ht="27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4" t="inlineStr">
        <is>
          <t>Ground Floor &amp; Bsmt. (No. 77)</t>
        </is>
      </c>
      <c r="G605" s="14" t="inlineStr">
        <is>
          <t>Shop/ Showroom</t>
        </is>
      </c>
      <c r="H605" s="7" t="n">
        <v>1119</v>
      </c>
      <c r="I605" s="7">
        <f>H605</f>
        <v/>
      </c>
      <c r="J605" s="7" t="n">
        <v>1250</v>
      </c>
      <c r="K605" s="4" t="inlineStr">
        <is>
          <t>Folia Ltd.</t>
        </is>
      </c>
      <c r="L605" s="8" t="n">
        <v>45741</v>
      </c>
      <c r="M605" s="9" t="n">
        <v>46836</v>
      </c>
      <c r="Q605" s="10" t="n">
        <v>55000</v>
      </c>
      <c r="R605" s="10">
        <f>Q605</f>
        <v/>
      </c>
      <c r="T605" s="10" t="n">
        <v>51200</v>
      </c>
      <c r="U605" s="10">
        <f>T605</f>
        <v/>
      </c>
      <c r="V605" s="27" t="n">
        <v>53900</v>
      </c>
      <c r="W605" s="10">
        <f>V605</f>
        <v/>
      </c>
      <c r="X605" s="277">
        <f>T605/H605</f>
        <v/>
      </c>
      <c r="Y605" s="10" t="inlineStr">
        <is>
          <t>D</t>
        </is>
      </c>
      <c r="Z605" s="60" t="n"/>
      <c r="AA605" s="230" t="n"/>
      <c r="AB605" s="14" t="inlineStr">
        <is>
          <t>No</t>
        </is>
      </c>
      <c r="AC605" s="35" t="n"/>
      <c r="AD605" s="306" t="n"/>
      <c r="AE605" s="35" t="n"/>
      <c r="AF605" s="280" t="n"/>
      <c r="AG605" s="35" t="n"/>
    </row>
    <row r="606" ht="28.5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(No.79-81)</t>
        </is>
      </c>
      <c r="G606" s="14" t="inlineStr">
        <is>
          <t>Restaurant</t>
        </is>
      </c>
      <c r="H606" s="7" t="n">
        <v>3114</v>
      </c>
      <c r="I606" s="7">
        <f>H606</f>
        <v/>
      </c>
      <c r="J606" s="7" t="n">
        <v>3000</v>
      </c>
      <c r="K606" s="4" t="inlineStr">
        <is>
          <t>PHBB Restaurants Ltd.</t>
        </is>
      </c>
      <c r="L606" s="8" t="n">
        <v>44143</v>
      </c>
      <c r="M606" s="9" t="n">
        <v>49620</v>
      </c>
      <c r="O606" s="9" t="n">
        <v>45969</v>
      </c>
      <c r="Q606" s="10" t="n">
        <v>175000</v>
      </c>
      <c r="R606" s="10">
        <f>Q606</f>
        <v/>
      </c>
      <c r="T606" s="10" t="n">
        <v>146200</v>
      </c>
      <c r="U606" s="10">
        <f>T606</f>
        <v/>
      </c>
      <c r="V606" s="27" t="n">
        <v>146200</v>
      </c>
      <c r="W606" s="10">
        <f>V606</f>
        <v/>
      </c>
      <c r="X606" s="277">
        <f>T606/H606</f>
        <v/>
      </c>
      <c r="Y606" s="10" t="inlineStr">
        <is>
          <t>D</t>
        </is>
      </c>
      <c r="Z606" s="60" t="n"/>
      <c r="AA606" s="230" t="n"/>
      <c r="AB606" s="14" t="inlineStr">
        <is>
          <t>Yes</t>
        </is>
      </c>
      <c r="AC606" s="35" t="inlineStr">
        <is>
          <t xml:space="preserve">54 Act protected lease. All Inclusive (excl rates). </t>
        </is>
      </c>
      <c r="AD606" s="306" t="n"/>
      <c r="AE606" s="35" t="n"/>
      <c r="AF606" s="280" t="n"/>
      <c r="AG606" s="35" t="n"/>
    </row>
    <row r="607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35" t="inlineStr">
        <is>
          <t>First Floor (East)</t>
        </is>
      </c>
      <c r="G607" s="14" t="inlineStr">
        <is>
          <t>Office</t>
        </is>
      </c>
      <c r="H607" s="7" t="n">
        <v>1560</v>
      </c>
      <c r="I607" s="7">
        <f>H607</f>
        <v/>
      </c>
      <c r="J607" s="7" t="n">
        <v>1500</v>
      </c>
      <c r="K607" s="4" t="inlineStr">
        <is>
          <t>Feel Films Ltd.</t>
        </is>
      </c>
      <c r="L607" s="8" t="n">
        <v>44732</v>
      </c>
      <c r="M607" s="9" t="n">
        <v>46557</v>
      </c>
      <c r="O607" s="8" t="n"/>
      <c r="P607" s="8" t="n"/>
      <c r="Q607" s="10" t="n">
        <v>67146</v>
      </c>
      <c r="R607" s="10">
        <f>Q607</f>
        <v/>
      </c>
      <c r="T607" s="10" t="n">
        <v>85800</v>
      </c>
      <c r="U607" s="10">
        <f>T607</f>
        <v/>
      </c>
      <c r="V607" s="27" t="n">
        <v>85800</v>
      </c>
      <c r="W607" s="10">
        <f>V607</f>
        <v/>
      </c>
      <c r="X607" s="277">
        <f>T607/H607</f>
        <v/>
      </c>
      <c r="Y607" s="10" t="inlineStr">
        <is>
          <t>C</t>
        </is>
      </c>
      <c r="Z607" s="60" t="n"/>
      <c r="AA607" s="230" t="n"/>
      <c r="AB607" s="14" t="inlineStr">
        <is>
          <t>No</t>
        </is>
      </c>
      <c r="AC607" s="4" t="inlineStr">
        <is>
          <t>Rent reverts to £84,816 wef 20/06/26</t>
        </is>
      </c>
      <c r="AF607" s="278" t="n"/>
    </row>
    <row r="608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5" t="inlineStr">
        <is>
          <t>First Floor (West)</t>
        </is>
      </c>
      <c r="G608" s="14" t="inlineStr">
        <is>
          <t>Office</t>
        </is>
      </c>
      <c r="H608" s="7" t="n">
        <v>1454</v>
      </c>
      <c r="I608" s="7">
        <f>H608</f>
        <v/>
      </c>
      <c r="J608" s="7" t="n">
        <v>1500</v>
      </c>
      <c r="K608" s="4" t="inlineStr">
        <is>
          <t>Feel Films Ltd.</t>
        </is>
      </c>
      <c r="L608" s="8" t="n">
        <v>44419</v>
      </c>
      <c r="M608" s="9" t="n">
        <v>46244</v>
      </c>
      <c r="O608" s="8" t="n"/>
      <c r="P608" s="8" t="n"/>
      <c r="Q608" s="27" t="n">
        <v>83950</v>
      </c>
      <c r="R608" s="10">
        <f>Q608</f>
        <v/>
      </c>
      <c r="T608" s="10" t="n">
        <v>80000</v>
      </c>
      <c r="U608" s="10">
        <f>T608</f>
        <v/>
      </c>
      <c r="V608" s="27" t="n">
        <v>80000</v>
      </c>
      <c r="W608" s="10">
        <f>V608</f>
        <v/>
      </c>
      <c r="X608" s="277">
        <f>T608/H608</f>
        <v/>
      </c>
      <c r="Y608" s="10" t="inlineStr">
        <is>
          <t>D</t>
        </is>
      </c>
      <c r="Z608" s="60" t="n"/>
      <c r="AA608" s="230" t="n"/>
      <c r="AB608" s="14" t="inlineStr">
        <is>
          <t>No</t>
        </is>
      </c>
      <c r="AF608" s="278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5" t="inlineStr">
        <is>
          <t>Second Floor (West)</t>
        </is>
      </c>
      <c r="G609" s="14" t="inlineStr">
        <is>
          <t>Office</t>
        </is>
      </c>
      <c r="H609" s="7" t="n">
        <v>1395</v>
      </c>
      <c r="I609" s="7">
        <f>H609</f>
        <v/>
      </c>
      <c r="J609" s="7" t="n">
        <v>1500</v>
      </c>
      <c r="K609" s="4" t="inlineStr">
        <is>
          <t>Vacant</t>
        </is>
      </c>
      <c r="N609" s="9" t="n">
        <v>45837</v>
      </c>
      <c r="O609" s="8" t="n"/>
      <c r="P609" s="8" t="n"/>
      <c r="Q609" s="10" t="n">
        <v>0</v>
      </c>
      <c r="R609" s="10">
        <f>Q609</f>
        <v/>
      </c>
      <c r="T609" s="10" t="n">
        <v>76700</v>
      </c>
      <c r="U609" s="10">
        <f>T609</f>
        <v/>
      </c>
      <c r="V609" s="27" t="n">
        <v>76700</v>
      </c>
      <c r="W609" s="10">
        <f>V609</f>
        <v/>
      </c>
      <c r="X609" s="277">
        <f>T609/H609</f>
        <v/>
      </c>
      <c r="Y609" s="10" t="inlineStr">
        <is>
          <t>E</t>
        </is>
      </c>
      <c r="Z609" s="60" t="n"/>
      <c r="AA609" s="230" t="n"/>
      <c r="AB609" s="14" t="inlineStr">
        <is>
          <t>No</t>
        </is>
      </c>
      <c r="AC609" s="4" t="inlineStr">
        <is>
          <t>Unit Under offer.</t>
        </is>
      </c>
      <c r="AF609" s="278" t="n"/>
    </row>
    <row r="610" ht="22.5" customHeight="1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5" t="inlineStr">
        <is>
          <t>Second Floor (East)</t>
        </is>
      </c>
      <c r="G610" s="14" t="inlineStr">
        <is>
          <t>Office</t>
        </is>
      </c>
      <c r="H610" s="7" t="n">
        <v>1281</v>
      </c>
      <c r="I610" s="7">
        <f>H610</f>
        <v/>
      </c>
      <c r="J610" s="7" t="n">
        <v>1250</v>
      </c>
      <c r="K610" s="4" t="inlineStr">
        <is>
          <t>Feel Films Ltd.</t>
        </is>
      </c>
      <c r="L610" s="8" t="n">
        <v>45393</v>
      </c>
      <c r="M610" s="9" t="n">
        <v>47218</v>
      </c>
      <c r="P610" s="9" t="n">
        <v>46488</v>
      </c>
      <c r="Q610" s="10" t="n">
        <v>72800</v>
      </c>
      <c r="R610" s="10">
        <f>Q610</f>
        <v/>
      </c>
      <c r="T610" s="10" t="n">
        <v>70500</v>
      </c>
      <c r="U610" s="10">
        <f>T610</f>
        <v/>
      </c>
      <c r="V610" s="27" t="n">
        <v>70500</v>
      </c>
      <c r="W610" s="10">
        <f>V610</f>
        <v/>
      </c>
      <c r="X610" s="277">
        <f>T610/H610</f>
        <v/>
      </c>
      <c r="Y610" s="10" t="inlineStr">
        <is>
          <t>D</t>
        </is>
      </c>
      <c r="Z610" s="60" t="n"/>
      <c r="AA610" s="230" t="n"/>
      <c r="AB610" s="14" t="inlineStr">
        <is>
          <t>No</t>
        </is>
      </c>
      <c r="AC610" s="4" t="inlineStr">
        <is>
          <t>Tenant break on 6 months notice. 3 months rent free if break not exercised.</t>
        </is>
      </c>
      <c r="AF610" s="278" t="n"/>
    </row>
    <row r="61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5" t="inlineStr">
        <is>
          <t>Third Floor (East)</t>
        </is>
      </c>
      <c r="G611" s="14" t="inlineStr">
        <is>
          <t>Office</t>
        </is>
      </c>
      <c r="H611" s="7" t="n">
        <v>1371</v>
      </c>
      <c r="I611" s="7">
        <f>H611</f>
        <v/>
      </c>
      <c r="J611" s="7" t="n">
        <v>1250</v>
      </c>
      <c r="K611" s="4" t="inlineStr">
        <is>
          <t>Vacant</t>
        </is>
      </c>
      <c r="N611" s="9" t="n">
        <v>44647</v>
      </c>
      <c r="O611" s="8" t="n"/>
      <c r="P611" s="8" t="n"/>
      <c r="Q611" s="10" t="n">
        <v>0</v>
      </c>
      <c r="R611" s="10">
        <f>Q611</f>
        <v/>
      </c>
      <c r="T611" s="10" t="n">
        <v>75400</v>
      </c>
      <c r="U611" s="10">
        <f>T611</f>
        <v/>
      </c>
      <c r="V611" s="27" t="n">
        <v>75400</v>
      </c>
      <c r="W611" s="10">
        <f>V611</f>
        <v/>
      </c>
      <c r="X611" s="277">
        <f>T611/H611</f>
        <v/>
      </c>
      <c r="Y611" s="27" t="inlineStr">
        <is>
          <t>B</t>
        </is>
      </c>
      <c r="Z611" s="60" t="n"/>
      <c r="AA611" s="230" t="n"/>
      <c r="AB611" s="14" t="inlineStr">
        <is>
          <t>No</t>
        </is>
      </c>
      <c r="AC611" s="35" t="inlineStr">
        <is>
          <t>Under offer</t>
        </is>
      </c>
      <c r="AD611" s="306" t="n">
        <v>62</v>
      </c>
      <c r="AE611" s="35" t="n"/>
      <c r="AF611" s="280" t="n"/>
      <c r="AG611" s="35" t="n"/>
    </row>
    <row r="612" ht="16.5" customHeight="1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5" t="inlineStr">
        <is>
          <t>Third Floor (West)</t>
        </is>
      </c>
      <c r="G612" s="14" t="inlineStr">
        <is>
          <t>Office</t>
        </is>
      </c>
      <c r="H612" s="7" t="n">
        <v>1204</v>
      </c>
      <c r="I612" s="7">
        <f>H612</f>
        <v/>
      </c>
      <c r="J612" s="7" t="n">
        <v>1250</v>
      </c>
      <c r="K612" s="4" t="inlineStr">
        <is>
          <t>Vacant</t>
        </is>
      </c>
      <c r="N612" s="9" t="n">
        <v>42983</v>
      </c>
      <c r="O612" s="8" t="n"/>
      <c r="P612" s="8" t="n"/>
      <c r="Q612" s="10" t="n">
        <v>0</v>
      </c>
      <c r="R612" s="10">
        <f>Q612</f>
        <v/>
      </c>
      <c r="T612" s="10" t="n">
        <v>66200</v>
      </c>
      <c r="U612" s="10">
        <f>T612</f>
        <v/>
      </c>
      <c r="V612" s="27" t="n">
        <v>66200</v>
      </c>
      <c r="W612" s="10">
        <f>V612</f>
        <v/>
      </c>
      <c r="X612" s="277">
        <f>T612/H612</f>
        <v/>
      </c>
      <c r="Y612" s="27" t="inlineStr">
        <is>
          <t>B</t>
        </is>
      </c>
      <c r="Z612" s="60" t="n"/>
      <c r="AA612" s="230" t="n"/>
      <c r="AB612" s="14" t="inlineStr">
        <is>
          <t>No</t>
        </is>
      </c>
      <c r="AC612" s="35" t="inlineStr">
        <is>
          <t>Under offer</t>
        </is>
      </c>
      <c r="AD612" s="306" t="n">
        <v>62</v>
      </c>
      <c r="AE612" s="35" t="n"/>
      <c r="AF612" s="280" t="n"/>
      <c r="AG612" s="35" t="n"/>
    </row>
    <row r="613" ht="14.25" customHeight="1">
      <c r="A613" s="2" t="n"/>
      <c r="B613" s="11" t="n"/>
      <c r="C613" s="11" t="inlineStr">
        <is>
          <t>MEL</t>
        </is>
      </c>
      <c r="D613" s="2" t="n"/>
      <c r="E613" s="4" t="n"/>
      <c r="F613" s="35" t="n"/>
      <c r="I613" s="10" t="n"/>
      <c r="J613" s="10" t="n"/>
      <c r="T613" s="10" t="n"/>
      <c r="U613" s="10" t="n"/>
      <c r="V613" s="27" t="n"/>
      <c r="W613" s="10" t="n"/>
      <c r="X613" s="10" t="n"/>
      <c r="Y613" s="10" t="n"/>
      <c r="Z613" s="60" t="n"/>
      <c r="AA613" s="230" t="n"/>
      <c r="AB613" s="14" t="n"/>
      <c r="AF613" s="278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90" t="inlineStr">
        <is>
          <t>67/81 Mortimer Street</t>
        </is>
      </c>
      <c r="H614" s="18">
        <f>SUM(H602:H612)</f>
        <v/>
      </c>
      <c r="I614" s="19" t="n"/>
      <c r="J614" s="19" t="n"/>
      <c r="Q614" s="19">
        <f>SUM(Q602:Q612)</f>
        <v/>
      </c>
      <c r="R614" s="19" t="n"/>
      <c r="S614" s="19">
        <f>SUM(R600:R613)</f>
        <v/>
      </c>
      <c r="T614" s="19">
        <f>SUM(T602:T612)</f>
        <v/>
      </c>
      <c r="U614" s="19" t="n"/>
      <c r="V614" s="36">
        <f>SUM(V602:V612)</f>
        <v/>
      </c>
      <c r="W614" s="19" t="n"/>
      <c r="X614" s="19" t="n"/>
      <c r="Y614" s="19" t="n"/>
      <c r="Z614" s="61" t="n"/>
      <c r="AA614" s="36" t="n">
        <v>12350000</v>
      </c>
      <c r="AB614" s="14" t="n"/>
      <c r="AE614" s="29" t="n"/>
      <c r="AF614" s="279" t="n"/>
      <c r="AG614" s="29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G615" s="39" t="n"/>
      <c r="H615" s="18" t="n"/>
      <c r="I615" s="19" t="n"/>
      <c r="J615" s="19" t="n"/>
      <c r="Q615" s="19" t="n"/>
      <c r="R615" s="19" t="n"/>
      <c r="S615" s="19" t="n"/>
      <c r="T615" s="19" t="n"/>
      <c r="U615" s="19" t="n"/>
      <c r="V615" s="36" t="n"/>
      <c r="W615" s="19" t="n"/>
      <c r="X615" s="19" t="n"/>
      <c r="Y615" s="19" t="n"/>
      <c r="Z615" s="61" t="n"/>
      <c r="AA615" s="362" t="n"/>
      <c r="AB615" s="14" t="n"/>
      <c r="AC615" s="35" t="n"/>
      <c r="AD615" s="306" t="n"/>
      <c r="AE615" s="35" t="n"/>
      <c r="AF615" s="280" t="n"/>
      <c r="AG615" s="35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6" t="inlineStr">
        <is>
          <t>93 Mortimer Street &amp; 43 Great Portland Street</t>
        </is>
      </c>
      <c r="I616" s="10" t="n"/>
      <c r="J616" s="10" t="n"/>
      <c r="K616" s="30" t="n"/>
      <c r="T616" s="11" t="n"/>
      <c r="U616" s="10" t="n"/>
      <c r="W616" s="10" t="n"/>
      <c r="X616" s="10" t="n"/>
      <c r="Y616" s="10" t="n"/>
      <c r="Z616" s="60" t="n"/>
      <c r="AA616" s="230" t="n"/>
      <c r="AB616" s="14" t="n"/>
      <c r="AF616" s="278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39" t="n"/>
      <c r="H617" s="18" t="n"/>
      <c r="I617" s="19" t="n"/>
      <c r="J617" s="19" t="n"/>
      <c r="Q617" s="19" t="n"/>
      <c r="R617" s="19" t="n"/>
      <c r="S617" s="19" t="n"/>
      <c r="T617" s="19" t="n"/>
      <c r="U617" s="19" t="n"/>
      <c r="V617" s="36" t="n"/>
      <c r="W617" s="19" t="n"/>
      <c r="X617" s="19" t="n"/>
      <c r="Y617" s="19" t="n"/>
      <c r="Z617" s="61" t="n"/>
      <c r="AA617" s="362" t="n"/>
      <c r="AB617" s="14" t="n"/>
      <c r="AC617" s="35" t="n"/>
      <c r="AD617" s="306" t="n"/>
      <c r="AE617" s="35" t="n"/>
      <c r="AF617" s="280" t="n"/>
      <c r="AG617" s="35" t="n"/>
    </row>
    <row r="618" ht="22.5" customHeight="1">
      <c r="A618" s="2" t="n"/>
      <c r="B618" s="11" t="inlineStr">
        <is>
          <t>WS</t>
        </is>
      </c>
      <c r="C618" s="11" t="inlineStr">
        <is>
          <t>MEL</t>
        </is>
      </c>
      <c r="D618" s="2" t="n">
        <v>550980</v>
      </c>
      <c r="E618" s="4" t="inlineStr">
        <is>
          <t>93 Mortimer Street &amp; 43 Great Portland Street</t>
        </is>
      </c>
      <c r="F618" s="4" t="inlineStr">
        <is>
          <t>Whole</t>
        </is>
      </c>
      <c r="G618" s="14" t="inlineStr">
        <is>
          <t>Gallery</t>
        </is>
      </c>
      <c r="H618" s="18" t="n">
        <v>10112</v>
      </c>
      <c r="I618" s="19">
        <f>H618</f>
        <v/>
      </c>
      <c r="J618" s="19" t="n"/>
      <c r="K618" s="4" t="inlineStr">
        <is>
          <t>IBRAAZ</t>
        </is>
      </c>
      <c r="L618" s="8" t="n">
        <v>45708</v>
      </c>
      <c r="M618" s="9" t="n">
        <v>51185</v>
      </c>
      <c r="O618" s="9" t="n">
        <v>47534</v>
      </c>
      <c r="P618" s="9" t="n">
        <v>47898</v>
      </c>
      <c r="Q618" s="19" t="n">
        <v>550000</v>
      </c>
      <c r="R618" s="19">
        <f>Q618</f>
        <v/>
      </c>
      <c r="S618" s="19">
        <f>R618</f>
        <v/>
      </c>
      <c r="T618" s="19" t="n">
        <v>750000</v>
      </c>
      <c r="U618" s="19">
        <f>T618</f>
        <v/>
      </c>
      <c r="V618" s="36" t="n">
        <v>700000</v>
      </c>
      <c r="W618" s="19">
        <f>V618</f>
        <v/>
      </c>
      <c r="X618" s="277">
        <f>T618/H618</f>
        <v/>
      </c>
      <c r="Y618" s="19" t="inlineStr">
        <is>
          <t>A</t>
        </is>
      </c>
      <c r="Z618" s="61" t="n"/>
      <c r="AA618" s="36" t="n">
        <v>11850000</v>
      </c>
      <c r="AB618" s="14" t="inlineStr">
        <is>
          <t>No</t>
        </is>
      </c>
      <c r="AC618" s="35" t="inlineStr">
        <is>
          <t>Rent increases reverts to £700,000 wef 20/02/30 subject to rent review.</t>
        </is>
      </c>
      <c r="AE618" s="4" t="n">
        <v>1</v>
      </c>
      <c r="AF618" s="278" t="n">
        <v>1</v>
      </c>
    </row>
    <row r="619" ht="14.25" customHeight="1">
      <c r="A619" s="2" t="n"/>
      <c r="B619" s="11" t="n"/>
      <c r="C619" s="11" t="inlineStr">
        <is>
          <t>MEL</t>
        </is>
      </c>
      <c r="D619" s="2" t="n"/>
      <c r="E619" s="4" t="n"/>
      <c r="H619" s="18" t="n"/>
      <c r="I619" s="19" t="n"/>
      <c r="J619" s="19" t="n"/>
      <c r="Q619" s="19" t="n"/>
      <c r="R619" s="19" t="n"/>
      <c r="S619" s="19" t="n"/>
      <c r="T619" s="19" t="n"/>
      <c r="U619" s="19" t="n"/>
      <c r="V619" s="36" t="n"/>
      <c r="W619" s="19" t="n"/>
      <c r="X619" s="19" t="n"/>
      <c r="Y619" s="19" t="n"/>
      <c r="Z619" s="61" t="n"/>
      <c r="AA619" s="36" t="n"/>
      <c r="AB619" s="14" t="n"/>
      <c r="AF619" s="278" t="n"/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F620" s="90" t="inlineStr">
        <is>
          <t>93 Mortimer Street</t>
        </is>
      </c>
      <c r="H620" s="31">
        <f>SUM(H618:H619)</f>
        <v/>
      </c>
      <c r="I620" s="18" t="n"/>
      <c r="J620" s="18" t="n"/>
      <c r="K620" s="32" t="n"/>
      <c r="L620" s="33" t="n"/>
      <c r="M620" s="34" t="n"/>
      <c r="N620" s="34" t="n"/>
      <c r="O620" s="34" t="n"/>
      <c r="P620" s="34" t="n"/>
      <c r="Q620" s="31">
        <f>SUM(Q618:Q619)</f>
        <v/>
      </c>
      <c r="R620" s="31" t="n"/>
      <c r="S620" s="31" t="n"/>
      <c r="T620" s="31">
        <f>SUM(T618:T619)</f>
        <v/>
      </c>
      <c r="U620" s="31" t="n"/>
      <c r="V620" s="376" t="n"/>
      <c r="W620" s="31" t="n"/>
      <c r="X620" s="31" t="n"/>
      <c r="Y620" s="31" t="n"/>
      <c r="Z620" s="62" t="n"/>
      <c r="AA620" s="36" t="n"/>
      <c r="AB620" s="14" t="n"/>
      <c r="AF620" s="278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G621" s="6" t="inlineStr">
        <is>
          <t>142-144 Oxford Street</t>
        </is>
      </c>
      <c r="I621" s="10" t="n"/>
      <c r="J621" s="10" t="n"/>
      <c r="K621" s="30" t="n"/>
      <c r="T621" s="11" t="n"/>
      <c r="U621" s="10" t="n"/>
      <c r="W621" s="10" t="n"/>
      <c r="X621" s="10" t="n"/>
      <c r="Y621" s="10" t="n"/>
      <c r="Z621" s="60" t="n"/>
      <c r="AA621" s="36" t="n"/>
      <c r="AB621" s="14" t="n"/>
      <c r="AF621" s="278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n"/>
      <c r="H622" s="26" t="n"/>
      <c r="I622" s="10" t="n"/>
      <c r="J622" s="10" t="n"/>
      <c r="K622" s="26" t="n"/>
      <c r="L622" s="56" t="n"/>
      <c r="M622" s="56" t="n"/>
      <c r="N622" s="56" t="n"/>
      <c r="O622" s="41" t="n"/>
      <c r="P622" s="41" t="n"/>
      <c r="T622" s="23" t="n"/>
      <c r="U622" s="10" t="n"/>
      <c r="V622" s="231" t="n"/>
      <c r="W622" s="10" t="n"/>
      <c r="X622" s="10" t="n"/>
      <c r="Y622" s="10" t="n"/>
      <c r="Z622" s="60" t="n"/>
      <c r="AA622" s="36" t="n"/>
      <c r="AB622" s="14" t="n"/>
      <c r="AC622" s="30" t="n"/>
      <c r="AE622" s="30" t="n"/>
      <c r="AF622" s="284" t="n"/>
      <c r="AG622" s="30" t="n"/>
    </row>
    <row r="623" ht="22.5" customHeight="1">
      <c r="A623" s="2" t="n"/>
      <c r="B623" s="11" t="inlineStr">
        <is>
          <t>JM</t>
        </is>
      </c>
      <c r="C623" s="11" t="inlineStr">
        <is>
          <t>MEL</t>
        </is>
      </c>
      <c r="D623" s="2" t="n">
        <v>100850</v>
      </c>
      <c r="E623" s="4" t="inlineStr">
        <is>
          <t>142-144 Oxford Street</t>
        </is>
      </c>
      <c r="F623" s="4" t="inlineStr">
        <is>
          <t>Basement, Ground &amp; First Floors</t>
        </is>
      </c>
      <c r="G623" s="14" t="inlineStr">
        <is>
          <t>Retail/ Ancillary</t>
        </is>
      </c>
      <c r="H623" s="7" t="n">
        <v>5200</v>
      </c>
      <c r="I623" s="7">
        <f>H623</f>
        <v/>
      </c>
      <c r="J623" s="7" t="n">
        <v>5000</v>
      </c>
      <c r="K623" s="4" t="inlineStr">
        <is>
          <t>Telefonica UK Ltd</t>
        </is>
      </c>
      <c r="L623" s="8" t="n">
        <v>45776</v>
      </c>
      <c r="M623" s="9" t="n">
        <v>49427</v>
      </c>
      <c r="O623" s="9" t="n">
        <v>47602</v>
      </c>
      <c r="P623" s="9" t="n">
        <v>47601</v>
      </c>
      <c r="Q623" s="10" t="n">
        <v>352500</v>
      </c>
      <c r="R623" s="10">
        <f>Q623</f>
        <v/>
      </c>
      <c r="T623" s="23" t="n">
        <v>616000</v>
      </c>
      <c r="U623" s="10">
        <f>T623</f>
        <v/>
      </c>
      <c r="V623" s="231" t="n">
        <v>746500</v>
      </c>
      <c r="W623" s="10">
        <f>V623</f>
        <v/>
      </c>
      <c r="X623" s="277">
        <f>T623/H623</f>
        <v/>
      </c>
      <c r="Y623" s="10" t="inlineStr">
        <is>
          <t>B</t>
        </is>
      </c>
      <c r="Z623" s="60" t="n"/>
      <c r="AA623" s="36" t="n"/>
      <c r="AB623" s="14" t="inlineStr">
        <is>
          <t>No</t>
        </is>
      </c>
      <c r="AC623" s="35" t="inlineStr">
        <is>
          <t>Rent increasing to £705,000 wef 24/07/26. Tenant break on 6 months notice.</t>
        </is>
      </c>
      <c r="AD623" s="306" t="n"/>
      <c r="AE623" s="35" t="n">
        <v>1</v>
      </c>
      <c r="AF623" s="280" t="n">
        <v>1</v>
      </c>
      <c r="AG623" s="35" t="inlineStr">
        <is>
          <t>LEM</t>
        </is>
      </c>
    </row>
    <row r="624" ht="33.7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Kiosk in Adam and Eve Court</t>
        </is>
      </c>
      <c r="G624" s="14" t="inlineStr">
        <is>
          <t>Kiosk</t>
        </is>
      </c>
      <c r="H624" s="42" t="n">
        <v>85</v>
      </c>
      <c r="I624" s="7">
        <f>H624</f>
        <v/>
      </c>
      <c r="K624" s="137" t="inlineStr">
        <is>
          <t>The Prudential Assurance Company Ltd.</t>
        </is>
      </c>
      <c r="L624" s="8" t="n">
        <v>45589</v>
      </c>
      <c r="M624" s="8" t="n">
        <v>45953</v>
      </c>
      <c r="N624" s="8" t="n"/>
      <c r="Q624" s="10" t="n">
        <v>68250</v>
      </c>
      <c r="R624" s="10">
        <f>Q624</f>
        <v/>
      </c>
      <c r="T624" s="23" t="n">
        <v>65000</v>
      </c>
      <c r="U624" s="10">
        <f>T624</f>
        <v/>
      </c>
      <c r="V624" s="231" t="n">
        <v>0</v>
      </c>
      <c r="W624" s="10">
        <f>V624</f>
        <v/>
      </c>
      <c r="X624" s="277">
        <f>T624/H624</f>
        <v/>
      </c>
      <c r="Y624" s="10" t="n"/>
      <c r="Z624" s="60" t="n"/>
      <c r="AA624" s="36" t="n"/>
      <c r="AB624" s="14" t="inlineStr">
        <is>
          <t>No</t>
        </is>
      </c>
      <c r="AC624" s="30" t="inlineStr">
        <is>
          <t>Tenant rolling break on 3 months notice. Tenant has renewal option at stepped rent. Landlord redevelopment break @ 16/01/27 on 6 months notice.</t>
        </is>
      </c>
      <c r="AE624" s="30" t="n"/>
      <c r="AF624" s="284" t="n"/>
      <c r="AG624" s="30" t="n"/>
    </row>
    <row r="625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Flats 1 - 9 Inclusive</t>
        </is>
      </c>
      <c r="G625" s="14" t="inlineStr">
        <is>
          <t>Residential</t>
        </is>
      </c>
      <c r="H625" s="42" t="n">
        <v>4011</v>
      </c>
      <c r="I625" s="7">
        <f>H625</f>
        <v/>
      </c>
      <c r="J625" s="7" t="n">
        <v>4000</v>
      </c>
      <c r="K625" s="4" t="inlineStr">
        <is>
          <t>Advan Capital Limited</t>
        </is>
      </c>
      <c r="L625" s="8" t="n">
        <v>44204</v>
      </c>
      <c r="M625" s="9" t="n">
        <v>47855</v>
      </c>
      <c r="O625" s="9" t="n">
        <v>46030</v>
      </c>
      <c r="Q625" s="10" t="n">
        <v>130000</v>
      </c>
      <c r="R625" s="10">
        <f>Q625</f>
        <v/>
      </c>
      <c r="T625" s="23" t="n">
        <v>130000</v>
      </c>
      <c r="U625" s="10">
        <f>T625</f>
        <v/>
      </c>
      <c r="V625" s="231" t="n">
        <v>130000</v>
      </c>
      <c r="W625" s="10">
        <f>V625</f>
        <v/>
      </c>
      <c r="X625" s="277">
        <f>T625/H625</f>
        <v/>
      </c>
      <c r="Y625" s="10" t="inlineStr">
        <is>
          <t>B</t>
        </is>
      </c>
      <c r="Z625" s="60" t="n"/>
      <c r="AA625" s="36" t="n"/>
      <c r="AB625" s="14" t="inlineStr">
        <is>
          <t>No</t>
        </is>
      </c>
      <c r="AC625" s="30" t="n"/>
      <c r="AE625" s="30" t="n"/>
      <c r="AF625" s="284" t="n"/>
      <c r="AG625" s="30" t="n"/>
    </row>
    <row r="626" ht="14.25" customHeight="1">
      <c r="A626" s="2" t="n"/>
      <c r="B626" s="11" t="n"/>
      <c r="C626" s="11" t="inlineStr">
        <is>
          <t>MEL</t>
        </is>
      </c>
      <c r="D626" s="2" t="n"/>
      <c r="E626" s="4" t="n"/>
      <c r="G626" s="4" t="n"/>
      <c r="H626" s="42" t="n"/>
      <c r="I626" s="10" t="n"/>
      <c r="J626" s="10" t="n"/>
      <c r="K626" s="137" t="n"/>
      <c r="M626" s="8" t="n"/>
      <c r="N626" s="8" t="n"/>
      <c r="T626" s="23" t="n"/>
      <c r="U626" s="10" t="n"/>
      <c r="V626" s="231" t="n"/>
      <c r="W626" s="10" t="n"/>
      <c r="X626" s="10" t="n"/>
      <c r="Y626" s="10" t="n"/>
      <c r="Z626" s="60" t="n"/>
      <c r="AA626" s="36" t="n"/>
      <c r="AB626" s="14" t="n"/>
      <c r="AC626" s="30" t="n"/>
      <c r="AE626" s="30" t="n"/>
      <c r="AF626" s="284" t="n"/>
      <c r="AG626" s="30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F627" s="90" t="inlineStr">
        <is>
          <t>142-144 Oxford Street</t>
        </is>
      </c>
      <c r="G627" s="35" t="n"/>
      <c r="H627" s="49">
        <f>SUM(H623:H625)</f>
        <v/>
      </c>
      <c r="I627" s="19" t="n"/>
      <c r="J627" s="19" t="n"/>
      <c r="K627" s="137" t="n"/>
      <c r="L627" s="44" t="n"/>
      <c r="M627" s="8" t="n"/>
      <c r="N627" s="8" t="n"/>
      <c r="Q627" s="19">
        <f>SUM(Q623:Q625)</f>
        <v/>
      </c>
      <c r="R627" s="19" t="n"/>
      <c r="S627" s="19">
        <f>SUM(R621:R626)</f>
        <v/>
      </c>
      <c r="T627" s="48">
        <f>SUM(T623:T625)</f>
        <v/>
      </c>
      <c r="U627" s="19" t="n"/>
      <c r="V627" s="366">
        <f>SUM(V623:V625)</f>
        <v/>
      </c>
      <c r="W627" s="19" t="n"/>
      <c r="X627" s="19" t="n"/>
      <c r="Y627" s="19" t="n"/>
      <c r="Z627" s="61" t="n"/>
      <c r="AA627" s="36" t="n">
        <v>16300000</v>
      </c>
      <c r="AB627" s="14" t="n"/>
      <c r="AE627" s="29" t="n"/>
      <c r="AF627" s="279" t="n"/>
      <c r="AG627" s="29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32" t="n"/>
      <c r="G628" s="35" t="n"/>
      <c r="H628" s="49" t="n"/>
      <c r="I628" s="19" t="n"/>
      <c r="J628" s="19" t="n"/>
      <c r="K628" s="137" t="n"/>
      <c r="L628" s="44" t="n"/>
      <c r="M628" s="8" t="n"/>
      <c r="N628" s="8" t="n"/>
      <c r="Q628" s="19" t="n"/>
      <c r="R628" s="19" t="n"/>
      <c r="S628" s="19" t="n"/>
      <c r="T628" s="48" t="n"/>
      <c r="U628" s="19" t="n"/>
      <c r="V628" s="366" t="n"/>
      <c r="W628" s="19" t="n"/>
      <c r="X628" s="19" t="n"/>
      <c r="Y628" s="19" t="n"/>
      <c r="Z628" s="61" t="n"/>
      <c r="AA628" s="362" t="n"/>
      <c r="AB628" s="14" t="n"/>
      <c r="AC628" s="30" t="n"/>
      <c r="AE628" s="30" t="n"/>
      <c r="AF628" s="284" t="n"/>
      <c r="AG628" s="30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G629" s="35" t="n"/>
      <c r="H629" s="49" t="n"/>
      <c r="I629" s="19" t="n"/>
      <c r="J629" s="19" t="n"/>
      <c r="K629" s="137" t="n"/>
      <c r="L629" s="44" t="n"/>
      <c r="M629" s="8" t="n"/>
      <c r="N629" s="8" t="n"/>
      <c r="Q629" s="19" t="n"/>
      <c r="R629" s="19" t="n"/>
      <c r="S629" s="19" t="n"/>
      <c r="T629" s="48" t="n"/>
      <c r="U629" s="19" t="n"/>
      <c r="V629" s="366" t="n"/>
      <c r="W629" s="19" t="n"/>
      <c r="X629" s="19" t="n"/>
      <c r="Y629" s="19" t="n"/>
      <c r="Z629" s="61" t="n"/>
      <c r="AA629" s="362" t="n"/>
      <c r="AB629" s="14" t="n"/>
      <c r="AC629" s="30" t="n"/>
      <c r="AE629" s="30" t="n"/>
      <c r="AF629" s="284" t="n"/>
      <c r="AG629" s="30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6" t="inlineStr">
        <is>
          <t>146/148 Oxford Street</t>
        </is>
      </c>
      <c r="I630" s="10" t="n"/>
      <c r="J630" s="10" t="n"/>
      <c r="K630" s="30" t="n"/>
      <c r="T630" s="11" t="n"/>
      <c r="U630" s="10" t="n"/>
      <c r="W630" s="10" t="n"/>
      <c r="X630" s="10" t="n"/>
      <c r="Y630" s="10" t="n"/>
      <c r="Z630" s="60" t="n"/>
      <c r="AA630" s="230" t="n"/>
      <c r="AB630" s="14" t="n"/>
      <c r="AF630" s="278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5" t="n"/>
      <c r="H631" s="26" t="n"/>
      <c r="I631" s="19" t="n"/>
      <c r="J631" s="19" t="n"/>
      <c r="K631" s="118" t="n"/>
      <c r="Q631" s="19" t="n"/>
      <c r="R631" s="19" t="n"/>
      <c r="S631" s="19" t="n"/>
      <c r="T631" s="19" t="n"/>
      <c r="U631" s="19" t="n"/>
      <c r="V631" s="36" t="n"/>
      <c r="W631" s="19" t="n"/>
      <c r="X631" s="19" t="n"/>
      <c r="Y631" s="19" t="n"/>
      <c r="Z631" s="61" t="n"/>
      <c r="AA631" s="362" t="n"/>
      <c r="AB631" s="14" t="n"/>
      <c r="AC631" s="35" t="n"/>
      <c r="AD631" s="306" t="n"/>
      <c r="AE631" s="35" t="n"/>
      <c r="AF631" s="280" t="n"/>
      <c r="AG631" s="35" t="n"/>
    </row>
    <row r="632" ht="28.5" customHeight="1">
      <c r="A632" s="2" t="n"/>
      <c r="B632" s="11" t="inlineStr">
        <is>
          <t>JM</t>
        </is>
      </c>
      <c r="C632" s="11" t="inlineStr">
        <is>
          <t>MEL</t>
        </is>
      </c>
      <c r="D632" s="2" t="n">
        <v>100670</v>
      </c>
      <c r="E632" s="4" t="inlineStr">
        <is>
          <t>146/148 Oxford Street</t>
        </is>
      </c>
      <c r="F632" s="4" t="inlineStr">
        <is>
          <t>Vaults, Basement &amp; Ground Floors</t>
        </is>
      </c>
      <c r="G632" s="14" t="inlineStr">
        <is>
          <t>Retail</t>
        </is>
      </c>
      <c r="H632" s="7" t="n">
        <v>3348</v>
      </c>
      <c r="I632" s="10">
        <f>H632</f>
        <v/>
      </c>
      <c r="J632" s="10" t="n">
        <v>3250</v>
      </c>
      <c r="K632" s="4" t="inlineStr">
        <is>
          <t>Holland &amp; Barrett Retail Ltd</t>
        </is>
      </c>
      <c r="L632" s="8" t="n">
        <v>45600</v>
      </c>
      <c r="M632" s="9" t="n">
        <v>49251</v>
      </c>
      <c r="O632" s="9" t="n">
        <v>47426</v>
      </c>
      <c r="P632" s="9" t="n">
        <v>47790</v>
      </c>
      <c r="Q632" s="10" t="n">
        <v>260000</v>
      </c>
      <c r="R632" s="10">
        <f>Q632</f>
        <v/>
      </c>
      <c r="T632" s="10" t="n">
        <v>522500</v>
      </c>
      <c r="U632" s="10">
        <f>T632</f>
        <v/>
      </c>
      <c r="V632" s="27" t="n">
        <v>661800</v>
      </c>
      <c r="W632" s="10">
        <f>V632</f>
        <v/>
      </c>
      <c r="X632" s="277">
        <f>T632/H632</f>
        <v/>
      </c>
      <c r="Y632" s="10" t="inlineStr">
        <is>
          <t>B</t>
        </is>
      </c>
      <c r="Z632" s="60" t="n"/>
      <c r="AA632" s="362" t="n"/>
      <c r="AB632" s="14" t="inlineStr">
        <is>
          <t>No</t>
        </is>
      </c>
      <c r="AC632" s="35" t="inlineStr">
        <is>
          <t xml:space="preserve">Rent increases to £520,000 wef 04/08/26. Tenant break on 6 months notice. </t>
        </is>
      </c>
      <c r="AD632" s="309" t="n"/>
      <c r="AE632" s="122" t="n"/>
      <c r="AF632" s="285" t="n"/>
      <c r="AG632" s="122" t="n"/>
    </row>
    <row r="633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First to Fourth Floors</t>
        </is>
      </c>
      <c r="G633" s="14" t="inlineStr">
        <is>
          <t>Educational</t>
        </is>
      </c>
      <c r="H633" s="7" t="n">
        <v>2964</v>
      </c>
      <c r="I633" s="10">
        <f>H633</f>
        <v/>
      </c>
      <c r="J633" s="10" t="n">
        <v>3000</v>
      </c>
      <c r="K633" s="4" t="inlineStr">
        <is>
          <t>Vacant</t>
        </is>
      </c>
      <c r="N633" s="9" t="n">
        <v>42593</v>
      </c>
      <c r="Q633" s="10" t="n">
        <v>0</v>
      </c>
      <c r="R633" s="10">
        <f>Q633</f>
        <v/>
      </c>
      <c r="T633" s="10" t="n">
        <v>115000</v>
      </c>
      <c r="U633" s="10">
        <f>T633</f>
        <v/>
      </c>
      <c r="V633" s="27" t="n">
        <v>115000</v>
      </c>
      <c r="W633" s="10">
        <f>V633</f>
        <v/>
      </c>
      <c r="X633" s="277">
        <f>T633/H633</f>
        <v/>
      </c>
      <c r="Y633" s="10" t="inlineStr">
        <is>
          <t>E</t>
        </is>
      </c>
      <c r="Z633" s="60" t="n"/>
      <c r="AA633" s="362" t="n"/>
      <c r="AB633" s="14" t="inlineStr">
        <is>
          <t>No</t>
        </is>
      </c>
      <c r="AC633" s="4" t="inlineStr">
        <is>
          <t>Unit being stripped back to shell.</t>
        </is>
      </c>
      <c r="AF633" s="278" t="n"/>
    </row>
    <row r="634" ht="14.25" customHeight="1">
      <c r="A634" s="2" t="n"/>
      <c r="B634" s="11" t="n"/>
      <c r="C634" s="11" t="inlineStr">
        <is>
          <t>MEL</t>
        </is>
      </c>
      <c r="D634" s="2" t="n"/>
      <c r="E634" s="4" t="n"/>
      <c r="I634" s="10" t="n"/>
      <c r="J634" s="10" t="n"/>
      <c r="T634" s="10" t="n"/>
      <c r="U634" s="10" t="n"/>
      <c r="V634" s="27" t="n"/>
      <c r="W634" s="10" t="n"/>
      <c r="X634" s="277" t="n"/>
      <c r="Y634" s="10" t="n"/>
      <c r="Z634" s="60" t="n"/>
      <c r="AA634" s="362" t="n"/>
      <c r="AB634" s="14" t="n"/>
      <c r="AF634" s="278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F635" s="90" t="inlineStr">
        <is>
          <t>146-148 Oxford Street</t>
        </is>
      </c>
      <c r="G635" s="39" t="n"/>
      <c r="H635" s="18">
        <f>SUM(H632:H633)</f>
        <v/>
      </c>
      <c r="I635" s="19" t="n"/>
      <c r="J635" s="19" t="n"/>
      <c r="Q635" s="19">
        <f>SUM(Q632:Q633)</f>
        <v/>
      </c>
      <c r="R635" s="19" t="n"/>
      <c r="S635" s="19">
        <f>SUM(R631:R634)</f>
        <v/>
      </c>
      <c r="T635" s="19">
        <f>SUM(T632:T633)</f>
        <v/>
      </c>
      <c r="U635" s="19" t="n"/>
      <c r="V635" s="36">
        <f>SUM(V632:V633)</f>
        <v/>
      </c>
      <c r="W635" s="19" t="n"/>
      <c r="X635" s="19" t="n"/>
      <c r="Y635" s="19" t="n"/>
      <c r="Z635" s="61" t="n"/>
      <c r="AA635" s="36" t="n">
        <v>12300000</v>
      </c>
      <c r="AB635" s="14" t="n"/>
      <c r="AE635" s="29" t="n"/>
      <c r="AF635" s="279" t="n"/>
      <c r="AG635" s="29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G636" s="39" t="n"/>
      <c r="H636" s="18" t="n"/>
      <c r="I636" s="19" t="n"/>
      <c r="J636" s="19" t="n"/>
      <c r="Q636" s="19" t="n"/>
      <c r="R636" s="19" t="n"/>
      <c r="S636" s="19" t="n"/>
      <c r="T636" s="19" t="n"/>
      <c r="U636" s="19" t="n"/>
      <c r="V636" s="36" t="n"/>
      <c r="W636" s="19" t="n"/>
      <c r="X636" s="19" t="n"/>
      <c r="Y636" s="19" t="n"/>
      <c r="Z636" s="61" t="n"/>
      <c r="AA636" s="36" t="n"/>
      <c r="AB636" s="14" t="n"/>
      <c r="AC636" s="35" t="n"/>
      <c r="AD636" s="306" t="n"/>
      <c r="AE636" s="35" t="n"/>
      <c r="AF636" s="280" t="n"/>
      <c r="AG636" s="35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6" t="inlineStr">
        <is>
          <t>150/154 Oxford Street</t>
        </is>
      </c>
      <c r="I637" s="10" t="n"/>
      <c r="J637" s="10" t="n"/>
      <c r="K637" s="30" t="n"/>
      <c r="T637" s="11" t="n"/>
      <c r="U637" s="10" t="n"/>
      <c r="W637" s="10" t="n"/>
      <c r="X637" s="10" t="n"/>
      <c r="Y637" s="10" t="n"/>
      <c r="Z637" s="60" t="n"/>
      <c r="AA637" s="36" t="n"/>
      <c r="AB637" s="14" t="n"/>
      <c r="AF637" s="278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5" t="n"/>
      <c r="H638" s="26" t="n"/>
      <c r="I638" s="19" t="n"/>
      <c r="J638" s="19" t="n"/>
      <c r="K638" s="118" t="n"/>
      <c r="Q638" s="19" t="n"/>
      <c r="R638" s="19" t="n"/>
      <c r="S638" s="19" t="n"/>
      <c r="T638" s="19" t="n"/>
      <c r="U638" s="19" t="n"/>
      <c r="V638" s="36" t="n"/>
      <c r="W638" s="19" t="n"/>
      <c r="X638" s="19" t="n"/>
      <c r="Y638" s="19" t="n"/>
      <c r="Z638" s="61" t="n"/>
      <c r="AA638" s="36" t="n"/>
      <c r="AB638" s="14" t="n"/>
      <c r="AC638" s="35" t="n"/>
      <c r="AD638" s="306" t="n"/>
      <c r="AE638" s="35" t="n"/>
      <c r="AF638" s="280" t="n"/>
      <c r="AG638" s="35" t="n"/>
    </row>
    <row r="639" ht="33.75" customHeight="1">
      <c r="A639" s="2" t="n"/>
      <c r="B639" s="11" t="inlineStr">
        <is>
          <t>JM</t>
        </is>
      </c>
      <c r="C639" s="11" t="inlineStr">
        <is>
          <t>MEL</t>
        </is>
      </c>
      <c r="D639" s="2" t="n">
        <v>100650</v>
      </c>
      <c r="E639" s="4" t="inlineStr">
        <is>
          <t>150/154 Oxford Street</t>
        </is>
      </c>
      <c r="F639" s="4" t="inlineStr">
        <is>
          <t>Part Basement to Second Floors &amp; Rooftop Switch Room</t>
        </is>
      </c>
      <c r="G639" s="14" t="inlineStr">
        <is>
          <t>Retail</t>
        </is>
      </c>
      <c r="H639" s="18" t="n">
        <v>61433</v>
      </c>
      <c r="I639" s="10">
        <f>H639</f>
        <v/>
      </c>
      <c r="J639" s="10" t="n">
        <v>60000</v>
      </c>
      <c r="K639" s="4" t="inlineStr">
        <is>
          <t>Sportsdirect.com Retail Ltd</t>
        </is>
      </c>
      <c r="L639" s="8" t="n">
        <v>40925</v>
      </c>
      <c r="M639" s="9" t="n">
        <v>46403</v>
      </c>
      <c r="O639" s="9" t="n">
        <v>44578</v>
      </c>
      <c r="Q639" s="19" t="n">
        <v>4275000</v>
      </c>
      <c r="R639" s="10">
        <f>Q639</f>
        <v/>
      </c>
      <c r="S639" s="19">
        <f>R639</f>
        <v/>
      </c>
      <c r="T639" s="19" t="n">
        <v>2569000</v>
      </c>
      <c r="U639" s="10">
        <f>T639</f>
        <v/>
      </c>
      <c r="V639" s="36" t="n">
        <v>3490000</v>
      </c>
      <c r="W639" s="10">
        <f>V639</f>
        <v/>
      </c>
      <c r="X639" s="277">
        <f>T639/H639</f>
        <v/>
      </c>
      <c r="Y639" s="10" t="inlineStr">
        <is>
          <t>B</t>
        </is>
      </c>
      <c r="Z639" s="60" t="n"/>
      <c r="AA639" s="36" t="n">
        <v>72800000</v>
      </c>
      <c r="AB639" s="14" t="inlineStr">
        <is>
          <t>Yes</t>
        </is>
      </c>
      <c r="AC639" s="35" t="inlineStr">
        <is>
          <t xml:space="preserve">Electricity Substation sublet by Sportsdirect.com. Rent review not yet activated. </t>
        </is>
      </c>
      <c r="AD639" s="306" t="n"/>
      <c r="AE639" s="35" t="n"/>
      <c r="AF639" s="280" t="n"/>
      <c r="AG639" s="35" t="n"/>
    </row>
    <row r="640" ht="14.25" customHeight="1">
      <c r="A640" s="2" t="n"/>
      <c r="B640" s="11" t="n"/>
      <c r="C640" s="11" t="inlineStr">
        <is>
          <t>MEL</t>
        </is>
      </c>
      <c r="D640" s="2" t="n"/>
      <c r="E640" s="4" t="n"/>
      <c r="H640" s="18" t="n"/>
      <c r="I640" s="19" t="n"/>
      <c r="J640" s="19" t="n"/>
      <c r="Q640" s="19" t="n"/>
      <c r="R640" s="19" t="n"/>
      <c r="S640" s="19" t="n"/>
      <c r="T640" s="19" t="n"/>
      <c r="U640" s="19" t="n"/>
      <c r="V640" s="36" t="n"/>
      <c r="W640" s="19" t="n"/>
      <c r="X640" s="19" t="n"/>
      <c r="Y640" s="19" t="n"/>
      <c r="Z640" s="61" t="n"/>
      <c r="AA640" s="362" t="n"/>
      <c r="AB640" s="14" t="n"/>
      <c r="AF640" s="278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F641" s="86" t="n"/>
      <c r="H641" s="31" t="n"/>
      <c r="I641" s="18" t="n"/>
      <c r="J641" s="18" t="n"/>
      <c r="K641" s="32" t="n"/>
      <c r="L641" s="33" t="n"/>
      <c r="M641" s="34" t="n"/>
      <c r="N641" s="34" t="n"/>
      <c r="O641" s="34" t="n"/>
      <c r="P641" s="34" t="n"/>
      <c r="Q641" s="31">
        <f>SUM(Q639:Q640)</f>
        <v/>
      </c>
      <c r="R641" s="31" t="n"/>
      <c r="S641" s="31" t="n"/>
      <c r="T641" s="31">
        <f>SUM(T639:T640)</f>
        <v/>
      </c>
      <c r="U641" s="31" t="n"/>
      <c r="V641" s="376" t="n"/>
      <c r="W641" s="31" t="n"/>
      <c r="X641" s="31" t="n"/>
      <c r="Y641" s="31" t="n"/>
      <c r="Z641" s="62" t="n"/>
      <c r="AA641" s="360" t="n"/>
      <c r="AB641" s="14" t="n"/>
      <c r="AF641" s="278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G642" s="6" t="inlineStr">
        <is>
          <t>50 Eastcastle Street</t>
        </is>
      </c>
      <c r="I642" s="10" t="n"/>
      <c r="J642" s="10" t="n"/>
      <c r="K642" s="30" t="n"/>
      <c r="L642" s="232" t="n"/>
      <c r="T642" s="11" t="n"/>
      <c r="U642" s="10" t="n"/>
      <c r="W642" s="10" t="n"/>
      <c r="X642" s="10" t="n"/>
      <c r="Y642" s="10" t="n"/>
      <c r="Z642" s="60" t="n"/>
      <c r="AA642" s="230" t="n"/>
      <c r="AB642" s="14" t="n"/>
      <c r="AF642" s="278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F643" s="20" t="n"/>
      <c r="G643" s="5" t="n"/>
      <c r="H643" s="26" t="n"/>
      <c r="I643" s="112" t="n"/>
      <c r="J643" s="112" t="n"/>
      <c r="K643" s="26" t="n"/>
      <c r="L643" s="21" t="n"/>
      <c r="M643" s="21" t="n"/>
      <c r="N643" s="21" t="n"/>
      <c r="O643" s="21" t="n"/>
      <c r="P643" s="21" t="n"/>
      <c r="Q643" s="112" t="n"/>
      <c r="R643" s="112" t="n"/>
      <c r="S643" s="112" t="n"/>
      <c r="T643" s="112" t="n"/>
      <c r="U643" s="112" t="n"/>
      <c r="V643" s="379" t="n"/>
      <c r="W643" s="112" t="n"/>
      <c r="X643" s="112" t="n"/>
      <c r="Y643" s="112" t="n"/>
      <c r="Z643" s="61" t="n"/>
      <c r="AA643" s="367" t="n"/>
      <c r="AB643" s="14" t="n"/>
      <c r="AC643" s="129" t="n"/>
      <c r="AD643" s="310" t="n"/>
      <c r="AE643" s="129" t="n"/>
      <c r="AF643" s="286" t="n"/>
      <c r="AG643" s="129" t="n"/>
    </row>
    <row r="644" ht="28.5" customHeight="1">
      <c r="A644" s="2" t="n"/>
      <c r="B644" s="11" t="inlineStr">
        <is>
          <t>JM</t>
        </is>
      </c>
      <c r="C644" s="11" t="inlineStr">
        <is>
          <t>MEL</t>
        </is>
      </c>
      <c r="D644" s="2" t="n">
        <v>100650</v>
      </c>
      <c r="E644" s="4" t="inlineStr">
        <is>
          <t>50-60 Eastcastle Street</t>
        </is>
      </c>
      <c r="F644" s="4" t="inlineStr">
        <is>
          <t>Basement (South East)</t>
        </is>
      </c>
      <c r="G644" s="14" t="inlineStr">
        <is>
          <t>Storage</t>
        </is>
      </c>
      <c r="H644" s="7" t="n">
        <v>114</v>
      </c>
      <c r="I644" s="7">
        <f>H644</f>
        <v/>
      </c>
      <c r="K644" s="4" t="inlineStr">
        <is>
          <t>Building Workshop</t>
        </is>
      </c>
      <c r="Q644" s="10" t="n">
        <v>0</v>
      </c>
      <c r="R644" s="10">
        <f>Q644</f>
        <v/>
      </c>
      <c r="T644" s="10" t="n">
        <v>2007</v>
      </c>
      <c r="U644" s="10">
        <f>T644</f>
        <v/>
      </c>
      <c r="V644" s="27" t="n">
        <v>2000</v>
      </c>
      <c r="W644" s="10">
        <f>V644</f>
        <v/>
      </c>
      <c r="X644" s="277">
        <f>T644/H644</f>
        <v/>
      </c>
      <c r="Y644" s="10" t="n"/>
      <c r="Z644" s="60" t="n"/>
      <c r="AA644" s="230" t="n"/>
      <c r="AB644" s="14" t="inlineStr">
        <is>
          <t>No</t>
        </is>
      </c>
      <c r="AF644" s="278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Store A</t>
        </is>
      </c>
      <c r="G645" s="14" t="inlineStr">
        <is>
          <t>Storage</t>
        </is>
      </c>
      <c r="H645" s="7" t="n">
        <v>454</v>
      </c>
      <c r="I645" s="7">
        <f>H645</f>
        <v/>
      </c>
      <c r="K645" s="4" t="inlineStr">
        <is>
          <t>Hope93 Ltd.</t>
        </is>
      </c>
      <c r="L645" s="8" t="n">
        <v>45685</v>
      </c>
      <c r="M645" s="9" t="n">
        <v>47358</v>
      </c>
      <c r="P645" s="9" t="n">
        <v>46627</v>
      </c>
      <c r="Q645" s="10" t="n">
        <v>18000</v>
      </c>
      <c r="R645" s="10">
        <f>Q645</f>
        <v/>
      </c>
      <c r="T645" s="10" t="n">
        <v>7993</v>
      </c>
      <c r="U645" s="10" t="n"/>
      <c r="V645" s="27" t="n">
        <v>18000</v>
      </c>
      <c r="W645" s="10">
        <f>V645</f>
        <v/>
      </c>
      <c r="X645" s="277">
        <f>T645/H645</f>
        <v/>
      </c>
      <c r="Y645" s="10" t="n"/>
      <c r="Z645" s="60" t="n"/>
      <c r="AA645" s="230" t="n"/>
      <c r="AB645" s="14" t="n"/>
      <c r="AC645" s="4" t="inlineStr">
        <is>
          <t>Tenant break on 6 months notice.</t>
        </is>
      </c>
      <c r="AF645" s="278" t="n"/>
    </row>
    <row r="646" ht="22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(West)</t>
        </is>
      </c>
      <c r="G646" s="14" t="inlineStr">
        <is>
          <t>Building Managers Office</t>
        </is>
      </c>
      <c r="H646" s="7" t="n">
        <v>780</v>
      </c>
      <c r="I646" s="7">
        <f>H646</f>
        <v/>
      </c>
      <c r="J646" s="7" t="n">
        <v>750</v>
      </c>
      <c r="K646" s="4" t="inlineStr">
        <is>
          <t>Langham Estate Management Ltd</t>
        </is>
      </c>
      <c r="L646" s="8" t="n">
        <v>44562</v>
      </c>
      <c r="M646" s="9" t="n">
        <v>46752</v>
      </c>
      <c r="O646" s="9" t="n">
        <v>45292</v>
      </c>
      <c r="Q646" s="10" t="n">
        <v>17100</v>
      </c>
      <c r="R646" s="10">
        <f>Q646</f>
        <v/>
      </c>
      <c r="T646" s="10" t="n">
        <v>12500</v>
      </c>
      <c r="U646" s="10">
        <f>T646</f>
        <v/>
      </c>
      <c r="V646" s="27" t="n">
        <v>12500</v>
      </c>
      <c r="W646" s="10">
        <f>V646</f>
        <v/>
      </c>
      <c r="X646" s="277">
        <f>T646/H646</f>
        <v/>
      </c>
      <c r="Y646" s="10" t="inlineStr">
        <is>
          <t>D</t>
        </is>
      </c>
      <c r="Z646" s="60" t="n"/>
      <c r="AA646" s="230" t="n"/>
      <c r="AB646" s="14" t="inlineStr">
        <is>
          <t>No</t>
        </is>
      </c>
      <c r="AC646" s="4" t="inlineStr">
        <is>
          <t>2 yearly rent reviews. Mutual rolling break on 6 months notice. Internal Lease to another Lee Family Group Company.</t>
        </is>
      </c>
      <c r="AF646" s="278" t="n"/>
    </row>
    <row r="647" ht="28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Grnd/Basement  - 10 &amp; 12 Winsley St.</t>
        </is>
      </c>
      <c r="G647" s="14" t="inlineStr">
        <is>
          <t>Restaurant</t>
        </is>
      </c>
      <c r="H647" s="7" t="n">
        <v>3661</v>
      </c>
      <c r="I647" s="7">
        <f>H647</f>
        <v/>
      </c>
      <c r="J647" s="7" t="n">
        <v>3500</v>
      </c>
      <c r="K647" s="4" t="inlineStr">
        <is>
          <t>Comptoir Group Plc</t>
        </is>
      </c>
      <c r="L647" s="8" t="n">
        <v>44115</v>
      </c>
      <c r="M647" s="9" t="n">
        <v>46670</v>
      </c>
      <c r="Q647" s="10" t="n">
        <v>170000</v>
      </c>
      <c r="R647" s="10">
        <f>Q647</f>
        <v/>
      </c>
      <c r="T647" s="10" t="n">
        <v>216700</v>
      </c>
      <c r="U647" s="10">
        <f>T647</f>
        <v/>
      </c>
      <c r="V647" s="27" t="n">
        <v>216700</v>
      </c>
      <c r="W647" s="10">
        <f>V647</f>
        <v/>
      </c>
      <c r="X647" s="277">
        <f>T647/H647</f>
        <v/>
      </c>
      <c r="Y647" s="10" t="inlineStr">
        <is>
          <t>D</t>
        </is>
      </c>
      <c r="Z647" s="60" t="n"/>
      <c r="AA647" s="230" t="n"/>
      <c r="AB647" s="14" t="inlineStr">
        <is>
          <t>No</t>
        </is>
      </c>
      <c r="AF647" s="278" t="n"/>
    </row>
    <row r="648" ht="22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Basement 56-57 Eastcastle St.</t>
        </is>
      </c>
      <c r="G648" s="14" t="inlineStr">
        <is>
          <t>Showroom</t>
        </is>
      </c>
      <c r="H648" s="7" t="n">
        <v>1716</v>
      </c>
      <c r="I648" s="7">
        <f>H648</f>
        <v/>
      </c>
      <c r="J648" s="7" t="n">
        <v>1750</v>
      </c>
      <c r="K648" s="4" t="inlineStr">
        <is>
          <t>Vacant</t>
        </is>
      </c>
      <c r="Q648" s="10" t="n">
        <v>0</v>
      </c>
      <c r="R648" s="10">
        <f>Q648</f>
        <v/>
      </c>
      <c r="T648" s="10" t="n">
        <v>107600</v>
      </c>
      <c r="U648" s="10">
        <f>T648</f>
        <v/>
      </c>
      <c r="V648" s="27" t="n">
        <v>0</v>
      </c>
      <c r="W648" s="10">
        <f>V648</f>
        <v/>
      </c>
      <c r="X648" s="277">
        <f>T648/H648</f>
        <v/>
      </c>
      <c r="Y648" s="10" t="n"/>
      <c r="Z648" s="60" t="n"/>
      <c r="AA648" s="230" t="n"/>
      <c r="AB648" s="14" t="inlineStr">
        <is>
          <t>No</t>
        </is>
      </c>
      <c r="AC648" s="4" t="inlineStr">
        <is>
          <t>Mothballed.</t>
        </is>
      </c>
      <c r="AF648" s="278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Ground 56-57 Eastcastle St.</t>
        </is>
      </c>
      <c r="G649" s="14" t="inlineStr">
        <is>
          <t>Showroom</t>
        </is>
      </c>
      <c r="H649" s="7" t="n">
        <v>1952</v>
      </c>
      <c r="I649" s="7">
        <f>H649</f>
        <v/>
      </c>
      <c r="J649" s="7" t="n">
        <v>2000</v>
      </c>
      <c r="K649" s="4" t="inlineStr">
        <is>
          <t>YG Group Ltd</t>
        </is>
      </c>
      <c r="L649" s="8" t="n">
        <v>45450</v>
      </c>
      <c r="M649" s="9" t="n">
        <v>49101</v>
      </c>
      <c r="O649" s="9" t="n">
        <v>47276</v>
      </c>
      <c r="P649" s="9" t="n">
        <v>47275</v>
      </c>
      <c r="Q649" s="10" t="n">
        <v>159500</v>
      </c>
      <c r="R649" s="10">
        <f>Q649</f>
        <v/>
      </c>
      <c r="T649" s="10" t="n">
        <v>122400</v>
      </c>
      <c r="U649" s="10">
        <f>T649</f>
        <v/>
      </c>
      <c r="V649" s="27" t="n">
        <v>136600</v>
      </c>
      <c r="W649" s="10">
        <f>V649</f>
        <v/>
      </c>
      <c r="X649" s="277">
        <f>T649/H649</f>
        <v/>
      </c>
      <c r="Y649" s="10" t="inlineStr">
        <is>
          <t>C</t>
        </is>
      </c>
      <c r="Z649" s="60" t="n"/>
      <c r="AA649" s="230" t="n"/>
      <c r="AB649" s="14" t="inlineStr">
        <is>
          <t>No</t>
        </is>
      </c>
      <c r="AC649" s="4" t="inlineStr">
        <is>
          <t>Mutual break on 6 months notice. 5 months rent free amortised over 1yr if break not exercised.</t>
        </is>
      </c>
      <c r="AF649" s="278" t="n"/>
    </row>
    <row r="650" ht="28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Grnd/Basement - 55 Eastcastle St.</t>
        </is>
      </c>
      <c r="G650" s="14" t="inlineStr">
        <is>
          <t>Art Gallery</t>
        </is>
      </c>
      <c r="H650" s="7" t="n">
        <v>1710</v>
      </c>
      <c r="I650" s="7">
        <f>H650</f>
        <v/>
      </c>
      <c r="J650" s="7" t="n">
        <v>1750</v>
      </c>
      <c r="K650" s="29" t="inlineStr">
        <is>
          <t>Vacant</t>
        </is>
      </c>
      <c r="L650" s="388" t="n"/>
      <c r="M650" s="387" t="n"/>
      <c r="N650" s="387" t="n">
        <v>45874</v>
      </c>
      <c r="O650" s="387" t="n"/>
      <c r="P650" s="387" t="n"/>
      <c r="Q650" s="27" t="n">
        <v>0</v>
      </c>
      <c r="R650" s="10">
        <f>Q650</f>
        <v/>
      </c>
      <c r="T650" s="10" t="n">
        <v>85500</v>
      </c>
      <c r="U650" s="10">
        <f>T650</f>
        <v/>
      </c>
      <c r="V650" s="27" t="n">
        <v>100000</v>
      </c>
      <c r="W650" s="10">
        <f>V650</f>
        <v/>
      </c>
      <c r="X650" s="277">
        <f>T650/H650</f>
        <v/>
      </c>
      <c r="Y650" s="10" t="inlineStr">
        <is>
          <t>D</t>
        </is>
      </c>
      <c r="Z650" s="60" t="n"/>
      <c r="AA650" s="230" t="n"/>
      <c r="AB650" s="14" t="inlineStr">
        <is>
          <t>No</t>
        </is>
      </c>
      <c r="AC650" s="29" t="inlineStr">
        <is>
          <t>LEM marketing.</t>
        </is>
      </c>
      <c r="AF650" s="278" t="n"/>
    </row>
    <row r="651" ht="37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- 54 Eastcastle St</t>
        </is>
      </c>
      <c r="G651" s="14" t="inlineStr">
        <is>
          <t>Art Gallery</t>
        </is>
      </c>
      <c r="H651" s="7" t="n">
        <v>3601</v>
      </c>
      <c r="I651" s="7">
        <f>H651</f>
        <v/>
      </c>
      <c r="J651" s="7" t="n">
        <v>3500</v>
      </c>
      <c r="K651" s="4" t="inlineStr">
        <is>
          <t>Hope93 Ltd.</t>
        </is>
      </c>
      <c r="L651" s="8" t="n">
        <v>45533</v>
      </c>
      <c r="M651" s="9" t="n">
        <v>49184</v>
      </c>
      <c r="O651" s="9" t="n">
        <v>47359</v>
      </c>
      <c r="P651" s="9" t="n">
        <v>46627</v>
      </c>
      <c r="Q651" s="10" t="n">
        <v>83500</v>
      </c>
      <c r="R651" s="10">
        <f>Q651</f>
        <v/>
      </c>
      <c r="T651" s="10" t="n">
        <v>144000</v>
      </c>
      <c r="U651" s="10">
        <f>T651</f>
        <v/>
      </c>
      <c r="V651" s="27" t="n">
        <v>167400</v>
      </c>
      <c r="W651" s="10">
        <f>V651</f>
        <v/>
      </c>
      <c r="X651" s="277">
        <f>T651/H651</f>
        <v/>
      </c>
      <c r="Y651" s="10" t="inlineStr">
        <is>
          <t>D</t>
        </is>
      </c>
      <c r="Z651" s="60" t="n"/>
      <c r="AA651" s="362" t="n"/>
      <c r="AB651" s="14" t="inlineStr">
        <is>
          <t>No</t>
        </is>
      </c>
      <c r="AC651" s="4" t="inlineStr">
        <is>
          <t>Rent increasing to £167,000 pa wef 29/08/29. Further break @ 28/08/29 on 6 months notice. Penalty clause of £27,833 for first break.</t>
        </is>
      </c>
      <c r="AE651" s="29" t="n"/>
      <c r="AF651" s="279" t="n"/>
      <c r="AG651" s="29" t="n"/>
    </row>
    <row r="652" ht="22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- 51, 52 &amp; 53 Eastcastle St.</t>
        </is>
      </c>
      <c r="G652" s="14" t="inlineStr">
        <is>
          <t>Restaurant</t>
        </is>
      </c>
      <c r="H652" s="7" t="n">
        <v>6889</v>
      </c>
      <c r="I652" s="7">
        <f>H652</f>
        <v/>
      </c>
      <c r="J652" s="7" t="n">
        <v>7000</v>
      </c>
      <c r="K652" s="4" t="inlineStr">
        <is>
          <t>Stay On Target Ltd</t>
        </is>
      </c>
      <c r="L652" s="8" t="n">
        <v>44630</v>
      </c>
      <c r="M652" s="9" t="n">
        <v>48282</v>
      </c>
      <c r="O652" s="9" t="n">
        <v>46456</v>
      </c>
      <c r="Q652" s="10" t="n">
        <v>385000</v>
      </c>
      <c r="R652" s="10">
        <f>Q652</f>
        <v/>
      </c>
      <c r="T652" s="10" t="n">
        <v>390000</v>
      </c>
      <c r="U652" s="10">
        <f>T652</f>
        <v/>
      </c>
      <c r="V652" s="27" t="n">
        <v>390000</v>
      </c>
      <c r="W652" s="10">
        <f>V652</f>
        <v/>
      </c>
      <c r="X652" s="277">
        <f>T652/H652</f>
        <v/>
      </c>
      <c r="Y652" s="10" t="inlineStr">
        <is>
          <t>A</t>
        </is>
      </c>
      <c r="Z652" s="60" t="n"/>
      <c r="AA652" s="362" t="n"/>
      <c r="AB652" s="14" t="inlineStr">
        <is>
          <t>No</t>
        </is>
      </c>
      <c r="AC652" s="4" t="inlineStr">
        <is>
          <t>Stepped rent. £390,000 wef 10/03/26. Penalty of £27,833 if first break activated. Parent company (Whistle Punks Ltd) in liquidation.</t>
        </is>
      </c>
      <c r="AF652" s="278" t="n"/>
    </row>
    <row r="653" ht="28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29" t="inlineStr">
        <is>
          <t>First Floor</t>
        </is>
      </c>
      <c r="G653" s="14" t="inlineStr">
        <is>
          <t>Showroom/ Office</t>
        </is>
      </c>
      <c r="H653" s="359" t="n">
        <v>13294</v>
      </c>
      <c r="I653" s="7">
        <f>H653</f>
        <v/>
      </c>
      <c r="J653" s="7" t="n">
        <v>13294</v>
      </c>
      <c r="K653" s="4" t="inlineStr">
        <is>
          <t>Vacant</t>
        </is>
      </c>
      <c r="N653" s="9" t="n">
        <v>44682</v>
      </c>
      <c r="Q653" s="10" t="n">
        <v>0</v>
      </c>
      <c r="R653" s="10">
        <f>Q653</f>
        <v/>
      </c>
      <c r="T653" s="7" t="n">
        <v>670700</v>
      </c>
      <c r="U653" s="10">
        <f>T653</f>
        <v/>
      </c>
      <c r="V653" s="27" t="n">
        <v>897300</v>
      </c>
      <c r="W653" s="10">
        <f>V653</f>
        <v/>
      </c>
      <c r="X653" s="277">
        <f>T653/H653</f>
        <v/>
      </c>
      <c r="Y653" s="10" t="inlineStr">
        <is>
          <t>D</t>
        </is>
      </c>
      <c r="Z653" s="60" t="n"/>
      <c r="AA653" s="362" t="n"/>
      <c r="AB653" s="14" t="inlineStr">
        <is>
          <t>No</t>
        </is>
      </c>
      <c r="AC653" s="29" t="inlineStr">
        <is>
          <t>Under refurb. All four units combined. Floor area remeasured</t>
        </is>
      </c>
      <c r="AF653" s="278" t="n"/>
    </row>
    <row r="654" customFormat="1" s="55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29" t="inlineStr">
        <is>
          <t xml:space="preserve">Second Floor </t>
        </is>
      </c>
      <c r="G654" s="14" t="inlineStr">
        <is>
          <t>Office</t>
        </is>
      </c>
      <c r="H654" s="359" t="n">
        <v>18378</v>
      </c>
      <c r="I654" s="7">
        <f>H654</f>
        <v/>
      </c>
      <c r="J654" s="7">
        <f>I654</f>
        <v/>
      </c>
      <c r="K654" s="4" t="inlineStr">
        <is>
          <t>Vacant</t>
        </is>
      </c>
      <c r="L654" s="8" t="n"/>
      <c r="M654" s="9" t="n"/>
      <c r="N654" s="9" t="n">
        <v>44849</v>
      </c>
      <c r="O654" s="9" t="n"/>
      <c r="P654" s="9" t="n"/>
      <c r="Q654" s="10" t="n">
        <v>0</v>
      </c>
      <c r="R654" s="10">
        <f>Q654</f>
        <v/>
      </c>
      <c r="S654" s="10" t="n"/>
      <c r="T654" s="10" t="n">
        <v>1161100</v>
      </c>
      <c r="U654" s="10">
        <f>T654</f>
        <v/>
      </c>
      <c r="V654" s="27" t="n">
        <v>1294400</v>
      </c>
      <c r="W654" s="10">
        <f>V654</f>
        <v/>
      </c>
      <c r="X654" s="277">
        <f>T654/H654</f>
        <v/>
      </c>
      <c r="Y654" s="10" t="inlineStr">
        <is>
          <t>D</t>
        </is>
      </c>
      <c r="Z654" s="60" t="n"/>
      <c r="AA654" s="362" t="n"/>
      <c r="AB654" s="14" t="inlineStr">
        <is>
          <t>No</t>
        </is>
      </c>
      <c r="AC654" s="29" t="inlineStr">
        <is>
          <t>Under refurb. Three units combined. Floor area remeasured</t>
        </is>
      </c>
      <c r="AD654" s="303" t="n"/>
      <c r="AE654" s="4" t="n"/>
      <c r="AF654" s="278" t="n">
        <v>1</v>
      </c>
      <c r="AG654" s="4" t="inlineStr">
        <is>
          <t>LEM</t>
        </is>
      </c>
    </row>
    <row r="655" ht="28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Second Floor (Centre)</t>
        </is>
      </c>
      <c r="G655" s="14" t="inlineStr">
        <is>
          <t>Office</t>
        </is>
      </c>
      <c r="H655" s="7" t="n">
        <v>5350</v>
      </c>
      <c r="I655" s="7">
        <f>H655</f>
        <v/>
      </c>
      <c r="J655" s="7" t="n">
        <v>5250</v>
      </c>
      <c r="K655" s="4" t="inlineStr">
        <is>
          <t>Fintech Partners Limited.</t>
        </is>
      </c>
      <c r="L655" s="8" t="n">
        <v>44986</v>
      </c>
      <c r="M655" s="9" t="n">
        <v>46081</v>
      </c>
      <c r="Q655" s="10" t="n">
        <v>320000</v>
      </c>
      <c r="R655" s="10">
        <f>Q655</f>
        <v/>
      </c>
      <c r="T655" s="10" t="n">
        <v>321000</v>
      </c>
      <c r="U655" s="10">
        <f>T655</f>
        <v/>
      </c>
      <c r="V655" s="27" t="n">
        <v>307600</v>
      </c>
      <c r="W655" s="10">
        <f>V655</f>
        <v/>
      </c>
      <c r="X655" s="277">
        <f>T655/H655</f>
        <v/>
      </c>
      <c r="Y655" s="10" t="inlineStr">
        <is>
          <t>D</t>
        </is>
      </c>
      <c r="Z655" s="60" t="n"/>
      <c r="AA655" s="52" t="n"/>
      <c r="AB655" s="14" t="inlineStr">
        <is>
          <t>No</t>
        </is>
      </c>
      <c r="AF655" s="278" t="n"/>
    </row>
    <row r="656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Third Floor (305)</t>
        </is>
      </c>
      <c r="G656" s="14" t="inlineStr">
        <is>
          <t>Office</t>
        </is>
      </c>
      <c r="H656" s="7" t="n">
        <v>1929</v>
      </c>
      <c r="I656" s="7">
        <f>H656</f>
        <v/>
      </c>
      <c r="J656" s="7" t="n">
        <v>2000</v>
      </c>
      <c r="K656" s="46" t="inlineStr">
        <is>
          <t>Property Management Recruitment Ltd.</t>
        </is>
      </c>
      <c r="L656" s="8" t="n">
        <v>45096</v>
      </c>
      <c r="M656" s="9" t="n">
        <v>46191</v>
      </c>
      <c r="Q656" s="10" t="n">
        <v>111825</v>
      </c>
      <c r="R656" s="10">
        <f>Q656</f>
        <v/>
      </c>
      <c r="T656" s="10" t="n">
        <v>110900</v>
      </c>
      <c r="U656" s="10">
        <f>T656</f>
        <v/>
      </c>
      <c r="V656" s="27" t="n">
        <v>144700</v>
      </c>
      <c r="W656" s="10">
        <f>V656</f>
        <v/>
      </c>
      <c r="X656" s="277">
        <f>T656/H656</f>
        <v/>
      </c>
      <c r="Y656" s="10" t="inlineStr">
        <is>
          <t>E</t>
        </is>
      </c>
      <c r="Z656" s="60" t="n"/>
      <c r="AA656" s="362" t="n"/>
      <c r="AB656" s="14" t="inlineStr">
        <is>
          <t>No</t>
        </is>
      </c>
      <c r="AC656" s="4" t="inlineStr">
        <is>
          <t>To be refurbished.</t>
        </is>
      </c>
      <c r="AF656" s="278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29" t="inlineStr">
        <is>
          <t>Third Floor (303 &amp; 320)</t>
        </is>
      </c>
      <c r="G657" s="14" t="inlineStr">
        <is>
          <t>Offices</t>
        </is>
      </c>
      <c r="H657" s="359" t="n">
        <v>7676</v>
      </c>
      <c r="I657" s="7">
        <f>H657</f>
        <v/>
      </c>
      <c r="J657" s="7" t="n">
        <v>7676</v>
      </c>
      <c r="K657" s="4" t="inlineStr">
        <is>
          <t>Vacant</t>
        </is>
      </c>
      <c r="N657" s="9" t="n">
        <v>44340</v>
      </c>
      <c r="Q657" s="10" t="n">
        <v>0</v>
      </c>
      <c r="R657" s="10">
        <f>Q657</f>
        <v/>
      </c>
      <c r="T657" s="10" t="n">
        <v>441300</v>
      </c>
      <c r="U657" s="10">
        <f>T657</f>
        <v/>
      </c>
      <c r="V657" s="27" t="n">
        <v>518100</v>
      </c>
      <c r="W657" s="10">
        <f>V657</f>
        <v/>
      </c>
      <c r="X657" s="277">
        <f>T657/H657</f>
        <v/>
      </c>
      <c r="Y657" s="10" t="inlineStr">
        <is>
          <t>E</t>
        </is>
      </c>
      <c r="Z657" s="60" t="n"/>
      <c r="AA657" s="362" t="n"/>
      <c r="AB657" s="14" t="inlineStr">
        <is>
          <t>No</t>
        </is>
      </c>
      <c r="AC657" s="29" t="inlineStr">
        <is>
          <t>Under refurb. Unit combined</t>
        </is>
      </c>
      <c r="AE657" s="4" t="n">
        <v>1</v>
      </c>
      <c r="AF657" s="278" t="n">
        <v>1</v>
      </c>
      <c r="AG657" s="4" t="inlineStr">
        <is>
          <t>LEM</t>
        </is>
      </c>
    </row>
    <row r="658" ht="22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Third Floor (325)</t>
        </is>
      </c>
      <c r="G658" s="14" t="inlineStr">
        <is>
          <t>Showroom/ Office</t>
        </is>
      </c>
      <c r="H658" s="7" t="n">
        <v>363</v>
      </c>
      <c r="I658" s="7">
        <f>H658</f>
        <v/>
      </c>
      <c r="J658" s="7" t="n">
        <v>500</v>
      </c>
      <c r="K658" s="4" t="inlineStr">
        <is>
          <t>Vacant</t>
        </is>
      </c>
      <c r="N658" s="9" t="n">
        <v>45139</v>
      </c>
      <c r="Q658" s="10" t="n">
        <v>0</v>
      </c>
      <c r="R658" s="10">
        <f>Q658</f>
        <v/>
      </c>
      <c r="T658" s="10" t="n">
        <v>20900</v>
      </c>
      <c r="U658" s="10">
        <f>T658</f>
        <v/>
      </c>
      <c r="V658" s="27" t="n">
        <v>27200</v>
      </c>
      <c r="W658" s="10">
        <f>V658</f>
        <v/>
      </c>
      <c r="X658" s="277">
        <f>T658/H658</f>
        <v/>
      </c>
      <c r="Y658" s="10" t="inlineStr">
        <is>
          <t>D</t>
        </is>
      </c>
      <c r="Z658" s="60" t="n"/>
      <c r="AA658" s="362" t="n"/>
      <c r="AB658" s="14" t="inlineStr">
        <is>
          <t>No</t>
        </is>
      </c>
      <c r="AC658" s="4" t="inlineStr">
        <is>
          <t>To be refurbished.</t>
        </is>
      </c>
      <c r="AF658" s="278" t="n"/>
    </row>
    <row r="659" ht="22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Third Floor (335, 390)</t>
        </is>
      </c>
      <c r="G659" s="14" t="inlineStr">
        <is>
          <t>Showroom/ Office</t>
        </is>
      </c>
      <c r="H659" s="7" t="n">
        <v>933</v>
      </c>
      <c r="I659" s="7">
        <f>H659</f>
        <v/>
      </c>
      <c r="J659" s="7" t="n">
        <v>1000</v>
      </c>
      <c r="K659" s="4" t="inlineStr">
        <is>
          <t>Vacant</t>
        </is>
      </c>
      <c r="N659" s="9" t="n">
        <v>44340</v>
      </c>
      <c r="Q659" s="10" t="n">
        <v>0</v>
      </c>
      <c r="R659" s="10">
        <f>Q659</f>
        <v/>
      </c>
      <c r="T659" s="10" t="n">
        <v>53600</v>
      </c>
      <c r="U659" s="10">
        <f>T659</f>
        <v/>
      </c>
      <c r="V659" s="27" t="n">
        <v>70000</v>
      </c>
      <c r="W659" s="10">
        <f>V659</f>
        <v/>
      </c>
      <c r="X659" s="277">
        <f>T659/H659</f>
        <v/>
      </c>
      <c r="Y659" s="10" t="inlineStr">
        <is>
          <t>E</t>
        </is>
      </c>
      <c r="Z659" s="60" t="n"/>
      <c r="AA659" s="362" t="n"/>
      <c r="AB659" s="14" t="inlineStr">
        <is>
          <t>No</t>
        </is>
      </c>
      <c r="AC659" s="4" t="inlineStr">
        <is>
          <t>To be refurbished.</t>
        </is>
      </c>
      <c r="AF659" s="278" t="n">
        <v>1</v>
      </c>
      <c r="AG659" s="4" t="inlineStr">
        <is>
          <t>LEM</t>
        </is>
      </c>
    </row>
    <row r="660" ht="22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Third Floor (330)</t>
        </is>
      </c>
      <c r="G660" s="14" t="inlineStr">
        <is>
          <t>Showroom/ Office</t>
        </is>
      </c>
      <c r="H660" s="7" t="n">
        <v>1350</v>
      </c>
      <c r="I660" s="7">
        <f>H660</f>
        <v/>
      </c>
      <c r="J660" s="7" t="n">
        <v>1350</v>
      </c>
      <c r="K660" s="4" t="inlineStr">
        <is>
          <t>Brand Murray Fuller Services Ltd.</t>
        </is>
      </c>
      <c r="L660" s="8" t="n">
        <v>44501</v>
      </c>
      <c r="M660" s="9" t="n">
        <v>46326</v>
      </c>
      <c r="Q660" s="10" t="n">
        <v>74250</v>
      </c>
      <c r="R660" s="10">
        <f>Q660</f>
        <v/>
      </c>
      <c r="T660" s="7" t="n">
        <v>77600</v>
      </c>
      <c r="U660" s="10">
        <f>T660</f>
        <v/>
      </c>
      <c r="V660" s="27" t="n">
        <v>101300</v>
      </c>
      <c r="W660" s="10">
        <f>V660</f>
        <v/>
      </c>
      <c r="X660" s="277">
        <f>T660/H660</f>
        <v/>
      </c>
      <c r="Y660" s="10" t="inlineStr">
        <is>
          <t>E</t>
        </is>
      </c>
      <c r="Z660" s="60" t="n"/>
      <c r="AA660" s="362" t="n"/>
      <c r="AB660" s="14" t="inlineStr">
        <is>
          <t>No</t>
        </is>
      </c>
      <c r="AF660" s="278" t="n"/>
    </row>
    <row r="66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Third Floor (340)</t>
        </is>
      </c>
      <c r="G661" s="14" t="inlineStr">
        <is>
          <t>Office</t>
        </is>
      </c>
      <c r="H661" s="7" t="n">
        <v>688</v>
      </c>
      <c r="I661" s="7">
        <f>H661</f>
        <v/>
      </c>
      <c r="J661" s="7" t="n">
        <v>750</v>
      </c>
      <c r="K661" s="4" t="inlineStr">
        <is>
          <t>Vacant</t>
        </is>
      </c>
      <c r="N661" s="9" t="n">
        <v>45139</v>
      </c>
      <c r="Q661" s="10" t="n">
        <v>0</v>
      </c>
      <c r="R661" s="10">
        <f>Q661</f>
        <v/>
      </c>
      <c r="T661" s="10" t="n">
        <v>39600</v>
      </c>
      <c r="U661" s="10">
        <f>T661</f>
        <v/>
      </c>
      <c r="V661" s="27" t="n">
        <v>51600</v>
      </c>
      <c r="W661" s="10">
        <f>V661</f>
        <v/>
      </c>
      <c r="X661" s="277">
        <f>T661/H661</f>
        <v/>
      </c>
      <c r="Y661" s="10" t="inlineStr">
        <is>
          <t>E</t>
        </is>
      </c>
      <c r="Z661" s="60" t="n"/>
      <c r="AA661" s="362" t="n"/>
      <c r="AB661" s="14" t="inlineStr">
        <is>
          <t>No</t>
        </is>
      </c>
      <c r="AC661" s="4" t="inlineStr">
        <is>
          <t>To be refurbished.</t>
        </is>
      </c>
      <c r="AF661" s="278" t="n"/>
    </row>
    <row r="662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Third Floor (345)</t>
        </is>
      </c>
      <c r="G662" s="14" t="inlineStr">
        <is>
          <t>Office</t>
        </is>
      </c>
      <c r="H662" s="7" t="n">
        <v>325</v>
      </c>
      <c r="I662" s="7">
        <f>H662</f>
        <v/>
      </c>
      <c r="J662" s="7" t="n">
        <v>500</v>
      </c>
      <c r="K662" s="4" t="inlineStr">
        <is>
          <t>Vacant</t>
        </is>
      </c>
      <c r="N662" s="9" t="n">
        <v>44340</v>
      </c>
      <c r="Q662" s="10" t="n">
        <v>0</v>
      </c>
      <c r="R662" s="10">
        <f>Q662</f>
        <v/>
      </c>
      <c r="T662" s="10" t="n">
        <v>18700</v>
      </c>
      <c r="U662" s="10">
        <f>T662</f>
        <v/>
      </c>
      <c r="V662" s="27" t="n">
        <v>24400</v>
      </c>
      <c r="W662" s="10">
        <f>V662</f>
        <v/>
      </c>
      <c r="X662" s="277">
        <f>T662/H662</f>
        <v/>
      </c>
      <c r="Y662" s="10" t="inlineStr">
        <is>
          <t>E</t>
        </is>
      </c>
      <c r="Z662" s="60" t="n"/>
      <c r="AA662" s="362" t="n"/>
      <c r="AB662" s="14" t="inlineStr">
        <is>
          <t>No</t>
        </is>
      </c>
      <c r="AC662" s="4" t="inlineStr">
        <is>
          <t>To be refurbished.</t>
        </is>
      </c>
      <c r="AF662" s="278" t="n"/>
    </row>
    <row r="663" ht="21.75" customHeight="1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(350)</t>
        </is>
      </c>
      <c r="G663" s="14" t="inlineStr">
        <is>
          <t>Office</t>
        </is>
      </c>
      <c r="H663" s="7" t="n">
        <v>489</v>
      </c>
      <c r="I663" s="7">
        <f>H663</f>
        <v/>
      </c>
      <c r="J663" s="7" t="n">
        <v>500</v>
      </c>
      <c r="K663" s="4" t="inlineStr">
        <is>
          <t>Jewells Retail Ltd</t>
        </is>
      </c>
      <c r="L663" s="351" t="n">
        <v>45770</v>
      </c>
      <c r="M663" s="352" t="n">
        <v>46088</v>
      </c>
      <c r="N663" s="352" t="n"/>
      <c r="Q663" s="353" t="n">
        <v>36529</v>
      </c>
      <c r="R663" s="10">
        <f>Q663</f>
        <v/>
      </c>
      <c r="T663" s="10" t="n">
        <v>28100</v>
      </c>
      <c r="U663" s="10">
        <f>T663</f>
        <v/>
      </c>
      <c r="V663" s="27" t="n">
        <v>36700</v>
      </c>
      <c r="W663" s="10">
        <f>V663</f>
        <v/>
      </c>
      <c r="X663" s="277">
        <f>T663/H663</f>
        <v/>
      </c>
      <c r="Y663" s="10" t="inlineStr">
        <is>
          <t>E</t>
        </is>
      </c>
      <c r="Z663" s="60" t="n"/>
      <c r="AA663" s="362" t="n"/>
      <c r="AB663" s="14" t="inlineStr">
        <is>
          <t>No</t>
        </is>
      </c>
      <c r="AC663" s="354" t="inlineStr">
        <is>
          <t>Rent inclusive of service charge and insurance.</t>
        </is>
      </c>
      <c r="AF663" s="278" t="n"/>
    </row>
    <row r="664" ht="23.25" customHeight="1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(360 &amp; 365)</t>
        </is>
      </c>
      <c r="G664" s="14" t="inlineStr">
        <is>
          <t>Office</t>
        </is>
      </c>
      <c r="H664" s="7" t="n">
        <v>3558</v>
      </c>
      <c r="I664" s="7">
        <f>H664</f>
        <v/>
      </c>
      <c r="J664" s="7" t="n">
        <v>3500</v>
      </c>
      <c r="K664" s="4" t="inlineStr">
        <is>
          <t>TGR1.618 Limited</t>
        </is>
      </c>
      <c r="L664" s="8" t="n">
        <v>45072</v>
      </c>
      <c r="M664" s="9" t="n">
        <v>46898</v>
      </c>
      <c r="P664" s="9" t="n">
        <v>46167</v>
      </c>
      <c r="Q664" s="10" t="n">
        <v>202920</v>
      </c>
      <c r="R664" s="10">
        <f>Q664</f>
        <v/>
      </c>
      <c r="T664" s="10" t="n">
        <v>204600</v>
      </c>
      <c r="U664" s="10">
        <f>T664</f>
        <v/>
      </c>
      <c r="V664" s="27" t="n">
        <v>266900</v>
      </c>
      <c r="W664" s="10">
        <f>V664</f>
        <v/>
      </c>
      <c r="X664" s="277">
        <f>T664/H664</f>
        <v/>
      </c>
      <c r="Y664" s="10" t="inlineStr">
        <is>
          <t>D</t>
        </is>
      </c>
      <c r="Z664" s="60" t="n"/>
      <c r="AA664" s="362" t="n"/>
      <c r="AB664" s="14" t="inlineStr">
        <is>
          <t>No</t>
        </is>
      </c>
      <c r="AC664" s="4" t="inlineStr">
        <is>
          <t>Tenant break on 6 months notice. 2 months rent free if not exercised.</t>
        </is>
      </c>
      <c r="AF664" s="278" t="n"/>
    </row>
    <row r="665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(395)</t>
        </is>
      </c>
      <c r="G665" s="14" t="inlineStr">
        <is>
          <t>Office</t>
        </is>
      </c>
      <c r="H665" s="7" t="n">
        <v>3500</v>
      </c>
      <c r="I665" s="7">
        <f>H665</f>
        <v/>
      </c>
      <c r="J665" s="7" t="n">
        <v>3500</v>
      </c>
      <c r="K665" s="4" t="inlineStr">
        <is>
          <t>Pixi Limited</t>
        </is>
      </c>
      <c r="L665" s="8" t="n">
        <v>44879</v>
      </c>
      <c r="M665" s="9" t="n">
        <v>46704</v>
      </c>
      <c r="Q665" s="10" t="n">
        <v>200000</v>
      </c>
      <c r="R665" s="10">
        <f>Q665</f>
        <v/>
      </c>
      <c r="T665" s="10" t="n">
        <v>201300</v>
      </c>
      <c r="U665" s="10">
        <f>T665</f>
        <v/>
      </c>
      <c r="V665" s="27" t="n">
        <v>262500</v>
      </c>
      <c r="W665" s="10">
        <f>V665</f>
        <v/>
      </c>
      <c r="X665" s="277">
        <f>T665/H665</f>
        <v/>
      </c>
      <c r="Y665" s="10" t="inlineStr">
        <is>
          <t>D</t>
        </is>
      </c>
      <c r="Z665" s="60" t="n"/>
      <c r="AA665" s="362" t="n"/>
      <c r="AB665" s="14" t="inlineStr">
        <is>
          <t>No</t>
        </is>
      </c>
      <c r="AF665" s="278" t="n"/>
    </row>
    <row r="666" ht="18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(398)</t>
        </is>
      </c>
      <c r="G666" s="14" t="inlineStr">
        <is>
          <t>Office</t>
        </is>
      </c>
      <c r="H666" s="7" t="n">
        <v>416</v>
      </c>
      <c r="I666" s="7">
        <f>H666</f>
        <v/>
      </c>
      <c r="J666" s="7" t="n">
        <v>500</v>
      </c>
      <c r="K666" s="4" t="inlineStr">
        <is>
          <t>Pixi Limited</t>
        </is>
      </c>
      <c r="L666" s="8" t="n">
        <v>45701</v>
      </c>
      <c r="M666" s="9" t="n">
        <v>46704</v>
      </c>
      <c r="Q666" s="10" t="n">
        <v>15000</v>
      </c>
      <c r="R666" s="10">
        <f>Q666</f>
        <v/>
      </c>
      <c r="T666" s="10" t="n">
        <v>23900</v>
      </c>
      <c r="U666" s="10">
        <f>T666</f>
        <v/>
      </c>
      <c r="V666" s="27" t="n">
        <v>31200</v>
      </c>
      <c r="W666" s="10">
        <f>V666</f>
        <v/>
      </c>
      <c r="X666" s="277">
        <f>T666/H666</f>
        <v/>
      </c>
      <c r="Y666" s="10" t="inlineStr">
        <is>
          <t>E</t>
        </is>
      </c>
      <c r="Z666" s="60" t="n"/>
      <c r="AA666" s="362" t="n"/>
      <c r="AB666" s="14" t="inlineStr">
        <is>
          <t>No</t>
        </is>
      </c>
      <c r="AC666" s="4" t="inlineStr">
        <is>
          <t>Rolling tenant break on 6 months notice.</t>
        </is>
      </c>
      <c r="AF666" s="278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(396)</t>
        </is>
      </c>
      <c r="G667" s="14" t="inlineStr">
        <is>
          <t>Showroom/ Office</t>
        </is>
      </c>
      <c r="H667" s="7" t="n">
        <v>1400</v>
      </c>
      <c r="I667" s="7">
        <f>H667</f>
        <v/>
      </c>
      <c r="J667" s="7" t="n">
        <v>1500</v>
      </c>
      <c r="K667" s="4" t="inlineStr">
        <is>
          <t>Lovisa UK Ltd</t>
        </is>
      </c>
      <c r="L667" s="8" t="n">
        <v>45359</v>
      </c>
      <c r="M667" s="9" t="n">
        <v>46088</v>
      </c>
      <c r="Q667" s="10" t="n">
        <v>81900</v>
      </c>
      <c r="R667" s="10">
        <f>Q667</f>
        <v/>
      </c>
      <c r="T667" s="10" t="n">
        <v>80500</v>
      </c>
      <c r="U667" s="10">
        <f>T667</f>
        <v/>
      </c>
      <c r="V667" s="27" t="n">
        <v>105000</v>
      </c>
      <c r="W667" s="10">
        <f>V667</f>
        <v/>
      </c>
      <c r="X667" s="277">
        <f>T667/H667</f>
        <v/>
      </c>
      <c r="Y667" s="10" t="inlineStr">
        <is>
          <t>E</t>
        </is>
      </c>
      <c r="Z667" s="60" t="n"/>
      <c r="AA667" s="362" t="n"/>
      <c r="AB667" s="14" t="inlineStr">
        <is>
          <t>No</t>
        </is>
      </c>
      <c r="AF667" s="278" t="n"/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(375 &amp; 380)</t>
        </is>
      </c>
      <c r="G668" s="14" t="inlineStr">
        <is>
          <t>Showroom/ Office</t>
        </is>
      </c>
      <c r="H668" s="7" t="n">
        <v>1277</v>
      </c>
      <c r="I668" s="7">
        <f>H668</f>
        <v/>
      </c>
      <c r="J668" s="7" t="n">
        <v>750</v>
      </c>
      <c r="K668" s="4" t="inlineStr">
        <is>
          <t>Jewells Retail Ltd</t>
        </is>
      </c>
      <c r="L668" s="8" t="n">
        <v>45714</v>
      </c>
      <c r="M668" s="9" t="n">
        <v>46088</v>
      </c>
      <c r="Q668" s="10" t="n">
        <v>95395</v>
      </c>
      <c r="R668" s="10">
        <f>Q668</f>
        <v/>
      </c>
      <c r="T668" s="10" t="n">
        <v>73400</v>
      </c>
      <c r="U668" s="10">
        <f>T668</f>
        <v/>
      </c>
      <c r="V668" s="27" t="n">
        <v>95800</v>
      </c>
      <c r="W668" s="10">
        <f>V668</f>
        <v/>
      </c>
      <c r="X668" s="277">
        <f>T668/H668</f>
        <v/>
      </c>
      <c r="Y668" s="10" t="inlineStr">
        <is>
          <t>E</t>
        </is>
      </c>
      <c r="Z668" s="60" t="n"/>
      <c r="AA668" s="362" t="n"/>
      <c r="AB668" s="14" t="inlineStr">
        <is>
          <t>No</t>
        </is>
      </c>
      <c r="AC668" s="4" t="inlineStr">
        <is>
          <t>Rent all inclusive (excluding rates).</t>
        </is>
      </c>
      <c r="AE668" s="4" t="n">
        <v>1</v>
      </c>
      <c r="AF668" s="278" t="n">
        <v>2</v>
      </c>
      <c r="AG668" s="4" t="inlineStr">
        <is>
          <t>LEM</t>
        </is>
      </c>
    </row>
    <row r="669" ht="28.5" customHeight="1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Winsley St. Sub-station (N)</t>
        </is>
      </c>
      <c r="G669" s="14" t="inlineStr">
        <is>
          <t>Plant Room</t>
        </is>
      </c>
      <c r="H669" s="7" t="n">
        <v>0</v>
      </c>
      <c r="I669" s="7">
        <f>H669</f>
        <v/>
      </c>
      <c r="K669" s="4" t="inlineStr">
        <is>
          <t>London Power Networks Plc</t>
        </is>
      </c>
      <c r="L669" s="8" t="n">
        <v>39295</v>
      </c>
      <c r="M669" s="9" t="n">
        <v>46599</v>
      </c>
      <c r="O669" s="9" t="n">
        <v>44409</v>
      </c>
      <c r="Q669" s="10" t="n">
        <v>681</v>
      </c>
      <c r="R669" s="10">
        <f>Q669</f>
        <v/>
      </c>
      <c r="T669" s="10" t="n">
        <v>700</v>
      </c>
      <c r="U669" s="10">
        <f>T669</f>
        <v/>
      </c>
      <c r="V669" s="27" t="n">
        <v>700</v>
      </c>
      <c r="W669" s="10">
        <f>V669</f>
        <v/>
      </c>
      <c r="X669" s="277" t="n"/>
      <c r="Y669" s="10" t="n"/>
      <c r="Z669" s="60" t="n"/>
      <c r="AA669" s="362" t="n"/>
      <c r="AB669" s="14" t="inlineStr">
        <is>
          <t>No</t>
        </is>
      </c>
      <c r="AC669" s="4" t="inlineStr">
        <is>
          <t xml:space="preserve">Landlords redevelopment break on 6 months notice. Rent review is RPI indexation. </t>
        </is>
      </c>
      <c r="AF669" s="278" t="n"/>
    </row>
    <row r="670" ht="28.5" customHeight="1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35" t="inlineStr">
        <is>
          <t>Winsley St. Sub-station (S)</t>
        </is>
      </c>
      <c r="G670" s="14" t="inlineStr">
        <is>
          <t>Plant Room</t>
        </is>
      </c>
      <c r="H670" s="7" t="n">
        <v>0</v>
      </c>
      <c r="I670" s="7">
        <f>H670</f>
        <v/>
      </c>
      <c r="K670" s="4" t="inlineStr">
        <is>
          <t>London Power Networks Plc</t>
        </is>
      </c>
      <c r="L670" s="8" t="n">
        <v>39295</v>
      </c>
      <c r="M670" s="9" t="n">
        <v>46599</v>
      </c>
      <c r="O670" s="9" t="n">
        <v>44409</v>
      </c>
      <c r="Q670" s="10" t="n">
        <v>681</v>
      </c>
      <c r="R670" s="10">
        <f>Q670</f>
        <v/>
      </c>
      <c r="T670" s="10" t="n">
        <v>700</v>
      </c>
      <c r="U670" s="10">
        <f>T670</f>
        <v/>
      </c>
      <c r="V670" s="27" t="n">
        <v>700</v>
      </c>
      <c r="W670" s="10">
        <f>V670</f>
        <v/>
      </c>
      <c r="X670" s="277" t="n"/>
      <c r="Y670" s="10" t="n"/>
      <c r="Z670" s="60" t="n"/>
      <c r="AA670" s="362" t="n"/>
      <c r="AB670" s="14" t="inlineStr">
        <is>
          <t>No</t>
        </is>
      </c>
      <c r="AC670" s="4" t="inlineStr">
        <is>
          <t xml:space="preserve">Landlords redevelopment break on 6 months notice. Rent review is RPI indexation. </t>
        </is>
      </c>
      <c r="AF670" s="278" t="n"/>
    </row>
    <row r="671">
      <c r="A671" s="2" t="n"/>
      <c r="B671" s="11" t="n"/>
      <c r="C671" s="11" t="n"/>
      <c r="D671" s="2" t="n"/>
      <c r="E671" s="4" t="n"/>
      <c r="F671" s="35" t="n"/>
      <c r="T671" s="10" t="n"/>
      <c r="U671" s="10" t="n"/>
      <c r="V671" s="27" t="n"/>
      <c r="W671" s="10" t="n"/>
      <c r="X671" s="10" t="n"/>
      <c r="Y671" s="10" t="n"/>
      <c r="Z671" s="60" t="n"/>
      <c r="AA671" s="362" t="n"/>
      <c r="AB671" s="14" t="n"/>
      <c r="AF671" s="278" t="n"/>
    </row>
    <row r="672" ht="14.25" customHeight="1">
      <c r="A672" s="2" t="n"/>
      <c r="B672" s="11" t="n"/>
      <c r="C672" s="11" t="inlineStr">
        <is>
          <t>MEL</t>
        </is>
      </c>
      <c r="D672" s="2" t="n"/>
      <c r="E672" s="4" t="n"/>
      <c r="F672" s="90" t="inlineStr">
        <is>
          <t>Princess House</t>
        </is>
      </c>
      <c r="H672" s="361">
        <f>SUM(H644:H670)</f>
        <v/>
      </c>
      <c r="I672" s="19" t="n"/>
      <c r="J672" s="19" t="n"/>
      <c r="Q672" s="36">
        <f>SUM(Q644:Q670)</f>
        <v/>
      </c>
      <c r="R672" s="19" t="n"/>
      <c r="S672" s="19">
        <f>SUM(R642:R670)</f>
        <v/>
      </c>
      <c r="T672" s="19">
        <f>SUM(T644:T670)</f>
        <v/>
      </c>
      <c r="U672" s="19" t="n"/>
      <c r="V672" s="36">
        <f>SUM(V644:V670)</f>
        <v/>
      </c>
      <c r="W672" s="19" t="n"/>
      <c r="X672" s="19" t="n"/>
      <c r="Y672" s="19" t="n"/>
      <c r="Z672" s="61" t="n"/>
      <c r="AA672" s="36" t="n">
        <v>67225000</v>
      </c>
      <c r="AB672" s="14" t="n"/>
      <c r="AE672" s="29" t="n"/>
      <c r="AF672" s="279" t="n"/>
      <c r="AG672" s="29" t="n"/>
    </row>
    <row r="673" ht="14.25" customHeight="1">
      <c r="A673" s="2" t="n"/>
      <c r="B673" s="11" t="n"/>
      <c r="C673" s="11" t="inlineStr">
        <is>
          <t>MEL</t>
        </is>
      </c>
      <c r="D673" s="2" t="n"/>
      <c r="E673" s="4" t="n"/>
      <c r="H673" s="18" t="n"/>
      <c r="I673" s="19" t="n"/>
      <c r="J673" s="19" t="n"/>
      <c r="Q673" s="19" t="n"/>
      <c r="R673" s="19" t="n"/>
      <c r="S673" s="19" t="n"/>
      <c r="T673" s="19" t="n"/>
      <c r="U673" s="19" t="n"/>
      <c r="V673" s="36" t="n"/>
      <c r="W673" s="19" t="n"/>
      <c r="X673" s="19" t="n"/>
      <c r="Y673" s="19" t="n"/>
      <c r="Z673" s="61" t="n"/>
      <c r="AA673" s="362" t="n"/>
      <c r="AB673" s="14" t="n"/>
      <c r="AF673" s="278" t="n"/>
    </row>
    <row r="674" ht="14.25" customHeight="1">
      <c r="A674" s="2" t="n"/>
      <c r="B674" s="11" t="n"/>
      <c r="C674" s="11" t="inlineStr">
        <is>
          <t>MEL</t>
        </is>
      </c>
      <c r="D674" s="2" t="n"/>
      <c r="E674" s="4" t="n"/>
      <c r="G674" s="6" t="inlineStr">
        <is>
          <t>Mappin House, 156-162 Oxford Street</t>
        </is>
      </c>
      <c r="I674" s="10" t="n"/>
      <c r="J674" s="10" t="n"/>
      <c r="K674" s="30" t="n"/>
      <c r="T674" s="11" t="n"/>
      <c r="U674" s="10" t="n"/>
      <c r="W674" s="10" t="n"/>
      <c r="X674" s="10" t="n"/>
      <c r="Y674" s="10" t="n"/>
      <c r="Z674" s="60" t="n"/>
      <c r="AA674" s="230" t="n"/>
      <c r="AB674" s="14" t="n"/>
      <c r="AF674" s="278" t="n"/>
    </row>
    <row r="675" ht="14.25" customHeight="1">
      <c r="A675" s="2" t="n"/>
      <c r="B675" s="11" t="n"/>
      <c r="C675" s="11" t="inlineStr">
        <is>
          <t>MEL</t>
        </is>
      </c>
      <c r="D675" s="2" t="n"/>
      <c r="E675" s="4" t="n"/>
      <c r="G675" s="26" t="n"/>
      <c r="I675" s="10" t="n"/>
      <c r="J675" s="10" t="n"/>
      <c r="K675" s="30" t="n"/>
      <c r="T675" s="11" t="n"/>
      <c r="U675" s="10" t="n"/>
      <c r="W675" s="10" t="n"/>
      <c r="X675" s="10" t="n"/>
      <c r="Y675" s="10" t="n"/>
      <c r="Z675" s="60" t="n"/>
      <c r="AA675" s="230" t="n"/>
      <c r="AB675" s="14" t="n"/>
      <c r="AF675" s="278" t="n"/>
    </row>
    <row r="676" ht="14.2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100680</v>
      </c>
      <c r="E676" s="4" t="inlineStr">
        <is>
          <t>Mappin House, 156-162 Oxford Street</t>
        </is>
      </c>
      <c r="F676" s="4" t="inlineStr">
        <is>
          <t>Part Basement</t>
        </is>
      </c>
      <c r="G676" s="14" t="inlineStr">
        <is>
          <t>Storage</t>
        </is>
      </c>
      <c r="H676" s="11" t="n">
        <v>0</v>
      </c>
      <c r="I676" s="7">
        <f>H676</f>
        <v/>
      </c>
      <c r="K676" s="4" t="inlineStr">
        <is>
          <t>Vincere NK Group Ltd</t>
        </is>
      </c>
      <c r="L676" s="8" t="n">
        <v>44736</v>
      </c>
      <c r="M676" s="9" t="n">
        <v>46657</v>
      </c>
      <c r="Q676" s="10" t="n">
        <v>1000</v>
      </c>
      <c r="R676" s="10">
        <f>Q676</f>
        <v/>
      </c>
      <c r="T676" s="10" t="n">
        <v>1000</v>
      </c>
      <c r="U676" s="10">
        <f>T676</f>
        <v/>
      </c>
      <c r="V676" s="27" t="n">
        <v>0</v>
      </c>
      <c r="W676" s="10">
        <f>V676</f>
        <v/>
      </c>
      <c r="X676" s="277" t="n"/>
      <c r="Y676" s="10" t="n"/>
      <c r="Z676" s="60" t="n"/>
      <c r="AA676" s="230" t="n"/>
      <c r="AB676" s="14" t="inlineStr">
        <is>
          <t>No</t>
        </is>
      </c>
      <c r="AC676" s="4" t="inlineStr">
        <is>
          <t>Landlord can terminate on 1 months notice.</t>
        </is>
      </c>
      <c r="AF676" s="278" t="n"/>
    </row>
    <row r="677" ht="22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100680</v>
      </c>
      <c r="E677" s="4" t="inlineStr">
        <is>
          <t>Mappin House, 156-162 Oxford Street</t>
        </is>
      </c>
      <c r="F677" s="4" t="inlineStr">
        <is>
          <t>Ground Floor &amp; Basement                           Winsley Street</t>
        </is>
      </c>
      <c r="G677" s="14" t="inlineStr">
        <is>
          <t>Nightclub</t>
        </is>
      </c>
      <c r="H677" s="7" t="n">
        <v>7079</v>
      </c>
      <c r="I677" s="7">
        <f>H677</f>
        <v/>
      </c>
      <c r="J677" s="7" t="n">
        <v>7000</v>
      </c>
      <c r="K677" s="4" t="inlineStr">
        <is>
          <t>Vincere NK Group Ltd</t>
        </is>
      </c>
      <c r="L677" s="8" t="n">
        <v>41180</v>
      </c>
      <c r="M677" s="9" t="n">
        <v>46657</v>
      </c>
      <c r="Q677" s="10" t="n">
        <v>425033</v>
      </c>
      <c r="R677" s="10">
        <f>Q677</f>
        <v/>
      </c>
      <c r="T677" s="10" t="n">
        <v>447350</v>
      </c>
      <c r="U677" s="10">
        <f>T677</f>
        <v/>
      </c>
      <c r="V677" s="27" t="n">
        <v>425600</v>
      </c>
      <c r="W677" s="10">
        <f>V677</f>
        <v/>
      </c>
      <c r="X677" s="277">
        <f>T677/H677</f>
        <v/>
      </c>
      <c r="Y677" s="10" t="inlineStr">
        <is>
          <t>B</t>
        </is>
      </c>
      <c r="Z677" s="60" t="n"/>
      <c r="AA677" s="362" t="n"/>
      <c r="AB677" s="14" t="inlineStr">
        <is>
          <t>Yes</t>
        </is>
      </c>
      <c r="AF677" s="278" t="n"/>
    </row>
    <row r="678">
      <c r="A678" s="2" t="n"/>
      <c r="B678" s="11" t="inlineStr">
        <is>
          <t>JM</t>
        </is>
      </c>
      <c r="C678" s="11" t="inlineStr">
        <is>
          <t>MEL</t>
        </is>
      </c>
      <c r="D678" s="2" t="n">
        <v>100680</v>
      </c>
      <c r="E678" s="4" t="inlineStr">
        <is>
          <t>Mappin House, 156-162 Oxford Street</t>
        </is>
      </c>
      <c r="F678" s="4" t="inlineStr">
        <is>
          <t>Basement - 158 Oxford Street</t>
        </is>
      </c>
      <c r="G678" s="14" t="inlineStr">
        <is>
          <t>Storage</t>
        </is>
      </c>
      <c r="H678" s="7" t="n">
        <v>0</v>
      </c>
      <c r="I678" s="7">
        <f>H678</f>
        <v/>
      </c>
      <c r="K678" s="4" t="inlineStr">
        <is>
          <t>Vincere NK Group Ltd</t>
        </is>
      </c>
      <c r="L678" s="8" t="n">
        <v>42114</v>
      </c>
      <c r="M678" s="9" t="n">
        <v>46657</v>
      </c>
      <c r="Q678" s="10" t="n">
        <v>22317</v>
      </c>
      <c r="R678" s="10">
        <f>Q678</f>
        <v/>
      </c>
      <c r="T678" s="10" t="n">
        <v>21000</v>
      </c>
      <c r="U678" s="10">
        <f>T678</f>
        <v/>
      </c>
      <c r="V678" s="27" t="n">
        <v>0</v>
      </c>
      <c r="W678" s="10">
        <f>V678</f>
        <v/>
      </c>
      <c r="X678" s="277" t="n"/>
      <c r="Y678" s="10" t="n"/>
      <c r="Z678" s="60" t="n"/>
      <c r="AA678" s="362" t="n"/>
      <c r="AB678" s="14" t="inlineStr">
        <is>
          <t>No</t>
        </is>
      </c>
      <c r="AF678" s="278" t="n"/>
    </row>
    <row r="679" ht="30" customHeight="1">
      <c r="A679" s="2" t="n"/>
      <c r="B679" s="11" t="inlineStr">
        <is>
          <t>JM</t>
        </is>
      </c>
      <c r="C679" s="11" t="inlineStr">
        <is>
          <t>MEL</t>
        </is>
      </c>
      <c r="D679" s="2" t="n">
        <v>100680</v>
      </c>
      <c r="E679" s="4" t="inlineStr">
        <is>
          <t>Mappin House, 156-162 Oxford Street</t>
        </is>
      </c>
      <c r="F679" s="4" t="inlineStr">
        <is>
          <t>Ground Floor &amp; Basement                           162 Oxford Street</t>
        </is>
      </c>
      <c r="G679" s="11" t="inlineStr">
        <is>
          <t>Retail</t>
        </is>
      </c>
      <c r="H679" s="7" t="n">
        <v>3030</v>
      </c>
      <c r="I679" s="7">
        <f>H679</f>
        <v/>
      </c>
      <c r="J679" s="7" t="n">
        <v>3000</v>
      </c>
      <c r="K679" s="4" t="inlineStr">
        <is>
          <t>Dune Group Ltd.</t>
        </is>
      </c>
      <c r="L679" s="8" t="n">
        <v>45711</v>
      </c>
      <c r="M679" s="9" t="n">
        <v>49362</v>
      </c>
      <c r="Q679" s="10" t="n">
        <v>500000</v>
      </c>
      <c r="R679" s="10">
        <f>Q679</f>
        <v/>
      </c>
      <c r="T679" s="10" t="n">
        <v>393300</v>
      </c>
      <c r="U679" s="10">
        <f>T679</f>
        <v/>
      </c>
      <c r="V679" s="27" t="n">
        <v>604900</v>
      </c>
      <c r="W679" s="10">
        <f>V679</f>
        <v/>
      </c>
      <c r="X679" s="277">
        <f>T679/H679</f>
        <v/>
      </c>
      <c r="Y679" s="10" t="inlineStr">
        <is>
          <t>C</t>
        </is>
      </c>
      <c r="Z679" s="60" t="n"/>
      <c r="AA679" s="362" t="n"/>
      <c r="AB679" s="14" t="inlineStr">
        <is>
          <t>No</t>
        </is>
      </c>
      <c r="AC679" s="4" t="inlineStr">
        <is>
          <t>Tenant break on 6 months notice.</t>
        </is>
      </c>
      <c r="AD679" s="306" t="n"/>
      <c r="AE679" s="35" t="n"/>
      <c r="AF679" s="280" t="n"/>
      <c r="AG679" s="35" t="n"/>
    </row>
    <row r="680" ht="28.5" customHeight="1">
      <c r="A680" s="2" t="n"/>
      <c r="B680" s="11" t="inlineStr">
        <is>
          <t>JM</t>
        </is>
      </c>
      <c r="C680" s="11" t="inlineStr">
        <is>
          <t>MEL</t>
        </is>
      </c>
      <c r="D680" s="2" t="n">
        <v>100680</v>
      </c>
      <c r="E680" s="4" t="inlineStr">
        <is>
          <t>Mappin House, 156-162 Oxford Street</t>
        </is>
      </c>
      <c r="F680" s="4" t="inlineStr">
        <is>
          <t>Ground Floor - 160 Oxford Street</t>
        </is>
      </c>
      <c r="G680" s="14" t="inlineStr">
        <is>
          <t>Retail</t>
        </is>
      </c>
      <c r="H680" s="7" t="n">
        <v>1296</v>
      </c>
      <c r="I680" s="7">
        <f>H680</f>
        <v/>
      </c>
      <c r="J680" s="7" t="n">
        <v>1250</v>
      </c>
      <c r="K680" s="4" t="inlineStr">
        <is>
          <t>Hutchison 3 G UK Ltd</t>
        </is>
      </c>
      <c r="L680" s="8" t="n">
        <v>44908</v>
      </c>
      <c r="M680" s="9" t="n">
        <v>46003</v>
      </c>
      <c r="Q680" s="10" t="n">
        <v>295000</v>
      </c>
      <c r="R680" s="10">
        <f>Q680</f>
        <v/>
      </c>
      <c r="T680" s="10" t="n">
        <v>275300</v>
      </c>
      <c r="U680" s="10">
        <f>T680</f>
        <v/>
      </c>
      <c r="V680" s="27" t="n">
        <v>402000</v>
      </c>
      <c r="W680" s="10">
        <f>V680</f>
        <v/>
      </c>
      <c r="X680" s="277">
        <f>T680/H680</f>
        <v/>
      </c>
      <c r="Y680" s="10" t="inlineStr">
        <is>
          <t>B</t>
        </is>
      </c>
      <c r="Z680" s="60" t="n"/>
      <c r="AA680" s="362" t="n"/>
      <c r="AB680" s="14" t="inlineStr">
        <is>
          <t>No</t>
        </is>
      </c>
      <c r="AC680" s="35" t="n"/>
      <c r="AD680" s="306" t="n"/>
      <c r="AE680" s="35" t="n"/>
      <c r="AF680" s="280" t="n"/>
      <c r="AG680" s="35" t="n"/>
    </row>
    <row r="681" ht="22.5" customHeight="1">
      <c r="A681" s="2" t="n"/>
      <c r="B681" s="11" t="inlineStr">
        <is>
          <t>JM</t>
        </is>
      </c>
      <c r="C681" s="11" t="inlineStr">
        <is>
          <t>MEL</t>
        </is>
      </c>
      <c r="D681" s="2" t="n">
        <v>100680</v>
      </c>
      <c r="E681" s="4" t="inlineStr">
        <is>
          <t>Mappin House, 156-162 Oxford Street</t>
        </is>
      </c>
      <c r="F681" s="4" t="inlineStr">
        <is>
          <t>Ground Floor - 158 Oxford Street</t>
        </is>
      </c>
      <c r="G681" s="14" t="inlineStr">
        <is>
          <t>Retail</t>
        </is>
      </c>
      <c r="H681" s="7" t="n">
        <v>1690</v>
      </c>
      <c r="I681" s="7">
        <f>H681</f>
        <v/>
      </c>
      <c r="J681" s="7" t="n">
        <v>1500</v>
      </c>
      <c r="K681" s="4" t="inlineStr">
        <is>
          <t>VF Northern Europe Services Ltd</t>
        </is>
      </c>
      <c r="L681" s="8" t="n">
        <v>42388</v>
      </c>
      <c r="M681" s="9" t="n">
        <v>46040</v>
      </c>
      <c r="Q681" s="10" t="n">
        <v>500000</v>
      </c>
      <c r="R681" s="10">
        <f>Q681</f>
        <v/>
      </c>
      <c r="T681" s="10" t="n">
        <v>337700</v>
      </c>
      <c r="U681" s="10">
        <f>T681</f>
        <v/>
      </c>
      <c r="V681" s="27" t="n">
        <v>501900</v>
      </c>
      <c r="W681" s="10">
        <f>V681</f>
        <v/>
      </c>
      <c r="X681" s="277">
        <f>T681/H681</f>
        <v/>
      </c>
      <c r="Y681" s="10" t="inlineStr">
        <is>
          <t>B</t>
        </is>
      </c>
      <c r="Z681" s="60" t="n"/>
      <c r="AA681" s="362" t="n"/>
      <c r="AB681" s="14" t="inlineStr">
        <is>
          <t>No</t>
        </is>
      </c>
      <c r="AF681" s="278" t="n"/>
    </row>
    <row r="682" ht="25.25" customHeight="1">
      <c r="A682" s="2" t="n"/>
      <c r="B682" s="11" t="inlineStr">
        <is>
          <t>JM</t>
        </is>
      </c>
      <c r="C682" s="11" t="inlineStr">
        <is>
          <t>MEL</t>
        </is>
      </c>
      <c r="D682" s="2" t="n">
        <v>100680</v>
      </c>
      <c r="E682" s="4" t="inlineStr">
        <is>
          <t>Mappin House, 156-162 Oxford Street</t>
        </is>
      </c>
      <c r="F682" s="4" t="inlineStr">
        <is>
          <t>Ground Floor - 156 Oxford Street</t>
        </is>
      </c>
      <c r="G682" s="14" t="inlineStr">
        <is>
          <t>Retail</t>
        </is>
      </c>
      <c r="H682" s="7" t="n">
        <v>2304</v>
      </c>
      <c r="I682" s="7">
        <f>H682</f>
        <v/>
      </c>
      <c r="J682" s="7" t="n">
        <v>2250</v>
      </c>
      <c r="K682" s="4" t="inlineStr">
        <is>
          <t>Hawes &amp; Curtis Ltd</t>
        </is>
      </c>
      <c r="L682" s="8" t="n">
        <v>45748</v>
      </c>
      <c r="M682" s="9" t="n">
        <v>49399</v>
      </c>
      <c r="O682" s="9" t="n">
        <v>47574</v>
      </c>
      <c r="P682" s="9" t="n">
        <v>47574</v>
      </c>
      <c r="Q682" s="10" t="n">
        <v>237500</v>
      </c>
      <c r="R682" s="10">
        <f>Q682</f>
        <v/>
      </c>
      <c r="T682" s="10" t="n">
        <v>371300</v>
      </c>
      <c r="U682" s="10">
        <f>T682</f>
        <v/>
      </c>
      <c r="V682" s="27" t="n">
        <v>515100</v>
      </c>
      <c r="W682" s="10">
        <f>V682</f>
        <v/>
      </c>
      <c r="X682" s="277">
        <f>T682/H682</f>
        <v/>
      </c>
      <c r="Y682" s="10" t="inlineStr">
        <is>
          <t>C</t>
        </is>
      </c>
      <c r="Z682" s="60" t="n"/>
      <c r="AA682" s="362" t="n"/>
      <c r="AB682" s="14" t="inlineStr">
        <is>
          <t>No</t>
        </is>
      </c>
      <c r="AC682" s="4" t="inlineStr">
        <is>
          <t>Rent increasing to £475,000 wef 01/01/26. Tenant break on 9 months notice.</t>
        </is>
      </c>
      <c r="AF682" s="278" t="n"/>
    </row>
    <row r="683" ht="24.75" customHeight="1">
      <c r="A683" s="2" t="n"/>
      <c r="B683" s="11" t="inlineStr">
        <is>
          <t>JM</t>
        </is>
      </c>
      <c r="C683" s="11" t="inlineStr">
        <is>
          <t>MEL</t>
        </is>
      </c>
      <c r="D683" s="2" t="n">
        <v>100680</v>
      </c>
      <c r="E683" s="4" t="inlineStr">
        <is>
          <t>Mappin House, 156-162 Oxford Street</t>
        </is>
      </c>
      <c r="F683" s="4" t="inlineStr">
        <is>
          <t>Mezzanine</t>
        </is>
      </c>
      <c r="G683" s="14" t="inlineStr">
        <is>
          <t>Office</t>
        </is>
      </c>
      <c r="H683" s="7" t="n">
        <v>7519</v>
      </c>
      <c r="I683" s="7">
        <f>H683</f>
        <v/>
      </c>
      <c r="J683" s="7" t="n">
        <v>7500</v>
      </c>
      <c r="K683" s="4" t="inlineStr">
        <is>
          <t>Perry Ellis Europe Ltd.</t>
        </is>
      </c>
      <c r="L683" s="8" t="n">
        <v>45231</v>
      </c>
      <c r="M683" s="9" t="n">
        <v>45961</v>
      </c>
      <c r="Q683" s="10" t="n">
        <v>450600</v>
      </c>
      <c r="R683" s="10">
        <f>Q683</f>
        <v/>
      </c>
      <c r="S683" s="115" t="n"/>
      <c r="T683" s="10" t="n">
        <v>489500</v>
      </c>
      <c r="U683" s="10">
        <f>T683</f>
        <v/>
      </c>
      <c r="V683" s="27" t="n">
        <v>469900</v>
      </c>
      <c r="W683" s="10">
        <f>V683</f>
        <v/>
      </c>
      <c r="X683" s="277">
        <f>T683/H683</f>
        <v/>
      </c>
      <c r="Y683" s="10" t="inlineStr">
        <is>
          <t>D</t>
        </is>
      </c>
      <c r="Z683" s="60" t="n"/>
      <c r="AA683" s="362" t="n"/>
      <c r="AB683" s="14" t="inlineStr">
        <is>
          <t>No</t>
        </is>
      </c>
      <c r="AC683" s="122" t="inlineStr">
        <is>
          <t>Reversionary lease completed. Term 01/11/25 to 30/04/26 at £505,000. Tenant breaks on 28/02/26 &amp; 31/03/26 on 1 months notice.</t>
        </is>
      </c>
      <c r="AD683" s="306" t="n"/>
      <c r="AE683" s="35" t="n"/>
      <c r="AF683" s="280" t="n"/>
      <c r="AG683" s="35" t="n"/>
    </row>
    <row r="684" ht="37.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First Floor</t>
        </is>
      </c>
      <c r="G684" s="14" t="inlineStr">
        <is>
          <t>Office</t>
        </is>
      </c>
      <c r="H684" s="7" t="n">
        <v>6890</v>
      </c>
      <c r="I684" s="7">
        <f>H684</f>
        <v/>
      </c>
      <c r="J684" s="7" t="n">
        <v>7000</v>
      </c>
      <c r="K684" s="4" t="inlineStr">
        <is>
          <t>London Mappin House Centre Ltd.</t>
        </is>
      </c>
      <c r="L684" s="8" t="n">
        <v>45672</v>
      </c>
      <c r="M684" s="9" t="n">
        <v>46766</v>
      </c>
      <c r="P684" s="9" t="n">
        <v>46218</v>
      </c>
      <c r="Q684" s="10" t="n">
        <v>241776</v>
      </c>
      <c r="R684" s="10">
        <f>Q684</f>
        <v/>
      </c>
      <c r="S684" s="106" t="n"/>
      <c r="T684" s="10" t="n">
        <v>438000</v>
      </c>
      <c r="U684" s="10">
        <f>T684</f>
        <v/>
      </c>
      <c r="V684" s="27" t="n">
        <v>551200</v>
      </c>
      <c r="W684" s="10">
        <f>V684</f>
        <v/>
      </c>
      <c r="X684" s="277">
        <f>T684/H684</f>
        <v/>
      </c>
      <c r="Y684" s="10" t="inlineStr">
        <is>
          <t>B</t>
        </is>
      </c>
      <c r="Z684" s="60" t="n"/>
      <c r="AA684" s="362" t="n"/>
      <c r="AB684" s="14" t="inlineStr">
        <is>
          <t>No</t>
        </is>
      </c>
      <c r="AC684" s="4" t="inlineStr">
        <is>
          <t xml:space="preserve">Guaranteed base rent of £241,776 plus revenue top up. Revenue top-up rent of £52,395 paid for 1Jul24 - 30Jun25. Rolling mutual break option after 18 months. </t>
        </is>
      </c>
      <c r="AF684" s="278" t="n"/>
    </row>
    <row r="685" ht="37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Second Floor</t>
        </is>
      </c>
      <c r="G685" s="14" t="inlineStr">
        <is>
          <t>Office</t>
        </is>
      </c>
      <c r="H685" s="7" t="n">
        <v>6973</v>
      </c>
      <c r="I685" s="7">
        <f>H685</f>
        <v/>
      </c>
      <c r="J685" s="7" t="n">
        <v>7000</v>
      </c>
      <c r="K685" s="4" t="inlineStr">
        <is>
          <t>London Mappin House Centre Ltd.</t>
        </is>
      </c>
      <c r="L685" s="8" t="n">
        <v>45672</v>
      </c>
      <c r="M685" s="9" t="n">
        <v>46766</v>
      </c>
      <c r="P685" s="9" t="n">
        <v>46218</v>
      </c>
      <c r="Q685" s="10" t="n">
        <v>242259</v>
      </c>
      <c r="R685" s="10">
        <f>Q685</f>
        <v/>
      </c>
      <c r="S685" s="106" t="n"/>
      <c r="T685" s="10" t="n">
        <v>438900</v>
      </c>
      <c r="U685" s="10">
        <f>T685</f>
        <v/>
      </c>
      <c r="V685" s="27" t="n">
        <v>557800</v>
      </c>
      <c r="W685" s="10">
        <f>V685</f>
        <v/>
      </c>
      <c r="X685" s="277">
        <f>T685/H685</f>
        <v/>
      </c>
      <c r="Y685" s="10" t="inlineStr">
        <is>
          <t>B</t>
        </is>
      </c>
      <c r="Z685" s="60" t="n"/>
      <c r="AA685" s="362" t="n"/>
      <c r="AB685" s="14" t="inlineStr">
        <is>
          <t>No</t>
        </is>
      </c>
      <c r="AC685" s="4" t="inlineStr">
        <is>
          <t xml:space="preserve">Guaranteed base rent of £242,259 plus revenue top up. Revenue top-up rent of £52,502 paid for 1Jul24 - 30Jun25. Rolling mutual break option after 18 months. </t>
        </is>
      </c>
      <c r="AF685" s="278" t="n"/>
    </row>
    <row r="686" ht="22.5" customHeight="1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Third Floor</t>
        </is>
      </c>
      <c r="G686" s="14" t="inlineStr">
        <is>
          <t>Office</t>
        </is>
      </c>
      <c r="H686" s="7" t="n">
        <v>6999</v>
      </c>
      <c r="I686" s="7">
        <f>H686</f>
        <v/>
      </c>
      <c r="J686" s="7" t="n">
        <v>7000</v>
      </c>
      <c r="K686" s="4" t="inlineStr">
        <is>
          <t>Vacant</t>
        </is>
      </c>
      <c r="N686" s="9" t="n">
        <v>45673</v>
      </c>
      <c r="Q686" s="10" t="n">
        <v>0</v>
      </c>
      <c r="R686" s="10">
        <f>Q686</f>
        <v/>
      </c>
      <c r="S686" s="106" t="n"/>
      <c r="T686" s="10" t="n">
        <v>448100</v>
      </c>
      <c r="U686" s="10">
        <f>T686</f>
        <v/>
      </c>
      <c r="V686" s="27" t="n">
        <v>489900</v>
      </c>
      <c r="W686" s="10">
        <f>V686</f>
        <v/>
      </c>
      <c r="X686" s="277">
        <f>T686/H686</f>
        <v/>
      </c>
      <c r="Y686" s="10" t="inlineStr">
        <is>
          <t>D</t>
        </is>
      </c>
      <c r="Z686" s="60" t="n"/>
      <c r="AA686" s="362" t="n"/>
      <c r="AB686" s="14" t="inlineStr">
        <is>
          <t>No</t>
        </is>
      </c>
      <c r="AC686" s="4" t="inlineStr">
        <is>
          <t>LEM marketing</t>
        </is>
      </c>
      <c r="AE686" s="4" t="n">
        <v>1</v>
      </c>
      <c r="AF686" s="278" t="n">
        <v>1</v>
      </c>
      <c r="AG686" s="4" t="inlineStr">
        <is>
          <t>LEM</t>
        </is>
      </c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Fourth Floor</t>
        </is>
      </c>
      <c r="G687" s="14" t="inlineStr">
        <is>
          <t>Office</t>
        </is>
      </c>
      <c r="H687" s="7" t="n">
        <v>7007</v>
      </c>
      <c r="I687" s="7">
        <f>H687</f>
        <v/>
      </c>
      <c r="J687" s="7" t="n">
        <v>7000</v>
      </c>
      <c r="K687" s="4" t="inlineStr">
        <is>
          <t>London Mappin House Centre Ltd.</t>
        </is>
      </c>
      <c r="L687" s="8" t="n">
        <v>45672</v>
      </c>
      <c r="M687" s="9" t="n">
        <v>46766</v>
      </c>
      <c r="P687" s="9" t="n">
        <v>46218</v>
      </c>
      <c r="Q687" s="10" t="n">
        <v>252885</v>
      </c>
      <c r="R687" s="10">
        <f>Q687</f>
        <v/>
      </c>
      <c r="S687" s="106" t="n"/>
      <c r="T687" s="10" t="n">
        <v>458100</v>
      </c>
      <c r="U687" s="10">
        <f>T687</f>
        <v/>
      </c>
      <c r="V687" s="27" t="n">
        <v>560600</v>
      </c>
      <c r="W687" s="10">
        <f>V687</f>
        <v/>
      </c>
      <c r="X687" s="277">
        <f>T687/H687</f>
        <v/>
      </c>
      <c r="Y687" s="10" t="inlineStr">
        <is>
          <t>B</t>
        </is>
      </c>
      <c r="Z687" s="60" t="n"/>
      <c r="AA687" s="362" t="n"/>
      <c r="AB687" s="14" t="inlineStr">
        <is>
          <t>No</t>
        </is>
      </c>
      <c r="AC687" s="4" t="inlineStr">
        <is>
          <t xml:space="preserve">Guaranteed base rent of £252,885 plus revenue top up. Revenue top-up rent of £54,805 paid for 1Jul24 - 30Jun25. Rolling mutual break option after 18 months. </t>
        </is>
      </c>
      <c r="AF687" s="278" t="n"/>
    </row>
    <row r="688" ht="30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Fifth Floor</t>
        </is>
      </c>
      <c r="G688" s="14" t="inlineStr">
        <is>
          <t>Office</t>
        </is>
      </c>
      <c r="H688" s="7" t="n">
        <v>6662</v>
      </c>
      <c r="I688" s="7">
        <f>H688</f>
        <v/>
      </c>
      <c r="J688" s="7" t="n">
        <v>6500</v>
      </c>
      <c r="K688" s="4" t="inlineStr">
        <is>
          <t>London Mappin House Centre Ltd.</t>
        </is>
      </c>
      <c r="L688" s="8" t="n">
        <v>45672</v>
      </c>
      <c r="M688" s="9" t="n">
        <v>46766</v>
      </c>
      <c r="P688" s="9" t="n">
        <v>46218</v>
      </c>
      <c r="Q688" s="10" t="n">
        <v>252394</v>
      </c>
      <c r="R688" s="10">
        <f>Q688</f>
        <v/>
      </c>
      <c r="S688" s="106" t="n"/>
      <c r="T688" s="10" t="n">
        <v>434600</v>
      </c>
      <c r="U688" s="10">
        <f>T688</f>
        <v/>
      </c>
      <c r="V688" s="27" t="n">
        <v>533000</v>
      </c>
      <c r="W688" s="10">
        <f>V688</f>
        <v/>
      </c>
      <c r="X688" s="277">
        <f>T688/H688</f>
        <v/>
      </c>
      <c r="Y688" s="10" t="inlineStr">
        <is>
          <t>B</t>
        </is>
      </c>
      <c r="Z688" s="60" t="n"/>
      <c r="AA688" s="362" t="n"/>
      <c r="AB688" s="14" t="inlineStr">
        <is>
          <t>No</t>
        </is>
      </c>
      <c r="AC688" s="4" t="inlineStr">
        <is>
          <t xml:space="preserve">Guaranteed base rent of £252,393 plus revenue top up. Revenue top-up rent of £54,699 paid for 1Jul24 - 30Jun25. Rolling mutual break option after 18 months. </t>
        </is>
      </c>
      <c r="AF688" s="278" t="n"/>
    </row>
    <row r="689" ht="14.25" customHeight="1">
      <c r="A689" s="2" t="n"/>
      <c r="B689" s="11" t="n"/>
      <c r="C689" s="11" t="inlineStr">
        <is>
          <t>MEL</t>
        </is>
      </c>
      <c r="D689" s="2" t="n"/>
      <c r="E689" s="4" t="n"/>
      <c r="I689" s="10" t="n"/>
      <c r="J689" s="10" t="n"/>
      <c r="P689" s="41" t="n"/>
      <c r="T689" s="10" t="n"/>
      <c r="U689" s="10" t="n"/>
      <c r="V689" s="27" t="n"/>
      <c r="W689" s="10" t="n"/>
      <c r="X689" s="10" t="n"/>
      <c r="Y689" s="10" t="n"/>
      <c r="Z689" s="60" t="n"/>
      <c r="AA689" s="362" t="n"/>
      <c r="AB689" s="14" t="n"/>
      <c r="AF689" s="278" t="n"/>
    </row>
    <row r="690" ht="14.25" customHeight="1">
      <c r="A690" s="2" t="n"/>
      <c r="B690" s="11" t="n"/>
      <c r="C690" s="11" t="inlineStr">
        <is>
          <t>MEL</t>
        </is>
      </c>
      <c r="D690" s="2" t="n"/>
      <c r="E690" s="4" t="n"/>
      <c r="F690" s="90" t="inlineStr">
        <is>
          <t>Mappin House</t>
        </is>
      </c>
      <c r="H690" s="18">
        <f>SUM(H676:H688)</f>
        <v/>
      </c>
      <c r="I690" s="19" t="n"/>
      <c r="J690" s="19" t="n"/>
      <c r="O690" s="41" t="n"/>
      <c r="Q690" s="19">
        <f>SUM(Q676:Q689)</f>
        <v/>
      </c>
      <c r="R690" s="19" t="n"/>
      <c r="S690" s="19">
        <f>SUM(R675:R689)</f>
        <v/>
      </c>
      <c r="T690" s="19">
        <f>SUM(T676:T688)</f>
        <v/>
      </c>
      <c r="U690" s="19" t="n"/>
      <c r="V690" s="36">
        <f>SUM(V676:V688)</f>
        <v/>
      </c>
      <c r="W690" s="19" t="n"/>
      <c r="X690" s="19" t="n"/>
      <c r="Y690" s="19" t="n"/>
      <c r="Z690" s="61" t="n"/>
      <c r="AA690" s="36" t="n">
        <v>90600000</v>
      </c>
      <c r="AB690" s="14" t="n"/>
      <c r="AE690" s="29" t="n"/>
      <c r="AF690" s="279" t="n"/>
      <c r="AG690" s="29" t="n"/>
    </row>
    <row r="691" ht="14.25" customHeight="1">
      <c r="A691" s="2" t="n"/>
      <c r="B691" s="11" t="n"/>
      <c r="C691" s="11" t="inlineStr">
        <is>
          <t>MEL</t>
        </is>
      </c>
      <c r="D691" s="2" t="n"/>
      <c r="E691" s="4" t="n"/>
      <c r="G691" s="39" t="n"/>
      <c r="H691" s="18" t="n"/>
      <c r="I691" s="19" t="n"/>
      <c r="J691" s="19" t="n"/>
      <c r="O691" s="41" t="n"/>
      <c r="P691" s="8" t="n"/>
      <c r="Q691" s="19" t="n"/>
      <c r="R691" s="19" t="n"/>
      <c r="S691" s="19" t="n"/>
      <c r="T691" s="19" t="n"/>
      <c r="U691" s="19" t="n"/>
      <c r="V691" s="36" t="n"/>
      <c r="W691" s="19" t="n"/>
      <c r="X691" s="19" t="n"/>
      <c r="Y691" s="19" t="n"/>
      <c r="Z691" s="61" t="n"/>
      <c r="AA691" s="362" t="n"/>
      <c r="AB691" s="14" t="n"/>
      <c r="AC691" s="35" t="n"/>
      <c r="AD691" s="306" t="n"/>
      <c r="AE691" s="35" t="n"/>
      <c r="AF691" s="280" t="n"/>
      <c r="AG691" s="35" t="n"/>
    </row>
    <row r="692" ht="14.25" customHeight="1">
      <c r="A692" s="2" t="n"/>
      <c r="B692" s="11" t="n"/>
      <c r="C692" s="11" t="inlineStr">
        <is>
          <t>MEL</t>
        </is>
      </c>
      <c r="D692" s="2" t="n"/>
      <c r="E692" s="4" t="n"/>
      <c r="G692" s="6" t="inlineStr">
        <is>
          <t>53 Wells Street</t>
        </is>
      </c>
      <c r="I692" s="10" t="n"/>
      <c r="J692" s="10" t="n"/>
      <c r="K692" s="30" t="n"/>
      <c r="T692" s="11" t="n"/>
      <c r="U692" s="10" t="n"/>
      <c r="W692" s="10" t="n"/>
      <c r="X692" s="10" t="n"/>
      <c r="Y692" s="10" t="n"/>
      <c r="Z692" s="60" t="n"/>
      <c r="AA692" s="230" t="n"/>
      <c r="AB692" s="14" t="n"/>
      <c r="AF692" s="278" t="n"/>
    </row>
    <row r="693" ht="14.25" customHeight="1">
      <c r="A693" s="2" t="n"/>
      <c r="B693" s="11" t="n"/>
      <c r="C693" s="11" t="inlineStr">
        <is>
          <t>MEL</t>
        </is>
      </c>
      <c r="D693" s="2" t="n"/>
      <c r="E693" s="4" t="n"/>
      <c r="H693" s="18" t="n"/>
      <c r="I693" s="19" t="n"/>
      <c r="J693" s="19" t="n"/>
      <c r="Q693" s="19" t="n"/>
      <c r="R693" s="19" t="n"/>
      <c r="S693" s="19" t="n"/>
      <c r="T693" s="19" t="n"/>
      <c r="U693" s="19" t="n"/>
      <c r="V693" s="36" t="n"/>
      <c r="W693" s="19" t="n"/>
      <c r="X693" s="19" t="n"/>
      <c r="Y693" s="19" t="n"/>
      <c r="Z693" s="61" t="n"/>
      <c r="AA693" s="362" t="n"/>
      <c r="AB693" s="14" t="n"/>
      <c r="AF693" s="278" t="n"/>
    </row>
    <row r="694" ht="14.25" customHeight="1">
      <c r="A694" s="2" t="n"/>
      <c r="B694" s="11" t="inlineStr">
        <is>
          <t>CM</t>
        </is>
      </c>
      <c r="C694" s="11" t="inlineStr">
        <is>
          <t>MEL</t>
        </is>
      </c>
      <c r="D694" s="2" t="n">
        <v>550030</v>
      </c>
      <c r="E694" s="4" t="inlineStr">
        <is>
          <t>53 Wells Street</t>
        </is>
      </c>
      <c r="F694" s="4" t="inlineStr">
        <is>
          <t>Lower Ground Floor</t>
        </is>
      </c>
      <c r="G694" s="14" t="inlineStr">
        <is>
          <t>Office</t>
        </is>
      </c>
      <c r="H694" s="7" t="n">
        <v>825</v>
      </c>
      <c r="I694" s="10">
        <f>H694</f>
        <v/>
      </c>
      <c r="J694" s="10" t="n">
        <v>1000</v>
      </c>
      <c r="K694" s="4" t="inlineStr">
        <is>
          <t>Vacant</t>
        </is>
      </c>
      <c r="N694" s="9" t="n">
        <v>44709</v>
      </c>
      <c r="Q694" s="10" t="n">
        <v>0</v>
      </c>
      <c r="R694" s="10">
        <f>Q694</f>
        <v/>
      </c>
      <c r="T694" s="10" t="n">
        <v>27200</v>
      </c>
      <c r="U694" s="10">
        <f>T694</f>
        <v/>
      </c>
      <c r="V694" s="27" t="n">
        <v>33000</v>
      </c>
      <c r="W694" s="10">
        <f>V694</f>
        <v/>
      </c>
      <c r="X694" s="277">
        <f>T694/H694</f>
        <v/>
      </c>
      <c r="Y694" s="10" t="inlineStr">
        <is>
          <t>B</t>
        </is>
      </c>
      <c r="Z694" s="60" t="n"/>
      <c r="AA694" s="362" t="n"/>
      <c r="AB694" s="14" t="inlineStr">
        <is>
          <t>No</t>
        </is>
      </c>
      <c r="AF694" s="278" t="n"/>
    </row>
    <row r="695">
      <c r="A695" s="2" t="n"/>
      <c r="B695" s="11" t="inlineStr">
        <is>
          <t>CM</t>
        </is>
      </c>
      <c r="C695" s="11" t="inlineStr">
        <is>
          <t>MEL</t>
        </is>
      </c>
      <c r="D695" s="2" t="n">
        <v>550030</v>
      </c>
      <c r="E695" s="4" t="inlineStr">
        <is>
          <t>53 Wells Street</t>
        </is>
      </c>
      <c r="F695" s="4" t="inlineStr">
        <is>
          <t>Flat 1. Ground Floor</t>
        </is>
      </c>
      <c r="G695" s="14" t="inlineStr">
        <is>
          <t>One Bed Flat</t>
        </is>
      </c>
      <c r="H695" s="7" t="n">
        <v>0</v>
      </c>
      <c r="I695" s="10">
        <f>H695</f>
        <v/>
      </c>
      <c r="J695" s="10" t="n"/>
      <c r="K695" s="4" t="inlineStr">
        <is>
          <t>Edward Davenport</t>
        </is>
      </c>
      <c r="L695" s="8" t="n">
        <v>30310</v>
      </c>
      <c r="M695" s="54" t="n">
        <v>66469</v>
      </c>
      <c r="N695" s="54" t="n"/>
      <c r="O695" s="9" t="n">
        <v>54417</v>
      </c>
      <c r="Q695" s="10" t="n">
        <v>150</v>
      </c>
      <c r="R695" s="10">
        <f>Q695</f>
        <v/>
      </c>
      <c r="T695" s="10" t="n">
        <v>150</v>
      </c>
      <c r="U695" s="10">
        <f>T695</f>
        <v/>
      </c>
      <c r="V695" s="27" t="n">
        <v>150</v>
      </c>
      <c r="W695" s="10">
        <f>V695</f>
        <v/>
      </c>
      <c r="X695" s="277" t="n"/>
      <c r="Y695" s="10" t="n"/>
      <c r="Z695" s="60" t="n"/>
      <c r="AA695" s="362" t="n"/>
      <c r="AB695" s="14" t="n"/>
      <c r="AC695" s="4" t="inlineStr">
        <is>
          <t>Rent and Service charge stop placed on unit</t>
        </is>
      </c>
      <c r="AF695" s="278" t="n"/>
    </row>
    <row r="696" ht="22.5" customHeight="1">
      <c r="A696" s="2" t="n"/>
      <c r="B696" s="11" t="inlineStr">
        <is>
          <t>CM</t>
        </is>
      </c>
      <c r="C696" s="11" t="inlineStr">
        <is>
          <t>MEL</t>
        </is>
      </c>
      <c r="D696" s="2" t="n">
        <v>550030</v>
      </c>
      <c r="E696" s="4" t="inlineStr">
        <is>
          <t>53 Wells Street</t>
        </is>
      </c>
      <c r="F696" s="4" t="inlineStr">
        <is>
          <t>Flat 2. First Floor</t>
        </is>
      </c>
      <c r="G696" s="14" t="inlineStr">
        <is>
          <t>One Bed Flat</t>
        </is>
      </c>
      <c r="H696" s="7" t="n">
        <v>0</v>
      </c>
      <c r="I696" s="10">
        <f>H696</f>
        <v/>
      </c>
      <c r="J696" s="10" t="n"/>
      <c r="K696" s="4" t="inlineStr">
        <is>
          <t>V. Chamoun</t>
        </is>
      </c>
      <c r="L696" s="8" t="n">
        <v>30310</v>
      </c>
      <c r="M696" s="54" t="n">
        <v>66469</v>
      </c>
      <c r="N696" s="54" t="n"/>
      <c r="O696" s="9" t="n">
        <v>54417</v>
      </c>
      <c r="Q696" s="10" t="n">
        <v>150</v>
      </c>
      <c r="R696" s="10">
        <f>Q696</f>
        <v/>
      </c>
      <c r="T696" s="10" t="n">
        <v>150</v>
      </c>
      <c r="U696" s="10">
        <f>T696</f>
        <v/>
      </c>
      <c r="V696" s="27" t="n">
        <v>150</v>
      </c>
      <c r="W696" s="10">
        <f>V696</f>
        <v/>
      </c>
      <c r="X696" s="277" t="n"/>
      <c r="Y696" s="10" t="n"/>
      <c r="Z696" s="60" t="n"/>
      <c r="AA696" s="362" t="n"/>
      <c r="AB696" s="14" t="n"/>
      <c r="AC696" s="4" t="inlineStr">
        <is>
          <t>Rent and Service charge stop placed on unit</t>
        </is>
      </c>
      <c r="AF696" s="278" t="n"/>
    </row>
    <row r="697" ht="22.5" customHeight="1">
      <c r="A697" s="2" t="n"/>
      <c r="B697" s="11" t="inlineStr">
        <is>
          <t>CM</t>
        </is>
      </c>
      <c r="C697" s="11" t="inlineStr">
        <is>
          <t>MEL</t>
        </is>
      </c>
      <c r="D697" s="2" t="n">
        <v>550030</v>
      </c>
      <c r="E697" s="4" t="inlineStr">
        <is>
          <t>53 Wells Street</t>
        </is>
      </c>
      <c r="F697" s="4" t="inlineStr">
        <is>
          <t>Flat 3. Second Floor</t>
        </is>
      </c>
      <c r="G697" s="14" t="inlineStr">
        <is>
          <t>One Bed Flat</t>
        </is>
      </c>
      <c r="H697" s="7" t="n">
        <v>0</v>
      </c>
      <c r="I697" s="10">
        <f>H697</f>
        <v/>
      </c>
      <c r="J697" s="10" t="n"/>
      <c r="K697" s="4" t="inlineStr">
        <is>
          <t>C &amp; Y Hopper</t>
        </is>
      </c>
      <c r="L697" s="8" t="n">
        <v>30310</v>
      </c>
      <c r="M697" s="54" t="n">
        <v>99340</v>
      </c>
      <c r="N697" s="54" t="n"/>
      <c r="Q697" s="10" t="n">
        <v>0</v>
      </c>
      <c r="R697" s="10">
        <f>Q697</f>
        <v/>
      </c>
      <c r="T697" s="10" t="n">
        <v>150</v>
      </c>
      <c r="U697" s="10">
        <f>T697</f>
        <v/>
      </c>
      <c r="V697" s="27" t="n">
        <v>150</v>
      </c>
      <c r="W697" s="10">
        <f>V697</f>
        <v/>
      </c>
      <c r="X697" s="277" t="n"/>
      <c r="Y697" s="10" t="n"/>
      <c r="Z697" s="60" t="n"/>
      <c r="AA697" s="362" t="n"/>
      <c r="AB697" s="14" t="n"/>
      <c r="AC697" s="4" t="inlineStr">
        <is>
          <t>Peppercorn.</t>
        </is>
      </c>
      <c r="AF697" s="278" t="n"/>
    </row>
    <row r="698" ht="22.5" customHeight="1">
      <c r="A698" s="2" t="n"/>
      <c r="B698" s="11" t="inlineStr">
        <is>
          <t>CM</t>
        </is>
      </c>
      <c r="C698" s="11" t="inlineStr">
        <is>
          <t>MEL</t>
        </is>
      </c>
      <c r="D698" s="2" t="n">
        <v>550030</v>
      </c>
      <c r="E698" s="4" t="inlineStr">
        <is>
          <t>53 Wells Street</t>
        </is>
      </c>
      <c r="F698" s="4" t="inlineStr">
        <is>
          <t>Flat 4. Third Floor</t>
        </is>
      </c>
      <c r="G698" s="14" t="inlineStr">
        <is>
          <t>One Bed Flat</t>
        </is>
      </c>
      <c r="H698" s="7" t="n">
        <v>0</v>
      </c>
      <c r="I698" s="10">
        <f>H698</f>
        <v/>
      </c>
      <c r="J698" s="10" t="n"/>
      <c r="K698" s="4" t="inlineStr">
        <is>
          <t>Lion Brand Limited</t>
        </is>
      </c>
      <c r="L698" s="8" t="n">
        <v>30310</v>
      </c>
      <c r="M698" s="54" t="n">
        <v>66469</v>
      </c>
      <c r="N698" s="54" t="n"/>
      <c r="O698" s="9" t="n">
        <v>54417</v>
      </c>
      <c r="Q698" s="10" t="n">
        <v>0</v>
      </c>
      <c r="R698" s="10">
        <f>Q698</f>
        <v/>
      </c>
      <c r="T698" s="10" t="n">
        <v>150</v>
      </c>
      <c r="U698" s="10">
        <f>T698</f>
        <v/>
      </c>
      <c r="V698" s="27" t="n">
        <v>150</v>
      </c>
      <c r="W698" s="10">
        <f>V698</f>
        <v/>
      </c>
      <c r="X698" s="277" t="n"/>
      <c r="Y698" s="10" t="n"/>
      <c r="Z698" s="60" t="n"/>
      <c r="AA698" s="362" t="n"/>
      <c r="AB698" s="14" t="n"/>
      <c r="AC698" s="4" t="inlineStr">
        <is>
          <t>Peppercorn.</t>
        </is>
      </c>
      <c r="AF698" s="278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39" t="n"/>
      <c r="H699" s="2" t="n"/>
      <c r="I699" s="10" t="n"/>
      <c r="J699" s="10" t="n"/>
      <c r="Q699" s="19" t="n"/>
      <c r="R699" s="19" t="n"/>
      <c r="S699" s="19" t="n"/>
      <c r="T699" s="19" t="n"/>
      <c r="U699" s="19" t="n"/>
      <c r="V699" s="36" t="n"/>
      <c r="W699" s="19" t="n"/>
      <c r="X699" s="19" t="n"/>
      <c r="Y699" s="19" t="n"/>
      <c r="Z699" s="61" t="n"/>
      <c r="AA699" s="362" t="n"/>
      <c r="AB699" s="14" t="n"/>
      <c r="AF699" s="278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F700" s="90" t="inlineStr">
        <is>
          <t>53 Wells Street</t>
        </is>
      </c>
      <c r="G700" s="51" t="n"/>
      <c r="H700" s="18">
        <f>SUM(H694:H698)</f>
        <v/>
      </c>
      <c r="I700" s="19" t="n"/>
      <c r="J700" s="19" t="n"/>
      <c r="K700" s="86" t="n"/>
      <c r="L700" s="56" t="n"/>
      <c r="Q700" s="19">
        <f>SUM(Q694:Q698)</f>
        <v/>
      </c>
      <c r="R700" s="19" t="n"/>
      <c r="S700" s="19">
        <f>SUM(R693:R699)</f>
        <v/>
      </c>
      <c r="T700" s="19">
        <f>SUM(T694:T698)</f>
        <v/>
      </c>
      <c r="U700" s="19" t="n"/>
      <c r="V700" s="36">
        <f>SUM(V694:V698)</f>
        <v/>
      </c>
      <c r="W700" s="19" t="n"/>
      <c r="X700" s="19" t="n"/>
      <c r="Y700" s="19" t="n"/>
      <c r="Z700" s="61" t="n"/>
      <c r="AA700" s="36" t="n">
        <v>360000</v>
      </c>
      <c r="AB700" s="14" t="n"/>
      <c r="AF700" s="278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G701" s="39" t="n"/>
      <c r="H701" s="18" t="n"/>
      <c r="I701" s="19" t="n"/>
      <c r="J701" s="19" t="n"/>
      <c r="Q701" s="19" t="n"/>
      <c r="R701" s="19" t="n"/>
      <c r="S701" s="19" t="n"/>
      <c r="T701" s="19" t="n"/>
      <c r="U701" s="19" t="n"/>
      <c r="V701" s="36" t="n"/>
      <c r="W701" s="19" t="n"/>
      <c r="X701" s="19" t="n"/>
      <c r="Y701" s="19" t="n"/>
      <c r="Z701" s="61" t="n"/>
      <c r="AA701" s="362" t="n"/>
      <c r="AB701" s="14" t="n"/>
      <c r="AF701" s="278" t="n"/>
    </row>
    <row r="702" ht="14.25" customHeight="1">
      <c r="A702" s="2" t="n"/>
      <c r="B702" s="11" t="n"/>
      <c r="C702" s="11" t="inlineStr">
        <is>
          <t>MEL</t>
        </is>
      </c>
      <c r="D702" s="2" t="n"/>
      <c r="E702" s="4" t="n"/>
      <c r="G702" s="6" t="inlineStr">
        <is>
          <t>68 Wells Street</t>
        </is>
      </c>
      <c r="I702" s="10" t="n"/>
      <c r="J702" s="10" t="n"/>
      <c r="K702" s="30" t="n"/>
      <c r="P702" s="34" t="n"/>
      <c r="T702" s="11" t="n"/>
      <c r="U702" s="10" t="n"/>
      <c r="W702" s="10" t="n"/>
      <c r="X702" s="10" t="n"/>
      <c r="Y702" s="10" t="n"/>
      <c r="Z702" s="60" t="n"/>
      <c r="AA702" s="230" t="n"/>
      <c r="AB702" s="14" t="n"/>
      <c r="AF702" s="278" t="n"/>
    </row>
    <row r="703" ht="14.25" customHeight="1">
      <c r="A703" s="2" t="n"/>
      <c r="B703" s="11" t="n"/>
      <c r="C703" s="11" t="inlineStr">
        <is>
          <t>MEL</t>
        </is>
      </c>
      <c r="D703" s="2" t="n"/>
      <c r="E703" s="4" t="n"/>
      <c r="I703" s="10" t="n"/>
      <c r="J703" s="10" t="n"/>
      <c r="P703" s="34" t="n"/>
      <c r="T703" s="10" t="n"/>
      <c r="U703" s="10" t="n"/>
      <c r="V703" s="27" t="n"/>
      <c r="W703" s="10" t="n"/>
      <c r="X703" s="10" t="n"/>
      <c r="Y703" s="10" t="n"/>
      <c r="Z703" s="60" t="n"/>
      <c r="AA703" s="230" t="n"/>
      <c r="AB703" s="14" t="n"/>
      <c r="AF703" s="278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550760</v>
      </c>
      <c r="E704" s="4" t="inlineStr">
        <is>
          <t>68 Wells Street</t>
        </is>
      </c>
      <c r="F704" s="4" t="inlineStr">
        <is>
          <t>Whole Building</t>
        </is>
      </c>
      <c r="G704" s="14" t="inlineStr">
        <is>
          <t>Showroom &amp; Office</t>
        </is>
      </c>
      <c r="H704" s="18" t="n">
        <v>2085</v>
      </c>
      <c r="I704" s="10">
        <f>H704</f>
        <v/>
      </c>
      <c r="J704" s="10" t="n">
        <v>2000</v>
      </c>
      <c r="K704" s="4" t="inlineStr">
        <is>
          <t>Voltage TV Productions Ltd</t>
        </is>
      </c>
      <c r="L704" s="8" t="n">
        <v>45741</v>
      </c>
      <c r="M704" s="9" t="n">
        <v>46836</v>
      </c>
      <c r="P704" s="9" t="n">
        <v>46289</v>
      </c>
      <c r="Q704" s="19" t="n">
        <v>90000</v>
      </c>
      <c r="R704" s="10">
        <f>Q704</f>
        <v/>
      </c>
      <c r="S704" s="19">
        <f>R704</f>
        <v/>
      </c>
      <c r="T704" s="19" t="n">
        <v>80000</v>
      </c>
      <c r="U704" s="10">
        <f>T704</f>
        <v/>
      </c>
      <c r="V704" s="36" t="n">
        <v>90000</v>
      </c>
      <c r="W704" s="10">
        <f>V704</f>
        <v/>
      </c>
      <c r="X704" s="10" t="n"/>
      <c r="Y704" s="10" t="inlineStr">
        <is>
          <t>D</t>
        </is>
      </c>
      <c r="Z704" s="60" t="n"/>
      <c r="AA704" s="36" t="n">
        <v>1400000</v>
      </c>
      <c r="AB704" s="14" t="inlineStr">
        <is>
          <t>No</t>
        </is>
      </c>
      <c r="AC704" s="4" t="inlineStr">
        <is>
          <t>Rent increasing to £100,000 wef 25/03/26. Tenant break on 6 months notice.</t>
        </is>
      </c>
      <c r="AF704" s="278" t="n"/>
    </row>
    <row r="705" ht="14.25" customHeight="1">
      <c r="A705" s="2" t="n"/>
      <c r="B705" s="11" t="n"/>
      <c r="C705" s="11" t="n"/>
      <c r="D705" s="2" t="n"/>
      <c r="E705" s="4" t="n"/>
      <c r="F705" s="90" t="inlineStr">
        <is>
          <t>68 Wells Street</t>
        </is>
      </c>
      <c r="H705" s="31" t="n"/>
      <c r="I705" s="18" t="n"/>
      <c r="J705" s="18" t="n"/>
      <c r="K705" s="32" t="n"/>
      <c r="L705" s="33" t="n"/>
      <c r="M705" s="34" t="n"/>
      <c r="N705" s="34" t="n"/>
      <c r="O705" s="34" t="n"/>
      <c r="Q705" s="18" t="n"/>
      <c r="R705" s="31" t="n"/>
      <c r="S705" s="31" t="n"/>
      <c r="T705" s="31">
        <f>SUM(T704:T704)</f>
        <v/>
      </c>
      <c r="U705" s="31" t="n"/>
      <c r="V705" s="376" t="n"/>
      <c r="W705" s="31" t="n"/>
      <c r="X705" s="31" t="n"/>
      <c r="Y705" s="31" t="n"/>
      <c r="Z705" s="62" t="n"/>
      <c r="AA705" s="36" t="n"/>
      <c r="AB705" s="14" t="n"/>
      <c r="AF705" s="278" t="n"/>
    </row>
    <row r="706" ht="14.25" customHeight="1">
      <c r="D706" s="116" t="n"/>
      <c r="E706" s="116" t="n"/>
      <c r="H706" s="18" t="n"/>
      <c r="I706" s="18" t="n"/>
      <c r="J706" s="18" t="n"/>
      <c r="Q706" s="19" t="n"/>
      <c r="R706" s="19" t="n"/>
      <c r="S706" s="19" t="n"/>
      <c r="T706" s="19" t="n"/>
      <c r="U706" s="19" t="n"/>
      <c r="V706" s="36" t="n"/>
      <c r="W706" s="19" t="n"/>
      <c r="X706" s="19" t="n"/>
      <c r="Y706" s="19" t="n"/>
      <c r="Z706" s="61" t="n"/>
      <c r="AA706" s="362" t="n"/>
      <c r="AB706" s="52" t="n"/>
      <c r="AF706" s="278" t="n"/>
    </row>
    <row r="707" ht="14.25" customHeight="1" thickBot="1">
      <c r="D707" s="116" t="n"/>
      <c r="E707" s="116" t="n"/>
      <c r="F707" s="193" t="inlineStr">
        <is>
          <t>Total MEL Area</t>
        </is>
      </c>
      <c r="G707" s="194" t="n"/>
      <c r="H707" s="195">
        <f>I707</f>
        <v/>
      </c>
      <c r="I707" s="195">
        <f>SUM(I6:I706)</f>
        <v/>
      </c>
      <c r="J707" s="195" t="n"/>
      <c r="K707" s="196" t="n"/>
      <c r="L707" s="197" t="n"/>
      <c r="M707" s="198" t="n"/>
      <c r="N707" s="198" t="n"/>
      <c r="O707" s="198" t="n"/>
      <c r="P707" s="198" t="n"/>
      <c r="Q707" s="195">
        <f>SUM(R8:R704)</f>
        <v/>
      </c>
      <c r="R707" s="199" t="n"/>
      <c r="S707" s="199" t="n"/>
      <c r="T707" s="195">
        <f>SUM(U5:U705)</f>
        <v/>
      </c>
      <c r="U707" s="199" t="n"/>
      <c r="V707" s="368">
        <f>SUM(W7:W704)</f>
        <v/>
      </c>
      <c r="W707" s="199" t="n"/>
      <c r="X707" s="199" t="n"/>
      <c r="Y707" s="199" t="n"/>
      <c r="Z707" s="200" t="n"/>
      <c r="AA707" s="368">
        <f>SUM(AA7:AA704)</f>
        <v/>
      </c>
      <c r="AB707" s="201" t="n"/>
      <c r="AC707" s="196" t="n"/>
      <c r="AD707" s="311" t="n"/>
      <c r="AE707" s="237" t="n"/>
      <c r="AF707" s="287" t="n"/>
      <c r="AG707" s="237" t="n"/>
    </row>
    <row r="708" ht="14.25" customHeight="1" thickTop="1">
      <c r="D708" s="116" t="n"/>
      <c r="E708" s="116" t="n"/>
      <c r="T708" s="10" t="n"/>
      <c r="U708" s="10" t="n"/>
      <c r="V708" s="27" t="n"/>
      <c r="W708" s="10" t="n"/>
      <c r="X708" s="10" t="n"/>
      <c r="Y708" s="10" t="n"/>
      <c r="Z708" s="60" t="n"/>
      <c r="AA708" s="230" t="n"/>
      <c r="AF708" s="278" t="n"/>
    </row>
    <row r="709" ht="12.75" customHeight="1">
      <c r="F709" s="147" t="n"/>
      <c r="G709" s="148" t="n"/>
      <c r="H709" s="149" t="n"/>
      <c r="I709" s="149" t="n"/>
      <c r="J709" s="149" t="n"/>
      <c r="K709" s="147" t="n"/>
      <c r="L709" s="150" t="n"/>
      <c r="M709" s="150" t="n"/>
      <c r="N709" s="150" t="n"/>
      <c r="O709" s="150" t="n"/>
      <c r="P709" s="150" t="n"/>
      <c r="Q709" s="151" t="n"/>
      <c r="R709" s="151" t="n"/>
      <c r="T709" s="151" t="n"/>
      <c r="U709" s="151" t="n"/>
      <c r="V709" s="380" t="n"/>
      <c r="W709" s="151" t="n"/>
      <c r="X709" s="151" t="n"/>
      <c r="Y709" s="151" t="n"/>
      <c r="Z709" s="148" t="n"/>
      <c r="AA709" s="369" t="n"/>
      <c r="AB709" s="148" t="n"/>
      <c r="AC709" s="147" t="n"/>
      <c r="AD709" s="312" t="n"/>
      <c r="AE709" s="147" t="n"/>
      <c r="AF709" s="288" t="n"/>
      <c r="AG709" s="147" t="n"/>
    </row>
    <row r="710" ht="12.75" customHeight="1">
      <c r="F710" s="147" t="n"/>
      <c r="G710" s="152" t="inlineStr">
        <is>
          <t>33 Eastcastle Street</t>
        </is>
      </c>
      <c r="H710" s="149" t="n"/>
      <c r="I710" s="149" t="n"/>
      <c r="J710" s="149" t="n"/>
      <c r="K710" s="147" t="n"/>
      <c r="L710" s="150" t="n"/>
      <c r="M710" s="150" t="n"/>
      <c r="N710" s="150" t="n"/>
      <c r="O710" s="150" t="n"/>
      <c r="P710" s="150" t="n"/>
      <c r="Q710" s="151" t="n"/>
      <c r="R710" s="151" t="n"/>
      <c r="T710" s="151" t="n"/>
      <c r="U710" s="151" t="n"/>
      <c r="V710" s="380" t="n"/>
      <c r="W710" s="151" t="n"/>
      <c r="X710" s="151" t="n"/>
      <c r="Y710" s="151" t="n"/>
      <c r="Z710" s="148" t="n"/>
      <c r="AA710" s="369" t="n"/>
      <c r="AB710" s="148" t="n"/>
      <c r="AC710" s="147" t="n"/>
      <c r="AD710" s="312" t="n"/>
      <c r="AE710" s="147" t="n"/>
      <c r="AF710" s="288" t="n"/>
      <c r="AG710" s="147" t="n"/>
    </row>
    <row r="711" ht="12.75" customHeight="1">
      <c r="F711" s="147" t="n"/>
      <c r="G711" s="148" t="n"/>
      <c r="H711" s="149" t="n"/>
      <c r="I711" s="149" t="n"/>
      <c r="J711" s="149" t="n"/>
      <c r="K711" s="147" t="n"/>
      <c r="L711" s="150" t="n"/>
      <c r="M711" s="150" t="n"/>
      <c r="N711" s="150" t="n"/>
      <c r="O711" s="150" t="n"/>
      <c r="P711" s="150" t="n"/>
      <c r="Q711" s="151" t="n"/>
      <c r="R711" s="151" t="n"/>
      <c r="T711" s="151" t="n"/>
      <c r="U711" s="151" t="n"/>
      <c r="V711" s="380" t="n"/>
      <c r="W711" s="151" t="n"/>
      <c r="X711" s="151" t="n"/>
      <c r="Y711" s="151" t="n"/>
      <c r="Z711" s="148" t="n"/>
      <c r="AA711" s="369" t="n"/>
      <c r="AB711" s="148" t="n"/>
      <c r="AC711" s="147" t="n"/>
      <c r="AD711" s="312" t="n"/>
      <c r="AE711" s="147" t="n"/>
      <c r="AF711" s="288" t="n"/>
      <c r="AG711" s="147" t="n"/>
    </row>
    <row r="712" ht="16.5" customFormat="1" customHeight="1" s="1">
      <c r="B712" s="11" t="inlineStr">
        <is>
          <t>CD</t>
        </is>
      </c>
      <c r="C712" s="11" t="inlineStr">
        <is>
          <t>OPG</t>
        </is>
      </c>
      <c r="D712" s="170" t="n">
        <v>800200</v>
      </c>
      <c r="E712" s="170" t="inlineStr">
        <is>
          <t>33 Eastcastle Street</t>
        </is>
      </c>
      <c r="F712" s="170" t="inlineStr">
        <is>
          <t>Whole Building</t>
        </is>
      </c>
      <c r="G712" s="171" t="inlineStr">
        <is>
          <t>Retail &amp; Office</t>
        </is>
      </c>
      <c r="H712" s="172" t="n">
        <v>3122</v>
      </c>
      <c r="I712" s="173">
        <f>H712</f>
        <v/>
      </c>
      <c r="J712" s="173" t="n">
        <v>3000</v>
      </c>
      <c r="K712" s="170" t="inlineStr">
        <is>
          <t>Leon Restaurants Ltd</t>
        </is>
      </c>
      <c r="L712" s="174" t="n">
        <v>42580</v>
      </c>
      <c r="M712" s="174" t="n">
        <v>46231</v>
      </c>
      <c r="N712" s="174" t="n"/>
      <c r="O712" s="174" t="n">
        <v>44406</v>
      </c>
      <c r="P712" s="174" t="n"/>
      <c r="Q712" s="175" t="n">
        <v>170000</v>
      </c>
      <c r="R712" s="172">
        <f>Q712</f>
        <v/>
      </c>
      <c r="S712" s="10" t="n"/>
      <c r="T712" s="175" t="n">
        <v>124100</v>
      </c>
      <c r="U712" s="173">
        <f>T712</f>
        <v/>
      </c>
      <c r="V712" s="381" t="n">
        <v>134000</v>
      </c>
      <c r="W712" s="173">
        <f>V712</f>
        <v/>
      </c>
      <c r="X712" s="277">
        <f>T712/H712</f>
        <v/>
      </c>
      <c r="Y712" s="173" t="inlineStr">
        <is>
          <t>E</t>
        </is>
      </c>
      <c r="Z712" s="171" t="n"/>
      <c r="AA712" s="370" t="n">
        <v>1325000</v>
      </c>
      <c r="AB712" s="176" t="inlineStr">
        <is>
          <t>No</t>
        </is>
      </c>
      <c r="AC712" s="170" t="n"/>
      <c r="AD712" s="313" t="n"/>
      <c r="AE712" s="170" t="n"/>
      <c r="AF712" s="289" t="n"/>
      <c r="AG712" s="170" t="n"/>
    </row>
    <row r="713" ht="12.75" customHeight="1">
      <c r="D713" s="153" t="n"/>
      <c r="E713" s="153" t="n"/>
      <c r="F713" s="147" t="n"/>
      <c r="G713" s="148" t="n"/>
      <c r="H713" s="149" t="n"/>
      <c r="I713" s="149" t="n"/>
      <c r="J713" s="149" t="n"/>
      <c r="K713" s="147" t="n"/>
      <c r="L713" s="150" t="n"/>
      <c r="M713" s="150" t="n"/>
      <c r="N713" s="150" t="n"/>
      <c r="O713" s="150" t="n"/>
      <c r="P713" s="150" t="n"/>
      <c r="Q713" s="151" t="n"/>
      <c r="R713" s="149" t="n"/>
      <c r="T713" s="151" t="n"/>
      <c r="U713" s="149" t="n"/>
      <c r="V713" s="380" t="n"/>
      <c r="W713" s="149" t="n"/>
      <c r="X713" s="149" t="n"/>
      <c r="Y713" s="149" t="n"/>
      <c r="Z713" s="154" t="n"/>
      <c r="AA713" s="369" t="n"/>
      <c r="AB713" s="154" t="n"/>
      <c r="AC713" s="147" t="n"/>
      <c r="AD713" s="312" t="n"/>
      <c r="AE713" s="147" t="n"/>
      <c r="AF713" s="288" t="n"/>
      <c r="AG713" s="147" t="n"/>
    </row>
    <row r="714" ht="12.75" customHeight="1">
      <c r="D714" s="153" t="n"/>
      <c r="E714" s="153" t="n"/>
      <c r="F714" s="147" t="n"/>
      <c r="G714" s="148" t="n"/>
      <c r="H714" s="149" t="n"/>
      <c r="I714" s="149" t="n"/>
      <c r="J714" s="149" t="n"/>
      <c r="K714" s="147" t="n"/>
      <c r="L714" s="150" t="n"/>
      <c r="M714" s="150" t="n"/>
      <c r="N714" s="150" t="n"/>
      <c r="O714" s="150" t="n"/>
      <c r="P714" s="150" t="n"/>
      <c r="Q714" s="151" t="n"/>
      <c r="R714" s="149" t="n"/>
      <c r="T714" s="151" t="n"/>
      <c r="U714" s="149" t="n"/>
      <c r="V714" s="380" t="n"/>
      <c r="W714" s="149" t="n"/>
      <c r="X714" s="149" t="n"/>
      <c r="Y714" s="149" t="n"/>
      <c r="Z714" s="148" t="n"/>
      <c r="AA714" s="369" t="n"/>
      <c r="AB714" s="148" t="n"/>
      <c r="AC714" s="147" t="n"/>
      <c r="AD714" s="312" t="n"/>
      <c r="AE714" s="147" t="n"/>
      <c r="AF714" s="288" t="n"/>
      <c r="AG714" s="147" t="n"/>
    </row>
    <row r="715" ht="12.75" customHeight="1">
      <c r="D715" s="153" t="n"/>
      <c r="E715" s="153" t="n"/>
      <c r="F715" s="147" t="n"/>
      <c r="G715" s="152" t="inlineStr">
        <is>
          <t>Julco House, 26-28 Great Portland Street</t>
        </is>
      </c>
      <c r="H715" s="149" t="n"/>
      <c r="I715" s="149" t="n"/>
      <c r="J715" s="149" t="n"/>
      <c r="K715" s="147" t="n"/>
      <c r="L715" s="150" t="n"/>
      <c r="M715" s="150" t="n"/>
      <c r="N715" s="150" t="n"/>
      <c r="O715" s="150" t="n"/>
      <c r="P715" s="150" t="n"/>
      <c r="Q715" s="151" t="n"/>
      <c r="R715" s="149" t="n"/>
      <c r="T715" s="151" t="n"/>
      <c r="U715" s="149" t="n"/>
      <c r="V715" s="380" t="n"/>
      <c r="W715" s="149" t="n"/>
      <c r="X715" s="149" t="n"/>
      <c r="Y715" s="149" t="n"/>
      <c r="Z715" s="148" t="n"/>
      <c r="AA715" s="369" t="n"/>
      <c r="AB715" s="148" t="n"/>
      <c r="AC715" s="147" t="n"/>
      <c r="AD715" s="312" t="n"/>
      <c r="AE715" s="147" t="n"/>
      <c r="AF715" s="288" t="n"/>
      <c r="AG715" s="147" t="n"/>
    </row>
    <row r="716" ht="12.75" customHeight="1">
      <c r="D716" s="153" t="n"/>
      <c r="E716" s="153" t="n"/>
      <c r="F716" s="147" t="n"/>
      <c r="G716" s="148" t="n"/>
      <c r="H716" s="149" t="n"/>
      <c r="I716" s="149" t="n"/>
      <c r="J716" s="149" t="n"/>
      <c r="K716" s="147" t="n"/>
      <c r="L716" s="150" t="n"/>
      <c r="M716" s="150" t="n"/>
      <c r="N716" s="150" t="n"/>
      <c r="O716" s="150" t="n"/>
      <c r="P716" s="150" t="n"/>
      <c r="Q716" s="151" t="n"/>
      <c r="R716" s="149" t="n"/>
      <c r="T716" s="151" t="n"/>
      <c r="U716" s="149" t="n"/>
      <c r="V716" s="380" t="n"/>
      <c r="W716" s="149" t="n"/>
      <c r="X716" s="149" t="n"/>
      <c r="Y716" s="149" t="n"/>
      <c r="Z716" s="148" t="n"/>
      <c r="AA716" s="369" t="n"/>
      <c r="AB716" s="148" t="n"/>
      <c r="AC716" s="147" t="n"/>
      <c r="AD716" s="312" t="n"/>
      <c r="AE716" s="147" t="n"/>
      <c r="AF716" s="288" t="n"/>
      <c r="AG716" s="147" t="n"/>
    </row>
    <row r="717" ht="22.5" customFormat="1" customHeight="1" s="1">
      <c r="B717" s="11" t="inlineStr">
        <is>
          <t>CD</t>
        </is>
      </c>
      <c r="C717" s="11" t="inlineStr">
        <is>
          <t>OPG</t>
        </is>
      </c>
      <c r="D717" s="170" t="n">
        <v>800100</v>
      </c>
      <c r="E717" s="170" t="inlineStr">
        <is>
          <t>Julco House, 26-28 Great Portland Street</t>
        </is>
      </c>
      <c r="F717" s="170" t="inlineStr">
        <is>
          <t>Ground Floor &amp; Basement</t>
        </is>
      </c>
      <c r="G717" s="171" t="inlineStr">
        <is>
          <t>Restaurant</t>
        </is>
      </c>
      <c r="H717" s="173" t="n">
        <v>4332</v>
      </c>
      <c r="I717" s="173">
        <f>H717</f>
        <v/>
      </c>
      <c r="J717" s="173" t="n">
        <v>4250</v>
      </c>
      <c r="K717" s="117" t="inlineStr">
        <is>
          <t>Oaxaca Ltd.</t>
        </is>
      </c>
      <c r="L717" s="174" t="n">
        <v>41789</v>
      </c>
      <c r="M717" s="174" t="n">
        <v>47267</v>
      </c>
      <c r="N717" s="174" t="n"/>
      <c r="O717" s="174" t="n">
        <v>45442</v>
      </c>
      <c r="P717" s="174" t="n"/>
      <c r="Q717" s="176" t="n">
        <v>255000</v>
      </c>
      <c r="R717" s="173">
        <f>Q717</f>
        <v/>
      </c>
      <c r="S717" s="10" t="n"/>
      <c r="T717" s="176" t="n">
        <v>290500</v>
      </c>
      <c r="U717" s="173">
        <f>T717</f>
        <v/>
      </c>
      <c r="V717" s="372" t="n">
        <v>255000</v>
      </c>
      <c r="W717" s="173">
        <f>V717</f>
        <v/>
      </c>
      <c r="X717" s="277">
        <f>T717/H717</f>
        <v/>
      </c>
      <c r="Y717" s="173" t="inlineStr">
        <is>
          <t>B</t>
        </is>
      </c>
      <c r="Z717" s="177" t="inlineStr">
        <is>
          <t>*</t>
        </is>
      </c>
      <c r="AA717" s="371" t="n"/>
      <c r="AB717" s="176" t="inlineStr">
        <is>
          <t>No</t>
        </is>
      </c>
      <c r="AC717" s="170" t="inlineStr">
        <is>
          <t>Rent £255,000 pa with a top-up of 11% turnover up to a maximum of £300,000 pa.</t>
        </is>
      </c>
      <c r="AD717" s="313" t="n"/>
      <c r="AE717" s="170" t="n"/>
      <c r="AF717" s="289" t="n"/>
      <c r="AG717" s="170" t="n"/>
    </row>
    <row r="718" ht="22.5" customFormat="1" customHeight="1" s="1">
      <c r="B718" s="11" t="inlineStr">
        <is>
          <t>CD</t>
        </is>
      </c>
      <c r="C718" s="11" t="inlineStr">
        <is>
          <t>OPG</t>
        </is>
      </c>
      <c r="D718" s="170" t="n">
        <v>800100</v>
      </c>
      <c r="E718" s="170" t="inlineStr">
        <is>
          <t>Julco House, 26-28 Great Portland Street</t>
        </is>
      </c>
      <c r="F718" s="170" t="inlineStr">
        <is>
          <t>First Floor</t>
        </is>
      </c>
      <c r="G718" s="171" t="inlineStr">
        <is>
          <t>Offices</t>
        </is>
      </c>
      <c r="H718" s="173" t="n">
        <v>1818</v>
      </c>
      <c r="I718" s="173">
        <f>H718</f>
        <v/>
      </c>
      <c r="J718" s="173" t="n">
        <v>2000</v>
      </c>
      <c r="K718" s="117" t="inlineStr">
        <is>
          <t>Collins Benson Goldhill LLP</t>
        </is>
      </c>
      <c r="L718" s="174" t="n">
        <v>44280</v>
      </c>
      <c r="M718" s="174" t="n">
        <v>46105</v>
      </c>
      <c r="N718" s="174" t="n"/>
      <c r="O718" s="174" t="n"/>
      <c r="P718" s="174" t="n"/>
      <c r="Q718" s="176" t="n">
        <v>83000</v>
      </c>
      <c r="R718" s="173">
        <f>Q718</f>
        <v/>
      </c>
      <c r="S718" s="10" t="n"/>
      <c r="T718" s="176" t="n">
        <v>111800</v>
      </c>
      <c r="U718" s="173">
        <f>T718</f>
        <v/>
      </c>
      <c r="V718" s="372" t="n">
        <v>118200</v>
      </c>
      <c r="W718" s="173">
        <f>V718</f>
        <v/>
      </c>
      <c r="X718" s="277">
        <f>T718/H718</f>
        <v/>
      </c>
      <c r="Y718" s="173" t="inlineStr">
        <is>
          <t>D</t>
        </is>
      </c>
      <c r="Z718" s="177" t="n"/>
      <c r="AA718" s="371" t="n"/>
      <c r="AB718" s="176" t="inlineStr">
        <is>
          <t>Yes</t>
        </is>
      </c>
      <c r="AC718" s="170" t="n"/>
      <c r="AD718" s="313" t="n"/>
      <c r="AE718" s="170" t="n"/>
      <c r="AF718" s="289" t="n"/>
      <c r="AG718" s="170" t="n"/>
    </row>
    <row r="719" ht="22.5" customFormat="1" customHeight="1" s="1">
      <c r="B719" s="11" t="inlineStr">
        <is>
          <t>CD</t>
        </is>
      </c>
      <c r="C719" s="11" t="inlineStr">
        <is>
          <t>OPG</t>
        </is>
      </c>
      <c r="D719" s="170" t="n">
        <v>800100</v>
      </c>
      <c r="E719" s="170" t="inlineStr">
        <is>
          <t>Julco House, 26-28 Great Portland Street</t>
        </is>
      </c>
      <c r="F719" s="170" t="inlineStr">
        <is>
          <t>Second Floor</t>
        </is>
      </c>
      <c r="G719" s="171" t="inlineStr">
        <is>
          <t>Offices</t>
        </is>
      </c>
      <c r="H719" s="173" t="n">
        <v>1829</v>
      </c>
      <c r="I719" s="173">
        <f>H719</f>
        <v/>
      </c>
      <c r="J719" s="173" t="n">
        <v>2000</v>
      </c>
      <c r="K719" s="117" t="inlineStr">
        <is>
          <t>Oakvale Capital LLP</t>
        </is>
      </c>
      <c r="L719" s="174" t="n">
        <v>45715</v>
      </c>
      <c r="M719" s="174" t="n">
        <v>47540</v>
      </c>
      <c r="N719" s="174" t="n"/>
      <c r="O719" s="174" t="n"/>
      <c r="P719" s="174" t="n">
        <v>46809</v>
      </c>
      <c r="Q719" s="176" t="n">
        <v>120700</v>
      </c>
      <c r="R719" s="173">
        <f>Q719</f>
        <v/>
      </c>
      <c r="S719" s="10" t="n"/>
      <c r="T719" s="176" t="n">
        <v>112500</v>
      </c>
      <c r="U719" s="173">
        <f>T719</f>
        <v/>
      </c>
      <c r="V719" s="372" t="n">
        <v>118900</v>
      </c>
      <c r="W719" s="173">
        <f>V719</f>
        <v/>
      </c>
      <c r="X719" s="277">
        <f>T719/H719</f>
        <v/>
      </c>
      <c r="Y719" s="173" t="inlineStr">
        <is>
          <t>D</t>
        </is>
      </c>
      <c r="Z719" s="177" t="n"/>
      <c r="AA719" s="371" t="n"/>
      <c r="AB719" s="176" t="inlineStr">
        <is>
          <t>No</t>
        </is>
      </c>
      <c r="AC719" s="170" t="inlineStr">
        <is>
          <t>Tenant break on 6 months notice. 2 months rent free if not exercised.</t>
        </is>
      </c>
      <c r="AD719" s="313" t="n"/>
      <c r="AE719" s="170" t="n"/>
      <c r="AF719" s="289" t="n"/>
      <c r="AG719" s="170" t="n"/>
    </row>
    <row r="720" ht="22.5" customFormat="1" customHeight="1" s="1">
      <c r="B720" s="11" t="inlineStr">
        <is>
          <t>CD</t>
        </is>
      </c>
      <c r="C720" s="11" t="inlineStr">
        <is>
          <t>OPG</t>
        </is>
      </c>
      <c r="D720" s="170" t="n">
        <v>800100</v>
      </c>
      <c r="E720" s="170" t="inlineStr">
        <is>
          <t>Julco House, 26-28 Great Portland Street</t>
        </is>
      </c>
      <c r="F720" s="170" t="inlineStr">
        <is>
          <t>Third Floor</t>
        </is>
      </c>
      <c r="G720" s="171" t="inlineStr">
        <is>
          <t>Offices</t>
        </is>
      </c>
      <c r="H720" s="173" t="n">
        <v>1837</v>
      </c>
      <c r="I720" s="173">
        <f>H720</f>
        <v/>
      </c>
      <c r="J720" s="173" t="n">
        <v>2000</v>
      </c>
      <c r="K720" s="117" t="inlineStr">
        <is>
          <t>Hague Securities Limited</t>
        </is>
      </c>
      <c r="L720" s="174" t="n">
        <v>44900</v>
      </c>
      <c r="M720" s="174" t="n">
        <v>46725</v>
      </c>
      <c r="N720" s="174" t="n"/>
      <c r="O720" s="174" t="n"/>
      <c r="P720" s="174" t="n">
        <v>45995</v>
      </c>
      <c r="Q720" s="176" t="n">
        <v>115731</v>
      </c>
      <c r="R720" s="173">
        <f>Q720</f>
        <v/>
      </c>
      <c r="S720" s="10" t="n"/>
      <c r="T720" s="176" t="n">
        <v>116600</v>
      </c>
      <c r="U720" s="173">
        <f>T720</f>
        <v/>
      </c>
      <c r="V720" s="372" t="n">
        <v>123100</v>
      </c>
      <c r="W720" s="173">
        <f>V720</f>
        <v/>
      </c>
      <c r="X720" s="277">
        <f>T720/H720</f>
        <v/>
      </c>
      <c r="Y720" s="173" t="inlineStr">
        <is>
          <t>C</t>
        </is>
      </c>
      <c r="Z720" s="177" t="n"/>
      <c r="AA720" s="371" t="n"/>
      <c r="AB720" s="176" t="inlineStr">
        <is>
          <t>No</t>
        </is>
      </c>
      <c r="AC720" s="170" t="inlineStr">
        <is>
          <t>Tenant break on 6 months notice. 4 months rent free from 05/12/25 if break not exercised.</t>
        </is>
      </c>
      <c r="AD720" s="313" t="n"/>
      <c r="AE720" s="170" t="n"/>
      <c r="AF720" s="289" t="n"/>
      <c r="AG720" s="170" t="n"/>
    </row>
    <row r="721" ht="22.5" customFormat="1" customHeight="1" s="1">
      <c r="B721" s="11" t="inlineStr">
        <is>
          <t>CD</t>
        </is>
      </c>
      <c r="C721" s="11" t="inlineStr">
        <is>
          <t>OPG</t>
        </is>
      </c>
      <c r="D721" s="170" t="n">
        <v>800100</v>
      </c>
      <c r="E721" s="170" t="inlineStr">
        <is>
          <t>Julco House, 26-28 Great Portland Street</t>
        </is>
      </c>
      <c r="F721" s="170" t="inlineStr">
        <is>
          <t>Fourth Floor</t>
        </is>
      </c>
      <c r="G721" s="171" t="inlineStr">
        <is>
          <t>Offices</t>
        </is>
      </c>
      <c r="H721" s="173" t="n">
        <v>1815</v>
      </c>
      <c r="I721" s="173">
        <f>H721</f>
        <v/>
      </c>
      <c r="J721" s="173" t="n">
        <v>2000</v>
      </c>
      <c r="K721" s="117" t="inlineStr">
        <is>
          <t>Zephyrus Partners Ltd.</t>
        </is>
      </c>
      <c r="L721" s="174" t="n">
        <v>44627</v>
      </c>
      <c r="M721" s="174" t="n">
        <v>46452</v>
      </c>
      <c r="N721" s="174" t="n"/>
      <c r="O721" s="174" t="n"/>
      <c r="P721" s="174" t="n"/>
      <c r="Q721" s="176" t="n">
        <v>149742</v>
      </c>
      <c r="R721" s="173">
        <f>Q721</f>
        <v/>
      </c>
      <c r="S721" s="10" t="n"/>
      <c r="T721" s="176" t="n">
        <v>115300</v>
      </c>
      <c r="U721" s="173">
        <f>T721</f>
        <v/>
      </c>
      <c r="V721" s="372" t="n">
        <v>121600</v>
      </c>
      <c r="W721" s="173">
        <f>V721</f>
        <v/>
      </c>
      <c r="X721" s="277">
        <f>T721/H721</f>
        <v/>
      </c>
      <c r="Y721" s="173" t="inlineStr">
        <is>
          <t>C</t>
        </is>
      </c>
      <c r="Z721" s="177" t="n"/>
      <c r="AA721" s="371" t="n"/>
      <c r="AB721" s="176" t="inlineStr">
        <is>
          <t>No</t>
        </is>
      </c>
      <c r="AC721" s="170" t="inlineStr">
        <is>
          <t xml:space="preserve">Rent rising to £151,143 wef 07/03/26. </t>
        </is>
      </c>
      <c r="AD721" s="313" t="n"/>
      <c r="AE721" s="170" t="n"/>
      <c r="AF721" s="289" t="n"/>
      <c r="AG721" s="170" t="n"/>
    </row>
    <row r="722" ht="22.5" customFormat="1" customHeight="1" s="1">
      <c r="B722" s="11" t="inlineStr">
        <is>
          <t>CD</t>
        </is>
      </c>
      <c r="C722" s="11" t="inlineStr">
        <is>
          <t>OPG</t>
        </is>
      </c>
      <c r="D722" s="170" t="n">
        <v>800100</v>
      </c>
      <c r="E722" s="170" t="inlineStr">
        <is>
          <t>Julco House, 26-28 Great Portland Street</t>
        </is>
      </c>
      <c r="F722" s="170" t="inlineStr">
        <is>
          <t>Fifth Floor</t>
        </is>
      </c>
      <c r="G722" s="171" t="inlineStr">
        <is>
          <t>Offices</t>
        </is>
      </c>
      <c r="H722" s="173" t="n">
        <v>1815</v>
      </c>
      <c r="I722" s="173">
        <f>H722</f>
        <v/>
      </c>
      <c r="J722" s="173" t="n">
        <v>2000</v>
      </c>
      <c r="K722" s="117" t="inlineStr">
        <is>
          <t>Global Future Partnership LLP</t>
        </is>
      </c>
      <c r="L722" s="174" t="n">
        <v>45408</v>
      </c>
      <c r="M722" s="174" t="n">
        <v>47233</v>
      </c>
      <c r="N722" s="174" t="n"/>
      <c r="O722" s="174" t="n"/>
      <c r="P722" s="174" t="n"/>
      <c r="Q722" s="176" t="n">
        <v>122513</v>
      </c>
      <c r="R722" s="173">
        <f>Q722</f>
        <v/>
      </c>
      <c r="S722" s="10" t="n"/>
      <c r="T722" s="176" t="n">
        <v>115300</v>
      </c>
      <c r="U722" s="173">
        <f>T722</f>
        <v/>
      </c>
      <c r="V722" s="372" t="n">
        <v>121600</v>
      </c>
      <c r="W722" s="173">
        <f>V722</f>
        <v/>
      </c>
      <c r="X722" s="277">
        <f>T722/H722</f>
        <v/>
      </c>
      <c r="Y722" s="173" t="inlineStr">
        <is>
          <t>D</t>
        </is>
      </c>
      <c r="Z722" s="177" t="n"/>
      <c r="AA722" s="372" t="n"/>
      <c r="AB722" s="176" t="inlineStr">
        <is>
          <t>No</t>
        </is>
      </c>
      <c r="AC722" s="170" t="n"/>
      <c r="AD722" s="313" t="n"/>
      <c r="AE722" s="170" t="n"/>
      <c r="AF722" s="289" t="n"/>
      <c r="AG722" s="170" t="n"/>
    </row>
    <row r="723" ht="22.5" customFormat="1" customHeight="1" s="1">
      <c r="B723" s="11" t="inlineStr">
        <is>
          <t>CD</t>
        </is>
      </c>
      <c r="C723" s="11" t="inlineStr">
        <is>
          <t>OPG</t>
        </is>
      </c>
      <c r="D723" s="170" t="n">
        <v>800100</v>
      </c>
      <c r="E723" s="170" t="inlineStr">
        <is>
          <t>Julco House, 26-28 Great Portland Street</t>
        </is>
      </c>
      <c r="F723" s="170" t="inlineStr">
        <is>
          <t>Sixth Floor</t>
        </is>
      </c>
      <c r="G723" s="171" t="inlineStr">
        <is>
          <t>Offices</t>
        </is>
      </c>
      <c r="H723" s="173" t="n">
        <v>790</v>
      </c>
      <c r="I723" s="173">
        <f>H723</f>
        <v/>
      </c>
      <c r="J723" s="173" t="n">
        <v>750</v>
      </c>
      <c r="K723" s="117" t="inlineStr">
        <is>
          <t>Heywood &amp; Partners Surveyors Ltd</t>
        </is>
      </c>
      <c r="L723" s="174" t="n">
        <v>44442</v>
      </c>
      <c r="M723" s="174" t="n">
        <v>46267</v>
      </c>
      <c r="N723" s="174" t="n"/>
      <c r="O723" s="174" t="n"/>
      <c r="P723" s="174" t="n"/>
      <c r="Q723" s="176" t="n">
        <v>41080</v>
      </c>
      <c r="R723" s="173">
        <f>Q723</f>
        <v/>
      </c>
      <c r="S723" s="10" t="n"/>
      <c r="T723" s="176" t="n">
        <v>46200</v>
      </c>
      <c r="U723" s="173">
        <f>T723</f>
        <v/>
      </c>
      <c r="V723" s="372" t="n">
        <v>48600</v>
      </c>
      <c r="W723" s="173">
        <f>V723</f>
        <v/>
      </c>
      <c r="X723" s="277">
        <f>T723/H723</f>
        <v/>
      </c>
      <c r="Y723" s="173" t="inlineStr">
        <is>
          <t>E</t>
        </is>
      </c>
      <c r="Z723" s="177" t="n"/>
      <c r="AA723" s="371" t="n"/>
      <c r="AB723" s="176" t="inlineStr">
        <is>
          <t>No</t>
        </is>
      </c>
      <c r="AC723" s="170" t="n"/>
      <c r="AD723" s="313" t="n"/>
      <c r="AE723" s="170" t="n"/>
      <c r="AF723" s="289" t="n"/>
      <c r="AG723" s="170" t="n"/>
    </row>
    <row r="724" ht="22.5" customFormat="1" customHeight="1" s="1">
      <c r="B724" s="11" t="inlineStr">
        <is>
          <t>CD</t>
        </is>
      </c>
      <c r="C724" s="11" t="inlineStr">
        <is>
          <t>OPG</t>
        </is>
      </c>
      <c r="D724" s="170" t="n">
        <v>800100</v>
      </c>
      <c r="E724" s="170" t="inlineStr">
        <is>
          <t>Julco House, 26-28 Great Portland Street</t>
        </is>
      </c>
      <c r="F724" s="170" t="inlineStr">
        <is>
          <t>Basement Vaults</t>
        </is>
      </c>
      <c r="G724" s="178" t="inlineStr">
        <is>
          <t>Electricity Sub-Station</t>
        </is>
      </c>
      <c r="H724" s="173" t="n">
        <v>0</v>
      </c>
      <c r="I724" s="173">
        <f>H724</f>
        <v/>
      </c>
      <c r="J724" s="173" t="n"/>
      <c r="K724" s="117" t="inlineStr">
        <is>
          <t>London Power Networks Plc</t>
        </is>
      </c>
      <c r="L724" s="174" t="n">
        <v>42552</v>
      </c>
      <c r="M724" s="174" t="n">
        <v>47267</v>
      </c>
      <c r="N724" s="174" t="n"/>
      <c r="O724" s="174" t="n">
        <v>46204</v>
      </c>
      <c r="P724" s="174" t="n"/>
      <c r="Q724" s="176" t="n">
        <v>1160</v>
      </c>
      <c r="R724" s="173">
        <f>Q724</f>
        <v/>
      </c>
      <c r="S724" s="10" t="n"/>
      <c r="T724" s="176" t="n">
        <v>1160</v>
      </c>
      <c r="U724" s="173">
        <f>T724</f>
        <v/>
      </c>
      <c r="V724" s="372" t="n">
        <v>1160</v>
      </c>
      <c r="W724" s="173">
        <f>V724</f>
        <v/>
      </c>
      <c r="X724" s="277" t="n"/>
      <c r="Y724" s="173" t="n"/>
      <c r="Z724" s="177" t="n"/>
      <c r="AA724" s="371" t="n"/>
      <c r="AB724" s="176" t="inlineStr">
        <is>
          <t>Yes</t>
        </is>
      </c>
      <c r="AC724" s="179" t="inlineStr">
        <is>
          <t>Rent review to RPI.</t>
        </is>
      </c>
      <c r="AD724" s="314" t="n"/>
      <c r="AE724" s="179" t="n"/>
      <c r="AF724" s="290" t="n"/>
      <c r="AG724" s="179" t="n"/>
    </row>
    <row r="725" ht="12.75" customHeight="1">
      <c r="D725" s="153" t="n"/>
      <c r="E725" s="153" t="n"/>
      <c r="F725" s="147" t="n"/>
      <c r="G725" s="148" t="n"/>
      <c r="H725" s="149" t="n"/>
      <c r="I725" s="160" t="n"/>
      <c r="J725" s="160" t="n"/>
      <c r="K725" s="158" t="n"/>
      <c r="L725" s="161" t="n"/>
      <c r="M725" s="161" t="n"/>
      <c r="N725" s="161" t="n"/>
      <c r="O725" s="161" t="n"/>
      <c r="P725" s="161" t="n"/>
      <c r="Q725" s="162" t="n"/>
      <c r="R725" s="162" t="n"/>
      <c r="T725" s="162" t="n"/>
      <c r="U725" s="156" t="n"/>
      <c r="V725" s="382" t="n"/>
      <c r="W725" s="156" t="n"/>
      <c r="X725" s="156" t="n"/>
      <c r="Y725" s="156" t="n"/>
      <c r="Z725" s="148" t="n"/>
      <c r="AA725" s="369" t="n"/>
      <c r="AB725" s="148" t="n"/>
      <c r="AC725" s="153" t="n"/>
      <c r="AD725" s="315" t="n"/>
      <c r="AE725" s="153" t="n"/>
      <c r="AF725" s="291" t="n"/>
      <c r="AG725" s="153" t="n"/>
    </row>
    <row r="726" ht="11.25" customFormat="1" customHeight="1" s="181">
      <c r="D726" s="170" t="n"/>
      <c r="E726" s="170" t="n"/>
      <c r="F726" s="184" t="n"/>
      <c r="G726" s="185" t="n"/>
      <c r="H726" s="172">
        <f>SUM(H717:H724)</f>
        <v/>
      </c>
      <c r="I726" s="172" t="n"/>
      <c r="J726" s="172" t="n"/>
      <c r="K726" s="186" t="n"/>
      <c r="L726" s="187" t="n"/>
      <c r="M726" s="187" t="n"/>
      <c r="N726" s="187" t="n"/>
      <c r="O726" s="187" t="n"/>
      <c r="P726" s="187" t="n"/>
      <c r="Q726" s="172">
        <f>SUM(Q717:Q724)</f>
        <v/>
      </c>
      <c r="R726" s="172" t="n"/>
      <c r="T726" s="172">
        <f>SUM(T717:T724)</f>
        <v/>
      </c>
      <c r="U726" s="173" t="n"/>
      <c r="V726" s="370">
        <f>SUM(V717:V724)</f>
        <v/>
      </c>
      <c r="W726" s="173" t="n"/>
      <c r="X726" s="173" t="n"/>
      <c r="Y726" s="173" t="n"/>
      <c r="Z726" s="188" t="n"/>
      <c r="AA726" s="370" t="n">
        <v>13500000</v>
      </c>
      <c r="AB726" s="188" t="n"/>
      <c r="AC726" s="4" t="n"/>
      <c r="AD726" s="303" t="n"/>
      <c r="AE726" s="29" t="n"/>
      <c r="AF726" s="279" t="n"/>
      <c r="AG726" s="29" t="n"/>
    </row>
    <row r="727" ht="12.75" customHeight="1">
      <c r="D727" s="153" t="n"/>
      <c r="E727" s="153" t="n"/>
      <c r="F727" s="147" t="n"/>
      <c r="G727" s="148" t="n"/>
      <c r="H727" s="149" t="n"/>
      <c r="I727" s="160" t="n"/>
      <c r="J727" s="160" t="n"/>
      <c r="K727" s="158" t="n"/>
      <c r="L727" s="150" t="n"/>
      <c r="M727" s="150" t="n"/>
      <c r="N727" s="150" t="n"/>
      <c r="O727" s="150" t="n"/>
      <c r="P727" s="150" t="n"/>
      <c r="Q727" s="151" t="n"/>
      <c r="R727" s="151" t="n"/>
      <c r="T727" s="151" t="n"/>
      <c r="U727" s="156" t="n"/>
      <c r="V727" s="380" t="n"/>
      <c r="W727" s="156" t="n"/>
      <c r="X727" s="156" t="n"/>
      <c r="Y727" s="156" t="n"/>
      <c r="Z727" s="148" t="n"/>
      <c r="AA727" s="369" t="n"/>
      <c r="AB727" s="148" t="n"/>
      <c r="AC727" s="153" t="n"/>
      <c r="AD727" s="315" t="n"/>
      <c r="AE727" s="153" t="n"/>
      <c r="AF727" s="291" t="n"/>
      <c r="AG727" s="153" t="n"/>
    </row>
    <row r="728" ht="12.75" customHeight="1">
      <c r="D728" s="153" t="n"/>
      <c r="E728" s="153" t="n"/>
      <c r="F728" s="147" t="n"/>
      <c r="G728" s="148" t="n"/>
      <c r="H728" s="149" t="n"/>
      <c r="I728" s="160" t="n"/>
      <c r="J728" s="160" t="n"/>
      <c r="K728" s="158" t="n"/>
      <c r="L728" s="150" t="n"/>
      <c r="M728" s="150" t="n"/>
      <c r="N728" s="150" t="n"/>
      <c r="O728" s="150" t="n"/>
      <c r="P728" s="150" t="n"/>
      <c r="Q728" s="151" t="n"/>
      <c r="R728" s="151" t="n"/>
      <c r="T728" s="151" t="n"/>
      <c r="U728" s="156" t="n"/>
      <c r="V728" s="380" t="n"/>
      <c r="W728" s="156" t="n"/>
      <c r="X728" s="156" t="n"/>
      <c r="Y728" s="156" t="n"/>
      <c r="Z728" s="148" t="n"/>
      <c r="AA728" s="369" t="n"/>
      <c r="AB728" s="148" t="n"/>
      <c r="AC728" s="153" t="n"/>
      <c r="AD728" s="315" t="n"/>
      <c r="AE728" s="153" t="n"/>
      <c r="AF728" s="291" t="n"/>
      <c r="AG728" s="153" t="n"/>
    </row>
    <row r="729" ht="12.75" customHeight="1">
      <c r="D729" s="153" t="n"/>
      <c r="E729" s="153" t="n"/>
      <c r="F729" s="147" t="n"/>
      <c r="G729" s="152" t="inlineStr">
        <is>
          <t>5 Margaret Street</t>
        </is>
      </c>
      <c r="H729" s="149" t="n"/>
      <c r="I729" s="160" t="n"/>
      <c r="J729" s="160" t="n"/>
      <c r="K729" s="158" t="n"/>
      <c r="L729" s="150" t="n"/>
      <c r="M729" s="150" t="n"/>
      <c r="N729" s="150" t="n"/>
      <c r="O729" s="150" t="n"/>
      <c r="P729" s="150" t="n"/>
      <c r="Q729" s="151" t="n"/>
      <c r="R729" s="151" t="n"/>
      <c r="T729" s="151" t="n"/>
      <c r="U729" s="156" t="n"/>
      <c r="V729" s="380" t="n"/>
      <c r="W729" s="156" t="n"/>
      <c r="X729" s="156" t="n"/>
      <c r="Y729" s="156" t="n"/>
      <c r="Z729" s="148" t="n"/>
      <c r="AA729" s="369" t="n"/>
      <c r="AB729" s="148" t="n"/>
      <c r="AC729" s="153" t="n"/>
      <c r="AD729" s="315" t="n"/>
      <c r="AE729" s="153" t="n"/>
      <c r="AF729" s="291" t="n"/>
      <c r="AG729" s="153" t="n"/>
    </row>
    <row r="730" ht="12.75" customHeight="1">
      <c r="D730" s="153" t="n"/>
      <c r="E730" s="153" t="n"/>
      <c r="F730" s="147" t="n"/>
      <c r="G730" s="148" t="n"/>
      <c r="H730" s="149" t="n"/>
      <c r="I730" s="160" t="n"/>
      <c r="J730" s="160" t="n"/>
      <c r="K730" s="158" t="n"/>
      <c r="L730" s="150" t="n"/>
      <c r="M730" s="150" t="n"/>
      <c r="N730" s="150" t="n"/>
      <c r="O730" s="150" t="n"/>
      <c r="P730" s="150" t="n"/>
      <c r="Q730" s="151" t="n"/>
      <c r="R730" s="151" t="n"/>
      <c r="T730" s="151" t="n"/>
      <c r="U730" s="156" t="n"/>
      <c r="V730" s="380" t="n"/>
      <c r="W730" s="156" t="n"/>
      <c r="X730" s="156" t="n"/>
      <c r="Y730" s="156" t="n"/>
      <c r="Z730" s="148" t="n"/>
      <c r="AA730" s="369" t="n"/>
      <c r="AB730" s="148" t="n"/>
      <c r="AC730" s="153" t="n"/>
      <c r="AD730" s="315" t="n"/>
      <c r="AE730" s="153" t="n"/>
      <c r="AF730" s="291" t="n"/>
      <c r="AG730" s="153" t="n"/>
    </row>
    <row r="731" ht="11.25" customFormat="1" customHeight="1" s="1">
      <c r="B731" s="11" t="inlineStr">
        <is>
          <t>CD</t>
        </is>
      </c>
      <c r="C731" s="11" t="inlineStr">
        <is>
          <t>OPG</t>
        </is>
      </c>
      <c r="D731" s="170" t="n">
        <v>800400</v>
      </c>
      <c r="E731" s="170" t="inlineStr">
        <is>
          <t>5 Margaret Street</t>
        </is>
      </c>
      <c r="F731" s="170" t="inlineStr">
        <is>
          <t>Whole Building</t>
        </is>
      </c>
      <c r="G731" s="171" t="inlineStr">
        <is>
          <t>Retail &amp; Office</t>
        </is>
      </c>
      <c r="H731" s="172" t="n">
        <v>2598</v>
      </c>
      <c r="I731" s="173">
        <f>H731</f>
        <v/>
      </c>
      <c r="J731" s="173" t="n">
        <v>2500</v>
      </c>
      <c r="K731" s="117" t="inlineStr">
        <is>
          <t>Workpad Fitzrovia Ltd</t>
        </is>
      </c>
      <c r="L731" s="174" t="n">
        <v>43070</v>
      </c>
      <c r="M731" s="174" t="n">
        <v>46721</v>
      </c>
      <c r="N731" s="174" t="n"/>
      <c r="O731" s="174" t="n">
        <v>44896</v>
      </c>
      <c r="P731" s="174" t="n"/>
      <c r="Q731" s="172" t="n">
        <v>155000</v>
      </c>
      <c r="R731" s="172">
        <f>Q731</f>
        <v/>
      </c>
      <c r="S731" s="10" t="n"/>
      <c r="T731" s="172" t="n">
        <v>118500</v>
      </c>
      <c r="U731" s="173">
        <f>T731</f>
        <v/>
      </c>
      <c r="V731" s="370" t="n">
        <v>142400</v>
      </c>
      <c r="W731" s="173">
        <f>V731</f>
        <v/>
      </c>
      <c r="X731" s="173" t="n"/>
      <c r="Y731" s="173" t="inlineStr">
        <is>
          <t>A</t>
        </is>
      </c>
      <c r="Z731" s="180" t="n"/>
      <c r="AA731" s="370" t="n">
        <v>2300000</v>
      </c>
      <c r="AB731" s="176" t="inlineStr">
        <is>
          <t>No</t>
        </is>
      </c>
      <c r="AC731" s="4" t="n"/>
      <c r="AD731" s="303" t="n"/>
      <c r="AE731" s="29" t="n"/>
      <c r="AF731" s="279" t="n"/>
      <c r="AG731" s="29" t="n"/>
    </row>
    <row r="732" ht="12.75" customHeight="1">
      <c r="F732" s="153" t="n"/>
      <c r="G732" s="148" t="n"/>
      <c r="H732" s="155" t="n"/>
      <c r="I732" s="165" t="n"/>
      <c r="J732" s="165" t="n"/>
      <c r="K732" s="158" t="n"/>
      <c r="L732" s="150" t="n"/>
      <c r="M732" s="150" t="n"/>
      <c r="N732" s="150" t="n"/>
      <c r="O732" s="150" t="n"/>
      <c r="P732" s="150" t="n"/>
      <c r="Q732" s="151" t="n"/>
      <c r="R732" s="151" t="n"/>
      <c r="T732" s="151" t="n"/>
      <c r="U732" s="151" t="n"/>
      <c r="V732" s="380" t="n"/>
      <c r="W732" s="151" t="n"/>
      <c r="X732" s="151" t="n"/>
      <c r="Y732" s="151" t="n"/>
      <c r="Z732" s="148" t="n"/>
      <c r="AA732" s="373" t="n"/>
      <c r="AB732" s="148" t="n"/>
      <c r="AC732" s="153" t="n"/>
      <c r="AD732" s="315" t="n"/>
      <c r="AE732" s="153" t="n"/>
      <c r="AF732" s="291" t="n"/>
      <c r="AG732" s="153" t="n"/>
    </row>
    <row r="733" ht="12.75" customHeight="1">
      <c r="F733" s="147" t="n"/>
      <c r="G733" s="148" t="n"/>
      <c r="H733" s="149" t="n"/>
      <c r="I733" s="149" t="n"/>
      <c r="J733" s="149" t="n"/>
      <c r="K733" s="158" t="n"/>
      <c r="L733" s="150" t="n"/>
      <c r="M733" s="150" t="n"/>
      <c r="N733" s="150" t="n"/>
      <c r="O733" s="150" t="n"/>
      <c r="P733" s="150" t="n"/>
      <c r="Q733" s="151" t="n"/>
      <c r="R733" s="151" t="n"/>
      <c r="T733" s="151" t="n"/>
      <c r="U733" s="151" t="n"/>
      <c r="V733" s="380" t="n"/>
      <c r="W733" s="151" t="n"/>
      <c r="X733" s="151" t="n"/>
      <c r="Y733" s="151" t="n"/>
      <c r="Z733" s="148" t="n"/>
      <c r="AA733" s="369" t="n"/>
      <c r="AB733" s="148" t="n"/>
      <c r="AC733" s="153" t="n"/>
      <c r="AD733" s="315" t="n"/>
      <c r="AE733" s="153" t="n"/>
      <c r="AF733" s="291" t="n"/>
      <c r="AG733" s="153" t="n"/>
    </row>
    <row r="734" ht="12.75" customHeight="1">
      <c r="F734" s="147" t="n"/>
      <c r="G734" s="152" t="inlineStr">
        <is>
          <t>60/62 Margaret Street</t>
        </is>
      </c>
      <c r="H734" s="149" t="n"/>
      <c r="I734" s="149" t="n"/>
      <c r="J734" s="149" t="n"/>
      <c r="K734" s="158" t="n"/>
      <c r="L734" s="150" t="n"/>
      <c r="M734" s="150" t="n"/>
      <c r="N734" s="150" t="n"/>
      <c r="O734" s="150" t="n"/>
      <c r="P734" s="150" t="n"/>
      <c r="Q734" s="151" t="n"/>
      <c r="R734" s="151" t="n"/>
      <c r="T734" s="151" t="n"/>
      <c r="U734" s="151" t="n"/>
      <c r="V734" s="380" t="n"/>
      <c r="W734" s="151" t="n"/>
      <c r="X734" s="151" t="n"/>
      <c r="Y734" s="151" t="n"/>
      <c r="Z734" s="148" t="n"/>
      <c r="AA734" s="369" t="n"/>
      <c r="AB734" s="148" t="n"/>
      <c r="AC734" s="153" t="n"/>
      <c r="AD734" s="315" t="n"/>
      <c r="AE734" s="153" t="n"/>
      <c r="AF734" s="291" t="n"/>
      <c r="AG734" s="153" t="n"/>
    </row>
    <row r="735" ht="12.75" customHeight="1">
      <c r="F735" s="147" t="n"/>
      <c r="G735" s="148" t="n"/>
      <c r="H735" s="149" t="n"/>
      <c r="I735" s="165" t="n"/>
      <c r="J735" s="165" t="n"/>
      <c r="K735" s="158" t="n"/>
      <c r="L735" s="150" t="n"/>
      <c r="M735" s="150" t="n"/>
      <c r="N735" s="150" t="n"/>
      <c r="O735" s="150" t="n"/>
      <c r="P735" s="150" t="n"/>
      <c r="Q735" s="151" t="n"/>
      <c r="R735" s="151" t="n"/>
      <c r="T735" s="151" t="n"/>
      <c r="U735" s="151" t="n"/>
      <c r="V735" s="380" t="n"/>
      <c r="W735" s="151" t="n"/>
      <c r="X735" s="151" t="n"/>
      <c r="Y735" s="151" t="n"/>
      <c r="Z735" s="148" t="n"/>
      <c r="AA735" s="369" t="n"/>
      <c r="AB735" s="148" t="n"/>
      <c r="AC735" s="153" t="n"/>
      <c r="AD735" s="315" t="n"/>
      <c r="AE735" s="153" t="n"/>
      <c r="AF735" s="291" t="n"/>
      <c r="AG735" s="153" t="n"/>
    </row>
    <row r="736" ht="11.25" customFormat="1" customHeight="1" s="181">
      <c r="B736" s="11" t="inlineStr">
        <is>
          <t>CM</t>
        </is>
      </c>
      <c r="C736" s="11" t="inlineStr">
        <is>
          <t>OPG</t>
        </is>
      </c>
      <c r="D736" s="170" t="n">
        <v>800300</v>
      </c>
      <c r="E736" s="170" t="inlineStr">
        <is>
          <t>60/62 Margaret Street</t>
        </is>
      </c>
      <c r="F736" s="170" t="inlineStr">
        <is>
          <t>Whole Building</t>
        </is>
      </c>
      <c r="G736" s="226" t="inlineStr">
        <is>
          <t>Offices</t>
        </is>
      </c>
      <c r="H736" s="172" t="n">
        <v>19812</v>
      </c>
      <c r="I736" s="182">
        <f>H736</f>
        <v/>
      </c>
      <c r="J736" s="182" t="n">
        <v>20000</v>
      </c>
      <c r="K736" s="117" t="inlineStr">
        <is>
          <t>Creo London Limited.</t>
        </is>
      </c>
      <c r="L736" s="174" t="n">
        <v>44986</v>
      </c>
      <c r="M736" s="174" t="n">
        <v>50464</v>
      </c>
      <c r="N736" s="174" t="n"/>
      <c r="O736" s="174" t="n">
        <v>46813</v>
      </c>
      <c r="P736" s="174" t="n"/>
      <c r="Q736" s="175" t="n">
        <v>729167</v>
      </c>
      <c r="R736" s="173">
        <f>Q736</f>
        <v/>
      </c>
      <c r="T736" s="175" t="n">
        <v>1250000</v>
      </c>
      <c r="U736" s="173">
        <f>T736</f>
        <v/>
      </c>
      <c r="V736" s="381" t="n">
        <v>1305000</v>
      </c>
      <c r="W736" s="173">
        <f>V736</f>
        <v/>
      </c>
      <c r="X736" s="173" t="n"/>
      <c r="Y736" s="173" t="inlineStr">
        <is>
          <t>B</t>
        </is>
      </c>
      <c r="Z736" s="183" t="n"/>
      <c r="AA736" s="370" t="n">
        <v>22350000</v>
      </c>
      <c r="AB736" s="176" t="inlineStr">
        <is>
          <t>No</t>
        </is>
      </c>
      <c r="AC736" s="170" t="inlineStr">
        <is>
          <t xml:space="preserve">Rent rising to £1,250,000 wef 01/03/26. </t>
        </is>
      </c>
      <c r="AD736" s="313" t="n"/>
      <c r="AE736" s="170" t="n"/>
      <c r="AF736" s="289" t="n"/>
      <c r="AG736" s="170" t="n"/>
    </row>
    <row r="737" ht="12.75" customHeight="1">
      <c r="F737" s="153" t="n"/>
      <c r="G737" s="154" t="n"/>
      <c r="H737" s="156" t="n"/>
      <c r="I737" s="166" t="n"/>
      <c r="J737" s="166" t="n"/>
      <c r="K737" s="158" t="n"/>
      <c r="L737" s="167" t="n"/>
      <c r="M737" s="167" t="n"/>
      <c r="N737" s="167" t="n"/>
      <c r="O737" s="167" t="n"/>
      <c r="P737" s="167" t="n"/>
      <c r="Q737" s="168" t="n"/>
      <c r="R737" s="168" t="n"/>
      <c r="T737" s="168" t="n"/>
      <c r="U737" s="168" t="n"/>
      <c r="V737" s="383" t="n"/>
      <c r="W737" s="168" t="n"/>
      <c r="X737" s="168" t="n"/>
      <c r="Y737" s="168" t="n"/>
      <c r="Z737" s="159" t="n"/>
      <c r="AA737" s="374" t="n"/>
      <c r="AB737" s="159" t="n"/>
      <c r="AC737" s="153" t="n"/>
      <c r="AD737" s="315" t="n"/>
      <c r="AE737" s="153" t="n"/>
      <c r="AF737" s="291" t="n"/>
      <c r="AG737" s="153" t="n"/>
    </row>
    <row r="738" ht="12.75" customHeight="1">
      <c r="F738" s="153" t="n"/>
      <c r="G738" s="154" t="n"/>
      <c r="H738" s="156" t="n"/>
      <c r="I738" s="166" t="n"/>
      <c r="J738" s="166" t="n"/>
      <c r="K738" s="158" t="n"/>
      <c r="L738" s="167" t="n"/>
      <c r="M738" s="167" t="n"/>
      <c r="N738" s="167" t="n"/>
      <c r="O738" s="167" t="n"/>
      <c r="P738" s="167" t="n"/>
      <c r="Q738" s="168" t="n"/>
      <c r="R738" s="168" t="n"/>
      <c r="T738" s="168" t="n"/>
      <c r="U738" s="168" t="n"/>
      <c r="V738" s="383" t="n"/>
      <c r="W738" s="168" t="n"/>
      <c r="X738" s="168" t="n"/>
      <c r="Y738" s="168" t="n"/>
      <c r="Z738" s="159" t="n"/>
      <c r="AA738" s="374" t="n"/>
      <c r="AB738" s="159" t="n"/>
      <c r="AC738" s="153" t="n"/>
      <c r="AD738" s="315" t="n"/>
      <c r="AE738" s="153" t="n"/>
      <c r="AF738" s="291" t="n"/>
      <c r="AG738" s="153" t="n"/>
    </row>
    <row r="739" ht="12.75" customHeight="1">
      <c r="F739" s="153" t="n"/>
      <c r="G739" s="152" t="inlineStr">
        <is>
          <t>85 Mortimer Street</t>
        </is>
      </c>
      <c r="H739" s="156" t="n"/>
      <c r="I739" s="166" t="n"/>
      <c r="J739" s="166" t="n"/>
      <c r="K739" s="158" t="n"/>
      <c r="L739" s="167" t="n"/>
      <c r="M739" s="167" t="n"/>
      <c r="N739" s="167" t="n"/>
      <c r="O739" s="167" t="n"/>
      <c r="P739" s="167" t="n"/>
      <c r="Q739" s="168" t="n"/>
      <c r="R739" s="168" t="n"/>
      <c r="T739" s="168" t="n"/>
      <c r="U739" s="168" t="n"/>
      <c r="V739" s="383" t="n"/>
      <c r="W739" s="168" t="n"/>
      <c r="X739" s="168" t="n"/>
      <c r="Y739" s="168" t="n"/>
      <c r="Z739" s="159" t="n"/>
      <c r="AA739" s="374" t="n"/>
      <c r="AB739" s="159" t="n"/>
      <c r="AC739" s="153" t="n"/>
      <c r="AD739" s="315" t="n"/>
      <c r="AE739" s="153" t="n"/>
      <c r="AF739" s="291" t="n"/>
      <c r="AG739" s="153" t="n"/>
    </row>
    <row r="740" ht="12.75" customHeight="1">
      <c r="F740" s="153" t="n"/>
      <c r="G740" s="154" t="n"/>
      <c r="H740" s="156" t="n"/>
      <c r="I740" s="166" t="n"/>
      <c r="J740" s="166" t="n"/>
      <c r="K740" s="158" t="n"/>
      <c r="L740" s="167" t="n"/>
      <c r="M740" s="167" t="n"/>
      <c r="N740" s="167" t="n"/>
      <c r="O740" s="167" t="n"/>
      <c r="P740" s="167" t="n"/>
      <c r="Q740" s="168" t="n"/>
      <c r="R740" s="168" t="n"/>
      <c r="T740" s="168" t="n"/>
      <c r="U740" s="168" t="n"/>
      <c r="V740" s="383" t="n"/>
      <c r="W740" s="168" t="n"/>
      <c r="X740" s="168" t="n"/>
      <c r="Y740" s="168" t="n"/>
      <c r="Z740" s="159" t="n"/>
      <c r="AA740" s="374" t="n"/>
      <c r="AB740" s="159" t="n"/>
      <c r="AC740" s="153" t="n"/>
      <c r="AD740" s="315" t="n"/>
      <c r="AE740" s="153" t="n"/>
      <c r="AF740" s="291" t="n"/>
      <c r="AG740" s="153" t="n"/>
    </row>
    <row r="741" ht="23.25" customFormat="1" customHeight="1" s="1">
      <c r="B741" s="11" t="inlineStr">
        <is>
          <t>WS</t>
        </is>
      </c>
      <c r="C741" s="11" t="inlineStr">
        <is>
          <t>OPG</t>
        </is>
      </c>
      <c r="D741" s="170" t="n">
        <v>800500</v>
      </c>
      <c r="E741" s="170" t="inlineStr">
        <is>
          <t>85 Mortimer Street</t>
        </is>
      </c>
      <c r="F741" s="170" t="inlineStr">
        <is>
          <t>Basement &amp; Ground</t>
        </is>
      </c>
      <c r="G741" s="171" t="inlineStr">
        <is>
          <t>Showroom</t>
        </is>
      </c>
      <c r="H741" s="173" t="n">
        <v>1582</v>
      </c>
      <c r="I741" s="182">
        <f>H741</f>
        <v/>
      </c>
      <c r="J741" s="182" t="n">
        <v>1500</v>
      </c>
      <c r="K741" s="117" t="inlineStr">
        <is>
          <t>The Feel Good Group Ltd.</t>
        </is>
      </c>
      <c r="L741" s="174" t="n">
        <v>43514</v>
      </c>
      <c r="M741" s="174" t="n">
        <v>46982</v>
      </c>
      <c r="N741" s="174" t="n"/>
      <c r="O741" s="174" t="n">
        <v>45340</v>
      </c>
      <c r="P741" s="174" t="n"/>
      <c r="Q741" s="176" t="n">
        <v>70000</v>
      </c>
      <c r="R741" s="173">
        <f>Q741</f>
        <v/>
      </c>
      <c r="S741" s="10" t="n"/>
      <c r="T741" s="176" t="n">
        <v>63300</v>
      </c>
      <c r="U741" s="173">
        <f>T741</f>
        <v/>
      </c>
      <c r="V741" s="372" t="n">
        <v>63300</v>
      </c>
      <c r="W741" s="173">
        <f>V741</f>
        <v/>
      </c>
      <c r="X741" s="277">
        <f>T741/H741</f>
        <v/>
      </c>
      <c r="Y741" s="173" t="inlineStr">
        <is>
          <t>C</t>
        </is>
      </c>
      <c r="Z741" s="183" t="n"/>
      <c r="AA741" s="370" t="n"/>
      <c r="AB741" s="176" t="inlineStr">
        <is>
          <t>No</t>
        </is>
      </c>
      <c r="AC741" s="170" t="n"/>
      <c r="AD741" s="313" t="n"/>
      <c r="AE741" s="170" t="n"/>
      <c r="AF741" s="289" t="n"/>
      <c r="AG741" s="170" t="n"/>
    </row>
    <row r="742" ht="24" customFormat="1" customHeight="1" s="1">
      <c r="B742" s="11" t="inlineStr">
        <is>
          <t>WS</t>
        </is>
      </c>
      <c r="C742" s="11" t="inlineStr">
        <is>
          <t>OPG</t>
        </is>
      </c>
      <c r="D742" s="170" t="n">
        <v>800500</v>
      </c>
      <c r="E742" s="170" t="inlineStr">
        <is>
          <t>85 Mortimer Street</t>
        </is>
      </c>
      <c r="F742" s="170" t="inlineStr">
        <is>
          <t>First to Third Floors</t>
        </is>
      </c>
      <c r="G742" s="171" t="inlineStr">
        <is>
          <t>Offices</t>
        </is>
      </c>
      <c r="H742" s="173" t="n">
        <v>1248</v>
      </c>
      <c r="I742" s="182">
        <f>H742</f>
        <v/>
      </c>
      <c r="J742" s="182" t="n">
        <v>1250</v>
      </c>
      <c r="K742" s="117" t="inlineStr">
        <is>
          <t>Vacant</t>
        </is>
      </c>
      <c r="L742" s="174" t="n"/>
      <c r="M742" s="174" t="n"/>
      <c r="N742" s="174" t="n">
        <v>44550</v>
      </c>
      <c r="O742" s="174" t="n"/>
      <c r="P742" s="174" t="n"/>
      <c r="Q742" s="176" t="n">
        <v>0</v>
      </c>
      <c r="R742" s="173">
        <f>Q742</f>
        <v/>
      </c>
      <c r="S742" s="10" t="n"/>
      <c r="T742" s="176" t="n">
        <v>66800</v>
      </c>
      <c r="U742" s="173">
        <f>T742</f>
        <v/>
      </c>
      <c r="V742" s="372" t="n">
        <v>68600</v>
      </c>
      <c r="W742" s="173">
        <f>V742</f>
        <v/>
      </c>
      <c r="X742" s="277">
        <f>T742/H742</f>
        <v/>
      </c>
      <c r="Y742" s="173" t="inlineStr">
        <is>
          <t>B</t>
        </is>
      </c>
      <c r="Z742" s="183" t="n"/>
      <c r="AA742" s="370" t="n"/>
      <c r="AB742" s="176" t="inlineStr">
        <is>
          <t>No</t>
        </is>
      </c>
      <c r="AC742" s="170" t="inlineStr">
        <is>
          <t>To be refurbished.</t>
        </is>
      </c>
      <c r="AD742" s="313" t="n">
        <v>58</v>
      </c>
      <c r="AE742" s="170" t="n"/>
      <c r="AF742" s="289" t="n"/>
      <c r="AG742" s="170" t="n"/>
    </row>
    <row r="743" ht="12.75" customHeight="1">
      <c r="F743" s="153" t="n"/>
      <c r="G743" s="154" t="n"/>
      <c r="H743" s="156" t="n"/>
      <c r="I743" s="166" t="n"/>
      <c r="J743" s="166" t="n"/>
      <c r="K743" s="158" t="n"/>
      <c r="L743" s="167" t="n"/>
      <c r="M743" s="167" t="n"/>
      <c r="N743" s="167" t="n"/>
      <c r="O743" s="167" t="n"/>
      <c r="P743" s="167" t="n"/>
      <c r="Q743" s="168" t="n"/>
      <c r="R743" s="168" t="n"/>
      <c r="T743" s="168" t="n"/>
      <c r="U743" s="168" t="n"/>
      <c r="V743" s="383" t="n"/>
      <c r="W743" s="168" t="n"/>
      <c r="X743" s="168" t="n"/>
      <c r="Y743" s="168" t="n"/>
      <c r="Z743" s="159" t="n"/>
      <c r="AA743" s="374" t="n"/>
      <c r="AB743" s="159" t="n"/>
      <c r="AC743" s="153" t="n"/>
      <c r="AD743" s="315" t="n"/>
      <c r="AE743" s="153" t="n"/>
      <c r="AF743" s="291" t="n"/>
      <c r="AG743" s="153" t="n"/>
    </row>
    <row r="744" ht="11.25" customFormat="1" customHeight="1" s="181">
      <c r="D744" s="170" t="n"/>
      <c r="E744" s="170" t="n"/>
      <c r="F744" s="184" t="n"/>
      <c r="G744" s="185" t="n"/>
      <c r="H744" s="172">
        <f>SUM(H741:H742)</f>
        <v/>
      </c>
      <c r="I744" s="172" t="n"/>
      <c r="J744" s="172" t="n"/>
      <c r="K744" s="186" t="n"/>
      <c r="L744" s="187" t="n"/>
      <c r="M744" s="187" t="n"/>
      <c r="N744" s="187" t="n"/>
      <c r="O744" s="187" t="n"/>
      <c r="P744" s="187" t="n"/>
      <c r="Q744" s="172">
        <f>SUM(Q741:Q742)</f>
        <v/>
      </c>
      <c r="R744" s="172" t="n"/>
      <c r="T744" s="172">
        <f>SUM(T741:T742)</f>
        <v/>
      </c>
      <c r="U744" s="173" t="n"/>
      <c r="V744" s="370">
        <f>SUM(V741:V742)</f>
        <v/>
      </c>
      <c r="W744" s="173" t="n"/>
      <c r="X744" s="173" t="n"/>
      <c r="Y744" s="173" t="n"/>
      <c r="Z744" s="188" t="n"/>
      <c r="AA744" s="370" t="n">
        <v>1785000</v>
      </c>
      <c r="AB744" s="188" t="n"/>
      <c r="AC744" s="189" t="n"/>
      <c r="AD744" s="316" t="n"/>
      <c r="AE744" s="189" t="n"/>
      <c r="AF744" s="292" t="n"/>
      <c r="AG744" s="189" t="n"/>
    </row>
    <row r="745" ht="12.75" customHeight="1">
      <c r="F745" s="153" t="n"/>
      <c r="G745" s="154" t="n"/>
      <c r="H745" s="156" t="n"/>
      <c r="I745" s="166" t="n"/>
      <c r="J745" s="166" t="n"/>
      <c r="K745" s="158" t="n"/>
      <c r="L745" s="167" t="n"/>
      <c r="M745" s="167" t="n"/>
      <c r="N745" s="167" t="n"/>
      <c r="O745" s="167" t="n"/>
      <c r="P745" s="167" t="n"/>
      <c r="Q745" s="168" t="n"/>
      <c r="R745" s="168" t="n"/>
      <c r="T745" s="168" t="n"/>
      <c r="U745" s="168" t="n"/>
      <c r="V745" s="383" t="n"/>
      <c r="W745" s="168" t="n"/>
      <c r="X745" s="168" t="n"/>
      <c r="Y745" s="168" t="n"/>
      <c r="Z745" s="159" t="n"/>
      <c r="AA745" s="374" t="n"/>
      <c r="AB745" s="159" t="n"/>
      <c r="AC745" s="153" t="n"/>
      <c r="AD745" s="315" t="n"/>
      <c r="AE745" s="153" t="n"/>
      <c r="AF745" s="291" t="n"/>
      <c r="AG745" s="153" t="n"/>
    </row>
    <row r="746" ht="12.75" customHeight="1">
      <c r="F746" s="153" t="n"/>
      <c r="G746" s="154" t="n"/>
      <c r="H746" s="156" t="n"/>
      <c r="I746" s="166" t="n"/>
      <c r="J746" s="166" t="n"/>
      <c r="K746" s="158" t="n"/>
      <c r="L746" s="167" t="n"/>
      <c r="M746" s="167" t="n"/>
      <c r="N746" s="167" t="n"/>
      <c r="O746" s="167" t="n"/>
      <c r="P746" s="167" t="n"/>
      <c r="Q746" s="168" t="n"/>
      <c r="R746" s="168" t="n"/>
      <c r="T746" s="168" t="n"/>
      <c r="U746" s="168" t="n"/>
      <c r="V746" s="383" t="n"/>
      <c r="W746" s="168" t="n"/>
      <c r="X746" s="168" t="n"/>
      <c r="Y746" s="168" t="n"/>
      <c r="Z746" s="159" t="n"/>
      <c r="AA746" s="374" t="n"/>
      <c r="AB746" s="159" t="n"/>
      <c r="AC746" s="153" t="n"/>
      <c r="AD746" s="315" t="n"/>
      <c r="AE746" s="153" t="n"/>
      <c r="AF746" s="291" t="n"/>
      <c r="AG746" s="153" t="n"/>
    </row>
    <row r="747" ht="12.75" customHeight="1">
      <c r="F747" s="153" t="n"/>
      <c r="G747" s="152" t="inlineStr">
        <is>
          <t>Welbeck House, 66/67 Wells Street</t>
        </is>
      </c>
      <c r="H747" s="156" t="n"/>
      <c r="I747" s="166" t="n"/>
      <c r="J747" s="166" t="n"/>
      <c r="K747" s="158" t="n"/>
      <c r="L747" s="167" t="n"/>
      <c r="M747" s="167" t="n"/>
      <c r="N747" s="167" t="n"/>
      <c r="O747" s="167" t="n"/>
      <c r="P747" s="167" t="n"/>
      <c r="Q747" s="168" t="n"/>
      <c r="R747" s="168" t="n"/>
      <c r="T747" s="168" t="n"/>
      <c r="U747" s="168" t="n"/>
      <c r="V747" s="383" t="n"/>
      <c r="W747" s="168" t="n"/>
      <c r="X747" s="168" t="n"/>
      <c r="Y747" s="168" t="n"/>
      <c r="Z747" s="159" t="n"/>
      <c r="AA747" s="374" t="n"/>
      <c r="AB747" s="159" t="n"/>
      <c r="AC747" s="153" t="n"/>
      <c r="AD747" s="315" t="n"/>
      <c r="AE747" s="153" t="n"/>
      <c r="AF747" s="291" t="n"/>
      <c r="AG747" s="153" t="n"/>
    </row>
    <row r="748" ht="12.75" customHeight="1">
      <c r="F748" s="153" t="n"/>
      <c r="G748" s="154" t="n"/>
      <c r="H748" s="156" t="n"/>
      <c r="I748" s="166" t="n"/>
      <c r="J748" s="166" t="n"/>
      <c r="K748" s="158" t="n"/>
      <c r="L748" s="167" t="n"/>
      <c r="M748" s="167" t="n"/>
      <c r="N748" s="167" t="n"/>
      <c r="O748" s="167" t="n"/>
      <c r="P748" s="167" t="n"/>
      <c r="Q748" s="168" t="n"/>
      <c r="R748" s="168" t="n"/>
      <c r="T748" s="168" t="n"/>
      <c r="U748" s="168" t="n"/>
      <c r="V748" s="383" t="n"/>
      <c r="W748" s="168" t="n"/>
      <c r="X748" s="168" t="n"/>
      <c r="Y748" s="168" t="n"/>
      <c r="Z748" s="159" t="n"/>
      <c r="AA748" s="374" t="n"/>
      <c r="AB748" s="159" t="n"/>
      <c r="AC748" s="153" t="n"/>
      <c r="AD748" s="315" t="n"/>
      <c r="AE748" s="153" t="n"/>
      <c r="AF748" s="291" t="n"/>
      <c r="AG748" s="153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0" t="n">
        <v>800600</v>
      </c>
      <c r="E749" s="170" t="inlineStr">
        <is>
          <t>Welbeck House, 66/67 Wells Street</t>
        </is>
      </c>
      <c r="F749" s="170" t="inlineStr">
        <is>
          <t>Basement (67)</t>
        </is>
      </c>
      <c r="G749" s="178" t="inlineStr">
        <is>
          <t>Electricity / Substation</t>
        </is>
      </c>
      <c r="H749" s="173" t="n">
        <v>0</v>
      </c>
      <c r="I749" s="182">
        <f>H749</f>
        <v/>
      </c>
      <c r="J749" s="182" t="n"/>
      <c r="K749" s="117" t="inlineStr">
        <is>
          <t>London Power Networks Plc</t>
        </is>
      </c>
      <c r="L749" s="174" t="n">
        <v>18170</v>
      </c>
      <c r="M749" s="174" t="n">
        <v>54329</v>
      </c>
      <c r="N749" s="174" t="n"/>
      <c r="O749" s="174" t="n"/>
      <c r="P749" s="174" t="n"/>
      <c r="Q749" s="176" t="n">
        <v>0</v>
      </c>
      <c r="R749" s="173">
        <f>Q749</f>
        <v/>
      </c>
      <c r="S749" s="10" t="n"/>
      <c r="T749" s="176" t="n">
        <v>0</v>
      </c>
      <c r="U749" s="173">
        <f>T749</f>
        <v/>
      </c>
      <c r="V749" s="372" t="n">
        <v>0</v>
      </c>
      <c r="W749" s="173">
        <f>V749</f>
        <v/>
      </c>
      <c r="X749" s="277" t="n"/>
      <c r="Y749" s="173" t="n"/>
      <c r="Z749" s="183" t="n"/>
      <c r="AA749" s="370" t="n"/>
      <c r="AB749" s="176" t="inlineStr">
        <is>
          <t>Yes</t>
        </is>
      </c>
      <c r="AC749" s="170" t="inlineStr">
        <is>
          <t>Rent 5p paid annually on 25th March</t>
        </is>
      </c>
      <c r="AD749" s="313" t="n"/>
      <c r="AE749" s="170" t="n"/>
      <c r="AF749" s="289" t="n"/>
      <c r="AG749" s="170" t="n"/>
    </row>
    <row r="750" ht="31.5" customFormat="1" customHeight="1" s="1">
      <c r="B750" s="11" t="inlineStr">
        <is>
          <t>WS</t>
        </is>
      </c>
      <c r="C750" s="11" t="inlineStr">
        <is>
          <t>OPG</t>
        </is>
      </c>
      <c r="D750" s="170" t="n">
        <v>800600</v>
      </c>
      <c r="E750" s="170" t="inlineStr">
        <is>
          <t>Welbeck House, 66/67 Wells Street</t>
        </is>
      </c>
      <c r="F750" s="170" t="inlineStr">
        <is>
          <t>Basement &amp; Ground (67), Rear (66/67) &amp; 1st Floor (R) 66.</t>
        </is>
      </c>
      <c r="G750" s="171" t="inlineStr">
        <is>
          <t>Retail / Offices</t>
        </is>
      </c>
      <c r="H750" s="173" t="n">
        <v>3356</v>
      </c>
      <c r="I750" s="182">
        <f>H750</f>
        <v/>
      </c>
      <c r="J750" s="182" t="n">
        <v>3500</v>
      </c>
      <c r="K750" s="117" t="inlineStr">
        <is>
          <t>Vacant</t>
        </is>
      </c>
      <c r="L750" s="174" t="n"/>
      <c r="M750" s="174" t="n"/>
      <c r="N750" s="174" t="n">
        <v>45457</v>
      </c>
      <c r="O750" s="174" t="n"/>
      <c r="P750" s="174" t="n"/>
      <c r="Q750" s="176" t="n">
        <v>0</v>
      </c>
      <c r="R750" s="173">
        <f>Q750</f>
        <v/>
      </c>
      <c r="S750" s="10" t="n"/>
      <c r="T750" s="176" t="n">
        <v>174600</v>
      </c>
      <c r="U750" s="173">
        <f>T750</f>
        <v/>
      </c>
      <c r="V750" s="372" t="n">
        <v>177700</v>
      </c>
      <c r="W750" s="173">
        <f>V750</f>
        <v/>
      </c>
      <c r="X750" s="277">
        <f>T750/H750</f>
        <v/>
      </c>
      <c r="Y750" s="173" t="inlineStr">
        <is>
          <t>B</t>
        </is>
      </c>
      <c r="Z750" s="183" t="n"/>
      <c r="AA750" s="370" t="n"/>
      <c r="AB750" s="176" t="inlineStr">
        <is>
          <t>No</t>
        </is>
      </c>
      <c r="AC750" s="170" t="n"/>
      <c r="AD750" s="313" t="n">
        <v>45</v>
      </c>
      <c r="AE750" s="170" t="n">
        <v>2</v>
      </c>
      <c r="AF750" s="289" t="n">
        <v>2</v>
      </c>
      <c r="AG750" s="170" t="inlineStr">
        <is>
          <t>LEM</t>
        </is>
      </c>
    </row>
    <row r="751" ht="22.5" customFormat="1" customHeight="1" s="1">
      <c r="B751" s="11" t="inlineStr">
        <is>
          <t>WS</t>
        </is>
      </c>
      <c r="C751" s="11" t="inlineStr">
        <is>
          <t>OPG</t>
        </is>
      </c>
      <c r="D751" s="170" t="n">
        <v>800600</v>
      </c>
      <c r="E751" s="170" t="inlineStr">
        <is>
          <t>Welbeck House, 66/67 Wells Street</t>
        </is>
      </c>
      <c r="F751" s="170" t="inlineStr">
        <is>
          <t>Basement &amp; Ground (66)</t>
        </is>
      </c>
      <c r="G751" s="171" t="inlineStr">
        <is>
          <t>Shop</t>
        </is>
      </c>
      <c r="H751" s="173" t="n">
        <v>1157</v>
      </c>
      <c r="I751" s="182">
        <f>H751</f>
        <v/>
      </c>
      <c r="J751" s="182" t="n">
        <v>1000</v>
      </c>
      <c r="K751" s="117" t="inlineStr">
        <is>
          <t>Noble Furs (Regent Street) Ltd</t>
        </is>
      </c>
      <c r="L751" s="174" t="n">
        <v>45230</v>
      </c>
      <c r="M751" s="174" t="n">
        <v>46325</v>
      </c>
      <c r="N751" s="174" t="n"/>
      <c r="O751" s="174" t="n"/>
      <c r="P751" s="174" t="n"/>
      <c r="Q751" s="176" t="n">
        <v>46000</v>
      </c>
      <c r="R751" s="173">
        <f>Q751</f>
        <v/>
      </c>
      <c r="S751" s="10" t="n"/>
      <c r="T751" s="176" t="n">
        <v>52800</v>
      </c>
      <c r="U751" s="173">
        <f>T751</f>
        <v/>
      </c>
      <c r="V751" s="372" t="n">
        <v>52800</v>
      </c>
      <c r="W751" s="173">
        <f>V751</f>
        <v/>
      </c>
      <c r="X751" s="277">
        <f>T751/H751</f>
        <v/>
      </c>
      <c r="Y751" s="173" t="inlineStr">
        <is>
          <t>D</t>
        </is>
      </c>
      <c r="Z751" s="183" t="n"/>
      <c r="AA751" s="370" t="n"/>
      <c r="AB751" s="176" t="inlineStr">
        <is>
          <t>No</t>
        </is>
      </c>
      <c r="AC751" s="170" t="inlineStr">
        <is>
          <t xml:space="preserve">Further 2 months rent free @ 31/10/25. Rent rises to £50,600 wef 31/12/25. Mutual break on 3 months notice. </t>
        </is>
      </c>
      <c r="AD751" s="313" t="n"/>
      <c r="AE751" s="170" t="n"/>
      <c r="AF751" s="289" t="n"/>
      <c r="AG751" s="170" t="n"/>
    </row>
    <row r="752" ht="23.25" customFormat="1" customHeight="1" s="1">
      <c r="B752" s="11" t="inlineStr">
        <is>
          <t>WS</t>
        </is>
      </c>
      <c r="C752" s="11" t="inlineStr">
        <is>
          <t>OPG</t>
        </is>
      </c>
      <c r="D752" s="170" t="n">
        <v>800600</v>
      </c>
      <c r="E752" s="170" t="inlineStr">
        <is>
          <t>Welbeck House, 66/67 Wells Street</t>
        </is>
      </c>
      <c r="F752" s="170" t="inlineStr">
        <is>
          <t>First Floor (Front)</t>
        </is>
      </c>
      <c r="G752" s="171" t="inlineStr">
        <is>
          <t>Offices</t>
        </is>
      </c>
      <c r="H752" s="173" t="n">
        <v>1015</v>
      </c>
      <c r="I752" s="182">
        <f>H752</f>
        <v/>
      </c>
      <c r="J752" s="182" t="n">
        <v>1000</v>
      </c>
      <c r="K752" s="117" t="inlineStr">
        <is>
          <t>Vacant</t>
        </is>
      </c>
      <c r="L752" s="174" t="n"/>
      <c r="M752" s="174" t="n"/>
      <c r="N752" s="174" t="n">
        <v>43840</v>
      </c>
      <c r="O752" s="174" t="n"/>
      <c r="P752" s="174" t="n"/>
      <c r="Q752" s="176" t="n">
        <v>0</v>
      </c>
      <c r="R752" s="173">
        <f>Q752</f>
        <v/>
      </c>
      <c r="S752" s="10" t="n"/>
      <c r="T752" s="176" t="n">
        <v>53300</v>
      </c>
      <c r="U752" s="173">
        <f>T752</f>
        <v/>
      </c>
      <c r="V752" s="372" t="n">
        <v>53300</v>
      </c>
      <c r="W752" s="173">
        <f>V752</f>
        <v/>
      </c>
      <c r="X752" s="277">
        <f>T752/H752</f>
        <v/>
      </c>
      <c r="Y752" s="173" t="inlineStr">
        <is>
          <t>D</t>
        </is>
      </c>
      <c r="Z752" s="183" t="n"/>
      <c r="AA752" s="370" t="n"/>
      <c r="AB752" s="176" t="inlineStr">
        <is>
          <t>No</t>
        </is>
      </c>
      <c r="AC752" s="4" t="inlineStr">
        <is>
          <t>Mothballed.</t>
        </is>
      </c>
      <c r="AD752" s="303" t="n"/>
      <c r="AE752" s="29" t="n"/>
      <c r="AF752" s="279" t="n"/>
      <c r="AG752" s="29" t="n"/>
    </row>
    <row r="753" ht="23.25" customFormat="1" customHeight="1" s="1">
      <c r="B753" s="11" t="inlineStr">
        <is>
          <t>WS</t>
        </is>
      </c>
      <c r="C753" s="11" t="inlineStr">
        <is>
          <t>OPG</t>
        </is>
      </c>
      <c r="D753" s="170" t="n">
        <v>800600</v>
      </c>
      <c r="E753" s="170" t="inlineStr">
        <is>
          <t>Welbeck House, 66/67 Wells Street</t>
        </is>
      </c>
      <c r="F753" s="170" t="inlineStr">
        <is>
          <t>First Floor (Rear)</t>
        </is>
      </c>
      <c r="G753" s="171" t="inlineStr">
        <is>
          <t>Offices</t>
        </is>
      </c>
      <c r="H753" s="173" t="n">
        <v>250</v>
      </c>
      <c r="I753" s="182">
        <f>H753</f>
        <v/>
      </c>
      <c r="J753" s="182" t="n">
        <v>250</v>
      </c>
      <c r="K753" s="117" t="inlineStr">
        <is>
          <t>Vacant</t>
        </is>
      </c>
      <c r="L753" s="174" t="n"/>
      <c r="M753" s="174" t="n"/>
      <c r="N753" s="174" t="n">
        <v>45682</v>
      </c>
      <c r="O753" s="174" t="n"/>
      <c r="P753" s="174" t="n"/>
      <c r="Q753" s="176" t="n">
        <v>0</v>
      </c>
      <c r="R753" s="173">
        <f>Q753</f>
        <v/>
      </c>
      <c r="S753" s="10" t="n"/>
      <c r="T753" s="176" t="n">
        <v>14500</v>
      </c>
      <c r="U753" s="173">
        <f>T753</f>
        <v/>
      </c>
      <c r="V753" s="372" t="n">
        <v>14500</v>
      </c>
      <c r="W753" s="173">
        <f>V753</f>
        <v/>
      </c>
      <c r="X753" s="277">
        <f>T753/H753</f>
        <v/>
      </c>
      <c r="Y753" s="173" t="inlineStr">
        <is>
          <t>D</t>
        </is>
      </c>
      <c r="Z753" s="183" t="n"/>
      <c r="AA753" s="370" t="n"/>
      <c r="AB753" s="176" t="inlineStr">
        <is>
          <t>No</t>
        </is>
      </c>
      <c r="AC753" s="170" t="inlineStr">
        <is>
          <t>LEM marketing.</t>
        </is>
      </c>
      <c r="AD753" s="313" t="n"/>
      <c r="AE753" s="170" t="n"/>
      <c r="AF753" s="289" t="n"/>
      <c r="AG753" s="170" t="n"/>
    </row>
    <row r="754" ht="11.25" customFormat="1" customHeight="1" s="1">
      <c r="B754" s="11" t="inlineStr">
        <is>
          <t>WS</t>
        </is>
      </c>
      <c r="C754" s="11" t="inlineStr">
        <is>
          <t>OPG</t>
        </is>
      </c>
      <c r="D754" s="170" t="n">
        <v>800600</v>
      </c>
      <c r="E754" s="170" t="inlineStr">
        <is>
          <t>Welbeck House, 66/67 Wells Street</t>
        </is>
      </c>
      <c r="F754" s="170" t="inlineStr">
        <is>
          <t>Second Floor (Front)</t>
        </is>
      </c>
      <c r="G754" s="171" t="inlineStr">
        <is>
          <t>Offices</t>
        </is>
      </c>
      <c r="H754" s="173" t="n">
        <v>1026</v>
      </c>
      <c r="I754" s="182">
        <f>H754</f>
        <v/>
      </c>
      <c r="J754" s="182" t="n">
        <v>1000</v>
      </c>
      <c r="K754" s="117" t="inlineStr">
        <is>
          <t>Vacant</t>
        </is>
      </c>
      <c r="L754" s="174" t="n"/>
      <c r="M754" s="174" t="n"/>
      <c r="N754" s="174" t="n">
        <v>44500</v>
      </c>
      <c r="O754" s="174" t="n"/>
      <c r="P754" s="174" t="n"/>
      <c r="Q754" s="176" t="n">
        <v>0</v>
      </c>
      <c r="R754" s="173">
        <f>Q754</f>
        <v/>
      </c>
      <c r="S754" s="10" t="n"/>
      <c r="T754" s="176" t="n">
        <v>53900</v>
      </c>
      <c r="U754" s="173">
        <f>T754</f>
        <v/>
      </c>
      <c r="V754" s="372" t="n">
        <v>53900</v>
      </c>
      <c r="W754" s="173">
        <f>V754</f>
        <v/>
      </c>
      <c r="X754" s="277">
        <f>T754/H754</f>
        <v/>
      </c>
      <c r="Y754" s="173" t="inlineStr">
        <is>
          <t>C</t>
        </is>
      </c>
      <c r="Z754" s="183" t="n"/>
      <c r="AA754" s="370" t="n"/>
      <c r="AB754" s="176" t="inlineStr">
        <is>
          <t>No</t>
        </is>
      </c>
      <c r="AC754" s="4" t="inlineStr">
        <is>
          <t>Mothballed.</t>
        </is>
      </c>
      <c r="AD754" s="303" t="n"/>
      <c r="AE754" s="29" t="n"/>
      <c r="AF754" s="279" t="n"/>
      <c r="AG754" s="29" t="n"/>
    </row>
    <row r="755" ht="23.25" customFormat="1" customHeight="1" s="1">
      <c r="B755" s="11" t="inlineStr">
        <is>
          <t>WS</t>
        </is>
      </c>
      <c r="C755" s="11" t="inlineStr">
        <is>
          <t>OPG</t>
        </is>
      </c>
      <c r="D755" s="170" t="n">
        <v>800600</v>
      </c>
      <c r="E755" s="170" t="inlineStr">
        <is>
          <t>Welbeck House, 66/67 Wells Street</t>
        </is>
      </c>
      <c r="F755" s="170" t="inlineStr">
        <is>
          <t>Second Floor (Rear)</t>
        </is>
      </c>
      <c r="G755" s="171" t="inlineStr">
        <is>
          <t>Offices</t>
        </is>
      </c>
      <c r="H755" s="173" t="n">
        <v>242</v>
      </c>
      <c r="I755" s="182">
        <f>H755</f>
        <v/>
      </c>
      <c r="J755" s="182" t="n">
        <v>250</v>
      </c>
      <c r="K755" s="117" t="inlineStr">
        <is>
          <t>Vacant</t>
        </is>
      </c>
      <c r="L755" s="174" t="n"/>
      <c r="M755" s="174" t="n"/>
      <c r="N755" s="174" t="n">
        <v>44135</v>
      </c>
      <c r="O755" s="174" t="n"/>
      <c r="P755" s="174" t="n"/>
      <c r="Q755" s="176" t="n">
        <v>0</v>
      </c>
      <c r="R755" s="173">
        <f>Q755</f>
        <v/>
      </c>
      <c r="S755" s="10" t="n"/>
      <c r="T755" s="176" t="n">
        <v>14000</v>
      </c>
      <c r="U755" s="173">
        <f>T755</f>
        <v/>
      </c>
      <c r="V755" s="372" t="n">
        <v>14000</v>
      </c>
      <c r="W755" s="173">
        <f>V755</f>
        <v/>
      </c>
      <c r="X755" s="277">
        <f>T755/H755</f>
        <v/>
      </c>
      <c r="Y755" s="173" t="inlineStr">
        <is>
          <t>E</t>
        </is>
      </c>
      <c r="Z755" s="183" t="n"/>
      <c r="AA755" s="370" t="n"/>
      <c r="AB755" s="176" t="inlineStr">
        <is>
          <t>No</t>
        </is>
      </c>
      <c r="AC755" s="4" t="inlineStr">
        <is>
          <t>Mothballed.</t>
        </is>
      </c>
      <c r="AD755" s="303" t="n"/>
      <c r="AE755" s="29" t="n"/>
      <c r="AF755" s="279" t="n"/>
      <c r="AG755" s="29" t="n"/>
    </row>
    <row r="756" ht="11.25" customFormat="1" customHeight="1" s="1">
      <c r="B756" s="11" t="inlineStr">
        <is>
          <t>WS</t>
        </is>
      </c>
      <c r="C756" s="11" t="inlineStr">
        <is>
          <t>OPG</t>
        </is>
      </c>
      <c r="D756" s="170" t="n">
        <v>800600</v>
      </c>
      <c r="E756" s="170" t="inlineStr">
        <is>
          <t>Welbeck House, 66/67 Wells Street</t>
        </is>
      </c>
      <c r="F756" s="170" t="inlineStr">
        <is>
          <t>Third Floor</t>
        </is>
      </c>
      <c r="G756" s="171" t="inlineStr">
        <is>
          <t>Offices</t>
        </is>
      </c>
      <c r="H756" s="173" t="n">
        <v>1028</v>
      </c>
      <c r="I756" s="182">
        <f>H756</f>
        <v/>
      </c>
      <c r="J756" s="182" t="n">
        <v>1000</v>
      </c>
      <c r="K756" s="117" t="inlineStr">
        <is>
          <t>Investments Services UK Ltd</t>
        </is>
      </c>
      <c r="L756" s="174" t="n">
        <v>44135</v>
      </c>
      <c r="M756" s="174" t="n">
        <v>45960</v>
      </c>
      <c r="N756" s="174" t="n"/>
      <c r="O756" s="174" t="n"/>
      <c r="P756" s="174" t="n"/>
      <c r="Q756" s="176" t="n">
        <v>52572</v>
      </c>
      <c r="R756" s="173">
        <f>Q756</f>
        <v/>
      </c>
      <c r="S756" s="10" t="n"/>
      <c r="T756" s="176" t="n">
        <v>51400</v>
      </c>
      <c r="U756" s="173">
        <f>T756</f>
        <v/>
      </c>
      <c r="V756" s="372" t="n">
        <v>51400</v>
      </c>
      <c r="W756" s="173">
        <f>V756</f>
        <v/>
      </c>
      <c r="X756" s="277">
        <f>T756/H756</f>
        <v/>
      </c>
      <c r="Y756" s="173" t="inlineStr">
        <is>
          <t>D</t>
        </is>
      </c>
      <c r="Z756" s="183" t="n"/>
      <c r="AA756" s="370" t="n"/>
      <c r="AB756" s="176" t="inlineStr">
        <is>
          <t>No</t>
        </is>
      </c>
      <c r="AC756" s="4" t="inlineStr">
        <is>
          <t>Mothballed.</t>
        </is>
      </c>
      <c r="AD756" s="303" t="n"/>
      <c r="AE756" s="29" t="n"/>
      <c r="AF756" s="279" t="n"/>
      <c r="AG756" s="29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0" t="n">
        <v>800600</v>
      </c>
      <c r="E757" s="170" t="inlineStr">
        <is>
          <t>Welbeck House, 66/67 Wells Street</t>
        </is>
      </c>
      <c r="F757" s="170" t="inlineStr">
        <is>
          <t>Fourth Floor</t>
        </is>
      </c>
      <c r="G757" s="171" t="inlineStr">
        <is>
          <t>Offices</t>
        </is>
      </c>
      <c r="H757" s="173" t="n">
        <v>834</v>
      </c>
      <c r="I757" s="182">
        <f>H757</f>
        <v/>
      </c>
      <c r="J757" s="182" t="n">
        <v>1000</v>
      </c>
      <c r="K757" s="117" t="inlineStr">
        <is>
          <t>Vacant</t>
        </is>
      </c>
      <c r="L757" s="174" t="n"/>
      <c r="M757" s="174" t="n"/>
      <c r="N757" s="174" t="n">
        <v>43840</v>
      </c>
      <c r="O757" s="174" t="n"/>
      <c r="P757" s="174" t="n"/>
      <c r="Q757" s="176" t="n">
        <v>0</v>
      </c>
      <c r="R757" s="173">
        <f>Q757</f>
        <v/>
      </c>
      <c r="S757" s="10" t="n"/>
      <c r="T757" s="176" t="n">
        <v>43800</v>
      </c>
      <c r="U757" s="173">
        <f>T757</f>
        <v/>
      </c>
      <c r="V757" s="372" t="n">
        <v>43800</v>
      </c>
      <c r="W757" s="173">
        <f>V757</f>
        <v/>
      </c>
      <c r="X757" s="277">
        <f>T757/H757</f>
        <v/>
      </c>
      <c r="Y757" s="173" t="inlineStr">
        <is>
          <t>D</t>
        </is>
      </c>
      <c r="Z757" s="183" t="n"/>
      <c r="AA757" s="370" t="n"/>
      <c r="AB757" s="176" t="inlineStr">
        <is>
          <t>No</t>
        </is>
      </c>
      <c r="AC757" s="4" t="inlineStr">
        <is>
          <t>Mothballed.</t>
        </is>
      </c>
      <c r="AD757" s="303" t="n"/>
      <c r="AE757" s="29" t="n"/>
      <c r="AF757" s="279" t="n"/>
      <c r="AG757" s="29" t="n"/>
    </row>
    <row r="758" ht="11.25" customFormat="1" customHeight="1" s="1">
      <c r="F758" s="170" t="n"/>
      <c r="G758" s="171" t="n"/>
      <c r="H758" s="173" t="n"/>
      <c r="I758" s="190" t="n"/>
      <c r="J758" s="190" t="n"/>
      <c r="K758" s="117" t="n"/>
      <c r="L758" s="191" t="n"/>
      <c r="M758" s="191" t="n"/>
      <c r="N758" s="191" t="n"/>
      <c r="O758" s="191" t="n"/>
      <c r="P758" s="191" t="n"/>
      <c r="Q758" s="192" t="n"/>
      <c r="R758" s="192" t="n"/>
      <c r="S758" s="10" t="n"/>
      <c r="T758" s="192" t="n"/>
      <c r="U758" s="192" t="n"/>
      <c r="V758" s="384" t="n"/>
      <c r="W758" s="192" t="n"/>
      <c r="X758" s="192" t="n"/>
      <c r="Y758" s="192" t="n"/>
      <c r="Z758" s="177" t="n"/>
      <c r="AA758" s="371" t="n"/>
      <c r="AB758" s="177" t="n"/>
      <c r="AC758" s="170" t="n"/>
      <c r="AD758" s="313" t="n"/>
      <c r="AE758" s="170" t="n"/>
      <c r="AF758" s="289" t="n"/>
      <c r="AG758" s="170" t="n"/>
    </row>
    <row r="759" ht="11.25" customFormat="1" customHeight="1" s="1">
      <c r="F759" s="170" t="n"/>
      <c r="G759" s="171" t="n"/>
      <c r="H759" s="172">
        <f>SUM(H749:H757)</f>
        <v/>
      </c>
      <c r="I759" s="190" t="n"/>
      <c r="J759" s="190" t="n"/>
      <c r="K759" s="117" t="n"/>
      <c r="L759" s="191" t="n"/>
      <c r="M759" s="191" t="n"/>
      <c r="N759" s="191" t="n"/>
      <c r="O759" s="191" t="n"/>
      <c r="P759" s="191" t="n"/>
      <c r="Q759" s="172">
        <f>SUM(Q749:Q757)</f>
        <v/>
      </c>
      <c r="R759" s="172" t="n"/>
      <c r="S759" s="10" t="n"/>
      <c r="T759" s="172">
        <f>SUM(T749:T757)</f>
        <v/>
      </c>
      <c r="U759" s="192" t="n"/>
      <c r="V759" s="370">
        <f>SUM(V749:V757)</f>
        <v/>
      </c>
      <c r="W759" s="192" t="n"/>
      <c r="X759" s="192" t="n"/>
      <c r="Y759" s="192" t="n"/>
      <c r="Z759" s="177" t="n"/>
      <c r="AA759" s="370" t="n">
        <v>4785000</v>
      </c>
      <c r="AB759" s="177" t="n"/>
      <c r="AC759" s="4" t="n"/>
      <c r="AD759" s="303" t="n"/>
      <c r="AE759" s="29" t="n"/>
      <c r="AF759" s="279" t="n"/>
      <c r="AG759" s="29" t="n"/>
    </row>
    <row r="760" ht="12.75" customHeight="1">
      <c r="F760" s="153" t="n"/>
      <c r="G760" s="154" t="n"/>
      <c r="H760" s="155" t="n"/>
      <c r="I760" s="166" t="n"/>
      <c r="J760" s="166" t="n"/>
      <c r="K760" s="158" t="n"/>
      <c r="L760" s="167" t="n"/>
      <c r="M760" s="167" t="n"/>
      <c r="N760" s="167" t="n"/>
      <c r="O760" s="167" t="n"/>
      <c r="P760" s="167" t="n"/>
      <c r="Q760" s="155" t="n"/>
      <c r="R760" s="155" t="n"/>
      <c r="T760" s="155" t="n"/>
      <c r="U760" s="168" t="n"/>
      <c r="V760" s="373" t="n"/>
      <c r="W760" s="168" t="n"/>
      <c r="X760" s="168" t="n"/>
      <c r="Y760" s="168" t="n"/>
      <c r="Z760" s="159" t="n"/>
      <c r="AA760" s="373" t="n"/>
      <c r="AB760" s="159" t="n"/>
      <c r="AC760" s="153" t="n"/>
      <c r="AD760" s="315" t="n"/>
      <c r="AE760" s="153" t="n"/>
      <c r="AF760" s="291" t="n"/>
      <c r="AG760" s="153" t="n"/>
    </row>
    <row r="761" ht="12.75" customHeight="1">
      <c r="F761" s="153" t="n"/>
      <c r="G761" s="154" t="n"/>
      <c r="H761" s="155" t="n"/>
      <c r="I761" s="166" t="n"/>
      <c r="J761" s="166" t="n"/>
      <c r="K761" s="158" t="n"/>
      <c r="L761" s="167" t="n"/>
      <c r="M761" s="167" t="n"/>
      <c r="N761" s="167" t="n"/>
      <c r="O761" s="167" t="n"/>
      <c r="P761" s="167" t="n"/>
      <c r="Q761" s="168" t="n"/>
      <c r="R761" s="168" t="n"/>
      <c r="T761" s="168" t="n"/>
      <c r="U761" s="168" t="n"/>
      <c r="V761" s="383" t="n"/>
      <c r="W761" s="168" t="n"/>
      <c r="X761" s="168" t="n"/>
      <c r="Y761" s="168" t="n"/>
      <c r="Z761" s="159" t="n"/>
      <c r="AA761" s="374" t="n"/>
      <c r="AB761" s="159" t="n"/>
      <c r="AC761" s="153" t="n"/>
      <c r="AD761" s="315" t="n"/>
      <c r="AE761" s="153" t="n"/>
      <c r="AF761" s="291" t="n"/>
      <c r="AG761" s="153" t="n"/>
    </row>
    <row r="762" ht="12.75" customHeight="1">
      <c r="D762" s="153" t="n"/>
      <c r="E762" s="153" t="n"/>
      <c r="F762" s="147" t="n"/>
      <c r="G762" s="152" t="inlineStr">
        <is>
          <t>32-36 Great Portland Street</t>
        </is>
      </c>
      <c r="H762" s="163" t="n"/>
      <c r="I762" s="149" t="n"/>
      <c r="J762" s="149" t="n"/>
      <c r="K762" s="147" t="n"/>
      <c r="L762" s="150" t="n"/>
      <c r="M762" s="150" t="n"/>
      <c r="N762" s="150" t="n"/>
      <c r="O762" s="150" t="n"/>
      <c r="P762" s="150" t="n"/>
      <c r="Q762" s="151" t="n"/>
      <c r="R762" s="149" t="n"/>
      <c r="T762" s="151" t="n"/>
      <c r="U762" s="149" t="n"/>
      <c r="V762" s="380" t="n"/>
      <c r="W762" s="149" t="n"/>
      <c r="X762" s="149" t="n"/>
      <c r="Y762" s="149" t="n"/>
      <c r="Z762" s="148" t="n"/>
      <c r="AA762" s="369" t="n"/>
      <c r="AB762" s="148" t="n"/>
      <c r="AC762" s="147" t="n"/>
      <c r="AD762" s="312" t="n"/>
      <c r="AE762" s="147" t="n"/>
      <c r="AF762" s="288" t="n"/>
      <c r="AG762" s="147" t="n"/>
    </row>
    <row r="763" ht="12.75" customHeight="1">
      <c r="D763" s="153" t="n"/>
      <c r="E763" s="153" t="n"/>
      <c r="F763" s="147" t="n"/>
      <c r="G763" s="148" t="n"/>
      <c r="H763" s="149" t="n"/>
      <c r="I763" s="149" t="n"/>
      <c r="J763" s="149" t="n"/>
      <c r="K763" s="147" t="n"/>
      <c r="L763" s="150" t="n"/>
      <c r="M763" s="150" t="n"/>
      <c r="N763" s="150" t="n"/>
      <c r="O763" s="150" t="n"/>
      <c r="P763" s="150" t="n"/>
      <c r="Q763" s="151" t="n"/>
      <c r="R763" s="149" t="n"/>
      <c r="T763" s="151" t="n"/>
      <c r="U763" s="149" t="n"/>
      <c r="V763" s="380" t="n"/>
      <c r="W763" s="149" t="n"/>
      <c r="X763" s="149" t="n"/>
      <c r="Y763" s="149" t="n"/>
      <c r="Z763" s="148" t="n"/>
      <c r="AA763" s="369" t="n"/>
      <c r="AB763" s="148" t="n"/>
      <c r="AC763" s="170" t="n"/>
      <c r="AD763" s="313" t="n"/>
      <c r="AE763" s="225" t="n"/>
      <c r="AF763" s="293" t="n"/>
      <c r="AG763" s="298" t="n"/>
    </row>
    <row r="764" ht="22.5" customFormat="1" customHeight="1" s="1">
      <c r="B764" s="11" t="inlineStr">
        <is>
          <t>CD</t>
        </is>
      </c>
      <c r="C764" s="11" t="inlineStr">
        <is>
          <t>PEL</t>
        </is>
      </c>
      <c r="D764" s="170" t="n">
        <v>111010</v>
      </c>
      <c r="E764" s="170" t="inlineStr">
        <is>
          <t>32-36 Great Portland Street</t>
        </is>
      </c>
      <c r="F764" s="170" t="inlineStr">
        <is>
          <t>Ground Floor &amp; Basement</t>
        </is>
      </c>
      <c r="G764" s="178" t="inlineStr">
        <is>
          <t>Retail / Showroom</t>
        </is>
      </c>
      <c r="H764" s="173" t="n">
        <v>4289</v>
      </c>
      <c r="I764" s="173">
        <f>H764</f>
        <v/>
      </c>
      <c r="J764" s="173" t="n">
        <v>4250</v>
      </c>
      <c r="K764" s="117" t="inlineStr">
        <is>
          <t>Prenuvo Ltd</t>
        </is>
      </c>
      <c r="L764" s="174" t="n">
        <v>45510</v>
      </c>
      <c r="M764" s="174" t="n">
        <v>50987</v>
      </c>
      <c r="N764" s="174" t="n"/>
      <c r="O764" s="174" t="n">
        <v>47336</v>
      </c>
      <c r="P764" s="174" t="n">
        <v>49162</v>
      </c>
      <c r="Q764" s="176" t="n">
        <v>110000</v>
      </c>
      <c r="R764" s="173">
        <f>Q764</f>
        <v/>
      </c>
      <c r="S764" s="10" t="n"/>
      <c r="T764" s="176" t="n">
        <v>220100</v>
      </c>
      <c r="U764" s="173">
        <f>T764</f>
        <v/>
      </c>
      <c r="V764" s="372" t="n">
        <v>220100</v>
      </c>
      <c r="W764" s="173">
        <f>V764</f>
        <v/>
      </c>
      <c r="X764" s="277">
        <f>T764/H764</f>
        <v/>
      </c>
      <c r="Y764" s="173" t="inlineStr">
        <is>
          <t>C</t>
        </is>
      </c>
      <c r="Z764" s="177" t="inlineStr">
        <is>
          <t>*</t>
        </is>
      </c>
      <c r="AA764" s="371" t="n"/>
      <c r="AB764" s="176" t="inlineStr">
        <is>
          <t>No</t>
        </is>
      </c>
      <c r="AC764" s="170" t="inlineStr">
        <is>
          <t>Rent increasing to £220,000 wef 18/01/26. Tenant break on 6 months notice.</t>
        </is>
      </c>
      <c r="AD764" s="313" t="n"/>
      <c r="AE764" s="225" t="n"/>
      <c r="AF764" s="293" t="n"/>
      <c r="AG764" s="298" t="n"/>
    </row>
    <row r="765" ht="12" customFormat="1" customHeight="1" s="1">
      <c r="B765" s="11" t="inlineStr">
        <is>
          <t>CD</t>
        </is>
      </c>
      <c r="C765" s="11" t="inlineStr">
        <is>
          <t>PEL</t>
        </is>
      </c>
      <c r="D765" s="170" t="n">
        <v>111010</v>
      </c>
      <c r="E765" s="170" t="inlineStr">
        <is>
          <t>32-36 Great Portland Street</t>
        </is>
      </c>
      <c r="F765" s="170" t="inlineStr">
        <is>
          <t>First Floor</t>
        </is>
      </c>
      <c r="G765" s="171" t="inlineStr">
        <is>
          <t>Offices</t>
        </is>
      </c>
      <c r="H765" s="173" t="n">
        <v>2279</v>
      </c>
      <c r="I765" s="173">
        <f>H765</f>
        <v/>
      </c>
      <c r="J765" s="173" t="n">
        <v>2250</v>
      </c>
      <c r="K765" s="117" t="inlineStr">
        <is>
          <t>Vacant</t>
        </is>
      </c>
      <c r="L765" s="174" t="n"/>
      <c r="M765" s="174" t="n"/>
      <c r="N765" s="174" t="n">
        <v>44577</v>
      </c>
      <c r="O765" s="174" t="n"/>
      <c r="P765" s="174" t="n"/>
      <c r="Q765" s="176" t="n">
        <v>0</v>
      </c>
      <c r="R765" s="173">
        <f>Q765</f>
        <v/>
      </c>
      <c r="S765" s="10" t="n"/>
      <c r="T765" s="176" t="n"/>
      <c r="U765" s="173">
        <f>T765</f>
        <v/>
      </c>
      <c r="V765" s="372" t="n">
        <v>159500</v>
      </c>
      <c r="W765" s="173">
        <f>V765</f>
        <v/>
      </c>
      <c r="X765" s="277">
        <f>T765/H765</f>
        <v/>
      </c>
      <c r="Y765" s="173" t="inlineStr">
        <is>
          <t>C</t>
        </is>
      </c>
      <c r="Z765" s="177" t="inlineStr">
        <is>
          <t>*</t>
        </is>
      </c>
      <c r="AA765" s="371" t="n"/>
      <c r="AB765" s="176" t="inlineStr">
        <is>
          <t>No</t>
        </is>
      </c>
      <c r="AC765" s="170" t="inlineStr">
        <is>
          <t>LEM marketing.</t>
        </is>
      </c>
      <c r="AD765" s="313" t="n">
        <v>75</v>
      </c>
      <c r="AE765" s="170" t="n">
        <v>1</v>
      </c>
      <c r="AF765" s="289" t="n">
        <v>1</v>
      </c>
      <c r="AG765" s="153" t="inlineStr">
        <is>
          <t>LEM</t>
        </is>
      </c>
    </row>
    <row r="766" ht="12" customFormat="1" customHeight="1" s="1">
      <c r="B766" s="11" t="inlineStr">
        <is>
          <t>CD</t>
        </is>
      </c>
      <c r="C766" s="11" t="inlineStr">
        <is>
          <t>PEL</t>
        </is>
      </c>
      <c r="D766" s="170" t="n">
        <v>111010</v>
      </c>
      <c r="E766" s="170" t="inlineStr">
        <is>
          <t>32-36 Great Portland Street</t>
        </is>
      </c>
      <c r="F766" s="170" t="inlineStr">
        <is>
          <t>Second Floor</t>
        </is>
      </c>
      <c r="G766" s="171" t="inlineStr">
        <is>
          <t>Offices</t>
        </is>
      </c>
      <c r="H766" s="173" t="n">
        <v>1640</v>
      </c>
      <c r="I766" s="173">
        <f>H766</f>
        <v/>
      </c>
      <c r="J766" s="173" t="n">
        <v>1500</v>
      </c>
      <c r="K766" s="117" t="inlineStr">
        <is>
          <t>AdMaxim Limited</t>
        </is>
      </c>
      <c r="L766" s="174" t="n">
        <v>44710</v>
      </c>
      <c r="M766" s="174" t="n">
        <v>45805</v>
      </c>
      <c r="N766" s="174" t="n"/>
      <c r="O766" s="174" t="n"/>
      <c r="P766" s="174" t="n"/>
      <c r="Q766" s="176" t="n">
        <v>101000</v>
      </c>
      <c r="R766" s="173">
        <f>Q766</f>
        <v/>
      </c>
      <c r="S766" s="10" t="n"/>
      <c r="T766" s="176" t="n">
        <v>104100</v>
      </c>
      <c r="U766" s="173">
        <f>T766</f>
        <v/>
      </c>
      <c r="V766" s="372" t="n">
        <v>114800</v>
      </c>
      <c r="W766" s="173">
        <f>V766</f>
        <v/>
      </c>
      <c r="X766" s="277">
        <f>T766/H766</f>
        <v/>
      </c>
      <c r="Y766" s="173" t="inlineStr">
        <is>
          <t>C</t>
        </is>
      </c>
      <c r="Z766" s="177" t="inlineStr">
        <is>
          <t>*</t>
        </is>
      </c>
      <c r="AA766" s="371" t="n"/>
      <c r="AB766" s="176" t="inlineStr">
        <is>
          <t>No</t>
        </is>
      </c>
      <c r="AC766" s="170" t="inlineStr">
        <is>
          <t>Lease renewal completion imminent.</t>
        </is>
      </c>
      <c r="AE766" s="170" t="n"/>
      <c r="AF766" s="289" t="n"/>
      <c r="AG766" s="153" t="n"/>
    </row>
    <row r="767" ht="12" customFormat="1" customHeight="1" s="1">
      <c r="B767" s="11" t="inlineStr">
        <is>
          <t>CD</t>
        </is>
      </c>
      <c r="C767" s="11" t="inlineStr">
        <is>
          <t>PEL</t>
        </is>
      </c>
      <c r="D767" s="170" t="n">
        <v>111010</v>
      </c>
      <c r="E767" s="170" t="inlineStr">
        <is>
          <t>32-36 Great Portland Street</t>
        </is>
      </c>
      <c r="F767" s="170" t="inlineStr">
        <is>
          <t>Third Floor</t>
        </is>
      </c>
      <c r="G767" s="171" t="inlineStr">
        <is>
          <t>Offices</t>
        </is>
      </c>
      <c r="H767" s="173" t="n">
        <v>1641</v>
      </c>
      <c r="I767" s="173">
        <f>H767</f>
        <v/>
      </c>
      <c r="J767" s="173" t="n">
        <v>1500</v>
      </c>
      <c r="K767" s="117" t="inlineStr">
        <is>
          <t>Vacant</t>
        </is>
      </c>
      <c r="L767" s="174" t="n"/>
      <c r="M767" s="174" t="n"/>
      <c r="N767" s="174" t="n">
        <v>44603</v>
      </c>
      <c r="O767" s="174" t="n"/>
      <c r="P767" s="174" t="n"/>
      <c r="Q767" s="176" t="n">
        <v>0</v>
      </c>
      <c r="R767" s="173">
        <f>Q767</f>
        <v/>
      </c>
      <c r="S767" s="10" t="n"/>
      <c r="T767" s="176" t="n">
        <v>120000</v>
      </c>
      <c r="U767" s="173">
        <f>T767</f>
        <v/>
      </c>
      <c r="V767" s="372" t="n">
        <v>114900</v>
      </c>
      <c r="W767" s="173">
        <f>V767</f>
        <v/>
      </c>
      <c r="X767" s="277">
        <f>T767/H767</f>
        <v/>
      </c>
      <c r="Y767" s="173" t="inlineStr">
        <is>
          <t>C</t>
        </is>
      </c>
      <c r="Z767" s="177" t="inlineStr">
        <is>
          <t>*</t>
        </is>
      </c>
      <c r="AA767" s="371" t="n"/>
      <c r="AB767" s="176" t="inlineStr">
        <is>
          <t>No</t>
        </is>
      </c>
      <c r="AC767" s="170" t="inlineStr">
        <is>
          <t>LEM marketing.</t>
        </is>
      </c>
      <c r="AD767" s="313" t="n">
        <v>75</v>
      </c>
      <c r="AE767" s="170" t="n">
        <v>1</v>
      </c>
      <c r="AF767" s="289" t="n">
        <v>1</v>
      </c>
      <c r="AG767" s="153" t="inlineStr">
        <is>
          <t>LEM</t>
        </is>
      </c>
    </row>
    <row r="768" ht="12" customFormat="1" customHeight="1" s="1">
      <c r="B768" s="11" t="inlineStr">
        <is>
          <t>CD</t>
        </is>
      </c>
      <c r="C768" s="11" t="inlineStr">
        <is>
          <t>PEL</t>
        </is>
      </c>
      <c r="D768" s="170" t="n">
        <v>111010</v>
      </c>
      <c r="E768" s="170" t="inlineStr">
        <is>
          <t>32-36 Great Portland Street</t>
        </is>
      </c>
      <c r="F768" s="170" t="inlineStr">
        <is>
          <t xml:space="preserve">Fourth Floor </t>
        </is>
      </c>
      <c r="G768" s="171" t="inlineStr">
        <is>
          <t>Offices</t>
        </is>
      </c>
      <c r="H768" s="173" t="n">
        <v>1636</v>
      </c>
      <c r="I768" s="173">
        <f>H768</f>
        <v/>
      </c>
      <c r="J768" s="173" t="n">
        <v>1500</v>
      </c>
      <c r="K768" s="117" t="inlineStr">
        <is>
          <t>Vacant</t>
        </is>
      </c>
      <c r="L768" s="174" t="n"/>
      <c r="M768" s="174" t="n"/>
      <c r="N768" s="174" t="n">
        <v>45579</v>
      </c>
      <c r="O768" s="174" t="n"/>
      <c r="P768" s="174" t="n"/>
      <c r="Q768" s="176" t="n">
        <v>0</v>
      </c>
      <c r="R768" s="173">
        <f>Q768</f>
        <v/>
      </c>
      <c r="S768" s="10" t="n"/>
      <c r="T768" s="176" t="n">
        <v>103900</v>
      </c>
      <c r="U768" s="173">
        <f>T768</f>
        <v/>
      </c>
      <c r="V768" s="372" t="n">
        <v>118600</v>
      </c>
      <c r="W768" s="173">
        <f>V768</f>
        <v/>
      </c>
      <c r="X768" s="277">
        <f>T768/H768</f>
        <v/>
      </c>
      <c r="Y768" s="173" t="inlineStr">
        <is>
          <t>B</t>
        </is>
      </c>
      <c r="Z768" s="177" t="inlineStr">
        <is>
          <t>*</t>
        </is>
      </c>
      <c r="AA768" s="371" t="n"/>
      <c r="AB768" s="176" t="inlineStr">
        <is>
          <t>No</t>
        </is>
      </c>
      <c r="AC768" s="170" t="inlineStr">
        <is>
          <t>LEM marketing.</t>
        </is>
      </c>
      <c r="AD768" s="313" t="n">
        <v>75</v>
      </c>
      <c r="AE768" s="170" t="n">
        <v>1</v>
      </c>
      <c r="AF768" s="289" t="n">
        <v>1</v>
      </c>
      <c r="AG768" s="153" t="inlineStr">
        <is>
          <t>LEM / LDG</t>
        </is>
      </c>
    </row>
    <row r="769" ht="30" customFormat="1" customHeight="1" s="1">
      <c r="B769" s="11" t="inlineStr">
        <is>
          <t>CD</t>
        </is>
      </c>
      <c r="C769" s="11" t="inlineStr">
        <is>
          <t>PEL</t>
        </is>
      </c>
      <c r="D769" s="170" t="n">
        <v>111010</v>
      </c>
      <c r="E769" s="170" t="inlineStr">
        <is>
          <t>32-36 Great Portland Street</t>
        </is>
      </c>
      <c r="F769" s="170" t="inlineStr">
        <is>
          <t>Fifth Floor</t>
        </is>
      </c>
      <c r="G769" s="171" t="inlineStr">
        <is>
          <t>Offices</t>
        </is>
      </c>
      <c r="H769" s="173" t="n">
        <v>1536</v>
      </c>
      <c r="I769" s="173">
        <f>H769</f>
        <v/>
      </c>
      <c r="J769" s="173" t="n">
        <v>1500</v>
      </c>
      <c r="K769" s="117" t="inlineStr">
        <is>
          <t>Mackintosh Limited</t>
        </is>
      </c>
      <c r="L769" s="174" t="n">
        <v>45464</v>
      </c>
      <c r="M769" s="174" t="n">
        <v>49115</v>
      </c>
      <c r="N769" s="174" t="n"/>
      <c r="O769" s="174" t="n">
        <v>47290</v>
      </c>
      <c r="P769" s="174" t="n">
        <v>47289</v>
      </c>
      <c r="Q769" s="176" t="n">
        <v>52745</v>
      </c>
      <c r="R769" s="173">
        <f>Q769</f>
        <v/>
      </c>
      <c r="S769" s="10" t="n"/>
      <c r="T769" s="176" t="n">
        <v>97500</v>
      </c>
      <c r="U769" s="173">
        <f>T769</f>
        <v/>
      </c>
      <c r="V769" s="372" t="n">
        <v>105200</v>
      </c>
      <c r="W769" s="173">
        <f>V769</f>
        <v/>
      </c>
      <c r="X769" s="277">
        <f>T769/H769</f>
        <v/>
      </c>
      <c r="Y769" s="173" t="inlineStr">
        <is>
          <t>C</t>
        </is>
      </c>
      <c r="Z769" s="177" t="inlineStr">
        <is>
          <t>*</t>
        </is>
      </c>
      <c r="AA769" s="371" t="n"/>
      <c r="AB769" s="176" t="inlineStr">
        <is>
          <t>No</t>
        </is>
      </c>
      <c r="AC769" s="170" t="inlineStr">
        <is>
          <t>Rent increasing to £105,490 @ 21/10/26. Tenant break on 6 months notice.</t>
        </is>
      </c>
      <c r="AD769" s="313" t="n"/>
      <c r="AE769" s="170" t="n"/>
      <c r="AF769" s="289" t="n"/>
      <c r="AG769" s="153" t="n"/>
    </row>
    <row r="770" ht="12" customFormat="1" customHeight="1" s="1">
      <c r="F770" s="170" t="n"/>
      <c r="G770" s="171" t="n"/>
      <c r="H770" s="173" t="n"/>
      <c r="I770" s="190" t="n"/>
      <c r="J770" s="190" t="n"/>
      <c r="K770" s="117" t="n"/>
      <c r="L770" s="191" t="n"/>
      <c r="M770" s="191" t="n"/>
      <c r="N770" s="191" t="n"/>
      <c r="O770" s="191" t="n"/>
      <c r="P770" s="191" t="n"/>
      <c r="Q770" s="192" t="n"/>
      <c r="R770" s="192" t="n"/>
      <c r="S770" s="10" t="n"/>
      <c r="T770" s="192" t="n"/>
      <c r="U770" s="192" t="n"/>
      <c r="V770" s="384" t="n"/>
      <c r="W770" s="192" t="n"/>
      <c r="X770" s="192" t="n"/>
      <c r="Y770" s="192" t="n"/>
      <c r="Z770" s="177" t="n"/>
      <c r="AA770" s="371" t="n"/>
      <c r="AB770" s="177" t="n"/>
      <c r="AC770" s="170" t="n"/>
      <c r="AD770" s="313" t="n"/>
      <c r="AE770" s="170" t="n"/>
      <c r="AF770" s="289" t="n"/>
      <c r="AG770" s="153" t="n"/>
    </row>
    <row r="771" ht="12" customFormat="1" customHeight="1" s="1">
      <c r="F771" s="189" t="inlineStr">
        <is>
          <t>Total Area</t>
        </is>
      </c>
      <c r="G771" s="171" t="n"/>
      <c r="H771" s="172">
        <f>SUM(H764:H769)</f>
        <v/>
      </c>
      <c r="I771" s="173" t="n"/>
      <c r="J771" s="173" t="n"/>
      <c r="K771" s="117" t="n"/>
      <c r="L771" s="191" t="n"/>
      <c r="M771" s="191" t="n"/>
      <c r="N771" s="191" t="n"/>
      <c r="O771" s="191" t="n"/>
      <c r="P771" s="191" t="n"/>
      <c r="Q771" s="172">
        <f>SUM(Q764:Q770)</f>
        <v/>
      </c>
      <c r="R771" s="173" t="n"/>
      <c r="S771" s="10" t="n"/>
      <c r="T771" s="172">
        <f>SUM(T764:T770)</f>
        <v/>
      </c>
      <c r="U771" s="173" t="n"/>
      <c r="V771" s="370">
        <f>SUM(V764:V770)</f>
        <v/>
      </c>
      <c r="W771" s="173" t="n"/>
      <c r="X771" s="173" t="n"/>
      <c r="Y771" s="173" t="n"/>
      <c r="Z771" s="171" t="n"/>
      <c r="AA771" s="370" t="n">
        <v>12900000</v>
      </c>
      <c r="AB771" s="171" t="n"/>
      <c r="AC771" s="170" t="n"/>
      <c r="AD771" s="313" t="n"/>
      <c r="AE771" s="170" t="n"/>
      <c r="AF771" s="289" t="n"/>
      <c r="AG771" s="153" t="n"/>
    </row>
    <row r="772" ht="12.75" customHeight="1">
      <c r="F772" s="153" t="n"/>
      <c r="G772" s="154" t="n"/>
      <c r="H772" s="155" t="n"/>
      <c r="I772" s="166" t="n"/>
      <c r="J772" s="166" t="n"/>
      <c r="K772" s="158" t="n"/>
      <c r="L772" s="167" t="n"/>
      <c r="M772" s="167" t="n"/>
      <c r="N772" s="167" t="n"/>
      <c r="O772" s="167" t="n"/>
      <c r="P772" s="167" t="n"/>
      <c r="Q772" s="168" t="n"/>
      <c r="R772" s="168" t="n"/>
      <c r="T772" s="168" t="n"/>
      <c r="U772" s="168" t="n"/>
      <c r="V772" s="383" t="n"/>
      <c r="W772" s="168" t="n"/>
      <c r="X772" s="168" t="n"/>
      <c r="Y772" s="168" t="n"/>
      <c r="Z772" s="159" t="n"/>
      <c r="AA772" s="374" t="n"/>
      <c r="AB772" s="159" t="n"/>
      <c r="AC772" s="153" t="n"/>
      <c r="AD772" s="315" t="n"/>
      <c r="AE772" s="153" t="n"/>
      <c r="AF772" s="291" t="n"/>
      <c r="AG772" s="153" t="n"/>
    </row>
    <row r="773" ht="12.75" customHeight="1">
      <c r="F773" s="153" t="n"/>
      <c r="G773" s="154" t="n"/>
      <c r="H773" s="155" t="n"/>
      <c r="I773" s="166" t="n"/>
      <c r="J773" s="166" t="n"/>
      <c r="K773" s="158" t="n"/>
      <c r="L773" s="167" t="n"/>
      <c r="M773" s="167" t="n"/>
      <c r="N773" s="167" t="n"/>
      <c r="O773" s="167" t="n"/>
      <c r="P773" s="167" t="n"/>
      <c r="Q773" s="168" t="n"/>
      <c r="R773" s="168" t="n"/>
      <c r="T773" s="168" t="n"/>
      <c r="U773" s="168" t="n"/>
      <c r="V773" s="383" t="n"/>
      <c r="W773" s="168" t="n"/>
      <c r="X773" s="168" t="n"/>
      <c r="Y773" s="168" t="n"/>
      <c r="Z773" s="159" t="n"/>
      <c r="AA773" s="374" t="n"/>
      <c r="AB773" s="159" t="n"/>
      <c r="AC773" s="153" t="n"/>
      <c r="AD773" s="315" t="n"/>
      <c r="AE773" s="153" t="n"/>
      <c r="AF773" s="291" t="n"/>
      <c r="AG773" s="153" t="n"/>
    </row>
    <row r="774" ht="13.5" customHeight="1" thickBot="1">
      <c r="F774" s="193" t="inlineStr">
        <is>
          <t>Total OPG &amp; PEL Area</t>
        </is>
      </c>
      <c r="G774" s="204" t="n"/>
      <c r="H774" s="205">
        <f>I774</f>
        <v/>
      </c>
      <c r="I774" s="206">
        <f>SUM(I709:I773)</f>
        <v/>
      </c>
      <c r="J774" s="206" t="n"/>
      <c r="K774" s="207" t="n"/>
      <c r="L774" s="208" t="n"/>
      <c r="M774" s="208" t="n"/>
      <c r="N774" s="208" t="n"/>
      <c r="O774" s="208" t="n"/>
      <c r="P774" s="208" t="n"/>
      <c r="Q774" s="205">
        <f>R774</f>
        <v/>
      </c>
      <c r="R774" s="206">
        <f>SUM(R709:R773)</f>
        <v/>
      </c>
      <c r="S774" s="203" t="n"/>
      <c r="T774" s="195">
        <f>SUM(U712:U771)</f>
        <v/>
      </c>
      <c r="U774" s="206" t="n"/>
      <c r="V774" s="368">
        <f>SUM(W712:W771)</f>
        <v/>
      </c>
      <c r="W774" s="206" t="n"/>
      <c r="X774" s="206" t="n"/>
      <c r="Y774" s="206" t="n"/>
      <c r="Z774" s="204" t="n"/>
      <c r="AA774" s="229">
        <f>SUM(AA709:AA773)</f>
        <v/>
      </c>
      <c r="AB774" s="204" t="n"/>
      <c r="AC774" s="209" t="n"/>
      <c r="AD774" s="317" t="n"/>
      <c r="AE774" s="240" t="n"/>
      <c r="AF774" s="294" t="n"/>
      <c r="AG774" s="240" t="n"/>
    </row>
    <row r="775" ht="13.5" customHeight="1" thickTop="1">
      <c r="E775" s="164" t="n"/>
      <c r="F775" s="154" t="n"/>
      <c r="G775" s="155" t="n"/>
      <c r="H775" s="156" t="n"/>
      <c r="I775" s="158" t="n"/>
      <c r="J775" s="158" t="n"/>
      <c r="K775" s="158" t="n"/>
      <c r="L775" s="167" t="n"/>
      <c r="M775" s="167" t="n"/>
      <c r="N775" s="167" t="n"/>
      <c r="O775" s="167" t="n"/>
      <c r="P775" s="155" t="n"/>
      <c r="Q775" s="106" t="n"/>
      <c r="T775" s="155" t="n"/>
      <c r="U775" s="154" t="n"/>
      <c r="V775" s="373" t="n"/>
      <c r="W775" s="154" t="n"/>
      <c r="X775" s="154" t="n"/>
      <c r="Y775" s="154" t="n"/>
      <c r="Z775" s="153" t="n"/>
      <c r="AA775" s="375" t="n"/>
      <c r="AB775" s="111" t="n"/>
      <c r="AC775" s="116" t="n"/>
      <c r="AD775" s="318" t="n"/>
      <c r="AE775" s="116" t="n"/>
      <c r="AF775" s="108" t="n"/>
      <c r="AG775" s="299" t="n"/>
    </row>
    <row r="776" ht="12.75" customHeight="1">
      <c r="F776" s="153" t="n"/>
      <c r="G776" s="152" t="inlineStr">
        <is>
          <t>184-190 Oxford Street &amp; 28/30 Market Place</t>
        </is>
      </c>
      <c r="H776" s="156" t="n"/>
      <c r="I776" s="166" t="n"/>
      <c r="J776" s="166" t="n"/>
      <c r="K776" s="158" t="n"/>
      <c r="L776" s="167" t="n"/>
      <c r="M776" s="167" t="n"/>
      <c r="N776" s="167" t="n"/>
      <c r="O776" s="167" t="n"/>
      <c r="P776" s="167" t="n"/>
      <c r="Q776" s="168" t="n"/>
      <c r="R776" s="168" t="n"/>
      <c r="S776" s="168" t="n"/>
      <c r="T776" s="168" t="n"/>
      <c r="U776" s="168" t="n"/>
      <c r="V776" s="383" t="n"/>
      <c r="W776" s="168" t="n"/>
      <c r="X776" s="168" t="n"/>
      <c r="Y776" s="168" t="n"/>
      <c r="Z776" s="159" t="n"/>
      <c r="AA776" s="374" t="n"/>
      <c r="AB776" s="159" t="n"/>
      <c r="AC776" s="153" t="n"/>
      <c r="AD776" s="315" t="n"/>
      <c r="AE776" s="153" t="n"/>
      <c r="AF776" s="291" t="n"/>
      <c r="AG776" s="153" t="n"/>
    </row>
    <row r="777" ht="12.75" customHeight="1">
      <c r="F777" s="153" t="n"/>
      <c r="G777" s="154" t="n"/>
      <c r="H777" s="156" t="n"/>
      <c r="I777" s="166" t="n"/>
      <c r="J777" s="166" t="n"/>
      <c r="K777" s="158" t="n"/>
      <c r="L777" s="167" t="n"/>
      <c r="M777" s="167" t="n"/>
      <c r="N777" s="167" t="n"/>
      <c r="O777" s="167" t="n"/>
      <c r="P777" s="167" t="n"/>
      <c r="Q777" s="168" t="n"/>
      <c r="R777" s="168" t="n"/>
      <c r="S777" s="168" t="n"/>
      <c r="T777" s="168" t="n"/>
      <c r="U777" s="168" t="n"/>
      <c r="V777" s="383" t="n"/>
      <c r="W777" s="168" t="n"/>
      <c r="X777" s="168" t="n"/>
      <c r="Y777" s="168" t="n"/>
      <c r="Z777" s="159" t="n"/>
      <c r="AA777" s="374" t="n"/>
      <c r="AB777" s="159" t="n"/>
      <c r="AC777" s="153" t="n"/>
      <c r="AD777" s="315" t="n"/>
      <c r="AE777" s="153" t="n"/>
      <c r="AF777" s="291" t="n"/>
      <c r="AG777" s="153" t="n"/>
    </row>
    <row r="778" ht="22.5" customFormat="1" customHeight="1" s="1">
      <c r="B778" s="11" t="inlineStr">
        <is>
          <t>CD</t>
        </is>
      </c>
      <c r="C778" s="1" t="inlineStr">
        <is>
          <t>OOS</t>
        </is>
      </c>
      <c r="D778" s="170" t="n">
        <v>888010</v>
      </c>
      <c r="E778" s="170" t="inlineStr">
        <is>
          <t>184-190 Oxford Street &amp; 28/30 Market Place</t>
        </is>
      </c>
      <c r="F778" s="170" t="inlineStr">
        <is>
          <t>184-188 Oxford Street (B, G &amp; 1st)</t>
        </is>
      </c>
      <c r="G778" s="171" t="inlineStr">
        <is>
          <t>Retail</t>
        </is>
      </c>
      <c r="H778" s="173" t="n">
        <v>5662</v>
      </c>
      <c r="I778" s="173">
        <f>H778</f>
        <v/>
      </c>
      <c r="J778" s="173" t="n">
        <v>5500</v>
      </c>
      <c r="K778" s="117" t="inlineStr">
        <is>
          <t>Airwair International Ltd</t>
        </is>
      </c>
      <c r="L778" s="174" t="n">
        <v>45192</v>
      </c>
      <c r="M778" s="174" t="n">
        <v>48844</v>
      </c>
      <c r="N778" s="174" t="n"/>
      <c r="O778" s="174" t="n">
        <v>47019</v>
      </c>
      <c r="P778" s="174" t="n">
        <v>47018</v>
      </c>
      <c r="Q778" s="176" t="n">
        <v>325000</v>
      </c>
      <c r="R778" s="173">
        <f>Q778</f>
        <v/>
      </c>
      <c r="S778" s="173" t="n"/>
      <c r="T778" s="176" t="n">
        <v>650000</v>
      </c>
      <c r="U778" s="173">
        <f>T778</f>
        <v/>
      </c>
      <c r="V778" s="372" t="n">
        <v>1230000</v>
      </c>
      <c r="W778" s="173">
        <f>V778</f>
        <v/>
      </c>
      <c r="X778" s="277">
        <f>T778/H778</f>
        <v/>
      </c>
      <c r="Y778" s="173" t="inlineStr">
        <is>
          <t>C</t>
        </is>
      </c>
      <c r="Z778" s="177" t="n"/>
      <c r="AA778" s="371" t="n"/>
      <c r="AB778" s="53" t="inlineStr">
        <is>
          <t>No</t>
        </is>
      </c>
      <c r="AC778" s="170" t="inlineStr">
        <is>
          <t>Rent rising to £650,000 wef 23/12/25. In addition, turnover rent payable if 10% turnover exceeds £650,000.</t>
        </is>
      </c>
      <c r="AD778" s="313" t="n"/>
      <c r="AE778" s="170" t="n"/>
      <c r="AF778" s="289" t="n"/>
      <c r="AG778" s="153" t="n"/>
    </row>
    <row r="779" ht="22.5" customFormat="1" customHeight="1" s="1">
      <c r="B779" s="11" t="inlineStr">
        <is>
          <t>CD</t>
        </is>
      </c>
      <c r="C779" s="1" t="inlineStr">
        <is>
          <t>OOS</t>
        </is>
      </c>
      <c r="D779" s="170" t="n">
        <v>888010</v>
      </c>
      <c r="E779" s="170" t="inlineStr">
        <is>
          <t>184-190 Oxford Street &amp; 28/30 Market Place</t>
        </is>
      </c>
      <c r="F779" s="117" t="inlineStr">
        <is>
          <t>190 Oxford Street (B &amp; G)</t>
        </is>
      </c>
      <c r="G779" s="171" t="inlineStr">
        <is>
          <t>Retail</t>
        </is>
      </c>
      <c r="H779" s="173" t="n">
        <v>5350</v>
      </c>
      <c r="I779" s="173">
        <f>H779</f>
        <v/>
      </c>
      <c r="J779" s="173" t="n">
        <v>5500</v>
      </c>
      <c r="K779" s="117" t="inlineStr">
        <is>
          <t>Office Holdings Ltd</t>
        </is>
      </c>
      <c r="L779" s="174" t="n">
        <v>40651</v>
      </c>
      <c r="M779" s="174" t="n">
        <v>46129</v>
      </c>
      <c r="N779" s="174" t="n"/>
      <c r="O779" s="174" t="n">
        <v>44304</v>
      </c>
      <c r="P779" s="174" t="n"/>
      <c r="Q779" s="176" t="n">
        <v>730000</v>
      </c>
      <c r="R779" s="173">
        <f>Q779</f>
        <v/>
      </c>
      <c r="S779" s="173" t="n"/>
      <c r="T779" s="176" t="n">
        <v>400000</v>
      </c>
      <c r="U779" s="173">
        <f>T779</f>
        <v/>
      </c>
      <c r="V779" s="372" t="n">
        <v>710000</v>
      </c>
      <c r="W779" s="173">
        <f>V779</f>
        <v/>
      </c>
      <c r="X779" s="277">
        <f>T779/H779</f>
        <v/>
      </c>
      <c r="Y779" s="173" t="inlineStr">
        <is>
          <t>C</t>
        </is>
      </c>
      <c r="Z779" s="177" t="n"/>
      <c r="AA779" s="371" t="n"/>
      <c r="AB779" s="53" t="inlineStr">
        <is>
          <t>Yes</t>
        </is>
      </c>
      <c r="AC779" s="170" t="n"/>
      <c r="AD779" s="313" t="n"/>
      <c r="AE779" s="170" t="n"/>
      <c r="AF779" s="289" t="n"/>
      <c r="AG779" s="153" t="n"/>
    </row>
    <row r="780" ht="32.25" customFormat="1" customHeight="1" s="1">
      <c r="B780" s="11" t="inlineStr">
        <is>
          <t>CD</t>
        </is>
      </c>
      <c r="C780" s="1" t="inlineStr">
        <is>
          <t>OOS</t>
        </is>
      </c>
      <c r="D780" s="170" t="n">
        <v>888010</v>
      </c>
      <c r="E780" s="170" t="inlineStr">
        <is>
          <t>184-190 Oxford Street &amp; 28/30 Market Place</t>
        </is>
      </c>
      <c r="F780" s="170" t="inlineStr">
        <is>
          <t>1st Floor, 28 Market Place</t>
        </is>
      </c>
      <c r="G780" s="171" t="inlineStr">
        <is>
          <t>Retail</t>
        </is>
      </c>
      <c r="H780" s="173" t="n">
        <v>2044</v>
      </c>
      <c r="I780" s="173">
        <f>H780</f>
        <v/>
      </c>
      <c r="J780" s="173" t="n">
        <v>2000</v>
      </c>
      <c r="K780" s="117" t="inlineStr">
        <is>
          <t>EP Commodities Ltd</t>
        </is>
      </c>
      <c r="L780" s="174" t="n">
        <v>42650</v>
      </c>
      <c r="M780" s="174" t="n">
        <v>46301</v>
      </c>
      <c r="N780" s="174" t="n"/>
      <c r="O780" s="174" t="n">
        <v>45885</v>
      </c>
      <c r="P780" s="174" t="n"/>
      <c r="Q780" s="176" t="n">
        <v>115701</v>
      </c>
      <c r="R780" s="173">
        <f>Q780</f>
        <v/>
      </c>
      <c r="S780" s="173" t="n"/>
      <c r="T780" s="176" t="n">
        <v>110000</v>
      </c>
      <c r="U780" s="173">
        <f>T780</f>
        <v/>
      </c>
      <c r="V780" s="372" t="n">
        <v>112000</v>
      </c>
      <c r="W780" s="173">
        <f>V780</f>
        <v/>
      </c>
      <c r="X780" s="277">
        <f>T780/H780</f>
        <v/>
      </c>
      <c r="Y780" s="173" t="inlineStr">
        <is>
          <t>B</t>
        </is>
      </c>
      <c r="Z780" s="177" t="n"/>
      <c r="AA780" s="371" t="n"/>
      <c r="AB780" s="53" t="inlineStr">
        <is>
          <t>No</t>
        </is>
      </c>
      <c r="AC780" s="170" t="inlineStr">
        <is>
          <t xml:space="preserve">Annual RPI rent increase (min 1%, max 4%). </t>
        </is>
      </c>
      <c r="AD780" s="313" t="n"/>
      <c r="AE780" s="170" t="n"/>
      <c r="AF780" s="289" t="n"/>
      <c r="AG780" s="153" t="n"/>
    </row>
    <row r="781" ht="22.5" customFormat="1" customHeight="1" s="1">
      <c r="B781" s="11" t="inlineStr">
        <is>
          <t>CD</t>
        </is>
      </c>
      <c r="C781" s="1" t="inlineStr">
        <is>
          <t>OOS</t>
        </is>
      </c>
      <c r="D781" s="170" t="n">
        <v>888010</v>
      </c>
      <c r="E781" s="170" t="inlineStr">
        <is>
          <t>184-190 Oxford Street &amp; 28/30 Market Place</t>
        </is>
      </c>
      <c r="F781" s="170" t="inlineStr">
        <is>
          <t>2nd Floor, 30 Market Place</t>
        </is>
      </c>
      <c r="G781" s="171" t="inlineStr">
        <is>
          <t>Office</t>
        </is>
      </c>
      <c r="H781" s="173" t="n">
        <v>4463</v>
      </c>
      <c r="I781" s="173">
        <f>H781</f>
        <v/>
      </c>
      <c r="J781" s="173" t="n">
        <v>4500</v>
      </c>
      <c r="K781" s="117" t="inlineStr">
        <is>
          <t>Joint London Ltd</t>
        </is>
      </c>
      <c r="L781" s="174" t="n">
        <v>42286</v>
      </c>
      <c r="M781" s="174" t="n">
        <v>45938</v>
      </c>
      <c r="N781" s="174" t="n"/>
      <c r="O781" s="174" t="n">
        <v>44113</v>
      </c>
      <c r="P781" s="174" t="n"/>
      <c r="Q781" s="176" t="n">
        <v>367290</v>
      </c>
      <c r="R781" s="173">
        <f>Q781</f>
        <v/>
      </c>
      <c r="S781" s="173" t="n"/>
      <c r="T781" s="176" t="n">
        <v>345000</v>
      </c>
      <c r="U781" s="173">
        <f>T781</f>
        <v/>
      </c>
      <c r="V781" s="372" t="n">
        <v>368000</v>
      </c>
      <c r="W781" s="173">
        <f>V781</f>
        <v/>
      </c>
      <c r="X781" s="277">
        <f>T781/H781</f>
        <v/>
      </c>
      <c r="Y781" s="173" t="inlineStr">
        <is>
          <t>B</t>
        </is>
      </c>
      <c r="Z781" s="177" t="n"/>
      <c r="AA781" s="371" t="n"/>
      <c r="AB781" s="53" t="inlineStr">
        <is>
          <t>No</t>
        </is>
      </c>
      <c r="AC781" s="225" t="inlineStr">
        <is>
          <t>Reversionary lease completed. 5 year lease at £375,750 with 6 months rent free (to be taken as half rent). Tenant break after 3 years.</t>
        </is>
      </c>
      <c r="AD781" s="313" t="n"/>
      <c r="AE781" s="170" t="n"/>
      <c r="AF781" s="289" t="n"/>
      <c r="AG781" s="153" t="n"/>
    </row>
    <row r="782" ht="22.5" customFormat="1" customHeight="1" s="1">
      <c r="B782" s="11" t="inlineStr">
        <is>
          <t>CD</t>
        </is>
      </c>
      <c r="C782" s="1" t="inlineStr">
        <is>
          <t>OOS</t>
        </is>
      </c>
      <c r="D782" s="170" t="n">
        <v>888010</v>
      </c>
      <c r="E782" s="170" t="inlineStr">
        <is>
          <t>184-190 Oxford Street &amp; 28/30 Market Place</t>
        </is>
      </c>
      <c r="F782" s="170" t="inlineStr">
        <is>
          <t>3rd Floor, 30 Market Place</t>
        </is>
      </c>
      <c r="G782" s="171" t="inlineStr">
        <is>
          <t>Office</t>
        </is>
      </c>
      <c r="H782" s="173" t="n">
        <v>4462</v>
      </c>
      <c r="I782" s="173">
        <f>H782</f>
        <v/>
      </c>
      <c r="J782" s="173" t="n">
        <v>4500</v>
      </c>
      <c r="K782" s="117" t="inlineStr">
        <is>
          <t>Vacant</t>
        </is>
      </c>
      <c r="L782" s="174" t="n"/>
      <c r="M782" s="174" t="n"/>
      <c r="N782" s="174" t="n">
        <v>45490</v>
      </c>
      <c r="O782" s="174" t="n"/>
      <c r="P782" s="174" t="n"/>
      <c r="Q782" s="176" t="n">
        <v>0</v>
      </c>
      <c r="R782" s="173">
        <f>Q782</f>
        <v/>
      </c>
      <c r="S782" s="173" t="n"/>
      <c r="T782" s="176" t="n">
        <v>357800</v>
      </c>
      <c r="U782" s="173">
        <f>T782</f>
        <v/>
      </c>
      <c r="V782" s="372" t="n">
        <v>379000</v>
      </c>
      <c r="W782" s="173">
        <f>V782</f>
        <v/>
      </c>
      <c r="X782" s="277">
        <f>T782/H782</f>
        <v/>
      </c>
      <c r="Y782" s="173" t="inlineStr">
        <is>
          <t>A</t>
        </is>
      </c>
      <c r="Z782" s="177" t="n"/>
      <c r="AA782" s="371" t="n"/>
      <c r="AB782" s="177" t="n"/>
      <c r="AC782" s="4" t="inlineStr">
        <is>
          <t>LEM marketing.</t>
        </is>
      </c>
      <c r="AD782" s="322" t="n">
        <v>85</v>
      </c>
      <c r="AE782" s="295" t="n">
        <v>1</v>
      </c>
      <c r="AF782" s="296" t="n">
        <v>4</v>
      </c>
      <c r="AG782" s="299" t="inlineStr">
        <is>
          <t>LEM / EC&amp;P</t>
        </is>
      </c>
    </row>
    <row r="783" ht="33.75" customFormat="1" customHeight="1" s="1">
      <c r="B783" s="11" t="inlineStr">
        <is>
          <t>CD</t>
        </is>
      </c>
      <c r="C783" s="1" t="inlineStr">
        <is>
          <t>OOS</t>
        </is>
      </c>
      <c r="D783" s="170" t="n">
        <v>888010</v>
      </c>
      <c r="E783" s="170" t="inlineStr">
        <is>
          <t>184-190 Oxford Street &amp; 28/30 Market Place</t>
        </is>
      </c>
      <c r="F783" s="170" t="inlineStr">
        <is>
          <t>4th Floor, 30 Market Place</t>
        </is>
      </c>
      <c r="G783" s="171" t="inlineStr">
        <is>
          <t>Office</t>
        </is>
      </c>
      <c r="H783" s="173" t="n">
        <v>4250</v>
      </c>
      <c r="I783" s="173">
        <f>H783</f>
        <v/>
      </c>
      <c r="J783" s="173" t="n">
        <v>4500</v>
      </c>
      <c r="K783" s="117" t="inlineStr">
        <is>
          <t>Ascot Lloyd Ltd</t>
        </is>
      </c>
      <c r="L783" s="174" t="n">
        <v>45786</v>
      </c>
      <c r="M783" s="174" t="n">
        <v>49437</v>
      </c>
      <c r="N783" s="174" t="n"/>
      <c r="O783" s="174" t="n">
        <v>47612</v>
      </c>
      <c r="P783" s="174" t="n">
        <v>47611</v>
      </c>
      <c r="Q783" s="176" t="n">
        <v>0</v>
      </c>
      <c r="R783" s="173">
        <f>Q783</f>
        <v/>
      </c>
      <c r="S783" s="173" t="n"/>
      <c r="T783" s="176" t="n">
        <v>358600</v>
      </c>
      <c r="U783" s="173">
        <f>T783</f>
        <v/>
      </c>
      <c r="V783" s="372" t="n">
        <v>361000</v>
      </c>
      <c r="W783" s="173">
        <f>V783</f>
        <v/>
      </c>
      <c r="X783" s="277">
        <f>T783/H783</f>
        <v/>
      </c>
      <c r="Y783" s="173" t="inlineStr">
        <is>
          <t>A</t>
        </is>
      </c>
      <c r="Z783" s="177" t="n"/>
      <c r="AA783" s="371" t="n"/>
      <c r="AB783" s="177" t="n"/>
      <c r="AC783" s="170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D783" s="313" t="n">
        <v>85</v>
      </c>
      <c r="AE783" s="297" t="n">
        <v>1</v>
      </c>
      <c r="AF783" s="296" t="n">
        <v>3</v>
      </c>
      <c r="AG783" s="299" t="inlineStr">
        <is>
          <t>LEM / EC&amp;P</t>
        </is>
      </c>
    </row>
    <row r="784" ht="22.5" customFormat="1" customHeight="1" s="1">
      <c r="B784" s="11" t="inlineStr">
        <is>
          <t>CD</t>
        </is>
      </c>
      <c r="C784" s="1" t="inlineStr">
        <is>
          <t>OOS</t>
        </is>
      </c>
      <c r="D784" s="170" t="n">
        <v>888010</v>
      </c>
      <c r="E784" s="170" t="inlineStr">
        <is>
          <t>184-190 Oxford Street &amp; 28/30 Market Place</t>
        </is>
      </c>
      <c r="F784" s="170" t="inlineStr">
        <is>
          <t>5th Floor, 30 Market Place</t>
        </is>
      </c>
      <c r="G784" s="171" t="inlineStr">
        <is>
          <t>Office</t>
        </is>
      </c>
      <c r="H784" s="173" t="n">
        <v>3999</v>
      </c>
      <c r="I784" s="173">
        <f>H784</f>
        <v/>
      </c>
      <c r="J784" s="173" t="n">
        <v>4000</v>
      </c>
      <c r="K784" s="117" t="inlineStr">
        <is>
          <t>Nchain Ltd</t>
        </is>
      </c>
      <c r="L784" s="174" t="n">
        <v>44183</v>
      </c>
      <c r="M784" s="174" t="n">
        <v>46373</v>
      </c>
      <c r="N784" s="174" t="n"/>
      <c r="O784" s="174" t="n"/>
      <c r="P784" s="174" t="n"/>
      <c r="Q784" s="176" t="n">
        <v>348163</v>
      </c>
      <c r="R784" s="173">
        <f>Q784</f>
        <v/>
      </c>
      <c r="S784" s="173" t="n"/>
      <c r="T784" s="176" t="n">
        <v>352000</v>
      </c>
      <c r="U784" s="173">
        <f>T784</f>
        <v/>
      </c>
      <c r="V784" s="372" t="n">
        <v>350000</v>
      </c>
      <c r="W784" s="173">
        <f>V784</f>
        <v/>
      </c>
      <c r="X784" s="277">
        <f>T784/H784</f>
        <v/>
      </c>
      <c r="Y784" s="173" t="inlineStr">
        <is>
          <t>B</t>
        </is>
      </c>
      <c r="Z784" s="177" t="n"/>
      <c r="AA784" s="371" t="n"/>
      <c r="AB784" s="53" t="inlineStr">
        <is>
          <t>No</t>
        </is>
      </c>
      <c r="AC784" s="170" t="inlineStr">
        <is>
          <t>Rent review @ 18/12/25 documented at passing rent.</t>
        </is>
      </c>
      <c r="AD784" s="313" t="n"/>
      <c r="AE784" s="170" t="n"/>
      <c r="AF784" s="289" t="n"/>
      <c r="AG784" s="153" t="n"/>
    </row>
    <row r="785" ht="22.5" customFormat="1" customHeight="1" s="1">
      <c r="B785" s="11" t="inlineStr">
        <is>
          <t>CD</t>
        </is>
      </c>
      <c r="C785" s="1" t="inlineStr">
        <is>
          <t>OOS</t>
        </is>
      </c>
      <c r="D785" s="170" t="n">
        <v>888010</v>
      </c>
      <c r="E785" s="170" t="inlineStr">
        <is>
          <t>184-190 Oxford Street &amp; 28/30 Market Place</t>
        </is>
      </c>
      <c r="F785" s="170" t="inlineStr">
        <is>
          <t>6th Floor, 30 Market Place</t>
        </is>
      </c>
      <c r="G785" s="171" t="inlineStr">
        <is>
          <t>Office</t>
        </is>
      </c>
      <c r="H785" s="173" t="n">
        <v>3145</v>
      </c>
      <c r="I785" s="173">
        <f>H785</f>
        <v/>
      </c>
      <c r="J785" s="173" t="n">
        <v>3000</v>
      </c>
      <c r="K785" s="117" t="inlineStr">
        <is>
          <t>Nchain Ltd</t>
        </is>
      </c>
      <c r="L785" s="174" t="n">
        <v>44217</v>
      </c>
      <c r="M785" s="174" t="n">
        <v>46373</v>
      </c>
      <c r="N785" s="174" t="n"/>
      <c r="O785" s="174" t="n"/>
      <c r="P785" s="174" t="n"/>
      <c r="Q785" s="176" t="n">
        <v>281873</v>
      </c>
      <c r="R785" s="173">
        <f>Q785</f>
        <v/>
      </c>
      <c r="S785" s="173" t="n"/>
      <c r="T785" s="176" t="n">
        <v>284800</v>
      </c>
      <c r="U785" s="173">
        <f>T785</f>
        <v/>
      </c>
      <c r="V785" s="372" t="n">
        <v>283000</v>
      </c>
      <c r="W785" s="173">
        <f>V785</f>
        <v/>
      </c>
      <c r="X785" s="277">
        <f>T785/H785</f>
        <v/>
      </c>
      <c r="Y785" s="173" t="inlineStr">
        <is>
          <t>B</t>
        </is>
      </c>
      <c r="Z785" s="177" t="n"/>
      <c r="AA785" s="371" t="n"/>
      <c r="AB785" s="53" t="inlineStr">
        <is>
          <t>No</t>
        </is>
      </c>
      <c r="AC785" s="170" t="inlineStr">
        <is>
          <t>Rent review @ 18/12/25 documented at passing rent.</t>
        </is>
      </c>
      <c r="AD785" s="313" t="n"/>
      <c r="AE785" s="170" t="n"/>
      <c r="AF785" s="289" t="n"/>
      <c r="AG785" s="170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0" t="n">
        <v>888010</v>
      </c>
      <c r="E786" s="170" t="inlineStr">
        <is>
          <t>184-190 Oxford Street &amp; 28/30 Market Place</t>
        </is>
      </c>
      <c r="F786" s="170" t="inlineStr">
        <is>
          <t>Part Basement</t>
        </is>
      </c>
      <c r="G786" s="171" t="inlineStr">
        <is>
          <t>Sub-Station</t>
        </is>
      </c>
      <c r="H786" s="173" t="n">
        <v>0</v>
      </c>
      <c r="I786" s="173">
        <f>H786</f>
        <v/>
      </c>
      <c r="J786" s="173" t="n"/>
      <c r="K786" s="117" t="inlineStr">
        <is>
          <t>EDF</t>
        </is>
      </c>
      <c r="L786" s="210" t="n">
        <v>20814</v>
      </c>
      <c r="M786" s="210" t="n">
        <v>39073</v>
      </c>
      <c r="N786" s="210" t="n"/>
      <c r="O786" s="174" t="n"/>
      <c r="P786" s="174" t="n"/>
      <c r="Q786" s="176" t="n">
        <v>0</v>
      </c>
      <c r="R786" s="173">
        <f>Q786</f>
        <v/>
      </c>
      <c r="S786" s="173" t="n"/>
      <c r="T786" s="176" t="n">
        <v>0</v>
      </c>
      <c r="U786" s="173">
        <f>T786</f>
        <v/>
      </c>
      <c r="V786" s="372" t="n">
        <v>0</v>
      </c>
      <c r="W786" s="173">
        <f>V786</f>
        <v/>
      </c>
      <c r="X786" s="277" t="n"/>
      <c r="Y786" s="173" t="n"/>
      <c r="Z786" s="177" t="n"/>
      <c r="AA786" s="371" t="n"/>
      <c r="AB786" s="53" t="inlineStr">
        <is>
          <t>Yes</t>
        </is>
      </c>
      <c r="AC786" s="170" t="inlineStr">
        <is>
          <t>New lease in negotiation. £1k max from date of purchase.</t>
        </is>
      </c>
      <c r="AD786" s="313" t="n"/>
      <c r="AE786" s="170" t="n"/>
      <c r="AF786" s="289" t="n"/>
      <c r="AG786" s="170" t="n"/>
    </row>
    <row r="787" ht="12.75" customHeight="1">
      <c r="F787" s="153" t="n"/>
      <c r="G787" s="154" t="n"/>
      <c r="H787" s="156" t="n"/>
      <c r="I787" s="156" t="n"/>
      <c r="J787" s="156" t="n"/>
      <c r="K787" s="158" t="n"/>
      <c r="L787" s="167" t="n"/>
      <c r="M787" s="167" t="n"/>
      <c r="N787" s="167" t="n"/>
      <c r="O787" s="167" t="n"/>
      <c r="P787" s="167" t="n"/>
      <c r="Q787" s="157" t="n"/>
      <c r="R787" s="156" t="n"/>
      <c r="S787" s="156" t="n"/>
      <c r="T787" s="157" t="n"/>
      <c r="U787" s="166" t="n"/>
      <c r="V787" s="385" t="n"/>
      <c r="W787" s="166" t="n"/>
      <c r="X787" s="166" t="n"/>
      <c r="Y787" s="166" t="n"/>
      <c r="Z787" s="159" t="n"/>
      <c r="AA787" s="374" t="n"/>
      <c r="AB787" s="159" t="n"/>
      <c r="AC787" s="153" t="n"/>
      <c r="AD787" s="315" t="n"/>
      <c r="AE787" s="153" t="n"/>
      <c r="AF787" s="291" t="n"/>
      <c r="AG787" s="153" t="n"/>
    </row>
    <row r="788" ht="13.5" customHeight="1" thickBot="1">
      <c r="F788" s="193" t="inlineStr">
        <is>
          <t>Total OOS Area</t>
        </is>
      </c>
      <c r="G788" s="204" t="n"/>
      <c r="H788" s="205">
        <f>SUM(H777:H786)</f>
        <v/>
      </c>
      <c r="I788" s="205" t="n"/>
      <c r="J788" s="205" t="n"/>
      <c r="K788" s="207" t="n"/>
      <c r="L788" s="208" t="n"/>
      <c r="M788" s="208" t="n"/>
      <c r="N788" s="208" t="n"/>
      <c r="O788" s="208" t="n"/>
      <c r="P788" s="208" t="n"/>
      <c r="Q788" s="229">
        <f>SUM(Q777:Q786)</f>
        <v/>
      </c>
      <c r="R788" s="211" t="n"/>
      <c r="S788" s="211" t="n"/>
      <c r="T788" s="195">
        <f>SUM(U778:U786)</f>
        <v/>
      </c>
      <c r="U788" s="211" t="n"/>
      <c r="V788" s="368">
        <f>SUM(W778:W785)</f>
        <v/>
      </c>
      <c r="W788" s="211" t="n"/>
      <c r="X788" s="211" t="n"/>
      <c r="Y788" s="211" t="n"/>
      <c r="Z788" s="212" t="n"/>
      <c r="AA788" s="229" t="n">
        <v>66100000</v>
      </c>
      <c r="AB788" s="205" t="n"/>
      <c r="AC788" s="209" t="n"/>
      <c r="AD788" s="317" t="n"/>
      <c r="AE788" s="240" t="n"/>
      <c r="AF788" s="240" t="n"/>
      <c r="AG788" s="240" t="n"/>
    </row>
    <row r="789" ht="14.25" customHeight="1" thickTop="1">
      <c r="D789" s="116" t="n"/>
      <c r="E789" s="116" t="n"/>
      <c r="T789" s="10" t="n"/>
      <c r="U789" s="10" t="n"/>
      <c r="V789" s="27" t="n"/>
      <c r="W789" s="10" t="n"/>
      <c r="X789" s="10" t="n"/>
      <c r="Y789" s="10" t="n"/>
      <c r="Z789" s="60" t="n"/>
      <c r="AA789" s="230" t="n"/>
    </row>
    <row r="790" ht="14.25" customHeight="1">
      <c r="D790" s="116" t="n"/>
      <c r="E790" s="116" t="n"/>
      <c r="T790" s="10" t="n"/>
      <c r="U790" s="10" t="n"/>
      <c r="V790" s="27" t="n"/>
      <c r="W790" s="10" t="n"/>
      <c r="X790" s="10" t="n"/>
      <c r="Y790" s="10" t="n"/>
      <c r="Z790" s="60" t="n"/>
      <c r="AA790" s="230" t="n"/>
    </row>
    <row r="791" ht="14.25" customHeight="1" thickBot="1">
      <c r="D791" s="116" t="n"/>
      <c r="E791" s="116" t="n"/>
      <c r="F791" s="193" t="inlineStr">
        <is>
          <t>Total Area</t>
        </is>
      </c>
      <c r="G791" s="214" t="n"/>
      <c r="H791" s="229">
        <f>H788+H774+H707</f>
        <v/>
      </c>
      <c r="I791" s="215" t="n"/>
      <c r="J791" s="215" t="n"/>
      <c r="K791" s="213" t="n"/>
      <c r="L791" s="216" t="n"/>
      <c r="M791" s="202" t="n"/>
      <c r="N791" s="202" t="n"/>
      <c r="O791" s="202" t="n"/>
      <c r="P791" s="202" t="n"/>
      <c r="Q791" s="229">
        <f>Q788+Q774+Q707</f>
        <v/>
      </c>
      <c r="R791" s="203" t="n"/>
      <c r="S791" s="203" t="n"/>
      <c r="T791" s="205">
        <f>T788+T774+T707</f>
        <v/>
      </c>
      <c r="U791" s="203" t="n"/>
      <c r="V791" s="229">
        <f>V788+V774+V707</f>
        <v/>
      </c>
      <c r="W791" s="203" t="n"/>
      <c r="X791" s="203" t="n"/>
      <c r="Y791" s="203" t="n"/>
      <c r="Z791" s="217" t="n"/>
      <c r="AA791" s="229">
        <f>AA788+AA774+AA707</f>
        <v/>
      </c>
      <c r="AB791" s="218" t="n"/>
      <c r="AC791" s="213" t="n"/>
      <c r="AD791" s="319" t="n"/>
      <c r="AE791" s="238" t="n"/>
      <c r="AF791" s="238" t="n"/>
      <c r="AG791" s="238" t="n"/>
    </row>
    <row r="792" ht="14.25" customHeight="1" thickTop="1">
      <c r="D792" s="116" t="n"/>
      <c r="E792" s="116" t="n"/>
      <c r="F792" s="87" t="n"/>
      <c r="G792" s="87" t="n"/>
      <c r="H792" s="87" t="n"/>
      <c r="I792" s="119" t="n"/>
      <c r="J792" s="119" t="n"/>
      <c r="K792" s="95" t="n"/>
      <c r="L792" s="41" t="n"/>
      <c r="T792" s="10" t="n"/>
      <c r="U792" s="10" t="n"/>
      <c r="V792" s="27" t="n"/>
      <c r="W792" s="10" t="n"/>
      <c r="X792" s="10" t="n"/>
      <c r="Y792" s="10" t="n"/>
      <c r="Z792" s="60" t="n"/>
      <c r="AA792" s="230" t="n"/>
    </row>
    <row r="793" ht="14.25" customHeight="1">
      <c r="D793" s="116" t="n"/>
      <c r="E793" s="116" t="n"/>
      <c r="F793" s="87" t="inlineStr">
        <is>
          <t xml:space="preserve">Total Category B Properties     </t>
        </is>
      </c>
      <c r="G793" s="87" t="n"/>
      <c r="H793" s="18" t="n"/>
      <c r="I793" s="18" t="n"/>
      <c r="J793" s="18" t="n"/>
      <c r="Q793" s="19" t="n">
        <v>188082</v>
      </c>
      <c r="R793" s="19" t="n"/>
      <c r="S793" s="19" t="n"/>
      <c r="T793" s="19" t="n">
        <v>188082</v>
      </c>
      <c r="U793" s="19" t="n"/>
      <c r="V793" s="19" t="n">
        <v>188082</v>
      </c>
      <c r="W793" s="19" t="n"/>
      <c r="X793" s="19" t="n"/>
      <c r="Y793" s="19" t="n"/>
      <c r="Z793" s="61" t="n"/>
      <c r="AA793" s="36" t="n">
        <v>22150000</v>
      </c>
      <c r="AB793" s="52" t="n"/>
    </row>
    <row r="794" ht="14.25" customHeight="1">
      <c r="D794" s="116" t="n"/>
      <c r="E794" s="116" t="n"/>
      <c r="F794" s="87" t="inlineStr">
        <is>
          <t>Total Area Categaory B's</t>
        </is>
      </c>
      <c r="G794" s="87" t="n"/>
      <c r="H794" s="113" t="inlineStr">
        <is>
          <t>Circa 99,900</t>
        </is>
      </c>
      <c r="I794" s="113" t="n"/>
      <c r="J794" s="113" t="n"/>
      <c r="K794" s="113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61" t="n"/>
      <c r="AA794" s="36" t="n"/>
      <c r="AB794" s="52" t="n"/>
      <c r="AE794" s="295">
        <f>SUM(AE4:AE793)</f>
        <v/>
      </c>
      <c r="AF794" s="295">
        <f>SUM(AF4:AF793)</f>
        <v/>
      </c>
    </row>
    <row r="795" ht="14.25" customHeight="1">
      <c r="D795" s="116" t="n"/>
      <c r="E795" s="116" t="n"/>
      <c r="F795" s="87" t="inlineStr">
        <is>
          <t>Total Category C Properties</t>
        </is>
      </c>
      <c r="G795" s="87" t="n"/>
      <c r="H795" s="40" t="n"/>
      <c r="I795" s="18" t="n"/>
      <c r="J795" s="18" t="n"/>
      <c r="Q795" s="19" t="n">
        <v>44897</v>
      </c>
      <c r="R795" s="19" t="n"/>
      <c r="S795" s="19" t="n"/>
      <c r="T795" s="19" t="n">
        <v>44897</v>
      </c>
      <c r="U795" s="19" t="n"/>
      <c r="V795" s="19" t="n">
        <v>44897</v>
      </c>
      <c r="W795" s="19" t="n"/>
      <c r="X795" s="19" t="n"/>
      <c r="Y795" s="19" t="n"/>
      <c r="Z795" s="61" t="n"/>
      <c r="AA795" s="36" t="n">
        <v>5720000</v>
      </c>
      <c r="AB795" s="52" t="n"/>
    </row>
    <row r="796" ht="14.25" customHeight="1">
      <c r="D796" s="116" t="n"/>
      <c r="E796" s="116" t="n"/>
      <c r="F796" s="87" t="inlineStr">
        <is>
          <t>Total Area Category C's</t>
        </is>
      </c>
      <c r="G796" s="87" t="n"/>
      <c r="H796" s="113" t="inlineStr">
        <is>
          <t>Circa 782,000</t>
        </is>
      </c>
      <c r="I796" s="113" t="n"/>
      <c r="J796" s="113" t="n"/>
      <c r="K796" s="113" t="n"/>
      <c r="T796" s="10" t="n"/>
      <c r="U796" s="10" t="n"/>
      <c r="V796" s="27" t="n"/>
      <c r="W796" s="10" t="n"/>
      <c r="X796" s="10" t="n"/>
      <c r="Y796" s="10" t="n"/>
      <c r="Z796" s="60" t="n"/>
      <c r="AA796" s="36" t="n"/>
    </row>
    <row r="797" ht="14.25" customHeight="1">
      <c r="D797" s="116" t="n"/>
      <c r="E797" s="116" t="n"/>
      <c r="K797" s="169" t="inlineStr">
        <is>
          <t>TOTAL</t>
        </is>
      </c>
      <c r="L797" s="219" t="n"/>
      <c r="M797" s="220" t="n"/>
      <c r="N797" s="220" t="n"/>
      <c r="O797" s="220" t="n"/>
      <c r="P797" s="220" t="n"/>
      <c r="Q797" s="221">
        <f>SUM(Q791:Q796)</f>
        <v/>
      </c>
      <c r="R797" s="222" t="n"/>
      <c r="S797" s="222" t="n"/>
      <c r="T797" s="222">
        <f>SUM(T791:T796)</f>
        <v/>
      </c>
      <c r="U797" s="222" t="n"/>
      <c r="V797" s="221">
        <f>SUM(V791:V796)</f>
        <v/>
      </c>
      <c r="W797" s="222" t="n"/>
      <c r="X797" s="222" t="n"/>
      <c r="Y797" s="222" t="n"/>
      <c r="Z797" s="223" t="n"/>
      <c r="AA797" s="221">
        <f>SUM(AA791:AA796)</f>
        <v/>
      </c>
      <c r="AB797" s="52" t="n"/>
    </row>
    <row r="798" ht="14.25" customHeight="1">
      <c r="D798" s="116" t="n"/>
      <c r="E798" s="116" t="n"/>
      <c r="K798" s="169" t="n"/>
      <c r="L798" s="219" t="n"/>
      <c r="M798" s="220" t="n"/>
      <c r="N798" s="220" t="n"/>
      <c r="O798" s="220" t="n"/>
      <c r="P798" s="220" t="n"/>
      <c r="Q798" s="221" t="n"/>
      <c r="R798" s="222" t="n"/>
      <c r="S798" s="222" t="n"/>
      <c r="T798" s="222" t="n"/>
      <c r="U798" s="222" t="n"/>
      <c r="V798" s="221" t="n"/>
      <c r="W798" s="222" t="n"/>
      <c r="X798" s="222" t="n"/>
      <c r="Y798" s="222" t="n"/>
      <c r="Z798" s="223" t="n"/>
      <c r="AA798" s="222" t="n"/>
      <c r="AB798" s="52" t="n"/>
    </row>
    <row r="799" ht="14.25" customHeight="1">
      <c r="D799" s="116" t="n"/>
      <c r="E799" s="116" t="n"/>
      <c r="K799" s="86" t="n"/>
      <c r="L799" s="56" t="n"/>
      <c r="Q799" s="36" t="n"/>
      <c r="R799" s="36" t="n"/>
      <c r="S799" s="36" t="n"/>
      <c r="T799" s="36" t="n"/>
      <c r="U799" s="19" t="n"/>
      <c r="V799" s="36" t="n"/>
      <c r="W799" s="19" t="n"/>
      <c r="X799" s="19" t="n"/>
      <c r="Y799" s="19" t="n"/>
      <c r="Z799" s="61" t="n"/>
      <c r="AA799" s="139" t="n"/>
      <c r="AB799" s="52" t="n"/>
    </row>
    <row r="800" ht="14.25" customHeight="1">
      <c r="D800" s="116" t="n"/>
      <c r="E800" s="116" t="n"/>
      <c r="G800" s="102" t="inlineStr">
        <is>
          <t>Notes</t>
        </is>
      </c>
      <c r="T800" s="27" t="n"/>
      <c r="U800" s="10" t="n"/>
      <c r="V800" s="27" t="n"/>
      <c r="W800" s="10" t="n"/>
      <c r="X800" s="10" t="n"/>
      <c r="Y800" s="10" t="n"/>
      <c r="Z800" s="60" t="n"/>
    </row>
    <row r="801" ht="14.25" customHeight="1">
      <c r="D801" s="116" t="n"/>
      <c r="E801" s="116" t="n"/>
      <c r="G801" s="107" t="inlineStr">
        <is>
          <t>(1) Capital Values and ERV's are taken from the June 2025 CBRE Valuation.</t>
        </is>
      </c>
      <c r="H801" s="107" t="n"/>
      <c r="I801" s="107" t="n"/>
      <c r="J801" s="107" t="n"/>
      <c r="K801" s="107" t="n"/>
      <c r="L801" s="107" t="n"/>
      <c r="M801" s="107" t="n"/>
      <c r="N801" s="107" t="n"/>
      <c r="O801" s="107" t="n"/>
      <c r="P801" s="107" t="n"/>
      <c r="Q801" s="107" t="n"/>
      <c r="R801" s="107" t="n"/>
      <c r="S801" s="107" t="n"/>
      <c r="T801" s="143" t="n"/>
      <c r="U801" s="107" t="n"/>
      <c r="V801" s="143" t="n"/>
      <c r="W801" s="107" t="n"/>
      <c r="X801" s="107" t="n"/>
      <c r="Y801" s="107" t="n"/>
      <c r="Z801" s="107" t="n"/>
      <c r="AA801" s="140" t="n"/>
      <c r="AB801" s="107" t="n"/>
      <c r="AC801" s="107" t="n"/>
      <c r="AD801" s="320" t="n"/>
      <c r="AE801" s="107" t="n"/>
      <c r="AF801" s="107" t="n"/>
      <c r="AG801" s="107" t="n"/>
    </row>
    <row r="802" ht="14.25" customHeight="1">
      <c r="D802" s="116" t="n"/>
      <c r="E802" s="116" t="n"/>
      <c r="G802" s="135" t="inlineStr">
        <is>
          <t>(2) Rent PA column represents the documented rental level as per legal agreements and should be read in conjunction with the Remarks.</t>
        </is>
      </c>
      <c r="L802" s="9" t="n"/>
      <c r="T802" s="236" t="n"/>
      <c r="U802" s="10" t="n"/>
      <c r="V802" s="27" t="n"/>
      <c r="W802" s="10" t="n"/>
      <c r="X802" s="10" t="n"/>
      <c r="Y802" s="10" t="n"/>
      <c r="Z802" s="60" t="n"/>
    </row>
    <row r="803" ht="14.25" customHeight="1">
      <c r="D803" s="116" t="n"/>
      <c r="E803" s="116" t="n"/>
      <c r="G803" s="135" t="inlineStr">
        <is>
          <t>(3) As a result of CBRE’s valuation approach, they attributed no ERV's to 12 Hallam St &amp; 16-20 Hallam St.</t>
        </is>
      </c>
      <c r="H803" s="18" t="n"/>
      <c r="I803" s="18" t="n"/>
      <c r="J803" s="18" t="n"/>
      <c r="T803" s="236" t="n"/>
      <c r="U803" s="10" t="n"/>
      <c r="V803" s="27" t="n"/>
      <c r="W803" s="10" t="n"/>
      <c r="X803" s="10" t="n"/>
      <c r="Y803" s="10" t="n"/>
      <c r="Z803" s="60" t="n"/>
    </row>
    <row r="804" ht="14.25" customHeight="1">
      <c r="D804" s="116" t="n"/>
      <c r="E804" s="116" t="n"/>
      <c r="G804" s="135" t="n"/>
      <c r="K804" s="88" t="n"/>
      <c r="T804" s="27" t="n"/>
      <c r="U804" s="10" t="n"/>
      <c r="V804" s="27" t="n"/>
      <c r="W804" s="10" t="n"/>
      <c r="X804" s="10" t="n"/>
      <c r="Y804" s="10" t="n"/>
      <c r="Z804" s="60" t="n"/>
    </row>
    <row r="805" ht="14.25" customHeight="1">
      <c r="D805" s="116" t="n"/>
      <c r="E805" s="116" t="n"/>
      <c r="G805" s="135" t="n"/>
      <c r="K805" s="88" t="n"/>
      <c r="T805" s="27" t="n"/>
      <c r="U805" s="10" t="n"/>
      <c r="V805" s="27" t="n"/>
      <c r="W805" s="10" t="n"/>
      <c r="X805" s="10" t="n"/>
      <c r="Y805" s="10" t="n"/>
      <c r="Z805" s="60" t="n"/>
    </row>
    <row r="806" ht="14.25" customHeight="1">
      <c r="D806" s="116" t="n"/>
      <c r="E806" s="116" t="n"/>
      <c r="G806" s="135" t="n"/>
      <c r="K806" s="88" t="n"/>
      <c r="T806" s="27" t="n"/>
      <c r="U806" s="10" t="n"/>
      <c r="V806" s="27" t="n"/>
      <c r="W806" s="10" t="n"/>
      <c r="X806" s="10" t="n"/>
      <c r="Y806" s="10" t="n"/>
      <c r="Z806" s="60" t="n"/>
    </row>
    <row r="807" ht="14.25" customHeight="1">
      <c r="D807" s="116" t="n"/>
      <c r="E807" s="116" t="n"/>
      <c r="K807" s="88" t="inlineStr">
        <is>
          <t>Updated 5th September 2025</t>
        </is>
      </c>
      <c r="T807" s="27" t="n"/>
      <c r="U807" s="10" t="n"/>
      <c r="V807" s="27" t="n"/>
      <c r="W807" s="10" t="n"/>
      <c r="X807" s="10" t="n"/>
      <c r="Y807" s="10" t="n"/>
      <c r="Z807" s="60" t="n"/>
    </row>
    <row r="808">
      <c r="G808" s="89" t="n"/>
      <c r="T808" s="27" t="n"/>
      <c r="U808" s="10" t="n"/>
      <c r="V808" s="27" t="n"/>
      <c r="W808" s="10" t="n"/>
      <c r="X808" s="10" t="n"/>
      <c r="Y808" s="10" t="n"/>
      <c r="Z808" s="60" t="n"/>
    </row>
    <row r="809">
      <c r="T809" s="27" t="n"/>
      <c r="U809" s="10" t="n"/>
      <c r="V809" s="27" t="n"/>
      <c r="W809" s="10" t="n"/>
      <c r="X809" s="10" t="n"/>
      <c r="Y809" s="10" t="n"/>
      <c r="Z809" s="60" t="n"/>
    </row>
    <row r="810" ht="15" customHeight="1">
      <c r="T810" s="27" t="n"/>
      <c r="U810" s="10" t="n"/>
      <c r="V810" s="27" t="n"/>
      <c r="W810" s="10" t="n"/>
      <c r="X810" s="10" t="n"/>
      <c r="Y810" s="10" t="n"/>
      <c r="Z810" s="60" t="n"/>
      <c r="AA810" s="141" t="n"/>
      <c r="AB810" s="70" t="n"/>
      <c r="AC810" s="118" t="n"/>
      <c r="AD810" s="321" t="n"/>
      <c r="AE810" s="50" t="n"/>
      <c r="AF810" s="50" t="n"/>
      <c r="AG810" s="50" t="n"/>
    </row>
    <row r="811" ht="15" customHeight="1">
      <c r="T811" s="27" t="n"/>
      <c r="U811" s="10" t="n"/>
      <c r="V811" s="27" t="n"/>
      <c r="W811" s="10" t="n"/>
      <c r="X811" s="10" t="n"/>
      <c r="Y811" s="10" t="n"/>
      <c r="Z811" s="60" t="n"/>
      <c r="AA811" s="141" t="n"/>
      <c r="AB811" s="70" t="n"/>
      <c r="AC811" s="118" t="n"/>
      <c r="AD811" s="321" t="n"/>
      <c r="AE811" s="50" t="n"/>
      <c r="AF811" s="50" t="n"/>
      <c r="AG811" s="50" t="n"/>
    </row>
    <row r="812" ht="15" customHeight="1">
      <c r="T812" s="27" t="n"/>
      <c r="U812" s="10" t="n"/>
      <c r="V812" s="27" t="n"/>
      <c r="W812" s="10" t="n"/>
      <c r="X812" s="10" t="n"/>
      <c r="Y812" s="10" t="n"/>
      <c r="Z812" s="60" t="n"/>
      <c r="AA812" s="141" t="n"/>
      <c r="AB812" s="70" t="n"/>
      <c r="AC812" s="118" t="n"/>
      <c r="AD812" s="321" t="n"/>
      <c r="AE812" s="50" t="n"/>
      <c r="AF812" s="50" t="n"/>
      <c r="AG812" s="50" t="n"/>
    </row>
    <row r="813" ht="15" customHeight="1">
      <c r="T813" s="27" t="n"/>
      <c r="U813" s="10" t="n"/>
      <c r="V813" s="27" t="n"/>
      <c r="W813" s="10" t="n"/>
      <c r="X813" s="10" t="n"/>
      <c r="Y813" s="10" t="n"/>
      <c r="Z813" s="60" t="n"/>
      <c r="AA813" s="141" t="n"/>
      <c r="AB813" s="70" t="n"/>
      <c r="AC813" s="118" t="n"/>
      <c r="AD813" s="321" t="n"/>
      <c r="AE813" s="50" t="n"/>
      <c r="AF813" s="50" t="n"/>
      <c r="AG813" s="50" t="n"/>
    </row>
    <row r="814" ht="15" customHeight="1">
      <c r="T814" s="27" t="n"/>
      <c r="U814" s="10" t="n"/>
      <c r="V814" s="27" t="n"/>
      <c r="W814" s="10" t="n"/>
      <c r="X814" s="10" t="n"/>
      <c r="Y814" s="10" t="n"/>
      <c r="Z814" s="60" t="n"/>
      <c r="AA814" s="141" t="n"/>
      <c r="AB814" s="70" t="n"/>
      <c r="AC814" s="118" t="n"/>
      <c r="AD814" s="321" t="n"/>
      <c r="AE814" s="50" t="n"/>
      <c r="AF814" s="50" t="n"/>
      <c r="AG814" s="50" t="n"/>
    </row>
    <row r="815" ht="15" customHeight="1">
      <c r="T815" s="27" t="n"/>
      <c r="U815" s="10" t="n"/>
      <c r="V815" s="27" t="n"/>
      <c r="W815" s="10" t="n"/>
      <c r="X815" s="10" t="n"/>
      <c r="Y815" s="10" t="n"/>
      <c r="Z815" s="60" t="n"/>
      <c r="AA815" s="141" t="n"/>
      <c r="AB815" s="70" t="n"/>
      <c r="AC815" s="118" t="n"/>
      <c r="AD815" s="321" t="n"/>
      <c r="AE815" s="50" t="n"/>
      <c r="AF815" s="50" t="n"/>
      <c r="AG815" s="50" t="n"/>
    </row>
    <row r="816" ht="15" customHeight="1">
      <c r="K816" s="25" t="n"/>
      <c r="T816" s="27" t="n"/>
      <c r="U816" s="10" t="n"/>
      <c r="V816" s="27" t="n"/>
      <c r="W816" s="10" t="n"/>
      <c r="X816" s="10" t="n"/>
      <c r="Y816" s="10" t="n"/>
      <c r="Z816" s="60" t="n"/>
      <c r="AA816" s="141" t="n"/>
      <c r="AB816" s="70" t="n"/>
      <c r="AC816" s="118" t="n"/>
      <c r="AD816" s="321" t="n"/>
      <c r="AE816" s="50" t="n"/>
      <c r="AF816" s="50" t="n"/>
      <c r="AG816" s="50" t="n"/>
    </row>
    <row r="817" ht="15" customHeight="1">
      <c r="T817" s="27" t="n"/>
      <c r="U817" s="10" t="n"/>
      <c r="V817" s="27" t="n"/>
      <c r="W817" s="10" t="n"/>
      <c r="X817" s="10" t="n"/>
      <c r="Y817" s="10" t="n"/>
      <c r="Z817" s="60" t="n"/>
      <c r="AA817" s="141" t="n"/>
      <c r="AB817" s="70" t="n"/>
      <c r="AC817" s="118" t="n"/>
      <c r="AD817" s="321" t="n"/>
      <c r="AE817" s="50" t="n"/>
      <c r="AF817" s="50" t="n"/>
      <c r="AG817" s="50" t="n"/>
    </row>
    <row r="818" ht="15" customHeight="1">
      <c r="T818" s="27" t="n"/>
      <c r="U818" s="10" t="n"/>
      <c r="V818" s="27" t="n"/>
      <c r="W818" s="10" t="n"/>
      <c r="X818" s="10" t="n"/>
      <c r="Y818" s="10" t="n"/>
      <c r="Z818" s="60" t="n"/>
      <c r="AA818" s="141" t="n"/>
      <c r="AB818" s="70" t="n"/>
      <c r="AC818" s="118" t="n"/>
      <c r="AD818" s="321" t="n"/>
      <c r="AE818" s="50" t="n"/>
      <c r="AF818" s="50" t="n"/>
      <c r="AG818" s="50" t="n"/>
    </row>
    <row r="819" ht="15" customHeight="1">
      <c r="T819" s="27" t="n"/>
      <c r="U819" s="10" t="n"/>
      <c r="V819" s="27" t="n"/>
      <c r="W819" s="10" t="n"/>
      <c r="X819" s="10" t="n"/>
      <c r="Y819" s="10" t="n"/>
      <c r="Z819" s="60" t="n"/>
      <c r="AA819" s="141" t="n"/>
      <c r="AB819" s="70" t="n"/>
      <c r="AC819" s="118" t="n"/>
      <c r="AD819" s="321" t="n"/>
      <c r="AE819" s="50" t="n"/>
      <c r="AF819" s="50" t="n"/>
      <c r="AG819" s="50" t="n"/>
    </row>
    <row r="820" ht="15" customHeight="1">
      <c r="T820" s="27" t="n"/>
      <c r="U820" s="10" t="n"/>
      <c r="V820" s="27" t="n"/>
      <c r="W820" s="10" t="n"/>
      <c r="X820" s="10" t="n"/>
      <c r="Y820" s="10" t="n"/>
      <c r="Z820" s="60" t="n"/>
      <c r="AA820" s="141" t="n"/>
      <c r="AB820" s="70" t="n"/>
      <c r="AC820" s="118" t="n"/>
      <c r="AD820" s="321" t="n"/>
      <c r="AE820" s="50" t="n"/>
      <c r="AF820" s="50" t="n"/>
      <c r="AG820" s="50" t="n"/>
    </row>
    <row r="821" ht="15" customHeight="1">
      <c r="T821" s="27" t="n"/>
      <c r="U821" s="10" t="n"/>
      <c r="V821" s="27" t="n"/>
      <c r="W821" s="10" t="n"/>
      <c r="X821" s="10" t="n"/>
      <c r="Y821" s="10" t="n"/>
      <c r="Z821" s="60" t="n"/>
      <c r="AA821" s="141" t="n"/>
      <c r="AB821" s="70" t="n"/>
      <c r="AC821" s="118" t="n"/>
      <c r="AD821" s="321" t="n"/>
      <c r="AE821" s="50" t="n"/>
      <c r="AF821" s="50" t="n"/>
      <c r="AG821" s="50" t="n"/>
    </row>
    <row r="822" ht="15" customHeight="1">
      <c r="T822" s="27" t="n"/>
      <c r="U822" s="10" t="n"/>
      <c r="V822" s="27" t="n"/>
      <c r="W822" s="10" t="n"/>
      <c r="X822" s="10" t="n"/>
      <c r="Y822" s="10" t="n"/>
      <c r="Z822" s="60" t="n"/>
      <c r="AA822" s="141" t="n"/>
      <c r="AB822" s="70" t="n"/>
      <c r="AC822" s="118" t="n"/>
      <c r="AD822" s="321" t="n"/>
      <c r="AE822" s="50" t="n"/>
      <c r="AF822" s="50" t="n"/>
      <c r="AG822" s="50" t="n"/>
    </row>
    <row r="823" ht="15" customHeight="1">
      <c r="T823" s="27" t="n"/>
      <c r="U823" s="10" t="n"/>
      <c r="V823" s="27" t="n"/>
      <c r="W823" s="10" t="n"/>
      <c r="X823" s="10" t="n"/>
      <c r="Y823" s="10" t="n"/>
      <c r="Z823" s="60" t="n"/>
      <c r="AA823" s="141" t="n"/>
      <c r="AB823" s="70" t="n"/>
      <c r="AC823" s="118" t="n"/>
      <c r="AD823" s="321" t="n"/>
      <c r="AE823" s="50" t="n"/>
      <c r="AF823" s="50" t="n"/>
      <c r="AG823" s="50" t="n"/>
    </row>
    <row r="824" ht="15" customHeight="1">
      <c r="T824" s="27" t="n"/>
      <c r="U824" s="10" t="n"/>
      <c r="V824" s="27" t="n"/>
      <c r="W824" s="10" t="n"/>
      <c r="X824" s="10" t="n"/>
      <c r="Y824" s="10" t="n"/>
      <c r="Z824" s="60" t="n"/>
      <c r="AA824" s="141" t="n"/>
      <c r="AB824" s="70" t="n"/>
      <c r="AC824" s="118" t="n"/>
      <c r="AD824" s="321" t="n"/>
      <c r="AE824" s="50" t="n"/>
      <c r="AF824" s="50" t="n"/>
      <c r="AG824" s="50" t="n"/>
    </row>
    <row r="825" ht="15" customHeight="1">
      <c r="T825" s="27" t="n"/>
      <c r="U825" s="10" t="n"/>
      <c r="V825" s="27" t="n"/>
      <c r="W825" s="10" t="n"/>
      <c r="X825" s="10" t="n"/>
      <c r="Y825" s="10" t="n"/>
      <c r="Z825" s="60" t="n"/>
      <c r="AA825" s="141" t="n"/>
      <c r="AB825" s="70" t="n"/>
      <c r="AC825" s="118" t="n"/>
      <c r="AD825" s="321" t="n"/>
      <c r="AE825" s="50" t="n"/>
      <c r="AF825" s="50" t="n"/>
      <c r="AG825" s="50" t="n"/>
    </row>
    <row r="826" ht="15" customHeight="1">
      <c r="T826" s="27" t="n"/>
      <c r="U826" s="10" t="n"/>
      <c r="V826" s="27" t="n"/>
      <c r="W826" s="10" t="n"/>
      <c r="X826" s="10" t="n"/>
      <c r="Y826" s="10" t="n"/>
      <c r="Z826" s="60" t="n"/>
      <c r="AA826" s="141" t="n"/>
      <c r="AB826" s="70" t="n"/>
      <c r="AC826" s="118" t="n"/>
      <c r="AD826" s="321" t="n"/>
      <c r="AE826" s="50" t="n"/>
      <c r="AF826" s="50" t="n"/>
      <c r="AG826" s="50" t="n"/>
    </row>
    <row r="827" ht="15" customHeight="1">
      <c r="T827" s="27" t="n"/>
      <c r="U827" s="10" t="n"/>
      <c r="V827" s="27" t="n"/>
      <c r="W827" s="10" t="n"/>
      <c r="X827" s="10" t="n"/>
      <c r="Y827" s="10" t="n"/>
      <c r="Z827" s="60" t="n"/>
      <c r="AA827" s="141" t="n"/>
      <c r="AB827" s="70" t="n"/>
      <c r="AC827" s="118" t="n"/>
      <c r="AD827" s="321" t="n"/>
      <c r="AE827" s="50" t="n"/>
      <c r="AF827" s="50" t="n"/>
      <c r="AG827" s="50" t="n"/>
    </row>
    <row r="828" ht="15" customHeight="1">
      <c r="T828" s="27" t="n"/>
      <c r="U828" s="10" t="n"/>
      <c r="V828" s="27" t="n"/>
      <c r="W828" s="10" t="n"/>
      <c r="X828" s="10" t="n"/>
      <c r="Y828" s="10" t="n"/>
      <c r="Z828" s="60" t="n"/>
      <c r="AA828" s="141" t="n"/>
      <c r="AB828" s="70" t="n"/>
      <c r="AC828" s="118" t="n"/>
      <c r="AD828" s="321" t="n"/>
      <c r="AE828" s="50" t="n"/>
      <c r="AF828" s="50" t="n"/>
      <c r="AG828" s="50" t="n"/>
    </row>
    <row r="829" ht="15" customHeight="1">
      <c r="T829" s="27" t="n"/>
      <c r="U829" s="10" t="n"/>
      <c r="V829" s="27" t="n"/>
      <c r="W829" s="10" t="n"/>
      <c r="X829" s="10" t="n"/>
      <c r="Y829" s="10" t="n"/>
      <c r="Z829" s="60" t="n"/>
      <c r="AA829" s="141" t="n"/>
      <c r="AB829" s="70" t="n"/>
      <c r="AC829" s="118" t="n"/>
      <c r="AD829" s="321" t="n"/>
      <c r="AE829" s="50" t="n"/>
      <c r="AF829" s="50" t="n"/>
      <c r="AG829" s="50" t="n"/>
    </row>
    <row r="830" ht="15" customHeight="1">
      <c r="T830" s="27" t="n"/>
      <c r="U830" s="10" t="n"/>
      <c r="V830" s="27" t="n"/>
      <c r="W830" s="10" t="n"/>
      <c r="X830" s="10" t="n"/>
      <c r="Y830" s="10" t="n"/>
      <c r="Z830" s="60" t="n"/>
      <c r="AA830" s="141" t="n"/>
      <c r="AB830" s="70" t="n"/>
      <c r="AC830" s="118" t="n"/>
      <c r="AD830" s="321" t="n"/>
      <c r="AE830" s="50" t="n"/>
      <c r="AF830" s="50" t="n"/>
      <c r="AG830" s="50" t="n"/>
    </row>
    <row r="831" ht="15" customHeight="1">
      <c r="T831" s="27" t="n"/>
      <c r="U831" s="10" t="n"/>
      <c r="V831" s="27" t="n"/>
      <c r="W831" s="10" t="n"/>
      <c r="X831" s="10" t="n"/>
      <c r="Y831" s="10" t="n"/>
      <c r="Z831" s="60" t="n"/>
      <c r="AA831" s="141" t="n"/>
      <c r="AB831" s="70" t="n"/>
      <c r="AC831" s="118" t="n"/>
      <c r="AD831" s="321" t="n"/>
      <c r="AE831" s="50" t="n"/>
      <c r="AF831" s="50" t="n"/>
      <c r="AG831" s="50" t="n"/>
    </row>
    <row r="832" ht="15" customHeight="1">
      <c r="T832" s="27" t="n"/>
      <c r="U832" s="10" t="n"/>
      <c r="V832" s="27" t="n"/>
      <c r="W832" s="10" t="n"/>
      <c r="X832" s="10" t="n"/>
      <c r="Y832" s="10" t="n"/>
      <c r="Z832" s="60" t="n"/>
      <c r="AA832" s="141" t="n"/>
      <c r="AB832" s="70" t="n"/>
      <c r="AC832" s="118" t="n"/>
      <c r="AD832" s="321" t="n"/>
      <c r="AE832" s="50" t="n"/>
      <c r="AF832" s="50" t="n"/>
      <c r="AG832" s="50" t="n"/>
    </row>
    <row r="833" ht="15" customHeight="1">
      <c r="T833" s="27" t="n"/>
      <c r="U833" s="10" t="n"/>
      <c r="V833" s="27" t="n"/>
      <c r="W833" s="10" t="n"/>
      <c r="X833" s="10" t="n"/>
      <c r="Y833" s="10" t="n"/>
      <c r="Z833" s="60" t="n"/>
      <c r="AA833" s="141" t="n"/>
      <c r="AB833" s="70" t="n"/>
      <c r="AC833" s="118" t="n"/>
      <c r="AD833" s="321" t="n"/>
      <c r="AE833" s="50" t="n"/>
      <c r="AF833" s="50" t="n"/>
      <c r="AG833" s="50" t="n"/>
    </row>
    <row r="834" ht="15" customHeight="1">
      <c r="T834" s="27" t="n"/>
      <c r="U834" s="10" t="n"/>
      <c r="V834" s="27" t="n"/>
      <c r="W834" s="10" t="n"/>
      <c r="X834" s="10" t="n"/>
      <c r="Y834" s="10" t="n"/>
      <c r="Z834" s="60" t="n"/>
      <c r="AA834" s="141" t="n"/>
      <c r="AB834" s="70" t="n"/>
      <c r="AC834" s="118" t="n"/>
      <c r="AD834" s="321" t="n"/>
      <c r="AE834" s="50" t="n"/>
      <c r="AF834" s="50" t="n"/>
      <c r="AG834" s="50" t="n"/>
    </row>
    <row r="835" ht="15" customHeight="1">
      <c r="T835" s="27" t="n"/>
      <c r="U835" s="10" t="n"/>
      <c r="V835" s="27" t="n"/>
      <c r="W835" s="10" t="n"/>
      <c r="X835" s="10" t="n"/>
      <c r="Y835" s="10" t="n"/>
      <c r="Z835" s="60" t="n"/>
      <c r="AA835" s="141" t="n"/>
      <c r="AB835" s="70" t="n"/>
      <c r="AC835" s="118" t="n"/>
      <c r="AD835" s="321" t="n"/>
      <c r="AE835" s="50" t="n"/>
      <c r="AF835" s="50" t="n"/>
      <c r="AG835" s="50" t="n"/>
    </row>
    <row r="836" ht="15" customHeight="1">
      <c r="T836" s="27" t="n"/>
      <c r="U836" s="10" t="n"/>
      <c r="V836" s="27" t="n"/>
      <c r="W836" s="10" t="n"/>
      <c r="X836" s="10" t="n"/>
      <c r="Y836" s="10" t="n"/>
      <c r="Z836" s="60" t="n"/>
      <c r="AA836" s="141" t="n"/>
      <c r="AB836" s="70" t="n"/>
      <c r="AC836" s="118" t="n"/>
      <c r="AD836" s="321" t="n"/>
      <c r="AE836" s="50" t="n"/>
      <c r="AF836" s="50" t="n"/>
      <c r="AG836" s="50" t="n"/>
    </row>
    <row r="837" ht="15" customHeight="1">
      <c r="T837" s="27" t="n"/>
      <c r="U837" s="10" t="n"/>
      <c r="V837" s="27" t="n"/>
      <c r="W837" s="10" t="n"/>
      <c r="X837" s="10" t="n"/>
      <c r="Y837" s="10" t="n"/>
      <c r="Z837" s="60" t="n"/>
      <c r="AA837" s="141" t="n"/>
      <c r="AB837" s="70" t="n"/>
      <c r="AC837" s="118" t="n"/>
      <c r="AD837" s="321" t="n"/>
      <c r="AE837" s="50" t="n"/>
      <c r="AF837" s="50" t="n"/>
      <c r="AG837" s="50" t="n"/>
    </row>
    <row r="838" ht="15" customHeight="1">
      <c r="T838" s="27" t="n"/>
      <c r="U838" s="10" t="n"/>
      <c r="V838" s="27" t="n"/>
      <c r="W838" s="10" t="n"/>
      <c r="X838" s="10" t="n"/>
      <c r="Y838" s="10" t="n"/>
      <c r="Z838" s="60" t="n"/>
      <c r="AA838" s="141" t="n"/>
      <c r="AB838" s="70" t="n"/>
      <c r="AC838" s="118" t="n"/>
      <c r="AD838" s="321" t="n"/>
      <c r="AE838" s="50" t="n"/>
      <c r="AF838" s="50" t="n"/>
      <c r="AG838" s="50" t="n"/>
    </row>
    <row r="839" ht="15" customHeight="1">
      <c r="T839" s="27" t="n"/>
      <c r="U839" s="10" t="n"/>
      <c r="V839" s="27" t="n"/>
      <c r="W839" s="10" t="n"/>
      <c r="X839" s="10" t="n"/>
      <c r="Y839" s="10" t="n"/>
      <c r="Z839" s="60" t="n"/>
      <c r="AA839" s="141" t="n"/>
      <c r="AB839" s="70" t="n"/>
      <c r="AC839" s="118" t="n"/>
      <c r="AD839" s="321" t="n"/>
      <c r="AE839" s="50" t="n"/>
      <c r="AF839" s="50" t="n"/>
      <c r="AG839" s="50" t="n"/>
    </row>
    <row r="840" ht="15" customHeight="1">
      <c r="T840" s="27" t="n"/>
      <c r="U840" s="10" t="n"/>
      <c r="V840" s="27" t="n"/>
      <c r="W840" s="10" t="n"/>
      <c r="X840" s="10" t="n"/>
      <c r="Y840" s="10" t="n"/>
      <c r="Z840" s="60" t="n"/>
      <c r="AA840" s="141" t="n"/>
      <c r="AB840" s="70" t="n"/>
      <c r="AC840" s="118" t="n"/>
      <c r="AD840" s="321" t="n"/>
      <c r="AE840" s="50" t="n"/>
      <c r="AF840" s="50" t="n"/>
      <c r="AG840" s="50" t="n"/>
    </row>
    <row r="841" ht="15" customHeight="1">
      <c r="T841" s="27" t="n"/>
      <c r="U841" s="10" t="n"/>
      <c r="V841" s="27" t="n"/>
      <c r="W841" s="10" t="n"/>
      <c r="X841" s="10" t="n"/>
      <c r="Y841" s="10" t="n"/>
      <c r="Z841" s="60" t="n"/>
      <c r="AA841" s="141" t="n"/>
      <c r="AB841" s="70" t="n"/>
      <c r="AC841" s="118" t="n"/>
      <c r="AD841" s="321" t="n"/>
      <c r="AE841" s="50" t="n"/>
      <c r="AF841" s="50" t="n"/>
      <c r="AG841" s="50" t="n"/>
    </row>
    <row r="842" ht="15" customHeight="1">
      <c r="T842" s="27" t="n"/>
      <c r="U842" s="10" t="n"/>
      <c r="V842" s="27" t="n"/>
      <c r="W842" s="10" t="n"/>
      <c r="X842" s="10" t="n"/>
      <c r="Y842" s="10" t="n"/>
      <c r="Z842" s="60" t="n"/>
      <c r="AA842" s="141" t="n"/>
      <c r="AB842" s="70" t="n"/>
      <c r="AC842" s="118" t="n"/>
      <c r="AD842" s="321" t="n"/>
      <c r="AE842" s="50" t="n"/>
      <c r="AF842" s="50" t="n"/>
      <c r="AG842" s="50" t="n"/>
    </row>
    <row r="843" ht="15" customHeight="1">
      <c r="T843" s="27" t="n"/>
      <c r="U843" s="10" t="n"/>
      <c r="V843" s="27" t="n"/>
      <c r="W843" s="10" t="n"/>
      <c r="X843" s="10" t="n"/>
      <c r="Y843" s="10" t="n"/>
      <c r="Z843" s="60" t="n"/>
      <c r="AA843" s="141" t="n"/>
      <c r="AB843" s="70" t="n"/>
      <c r="AC843" s="118" t="n"/>
      <c r="AD843" s="321" t="n"/>
      <c r="AE843" s="50" t="n"/>
      <c r="AF843" s="50" t="n"/>
      <c r="AG843" s="50" t="n"/>
    </row>
    <row r="844" ht="15" customHeight="1">
      <c r="T844" s="27" t="n"/>
      <c r="U844" s="10" t="n"/>
      <c r="V844" s="27" t="n"/>
      <c r="W844" s="10" t="n"/>
      <c r="X844" s="10" t="n"/>
      <c r="Y844" s="10" t="n"/>
      <c r="Z844" s="60" t="n"/>
      <c r="AA844" s="141" t="n"/>
      <c r="AB844" s="70" t="n"/>
      <c r="AC844" s="118" t="n"/>
      <c r="AD844" s="321" t="n"/>
      <c r="AE844" s="50" t="n"/>
      <c r="AF844" s="50" t="n"/>
      <c r="AG844" s="50" t="n"/>
    </row>
    <row r="845" ht="15" customHeight="1">
      <c r="T845" s="27" t="n"/>
      <c r="U845" s="10" t="n"/>
      <c r="V845" s="27" t="n"/>
      <c r="W845" s="10" t="n"/>
      <c r="X845" s="10" t="n"/>
      <c r="Y845" s="10" t="n"/>
      <c r="Z845" s="60" t="n"/>
      <c r="AA845" s="141" t="n"/>
      <c r="AB845" s="70" t="n"/>
      <c r="AC845" s="118" t="n"/>
      <c r="AD845" s="321" t="n"/>
      <c r="AE845" s="50" t="n"/>
      <c r="AF845" s="50" t="n"/>
      <c r="AG845" s="50" t="n"/>
    </row>
    <row r="846" ht="15" customHeight="1">
      <c r="T846" s="27" t="n"/>
      <c r="U846" s="10" t="n"/>
      <c r="V846" s="27" t="n"/>
      <c r="W846" s="10" t="n"/>
      <c r="X846" s="10" t="n"/>
      <c r="Y846" s="10" t="n"/>
      <c r="Z846" s="60" t="n"/>
      <c r="AA846" s="141" t="n"/>
      <c r="AB846" s="70" t="n"/>
      <c r="AC846" s="50" t="n"/>
      <c r="AD846" s="321" t="n"/>
      <c r="AE846" s="50" t="n"/>
      <c r="AF846" s="50" t="n"/>
      <c r="AG846" s="50" t="n"/>
    </row>
    <row r="847" ht="15" customHeight="1">
      <c r="T847" s="27" t="n"/>
      <c r="U847" s="10" t="n"/>
      <c r="V847" s="27" t="n"/>
      <c r="W847" s="10" t="n"/>
      <c r="X847" s="10" t="n"/>
      <c r="Y847" s="10" t="n"/>
      <c r="Z847" s="60" t="n"/>
      <c r="AA847" s="141" t="n"/>
      <c r="AB847" s="70" t="n"/>
      <c r="AC847" s="50" t="n"/>
      <c r="AD847" s="321" t="n"/>
      <c r="AE847" s="50" t="n"/>
      <c r="AF847" s="50" t="n"/>
      <c r="AG847" s="50" t="n"/>
    </row>
    <row r="848" ht="15" customHeight="1">
      <c r="T848" s="27" t="n"/>
      <c r="U848" s="10" t="n"/>
      <c r="V848" s="27" t="n"/>
      <c r="W848" s="10" t="n"/>
      <c r="X848" s="10" t="n"/>
      <c r="Y848" s="10" t="n"/>
      <c r="Z848" s="60" t="n"/>
      <c r="AA848" s="141" t="n"/>
      <c r="AB848" s="70" t="n"/>
      <c r="AC848" s="50" t="n"/>
      <c r="AD848" s="321" t="n"/>
      <c r="AE848" s="50" t="n"/>
      <c r="AF848" s="50" t="n"/>
      <c r="AG848" s="50" t="n"/>
    </row>
    <row r="849" ht="15" customHeight="1">
      <c r="T849" s="27" t="n"/>
      <c r="U849" s="10" t="n"/>
      <c r="V849" s="27" t="n"/>
      <c r="W849" s="10" t="n"/>
      <c r="X849" s="10" t="n"/>
      <c r="Y849" s="10" t="n"/>
      <c r="Z849" s="60" t="n"/>
      <c r="AA849" s="141" t="n"/>
      <c r="AB849" s="70" t="n"/>
      <c r="AC849" s="50" t="n"/>
      <c r="AD849" s="321" t="n"/>
      <c r="AE849" s="50" t="n"/>
      <c r="AF849" s="50" t="n"/>
      <c r="AG849" s="50" t="n"/>
    </row>
    <row r="850" ht="15" customHeight="1">
      <c r="T850" s="27" t="n"/>
      <c r="U850" s="10" t="n"/>
      <c r="V850" s="27" t="n"/>
      <c r="W850" s="10" t="n"/>
      <c r="X850" s="10" t="n"/>
      <c r="Y850" s="10" t="n"/>
      <c r="Z850" s="60" t="n"/>
      <c r="AA850" s="141" t="n"/>
      <c r="AB850" s="70" t="n"/>
      <c r="AC850" s="50" t="n"/>
      <c r="AD850" s="321" t="n"/>
      <c r="AE850" s="50" t="n"/>
      <c r="AF850" s="50" t="n"/>
      <c r="AG850" s="50" t="n"/>
    </row>
    <row r="851" ht="15" customHeight="1">
      <c r="T851" s="27" t="n"/>
      <c r="U851" s="10" t="n"/>
      <c r="V851" s="27" t="n"/>
      <c r="W851" s="10" t="n"/>
      <c r="X851" s="10" t="n"/>
      <c r="Y851" s="10" t="n"/>
      <c r="Z851" s="60" t="n"/>
      <c r="AA851" s="141" t="n"/>
      <c r="AB851" s="70" t="n"/>
      <c r="AC851" s="50" t="n"/>
      <c r="AD851" s="321" t="n"/>
      <c r="AE851" s="50" t="n"/>
      <c r="AF851" s="50" t="n"/>
      <c r="AG851" s="50" t="n"/>
    </row>
    <row r="852" ht="15" customHeight="1">
      <c r="T852" s="27" t="n"/>
      <c r="U852" s="10" t="n"/>
      <c r="V852" s="27" t="n"/>
      <c r="W852" s="10" t="n"/>
      <c r="X852" s="10" t="n"/>
      <c r="Y852" s="10" t="n"/>
      <c r="Z852" s="60" t="n"/>
      <c r="AA852" s="141" t="n"/>
      <c r="AB852" s="70" t="n"/>
      <c r="AC852" s="50" t="n"/>
      <c r="AD852" s="321" t="n"/>
      <c r="AE852" s="50" t="n"/>
      <c r="AF852" s="50" t="n"/>
      <c r="AG852" s="50" t="n"/>
    </row>
    <row r="853" ht="15" customHeight="1">
      <c r="T853" s="27" t="n"/>
      <c r="U853" s="10" t="n"/>
      <c r="V853" s="27" t="n"/>
      <c r="W853" s="10" t="n"/>
      <c r="X853" s="10" t="n"/>
      <c r="Y853" s="10" t="n"/>
      <c r="Z853" s="60" t="n"/>
      <c r="AA853" s="141" t="n"/>
      <c r="AB853" s="70" t="n"/>
      <c r="AC853" s="50" t="n"/>
      <c r="AD853" s="321" t="n"/>
      <c r="AE853" s="50" t="n"/>
      <c r="AF853" s="50" t="n"/>
      <c r="AG853" s="50" t="n"/>
    </row>
    <row r="854" ht="15" customHeight="1">
      <c r="T854" s="27" t="n"/>
      <c r="U854" s="10" t="n"/>
      <c r="V854" s="27" t="n"/>
      <c r="W854" s="10" t="n"/>
      <c r="X854" s="10" t="n"/>
      <c r="Y854" s="10" t="n"/>
      <c r="Z854" s="60" t="n"/>
      <c r="AA854" s="141" t="n"/>
      <c r="AB854" s="70" t="n"/>
      <c r="AC854" s="50" t="n"/>
      <c r="AD854" s="321" t="n"/>
      <c r="AE854" s="50" t="n"/>
      <c r="AF854" s="50" t="n"/>
      <c r="AG854" s="50" t="n"/>
    </row>
    <row r="855" ht="15" customHeight="1">
      <c r="T855" s="27" t="n"/>
      <c r="U855" s="10" t="n"/>
      <c r="V855" s="27" t="n"/>
      <c r="W855" s="10" t="n"/>
      <c r="X855" s="10" t="n"/>
      <c r="Y855" s="10" t="n"/>
      <c r="Z855" s="60" t="n"/>
      <c r="AA855" s="141" t="n"/>
      <c r="AB855" s="70" t="n"/>
      <c r="AC855" s="50" t="n"/>
      <c r="AD855" s="321" t="n"/>
      <c r="AE855" s="50" t="n"/>
      <c r="AF855" s="50" t="n"/>
      <c r="AG855" s="50" t="n"/>
    </row>
    <row r="856" ht="15" customHeight="1">
      <c r="T856" s="27" t="n"/>
      <c r="U856" s="10" t="n"/>
      <c r="V856" s="27" t="n"/>
      <c r="W856" s="10" t="n"/>
      <c r="X856" s="10" t="n"/>
      <c r="Y856" s="10" t="n"/>
      <c r="Z856" s="60" t="n"/>
      <c r="AA856" s="141" t="n"/>
      <c r="AB856" s="70" t="n"/>
      <c r="AC856" s="50" t="n"/>
      <c r="AD856" s="321" t="n"/>
      <c r="AE856" s="50" t="n"/>
      <c r="AF856" s="50" t="n"/>
      <c r="AG856" s="50" t="n"/>
    </row>
    <row r="857" ht="15" customHeight="1">
      <c r="T857" s="27" t="n"/>
      <c r="U857" s="10" t="n"/>
      <c r="V857" s="27" t="n"/>
      <c r="W857" s="10" t="n"/>
      <c r="X857" s="10" t="n"/>
      <c r="Y857" s="10" t="n"/>
      <c r="Z857" s="60" t="n"/>
      <c r="AA857" s="141" t="n"/>
      <c r="AB857" s="70" t="n"/>
      <c r="AC857" s="50" t="n"/>
      <c r="AD857" s="321" t="n"/>
      <c r="AE857" s="50" t="n"/>
      <c r="AF857" s="50" t="n"/>
      <c r="AG857" s="50" t="n"/>
    </row>
    <row r="858" ht="15" customHeight="1">
      <c r="T858" s="27" t="n"/>
      <c r="U858" s="10" t="n"/>
      <c r="V858" s="27" t="n"/>
      <c r="W858" s="10" t="n"/>
      <c r="X858" s="10" t="n"/>
      <c r="Y858" s="10" t="n"/>
      <c r="Z858" s="60" t="n"/>
      <c r="AA858" s="141" t="n"/>
      <c r="AB858" s="70" t="n"/>
      <c r="AC858" s="50" t="n"/>
      <c r="AD858" s="321" t="n"/>
      <c r="AE858" s="50" t="n"/>
      <c r="AF858" s="50" t="n"/>
      <c r="AG858" s="50" t="n"/>
    </row>
    <row r="859" ht="15" customHeight="1">
      <c r="T859" s="27" t="n"/>
      <c r="U859" s="10" t="n"/>
      <c r="V859" s="27" t="n"/>
      <c r="W859" s="10" t="n"/>
      <c r="X859" s="10" t="n"/>
      <c r="Y859" s="10" t="n"/>
      <c r="Z859" s="60" t="n"/>
      <c r="AA859" s="141" t="n"/>
      <c r="AB859" s="70" t="n"/>
      <c r="AC859" s="50" t="n"/>
      <c r="AD859" s="321" t="n"/>
      <c r="AE859" s="50" t="n"/>
      <c r="AF859" s="50" t="n"/>
      <c r="AG859" s="50" t="n"/>
    </row>
    <row r="860" ht="15" customHeight="1">
      <c r="T860" s="27" t="n"/>
      <c r="U860" s="10" t="n"/>
      <c r="V860" s="27" t="n"/>
      <c r="W860" s="10" t="n"/>
      <c r="X860" s="10" t="n"/>
      <c r="Y860" s="10" t="n"/>
      <c r="Z860" s="60" t="n"/>
      <c r="AA860" s="141" t="n"/>
      <c r="AB860" s="70" t="n"/>
      <c r="AC860" s="50" t="n"/>
      <c r="AD860" s="321" t="n"/>
      <c r="AE860" s="50" t="n"/>
      <c r="AF860" s="50" t="n"/>
      <c r="AG860" s="50" t="n"/>
    </row>
    <row r="861" ht="15" customHeight="1">
      <c r="T861" s="27" t="n"/>
      <c r="U861" s="10" t="n"/>
      <c r="V861" s="27" t="n"/>
      <c r="W861" s="10" t="n"/>
      <c r="X861" s="10" t="n"/>
      <c r="Y861" s="10" t="n"/>
      <c r="Z861" s="60" t="n"/>
      <c r="AA861" s="141" t="n"/>
      <c r="AB861" s="70" t="n"/>
      <c r="AC861" s="50" t="n"/>
      <c r="AD861" s="321" t="n"/>
      <c r="AE861" s="50" t="n"/>
      <c r="AF861" s="50" t="n"/>
      <c r="AG861" s="50" t="n"/>
    </row>
    <row r="862" ht="15" customHeight="1">
      <c r="T862" s="27" t="n"/>
      <c r="U862" s="10" t="n"/>
      <c r="V862" s="27" t="n"/>
      <c r="W862" s="10" t="n"/>
      <c r="X862" s="10" t="n"/>
      <c r="Y862" s="10" t="n"/>
      <c r="Z862" s="60" t="n"/>
      <c r="AA862" s="141" t="n"/>
      <c r="AB862" s="70" t="n"/>
      <c r="AC862" s="50" t="n"/>
      <c r="AD862" s="321" t="n"/>
      <c r="AE862" s="50" t="n"/>
      <c r="AF862" s="50" t="n"/>
      <c r="AG862" s="50" t="n"/>
    </row>
    <row r="863" ht="15" customHeight="1">
      <c r="T863" s="27" t="n"/>
      <c r="U863" s="10" t="n"/>
      <c r="V863" s="27" t="n"/>
      <c r="W863" s="10" t="n"/>
      <c r="X863" s="10" t="n"/>
      <c r="Y863" s="10" t="n"/>
      <c r="Z863" s="60" t="n"/>
      <c r="AA863" s="141" t="n"/>
      <c r="AB863" s="70" t="n"/>
      <c r="AC863" s="50" t="n"/>
      <c r="AD863" s="321" t="n"/>
      <c r="AE863" s="50" t="n"/>
      <c r="AF863" s="50" t="n"/>
      <c r="AG863" s="50" t="n"/>
    </row>
    <row r="864" ht="15" customHeight="1">
      <c r="T864" s="27" t="n"/>
      <c r="U864" s="10" t="n"/>
      <c r="V864" s="27" t="n"/>
      <c r="W864" s="10" t="n"/>
      <c r="X864" s="10" t="n"/>
      <c r="Y864" s="10" t="n"/>
      <c r="Z864" s="60" t="n"/>
      <c r="AA864" s="141" t="n"/>
      <c r="AB864" s="70" t="n"/>
      <c r="AC864" s="50" t="n"/>
      <c r="AD864" s="321" t="n"/>
      <c r="AE864" s="50" t="n"/>
      <c r="AF864" s="50" t="n"/>
      <c r="AG864" s="50" t="n"/>
    </row>
    <row r="865" ht="15" customHeight="1">
      <c r="T865" s="27" t="n"/>
      <c r="U865" s="10" t="n"/>
      <c r="V865" s="27" t="n"/>
      <c r="W865" s="10" t="n"/>
      <c r="X865" s="10" t="n"/>
      <c r="Y865" s="10" t="n"/>
      <c r="Z865" s="60" t="n"/>
      <c r="AA865" s="141" t="n"/>
      <c r="AB865" s="70" t="n"/>
      <c r="AC865" s="50" t="n"/>
      <c r="AD865" s="321" t="n"/>
      <c r="AE865" s="50" t="n"/>
      <c r="AF865" s="50" t="n"/>
      <c r="AG865" s="50" t="n"/>
    </row>
    <row r="866" ht="15" customHeight="1">
      <c r="T866" s="27" t="n"/>
      <c r="U866" s="10" t="n"/>
      <c r="V866" s="27" t="n"/>
      <c r="W866" s="10" t="n"/>
      <c r="X866" s="10" t="n"/>
      <c r="Y866" s="10" t="n"/>
      <c r="Z866" s="60" t="n"/>
      <c r="AA866" s="141" t="n"/>
      <c r="AB866" s="70" t="n"/>
      <c r="AC866" s="50" t="n"/>
      <c r="AD866" s="321" t="n"/>
      <c r="AE866" s="50" t="n"/>
      <c r="AF866" s="50" t="n"/>
      <c r="AG866" s="50" t="n"/>
    </row>
    <row r="867" ht="15" customHeight="1">
      <c r="T867" s="27" t="n"/>
      <c r="U867" s="10" t="n"/>
      <c r="V867" s="27" t="n"/>
      <c r="W867" s="10" t="n"/>
      <c r="X867" s="10" t="n"/>
      <c r="Y867" s="10" t="n"/>
      <c r="Z867" s="60" t="n"/>
      <c r="AA867" s="141" t="n"/>
      <c r="AB867" s="70" t="n"/>
      <c r="AC867" s="50" t="n"/>
      <c r="AD867" s="321" t="n"/>
      <c r="AE867" s="50" t="n"/>
      <c r="AF867" s="50" t="n"/>
      <c r="AG867" s="50" t="n"/>
    </row>
    <row r="868" ht="15" customHeight="1">
      <c r="T868" s="27" t="n"/>
      <c r="U868" s="10" t="n"/>
      <c r="V868" s="27" t="n"/>
      <c r="W868" s="10" t="n"/>
      <c r="X868" s="10" t="n"/>
      <c r="Y868" s="10" t="n"/>
      <c r="Z868" s="60" t="n"/>
      <c r="AA868" s="141" t="n"/>
      <c r="AB868" s="70" t="n"/>
      <c r="AC868" s="50" t="n"/>
      <c r="AD868" s="321" t="n"/>
      <c r="AE868" s="50" t="n"/>
      <c r="AF868" s="50" t="n"/>
      <c r="AG868" s="50" t="n"/>
    </row>
    <row r="869" ht="15" customHeight="1">
      <c r="T869" s="27" t="n"/>
      <c r="U869" s="10" t="n"/>
      <c r="V869" s="27" t="n"/>
      <c r="W869" s="10" t="n"/>
      <c r="X869" s="10" t="n"/>
      <c r="Y869" s="10" t="n"/>
      <c r="Z869" s="60" t="n"/>
      <c r="AA869" s="141" t="n"/>
      <c r="AB869" s="70" t="n"/>
      <c r="AC869" s="50" t="n"/>
      <c r="AD869" s="321" t="n"/>
      <c r="AE869" s="50" t="n"/>
      <c r="AF869" s="50" t="n"/>
      <c r="AG869" s="50" t="n"/>
    </row>
    <row r="870" ht="15" customHeight="1">
      <c r="T870" s="27" t="n"/>
      <c r="U870" s="10" t="n"/>
      <c r="V870" s="27" t="n"/>
      <c r="W870" s="10" t="n"/>
      <c r="X870" s="10" t="n"/>
      <c r="Y870" s="10" t="n"/>
      <c r="Z870" s="60" t="n"/>
      <c r="AA870" s="141" t="n"/>
      <c r="AB870" s="70" t="n"/>
      <c r="AC870" s="50" t="n"/>
      <c r="AD870" s="321" t="n"/>
      <c r="AE870" s="50" t="n"/>
      <c r="AF870" s="50" t="n"/>
      <c r="AG870" s="50" t="n"/>
    </row>
    <row r="871" ht="15" customHeight="1">
      <c r="T871" s="27" t="n"/>
      <c r="U871" s="10" t="n"/>
      <c r="V871" s="27" t="n"/>
      <c r="W871" s="10" t="n"/>
      <c r="X871" s="10" t="n"/>
      <c r="Y871" s="10" t="n"/>
      <c r="Z871" s="60" t="n"/>
      <c r="AA871" s="141" t="n"/>
      <c r="AB871" s="70" t="n"/>
      <c r="AC871" s="50" t="n"/>
      <c r="AD871" s="321" t="n"/>
      <c r="AE871" s="50" t="n"/>
      <c r="AF871" s="50" t="n"/>
      <c r="AG871" s="50" t="n"/>
    </row>
    <row r="872" ht="15" customHeight="1">
      <c r="T872" s="27" t="n"/>
      <c r="U872" s="10" t="n"/>
      <c r="V872" s="27" t="n"/>
      <c r="W872" s="10" t="n"/>
      <c r="X872" s="10" t="n"/>
      <c r="Y872" s="10" t="n"/>
      <c r="Z872" s="60" t="n"/>
      <c r="AA872" s="141" t="n"/>
      <c r="AB872" s="70" t="n"/>
      <c r="AC872" s="50" t="n"/>
      <c r="AD872" s="321" t="n"/>
      <c r="AE872" s="50" t="n"/>
      <c r="AF872" s="50" t="n"/>
      <c r="AG872" s="50" t="n"/>
    </row>
    <row r="873" ht="15" customHeight="1">
      <c r="T873" s="27" t="n"/>
      <c r="U873" s="10" t="n"/>
      <c r="V873" s="27" t="n"/>
      <c r="W873" s="10" t="n"/>
      <c r="X873" s="10" t="n"/>
      <c r="Y873" s="10" t="n"/>
      <c r="Z873" s="60" t="n"/>
      <c r="AA873" s="141" t="n"/>
      <c r="AB873" s="70" t="n"/>
      <c r="AC873" s="50" t="n"/>
      <c r="AD873" s="321" t="n"/>
      <c r="AE873" s="50" t="n"/>
      <c r="AF873" s="50" t="n"/>
      <c r="AG873" s="50" t="n"/>
    </row>
    <row r="874" ht="15" customHeight="1">
      <c r="T874" s="27" t="n"/>
      <c r="U874" s="10" t="n"/>
      <c r="V874" s="27" t="n"/>
      <c r="W874" s="10" t="n"/>
      <c r="X874" s="10" t="n"/>
      <c r="Y874" s="10" t="n"/>
      <c r="Z874" s="60" t="n"/>
      <c r="AA874" s="141" t="n"/>
      <c r="AB874" s="70" t="n"/>
      <c r="AC874" s="50" t="n"/>
      <c r="AD874" s="321" t="n"/>
      <c r="AE874" s="50" t="n"/>
      <c r="AF874" s="50" t="n"/>
      <c r="AG874" s="50" t="n"/>
    </row>
    <row r="875" ht="15" customHeight="1">
      <c r="T875" s="27" t="n"/>
      <c r="U875" s="10" t="n"/>
      <c r="V875" s="27" t="n"/>
      <c r="W875" s="10" t="n"/>
      <c r="X875" s="10" t="n"/>
      <c r="Y875" s="10" t="n"/>
      <c r="Z875" s="60" t="n"/>
      <c r="AA875" s="141" t="n"/>
      <c r="AB875" s="70" t="n"/>
      <c r="AC875" s="50" t="n"/>
      <c r="AD875" s="321" t="n"/>
      <c r="AE875" s="50" t="n"/>
      <c r="AF875" s="50" t="n"/>
      <c r="AG875" s="50" t="n"/>
    </row>
    <row r="876" ht="15" customHeight="1">
      <c r="T876" s="27" t="n"/>
      <c r="U876" s="10" t="n"/>
      <c r="V876" s="27" t="n"/>
      <c r="W876" s="10" t="n"/>
      <c r="X876" s="10" t="n"/>
      <c r="Y876" s="10" t="n"/>
      <c r="Z876" s="60" t="n"/>
      <c r="AA876" s="141" t="n"/>
      <c r="AB876" s="70" t="n"/>
      <c r="AC876" s="50" t="n"/>
      <c r="AD876" s="321" t="n"/>
      <c r="AE876" s="50" t="n"/>
      <c r="AF876" s="50" t="n"/>
      <c r="AG876" s="50" t="n"/>
    </row>
    <row r="877" ht="15" customHeight="1">
      <c r="T877" s="27" t="n"/>
      <c r="U877" s="10" t="n"/>
      <c r="V877" s="27" t="n"/>
      <c r="W877" s="10" t="n"/>
      <c r="X877" s="10" t="n"/>
      <c r="Y877" s="10" t="n"/>
      <c r="Z877" s="60" t="n"/>
      <c r="AA877" s="141" t="n"/>
      <c r="AB877" s="70" t="n"/>
      <c r="AC877" s="50" t="n"/>
      <c r="AD877" s="321" t="n"/>
      <c r="AE877" s="50" t="n"/>
      <c r="AF877" s="50" t="n"/>
      <c r="AG877" s="50" t="n"/>
    </row>
    <row r="878" ht="15" customHeight="1">
      <c r="T878" s="27" t="n"/>
      <c r="U878" s="10" t="n"/>
      <c r="V878" s="27" t="n"/>
      <c r="W878" s="10" t="n"/>
      <c r="X878" s="10" t="n"/>
      <c r="Y878" s="10" t="n"/>
      <c r="Z878" s="60" t="n"/>
      <c r="AA878" s="141" t="n"/>
      <c r="AB878" s="70" t="n"/>
      <c r="AC878" s="50" t="n"/>
      <c r="AD878" s="321" t="n"/>
      <c r="AE878" s="50" t="n"/>
      <c r="AF878" s="50" t="n"/>
      <c r="AG878" s="50" t="n"/>
    </row>
    <row r="879" ht="15" customHeight="1">
      <c r="T879" s="27" t="n"/>
      <c r="U879" s="10" t="n"/>
      <c r="V879" s="27" t="n"/>
      <c r="W879" s="10" t="n"/>
      <c r="X879" s="10" t="n"/>
      <c r="Y879" s="10" t="n"/>
      <c r="Z879" s="60" t="n"/>
      <c r="AA879" s="141" t="n"/>
      <c r="AB879" s="70" t="n"/>
      <c r="AC879" s="50" t="n"/>
      <c r="AD879" s="321" t="n"/>
      <c r="AE879" s="50" t="n"/>
      <c r="AF879" s="50" t="n"/>
      <c r="AG879" s="50" t="n"/>
    </row>
    <row r="880" ht="15" customHeight="1">
      <c r="T880" s="27" t="n"/>
      <c r="U880" s="10" t="n"/>
      <c r="V880" s="27" t="n"/>
      <c r="W880" s="10" t="n"/>
      <c r="X880" s="10" t="n"/>
      <c r="Y880" s="10" t="n"/>
      <c r="Z880" s="60" t="n"/>
      <c r="AA880" s="141" t="n"/>
      <c r="AB880" s="70" t="n"/>
      <c r="AC880" s="50" t="n"/>
      <c r="AD880" s="321" t="n"/>
      <c r="AE880" s="50" t="n"/>
      <c r="AF880" s="50" t="n"/>
      <c r="AG880" s="50" t="n"/>
    </row>
    <row r="881" ht="15" customHeight="1">
      <c r="T881" s="27" t="n"/>
      <c r="U881" s="10" t="n"/>
      <c r="V881" s="27" t="n"/>
      <c r="W881" s="10" t="n"/>
      <c r="X881" s="10" t="n"/>
      <c r="Y881" s="10" t="n"/>
      <c r="Z881" s="60" t="n"/>
      <c r="AA881" s="141" t="n"/>
      <c r="AB881" s="70" t="n"/>
      <c r="AC881" s="50" t="n"/>
      <c r="AD881" s="321" t="n"/>
      <c r="AE881" s="50" t="n"/>
      <c r="AF881" s="50" t="n"/>
      <c r="AG881" s="50" t="n"/>
    </row>
    <row r="882" ht="15" customHeight="1">
      <c r="T882" s="27" t="n"/>
      <c r="U882" s="10" t="n"/>
      <c r="V882" s="27" t="n"/>
      <c r="W882" s="10" t="n"/>
      <c r="X882" s="10" t="n"/>
      <c r="Y882" s="10" t="n"/>
      <c r="Z882" s="60" t="n"/>
      <c r="AA882" s="141" t="n"/>
      <c r="AB882" s="70" t="n"/>
      <c r="AC882" s="50" t="n"/>
      <c r="AD882" s="321" t="n"/>
      <c r="AE882" s="50" t="n"/>
      <c r="AF882" s="50" t="n"/>
      <c r="AG882" s="50" t="n"/>
    </row>
    <row r="883" ht="15" customHeight="1">
      <c r="T883" s="27" t="n"/>
      <c r="U883" s="10" t="n"/>
      <c r="V883" s="27" t="n"/>
      <c r="W883" s="10" t="n"/>
      <c r="X883" s="10" t="n"/>
      <c r="Y883" s="10" t="n"/>
      <c r="Z883" s="60" t="n"/>
      <c r="AA883" s="141" t="n"/>
      <c r="AB883" s="70" t="n"/>
      <c r="AC883" s="50" t="n"/>
      <c r="AD883" s="321" t="n"/>
      <c r="AE883" s="50" t="n"/>
      <c r="AF883" s="50" t="n"/>
      <c r="AG883" s="50" t="n"/>
    </row>
    <row r="884" ht="15" customHeight="1">
      <c r="T884" s="27" t="n"/>
      <c r="U884" s="10" t="n"/>
      <c r="V884" s="27" t="n"/>
      <c r="W884" s="10" t="n"/>
      <c r="X884" s="10" t="n"/>
      <c r="Y884" s="10" t="n"/>
      <c r="Z884" s="60" t="n"/>
      <c r="AA884" s="141" t="n"/>
      <c r="AB884" s="70" t="n"/>
      <c r="AC884" s="50" t="n"/>
      <c r="AD884" s="321" t="n"/>
      <c r="AE884" s="50" t="n"/>
      <c r="AF884" s="50" t="n"/>
      <c r="AG884" s="50" t="n"/>
    </row>
    <row r="885" ht="15" customHeight="1">
      <c r="T885" s="27" t="n"/>
      <c r="U885" s="10" t="n"/>
      <c r="V885" s="27" t="n"/>
      <c r="W885" s="10" t="n"/>
      <c r="X885" s="10" t="n"/>
      <c r="Y885" s="10" t="n"/>
      <c r="Z885" s="60" t="n"/>
      <c r="AA885" s="141" t="n"/>
      <c r="AB885" s="70" t="n"/>
      <c r="AC885" s="50" t="n"/>
      <c r="AD885" s="321" t="n"/>
      <c r="AE885" s="50" t="n"/>
      <c r="AF885" s="50" t="n"/>
      <c r="AG885" s="50" t="n"/>
    </row>
    <row r="886" ht="15" customHeight="1">
      <c r="T886" s="27" t="n"/>
      <c r="U886" s="10" t="n"/>
      <c r="V886" s="27" t="n"/>
      <c r="W886" s="10" t="n"/>
      <c r="X886" s="10" t="n"/>
      <c r="Y886" s="10" t="n"/>
      <c r="Z886" s="60" t="n"/>
      <c r="AA886" s="141" t="n"/>
      <c r="AB886" s="70" t="n"/>
      <c r="AC886" s="50" t="n"/>
      <c r="AD886" s="321" t="n"/>
      <c r="AE886" s="50" t="n"/>
      <c r="AF886" s="50" t="n"/>
      <c r="AG886" s="50" t="n"/>
    </row>
    <row r="887" ht="15" customHeight="1">
      <c r="T887" s="27" t="n"/>
      <c r="U887" s="10" t="n"/>
      <c r="V887" s="27" t="n"/>
      <c r="W887" s="10" t="n"/>
      <c r="X887" s="10" t="n"/>
      <c r="Y887" s="10" t="n"/>
      <c r="Z887" s="60" t="n"/>
      <c r="AA887" s="141" t="n"/>
      <c r="AB887" s="70" t="n"/>
      <c r="AC887" s="50" t="n"/>
      <c r="AD887" s="321" t="n"/>
      <c r="AE887" s="50" t="n"/>
      <c r="AF887" s="50" t="n"/>
      <c r="AG887" s="50" t="n"/>
    </row>
    <row r="888" ht="15" customHeight="1">
      <c r="T888" s="27" t="n"/>
      <c r="U888" s="10" t="n"/>
      <c r="V888" s="27" t="n"/>
      <c r="W888" s="10" t="n"/>
      <c r="X888" s="10" t="n"/>
      <c r="Y888" s="10" t="n"/>
      <c r="Z888" s="60" t="n"/>
      <c r="AA888" s="141" t="n"/>
      <c r="AB888" s="70" t="n"/>
      <c r="AC888" s="50" t="n"/>
      <c r="AD888" s="321" t="n"/>
      <c r="AE888" s="50" t="n"/>
      <c r="AF888" s="50" t="n"/>
      <c r="AG888" s="50" t="n"/>
    </row>
    <row r="889" ht="15" customHeight="1">
      <c r="T889" s="27" t="n"/>
      <c r="U889" s="10" t="n"/>
      <c r="V889" s="27" t="n"/>
      <c r="W889" s="10" t="n"/>
      <c r="X889" s="10" t="n"/>
      <c r="Y889" s="10" t="n"/>
      <c r="Z889" s="60" t="n"/>
      <c r="AA889" s="141" t="n"/>
      <c r="AB889" s="70" t="n"/>
      <c r="AC889" s="50" t="n"/>
      <c r="AD889" s="321" t="n"/>
      <c r="AE889" s="50" t="n"/>
      <c r="AF889" s="50" t="n"/>
      <c r="AG889" s="50" t="n"/>
    </row>
    <row r="890" ht="15" customHeight="1">
      <c r="T890" s="27" t="n"/>
      <c r="U890" s="10" t="n"/>
      <c r="V890" s="27" t="n"/>
      <c r="W890" s="10" t="n"/>
      <c r="X890" s="10" t="n"/>
      <c r="Y890" s="10" t="n"/>
      <c r="Z890" s="60" t="n"/>
      <c r="AA890" s="141" t="n"/>
      <c r="AB890" s="70" t="n"/>
      <c r="AC890" s="50" t="n"/>
      <c r="AD890" s="321" t="n"/>
      <c r="AE890" s="50" t="n"/>
      <c r="AF890" s="50" t="n"/>
      <c r="AG890" s="50" t="n"/>
    </row>
    <row r="891" ht="15" customHeight="1">
      <c r="T891" s="27" t="n"/>
      <c r="U891" s="10" t="n"/>
      <c r="V891" s="27" t="n"/>
      <c r="W891" s="10" t="n"/>
      <c r="X891" s="10" t="n"/>
      <c r="Y891" s="10" t="n"/>
      <c r="Z891" s="60" t="n"/>
      <c r="AA891" s="141" t="n"/>
      <c r="AB891" s="70" t="n"/>
      <c r="AC891" s="50" t="n"/>
      <c r="AD891" s="321" t="n"/>
      <c r="AE891" s="50" t="n"/>
      <c r="AF891" s="50" t="n"/>
      <c r="AG891" s="50" t="n"/>
    </row>
    <row r="892" ht="15" customHeight="1">
      <c r="T892" s="27" t="n"/>
      <c r="U892" s="10" t="n"/>
      <c r="V892" s="27" t="n"/>
      <c r="W892" s="10" t="n"/>
      <c r="X892" s="10" t="n"/>
      <c r="Y892" s="10" t="n"/>
      <c r="Z892" s="60" t="n"/>
      <c r="AA892" s="141" t="n"/>
      <c r="AB892" s="70" t="n"/>
      <c r="AC892" s="50" t="n"/>
      <c r="AD892" s="321" t="n"/>
      <c r="AE892" s="50" t="n"/>
      <c r="AF892" s="50" t="n"/>
      <c r="AG892" s="50" t="n"/>
    </row>
    <row r="893" ht="15" customHeight="1">
      <c r="T893" s="27" t="n"/>
      <c r="U893" s="10" t="n"/>
      <c r="V893" s="27" t="n"/>
      <c r="W893" s="10" t="n"/>
      <c r="X893" s="10" t="n"/>
      <c r="Y893" s="10" t="n"/>
      <c r="Z893" s="60" t="n"/>
      <c r="AA893" s="141" t="n"/>
      <c r="AB893" s="70" t="n"/>
      <c r="AC893" s="50" t="n"/>
      <c r="AD893" s="321" t="n"/>
      <c r="AE893" s="50" t="n"/>
      <c r="AF893" s="50" t="n"/>
      <c r="AG893" s="50" t="n"/>
    </row>
    <row r="894" ht="15" customHeight="1">
      <c r="T894" s="27" t="n"/>
      <c r="U894" s="10" t="n"/>
      <c r="V894" s="27" t="n"/>
      <c r="W894" s="10" t="n"/>
      <c r="X894" s="10" t="n"/>
      <c r="Y894" s="10" t="n"/>
      <c r="Z894" s="60" t="n"/>
      <c r="AA894" s="141" t="n"/>
      <c r="AB894" s="70" t="n"/>
      <c r="AC894" s="50" t="n"/>
      <c r="AD894" s="321" t="n"/>
      <c r="AE894" s="50" t="n"/>
      <c r="AF894" s="50" t="n"/>
      <c r="AG894" s="50" t="n"/>
    </row>
    <row r="895" ht="15" customHeight="1">
      <c r="T895" s="27" t="n"/>
      <c r="U895" s="10" t="n"/>
      <c r="V895" s="27" t="n"/>
      <c r="W895" s="10" t="n"/>
      <c r="X895" s="10" t="n"/>
      <c r="Y895" s="10" t="n"/>
      <c r="Z895" s="60" t="n"/>
      <c r="AA895" s="141" t="n"/>
      <c r="AB895" s="70" t="n"/>
      <c r="AC895" s="50" t="n"/>
      <c r="AD895" s="321" t="n"/>
      <c r="AE895" s="50" t="n"/>
      <c r="AF895" s="50" t="n"/>
      <c r="AG895" s="50" t="n"/>
    </row>
    <row r="896" ht="15" customHeight="1">
      <c r="T896" s="27" t="n"/>
      <c r="U896" s="10" t="n"/>
      <c r="V896" s="27" t="n"/>
      <c r="W896" s="10" t="n"/>
      <c r="X896" s="10" t="n"/>
      <c r="Y896" s="10" t="n"/>
      <c r="Z896" s="60" t="n"/>
      <c r="AA896" s="141" t="n"/>
      <c r="AB896" s="70" t="n"/>
      <c r="AC896" s="50" t="n"/>
      <c r="AD896" s="321" t="n"/>
      <c r="AE896" s="50" t="n"/>
      <c r="AF896" s="50" t="n"/>
      <c r="AG896" s="50" t="n"/>
    </row>
    <row r="897" ht="15" customHeight="1">
      <c r="T897" s="27" t="n"/>
      <c r="U897" s="10" t="n"/>
      <c r="V897" s="27" t="n"/>
      <c r="W897" s="10" t="n"/>
      <c r="X897" s="10" t="n"/>
      <c r="Y897" s="10" t="n"/>
      <c r="Z897" s="60" t="n"/>
      <c r="AA897" s="141" t="n"/>
      <c r="AB897" s="70" t="n"/>
      <c r="AC897" s="50" t="n"/>
      <c r="AD897" s="321" t="n"/>
      <c r="AE897" s="50" t="n"/>
      <c r="AF897" s="50" t="n"/>
      <c r="AG897" s="50" t="n"/>
    </row>
    <row r="898" ht="15" customHeight="1">
      <c r="T898" s="27" t="n"/>
      <c r="U898" s="10" t="n"/>
      <c r="V898" s="27" t="n"/>
      <c r="W898" s="10" t="n"/>
      <c r="X898" s="10" t="n"/>
      <c r="Y898" s="10" t="n"/>
      <c r="Z898" s="60" t="n"/>
      <c r="AA898" s="141" t="n"/>
      <c r="AB898" s="70" t="n"/>
      <c r="AC898" s="50" t="n"/>
      <c r="AD898" s="321" t="n"/>
      <c r="AE898" s="50" t="n"/>
      <c r="AF898" s="50" t="n"/>
      <c r="AG898" s="50" t="n"/>
    </row>
    <row r="899" ht="15" customHeight="1">
      <c r="T899" s="27" t="n"/>
      <c r="U899" s="10" t="n"/>
      <c r="V899" s="27" t="n"/>
      <c r="W899" s="10" t="n"/>
      <c r="X899" s="10" t="n"/>
      <c r="Y899" s="10" t="n"/>
      <c r="Z899" s="60" t="n"/>
      <c r="AA899" s="141" t="n"/>
      <c r="AB899" s="70" t="n"/>
      <c r="AC899" s="50" t="n"/>
      <c r="AD899" s="321" t="n"/>
      <c r="AE899" s="50" t="n"/>
      <c r="AF899" s="50" t="n"/>
      <c r="AG899" s="50" t="n"/>
    </row>
    <row r="900" ht="15" customHeight="1">
      <c r="T900" s="27" t="n"/>
      <c r="U900" s="10" t="n"/>
      <c r="V900" s="27" t="n"/>
      <c r="W900" s="10" t="n"/>
      <c r="X900" s="10" t="n"/>
      <c r="Y900" s="10" t="n"/>
      <c r="Z900" s="60" t="n"/>
      <c r="AA900" s="141" t="n"/>
      <c r="AB900" s="70" t="n"/>
      <c r="AC900" s="50" t="n"/>
      <c r="AD900" s="321" t="n"/>
      <c r="AE900" s="50" t="n"/>
      <c r="AF900" s="50" t="n"/>
      <c r="AG900" s="50" t="n"/>
    </row>
    <row r="901" ht="15" customHeight="1">
      <c r="T901" s="27" t="n"/>
      <c r="U901" s="10" t="n"/>
      <c r="V901" s="27" t="n"/>
      <c r="W901" s="10" t="n"/>
      <c r="X901" s="10" t="n"/>
      <c r="Y901" s="10" t="n"/>
      <c r="Z901" s="60" t="n"/>
      <c r="AA901" s="141" t="n"/>
      <c r="AB901" s="70" t="n"/>
      <c r="AC901" s="50" t="n"/>
      <c r="AD901" s="321" t="n"/>
      <c r="AE901" s="50" t="n"/>
      <c r="AF901" s="50" t="n"/>
      <c r="AG901" s="50" t="n"/>
    </row>
    <row r="902" ht="15" customHeight="1">
      <c r="T902" s="27" t="n"/>
      <c r="U902" s="10" t="n"/>
      <c r="V902" s="27" t="n"/>
      <c r="W902" s="10" t="n"/>
      <c r="X902" s="10" t="n"/>
      <c r="Y902" s="10" t="n"/>
      <c r="Z902" s="60" t="n"/>
      <c r="AA902" s="141" t="n"/>
      <c r="AB902" s="70" t="n"/>
      <c r="AC902" s="50" t="n"/>
      <c r="AD902" s="321" t="n"/>
      <c r="AE902" s="50" t="n"/>
      <c r="AF902" s="50" t="n"/>
      <c r="AG902" s="50" t="n"/>
    </row>
    <row r="903" ht="15" customHeight="1">
      <c r="T903" s="27" t="n"/>
      <c r="U903" s="10" t="n"/>
      <c r="V903" s="27" t="n"/>
      <c r="W903" s="10" t="n"/>
      <c r="X903" s="10" t="n"/>
      <c r="Y903" s="10" t="n"/>
      <c r="Z903" s="60" t="n"/>
      <c r="AA903" s="141" t="n"/>
      <c r="AB903" s="70" t="n"/>
      <c r="AC903" s="50" t="n"/>
      <c r="AD903" s="321" t="n"/>
      <c r="AE903" s="50" t="n"/>
      <c r="AF903" s="50" t="n"/>
      <c r="AG903" s="50" t="n"/>
    </row>
    <row r="904" ht="15" customHeight="1">
      <c r="T904" s="27" t="n"/>
      <c r="U904" s="10" t="n"/>
      <c r="V904" s="27" t="n"/>
      <c r="W904" s="10" t="n"/>
      <c r="X904" s="10" t="n"/>
      <c r="Y904" s="10" t="n"/>
      <c r="Z904" s="60" t="n"/>
      <c r="AA904" s="141" t="n"/>
      <c r="AB904" s="70" t="n"/>
      <c r="AC904" s="50" t="n"/>
      <c r="AD904" s="321" t="n"/>
      <c r="AE904" s="50" t="n"/>
      <c r="AF904" s="50" t="n"/>
      <c r="AG904" s="50" t="n"/>
    </row>
    <row r="905" ht="15" customHeight="1">
      <c r="T905" s="27" t="n"/>
      <c r="U905" s="10" t="n"/>
      <c r="V905" s="27" t="n"/>
      <c r="W905" s="10" t="n"/>
      <c r="X905" s="10" t="n"/>
      <c r="Y905" s="10" t="n"/>
      <c r="Z905" s="60" t="n"/>
      <c r="AA905" s="141" t="n"/>
      <c r="AB905" s="70" t="n"/>
      <c r="AC905" s="50" t="n"/>
      <c r="AD905" s="321" t="n"/>
      <c r="AE905" s="50" t="n"/>
      <c r="AF905" s="50" t="n"/>
      <c r="AG905" s="50" t="n"/>
    </row>
    <row r="906" ht="15" customHeight="1">
      <c r="T906" s="27" t="n"/>
      <c r="U906" s="10" t="n"/>
      <c r="V906" s="27" t="n"/>
      <c r="W906" s="10" t="n"/>
      <c r="X906" s="10" t="n"/>
      <c r="Y906" s="10" t="n"/>
      <c r="Z906" s="60" t="n"/>
      <c r="AA906" s="141" t="n"/>
      <c r="AB906" s="70" t="n"/>
      <c r="AC906" s="50" t="n"/>
      <c r="AD906" s="321" t="n"/>
      <c r="AE906" s="50" t="n"/>
      <c r="AF906" s="50" t="n"/>
      <c r="AG906" s="50" t="n"/>
    </row>
    <row r="907" ht="15" customHeight="1">
      <c r="T907" s="27" t="n"/>
      <c r="U907" s="10" t="n"/>
      <c r="V907" s="27" t="n"/>
      <c r="W907" s="10" t="n"/>
      <c r="X907" s="10" t="n"/>
      <c r="Y907" s="10" t="n"/>
      <c r="Z907" s="60" t="n"/>
      <c r="AA907" s="141" t="n"/>
      <c r="AB907" s="70" t="n"/>
      <c r="AC907" s="50" t="n"/>
      <c r="AD907" s="321" t="n"/>
      <c r="AE907" s="50" t="n"/>
      <c r="AF907" s="50" t="n"/>
      <c r="AG907" s="50" t="n"/>
    </row>
    <row r="908" ht="15" customHeight="1">
      <c r="T908" s="27" t="n"/>
      <c r="U908" s="10" t="n"/>
      <c r="V908" s="27" t="n"/>
      <c r="W908" s="10" t="n"/>
      <c r="X908" s="10" t="n"/>
      <c r="Y908" s="10" t="n"/>
      <c r="Z908" s="60" t="n"/>
      <c r="AA908" s="141" t="n"/>
      <c r="AB908" s="70" t="n"/>
      <c r="AC908" s="50" t="n"/>
      <c r="AD908" s="321" t="n"/>
      <c r="AE908" s="50" t="n"/>
      <c r="AF908" s="50" t="n"/>
      <c r="AG908" s="50" t="n"/>
    </row>
    <row r="909" ht="15" customHeight="1">
      <c r="T909" s="27" t="n"/>
      <c r="U909" s="10" t="n"/>
      <c r="V909" s="27" t="n"/>
      <c r="W909" s="10" t="n"/>
      <c r="X909" s="10" t="n"/>
      <c r="Y909" s="10" t="n"/>
      <c r="Z909" s="60" t="n"/>
      <c r="AA909" s="141" t="n"/>
      <c r="AB909" s="70" t="n"/>
      <c r="AC909" s="50" t="n"/>
      <c r="AD909" s="321" t="n"/>
      <c r="AE909" s="50" t="n"/>
      <c r="AF909" s="50" t="n"/>
      <c r="AG909" s="50" t="n"/>
    </row>
    <row r="910" ht="15" customHeight="1">
      <c r="T910" s="27" t="n"/>
      <c r="U910" s="10" t="n"/>
      <c r="V910" s="27" t="n"/>
      <c r="W910" s="10" t="n"/>
      <c r="X910" s="10" t="n"/>
      <c r="Y910" s="10" t="n"/>
      <c r="Z910" s="60" t="n"/>
      <c r="AA910" s="141" t="n"/>
      <c r="AB910" s="70" t="n"/>
      <c r="AC910" s="50" t="n"/>
      <c r="AD910" s="321" t="n"/>
      <c r="AE910" s="50" t="n"/>
      <c r="AF910" s="50" t="n"/>
      <c r="AG910" s="50" t="n"/>
    </row>
    <row r="911" ht="15" customHeight="1">
      <c r="T911" s="27" t="n"/>
      <c r="U911" s="10" t="n"/>
      <c r="V911" s="27" t="n"/>
      <c r="W911" s="10" t="n"/>
      <c r="X911" s="10" t="n"/>
      <c r="Y911" s="10" t="n"/>
      <c r="Z911" s="60" t="n"/>
      <c r="AA911" s="141" t="n"/>
      <c r="AB911" s="70" t="n"/>
      <c r="AC911" s="50" t="n"/>
      <c r="AD911" s="321" t="n"/>
      <c r="AE911" s="50" t="n"/>
      <c r="AF911" s="50" t="n"/>
      <c r="AG911" s="50" t="n"/>
    </row>
    <row r="912" ht="15" customHeight="1">
      <c r="T912" s="27" t="n"/>
      <c r="U912" s="10" t="n"/>
      <c r="V912" s="27" t="n"/>
      <c r="W912" s="10" t="n"/>
      <c r="X912" s="10" t="n"/>
      <c r="Y912" s="10" t="n"/>
      <c r="Z912" s="60" t="n"/>
      <c r="AA912" s="141" t="n"/>
      <c r="AB912" s="70" t="n"/>
      <c r="AC912" s="50" t="n"/>
      <c r="AD912" s="321" t="n"/>
      <c r="AE912" s="50" t="n"/>
      <c r="AF912" s="50" t="n"/>
      <c r="AG912" s="50" t="n"/>
    </row>
    <row r="913" ht="15" customHeight="1">
      <c r="T913" s="27" t="n"/>
      <c r="U913" s="10" t="n"/>
      <c r="V913" s="27" t="n"/>
      <c r="W913" s="10" t="n"/>
      <c r="X913" s="10" t="n"/>
      <c r="Y913" s="10" t="n"/>
      <c r="Z913" s="60" t="n"/>
      <c r="AA913" s="141" t="n"/>
      <c r="AB913" s="70" t="n"/>
      <c r="AC913" s="50" t="n"/>
      <c r="AD913" s="321" t="n"/>
      <c r="AE913" s="50" t="n"/>
      <c r="AF913" s="50" t="n"/>
      <c r="AG913" s="50" t="n"/>
    </row>
    <row r="914" ht="15" customHeight="1">
      <c r="T914" s="27" t="n"/>
      <c r="U914" s="10" t="n"/>
      <c r="V914" s="27" t="n"/>
      <c r="W914" s="10" t="n"/>
      <c r="X914" s="10" t="n"/>
      <c r="Y914" s="10" t="n"/>
      <c r="Z914" s="60" t="n"/>
      <c r="AA914" s="141" t="n"/>
      <c r="AB914" s="70" t="n"/>
      <c r="AC914" s="50" t="n"/>
      <c r="AD914" s="321" t="n"/>
      <c r="AE914" s="50" t="n"/>
      <c r="AF914" s="50" t="n"/>
      <c r="AG914" s="50" t="n"/>
    </row>
    <row r="915" ht="15" customHeight="1">
      <c r="T915" s="27" t="n"/>
      <c r="U915" s="10" t="n"/>
      <c r="V915" s="27" t="n"/>
      <c r="W915" s="10" t="n"/>
      <c r="X915" s="10" t="n"/>
      <c r="Y915" s="10" t="n"/>
      <c r="Z915" s="60" t="n"/>
      <c r="AA915" s="141" t="n"/>
      <c r="AB915" s="70" t="n"/>
      <c r="AC915" s="50" t="n"/>
      <c r="AD915" s="321" t="n"/>
      <c r="AE915" s="50" t="n"/>
      <c r="AF915" s="50" t="n"/>
      <c r="AG915" s="50" t="n"/>
    </row>
    <row r="916" ht="15" customHeight="1">
      <c r="T916" s="27" t="n"/>
      <c r="U916" s="10" t="n"/>
      <c r="V916" s="27" t="n"/>
      <c r="W916" s="10" t="n"/>
      <c r="X916" s="10" t="n"/>
      <c r="Y916" s="10" t="n"/>
      <c r="Z916" s="60" t="n"/>
      <c r="AA916" s="141" t="n"/>
      <c r="AB916" s="70" t="n"/>
      <c r="AC916" s="50" t="n"/>
      <c r="AD916" s="321" t="n"/>
      <c r="AE916" s="50" t="n"/>
      <c r="AF916" s="50" t="n"/>
      <c r="AG916" s="50" t="n"/>
    </row>
    <row r="917" ht="15" customHeight="1">
      <c r="T917" s="27" t="n"/>
      <c r="U917" s="10" t="n"/>
      <c r="V917" s="27" t="n"/>
      <c r="W917" s="10" t="n"/>
      <c r="X917" s="10" t="n"/>
      <c r="Y917" s="10" t="n"/>
      <c r="Z917" s="60" t="n"/>
      <c r="AA917" s="141" t="n"/>
      <c r="AB917" s="70" t="n"/>
      <c r="AC917" s="50" t="n"/>
      <c r="AD917" s="321" t="n"/>
      <c r="AE917" s="50" t="n"/>
      <c r="AF917" s="50" t="n"/>
      <c r="AG917" s="50" t="n"/>
    </row>
    <row r="918" ht="15" customHeight="1">
      <c r="T918" s="27" t="n"/>
      <c r="U918" s="10" t="n"/>
      <c r="V918" s="27" t="n"/>
      <c r="W918" s="10" t="n"/>
      <c r="X918" s="10" t="n"/>
      <c r="Y918" s="10" t="n"/>
      <c r="Z918" s="60" t="n"/>
      <c r="AA918" s="141" t="n"/>
      <c r="AB918" s="70" t="n"/>
      <c r="AC918" s="50" t="n"/>
      <c r="AD918" s="321" t="n"/>
      <c r="AE918" s="50" t="n"/>
      <c r="AF918" s="50" t="n"/>
      <c r="AG918" s="50" t="n"/>
    </row>
    <row r="919" ht="15" customHeight="1">
      <c r="T919" s="27" t="n"/>
      <c r="U919" s="10" t="n"/>
      <c r="V919" s="27" t="n"/>
      <c r="W919" s="10" t="n"/>
      <c r="X919" s="10" t="n"/>
      <c r="Y919" s="10" t="n"/>
      <c r="Z919" s="60" t="n"/>
      <c r="AA919" s="141" t="n"/>
      <c r="AB919" s="70" t="n"/>
      <c r="AC919" s="50" t="n"/>
      <c r="AD919" s="321" t="n"/>
      <c r="AE919" s="50" t="n"/>
      <c r="AF919" s="50" t="n"/>
      <c r="AG919" s="50" t="n"/>
    </row>
    <row r="920" ht="15" customHeight="1">
      <c r="T920" s="27" t="n"/>
      <c r="U920" s="10" t="n"/>
      <c r="V920" s="27" t="n"/>
      <c r="W920" s="10" t="n"/>
      <c r="X920" s="10" t="n"/>
      <c r="Y920" s="10" t="n"/>
      <c r="Z920" s="60" t="n"/>
      <c r="AA920" s="141" t="n"/>
      <c r="AB920" s="70" t="n"/>
      <c r="AC920" s="50" t="n"/>
      <c r="AD920" s="321" t="n"/>
      <c r="AE920" s="50" t="n"/>
      <c r="AF920" s="50" t="n"/>
      <c r="AG920" s="50" t="n"/>
    </row>
    <row r="921" ht="15" customHeight="1">
      <c r="T921" s="27" t="n"/>
      <c r="U921" s="10" t="n"/>
      <c r="V921" s="27" t="n"/>
      <c r="W921" s="10" t="n"/>
      <c r="X921" s="10" t="n"/>
      <c r="Y921" s="10" t="n"/>
      <c r="Z921" s="60" t="n"/>
      <c r="AA921" s="141" t="n"/>
      <c r="AB921" s="70" t="n"/>
      <c r="AC921" s="50" t="n"/>
      <c r="AD921" s="321" t="n"/>
      <c r="AE921" s="50" t="n"/>
      <c r="AF921" s="50" t="n"/>
      <c r="AG921" s="50" t="n"/>
    </row>
    <row r="922" ht="15" customHeight="1">
      <c r="T922" s="27" t="n"/>
      <c r="U922" s="10" t="n"/>
      <c r="V922" s="27" t="n"/>
      <c r="W922" s="10" t="n"/>
      <c r="X922" s="10" t="n"/>
      <c r="Y922" s="10" t="n"/>
      <c r="Z922" s="60" t="n"/>
      <c r="AA922" s="141" t="n"/>
      <c r="AB922" s="70" t="n"/>
      <c r="AC922" s="50" t="n"/>
      <c r="AD922" s="321" t="n"/>
      <c r="AE922" s="50" t="n"/>
      <c r="AF922" s="50" t="n"/>
      <c r="AG922" s="50" t="n"/>
    </row>
    <row r="923" ht="15" customHeight="1">
      <c r="T923" s="27" t="n"/>
      <c r="U923" s="10" t="n"/>
      <c r="V923" s="27" t="n"/>
      <c r="W923" s="10" t="n"/>
      <c r="X923" s="10" t="n"/>
      <c r="Y923" s="10" t="n"/>
      <c r="Z923" s="60" t="n"/>
      <c r="AA923" s="141" t="n"/>
      <c r="AB923" s="70" t="n"/>
      <c r="AC923" s="50" t="n"/>
      <c r="AD923" s="321" t="n"/>
      <c r="AE923" s="50" t="n"/>
      <c r="AF923" s="50" t="n"/>
      <c r="AG923" s="50" t="n"/>
    </row>
    <row r="924" ht="15" customHeight="1">
      <c r="T924" s="27" t="n"/>
      <c r="U924" s="10" t="n"/>
      <c r="V924" s="27" t="n"/>
      <c r="W924" s="10" t="n"/>
      <c r="X924" s="10" t="n"/>
      <c r="Y924" s="10" t="n"/>
      <c r="Z924" s="60" t="n"/>
      <c r="AA924" s="141" t="n"/>
      <c r="AB924" s="70" t="n"/>
      <c r="AC924" s="50" t="n"/>
      <c r="AD924" s="321" t="n"/>
      <c r="AE924" s="50" t="n"/>
      <c r="AF924" s="50" t="n"/>
      <c r="AG924" s="50" t="n"/>
    </row>
    <row r="925" ht="15" customHeight="1">
      <c r="T925" s="27" t="n"/>
      <c r="U925" s="10" t="n"/>
      <c r="V925" s="27" t="n"/>
      <c r="W925" s="10" t="n"/>
      <c r="X925" s="10" t="n"/>
      <c r="Y925" s="10" t="n"/>
      <c r="Z925" s="60" t="n"/>
      <c r="AA925" s="141" t="n"/>
      <c r="AB925" s="70" t="n"/>
      <c r="AC925" s="50" t="n"/>
      <c r="AD925" s="321" t="n"/>
      <c r="AE925" s="50" t="n"/>
      <c r="AF925" s="50" t="n"/>
      <c r="AG925" s="50" t="n"/>
    </row>
    <row r="926" ht="15" customHeight="1">
      <c r="T926" s="27" t="n"/>
      <c r="U926" s="10" t="n"/>
      <c r="V926" s="27" t="n"/>
      <c r="W926" s="10" t="n"/>
      <c r="X926" s="10" t="n"/>
      <c r="Y926" s="10" t="n"/>
      <c r="Z926" s="60" t="n"/>
      <c r="AA926" s="141" t="n"/>
      <c r="AB926" s="70" t="n"/>
      <c r="AC926" s="50" t="n"/>
      <c r="AD926" s="321" t="n"/>
      <c r="AE926" s="50" t="n"/>
      <c r="AF926" s="50" t="n"/>
      <c r="AG926" s="50" t="n"/>
    </row>
    <row r="927" ht="15" customHeight="1">
      <c r="T927" s="27" t="n"/>
      <c r="U927" s="10" t="n"/>
      <c r="V927" s="27" t="n"/>
      <c r="W927" s="10" t="n"/>
      <c r="X927" s="10" t="n"/>
      <c r="Y927" s="10" t="n"/>
      <c r="Z927" s="60" t="n"/>
      <c r="AA927" s="141" t="n"/>
      <c r="AB927" s="70" t="n"/>
      <c r="AC927" s="50" t="n"/>
      <c r="AD927" s="321" t="n"/>
      <c r="AE927" s="50" t="n"/>
      <c r="AF927" s="50" t="n"/>
      <c r="AG927" s="50" t="n"/>
    </row>
    <row r="928" ht="15" customHeight="1">
      <c r="T928" s="27" t="n"/>
      <c r="U928" s="10" t="n"/>
      <c r="V928" s="27" t="n"/>
      <c r="W928" s="10" t="n"/>
      <c r="X928" s="10" t="n"/>
      <c r="Y928" s="10" t="n"/>
      <c r="Z928" s="60" t="n"/>
      <c r="AA928" s="141" t="n"/>
      <c r="AB928" s="70" t="n"/>
      <c r="AC928" s="50" t="n"/>
      <c r="AD928" s="321" t="n"/>
      <c r="AE928" s="50" t="n"/>
      <c r="AF928" s="50" t="n"/>
      <c r="AG928" s="50" t="n"/>
    </row>
    <row r="929" ht="15" customHeight="1">
      <c r="T929" s="27" t="n"/>
      <c r="U929" s="10" t="n"/>
      <c r="V929" s="27" t="n"/>
      <c r="W929" s="10" t="n"/>
      <c r="X929" s="10" t="n"/>
      <c r="Y929" s="10" t="n"/>
      <c r="Z929" s="60" t="n"/>
      <c r="AA929" s="141" t="n"/>
      <c r="AB929" s="70" t="n"/>
      <c r="AC929" s="50" t="n"/>
      <c r="AD929" s="321" t="n"/>
      <c r="AE929" s="50" t="n"/>
      <c r="AF929" s="50" t="n"/>
      <c r="AG929" s="50" t="n"/>
    </row>
    <row r="930" ht="15" customHeight="1">
      <c r="T930" s="27" t="n"/>
      <c r="U930" s="10" t="n"/>
      <c r="V930" s="27" t="n"/>
      <c r="W930" s="10" t="n"/>
      <c r="X930" s="10" t="n"/>
      <c r="Y930" s="10" t="n"/>
      <c r="Z930" s="60" t="n"/>
      <c r="AA930" s="141" t="n"/>
      <c r="AB930" s="70" t="n"/>
      <c r="AC930" s="50" t="n"/>
      <c r="AD930" s="321" t="n"/>
      <c r="AE930" s="50" t="n"/>
      <c r="AF930" s="50" t="n"/>
      <c r="AG930" s="50" t="n"/>
    </row>
    <row r="931" ht="15" customHeight="1">
      <c r="T931" s="27" t="n"/>
      <c r="U931" s="10" t="n"/>
      <c r="V931" s="27" t="n"/>
      <c r="W931" s="10" t="n"/>
      <c r="X931" s="10" t="n"/>
      <c r="Y931" s="10" t="n"/>
      <c r="Z931" s="60" t="n"/>
      <c r="AA931" s="141" t="n"/>
      <c r="AB931" s="70" t="n"/>
      <c r="AC931" s="50" t="n"/>
      <c r="AD931" s="321" t="n"/>
      <c r="AE931" s="50" t="n"/>
      <c r="AF931" s="50" t="n"/>
      <c r="AG931" s="50" t="n"/>
    </row>
    <row r="932" ht="15" customHeight="1">
      <c r="T932" s="27" t="n"/>
      <c r="U932" s="10" t="n"/>
      <c r="V932" s="27" t="n"/>
      <c r="W932" s="10" t="n"/>
      <c r="X932" s="10" t="n"/>
      <c r="Y932" s="10" t="n"/>
      <c r="Z932" s="60" t="n"/>
      <c r="AA932" s="141" t="n"/>
      <c r="AB932" s="70" t="n"/>
      <c r="AC932" s="50" t="n"/>
      <c r="AD932" s="321" t="n"/>
      <c r="AE932" s="50" t="n"/>
      <c r="AF932" s="50" t="n"/>
      <c r="AG932" s="50" t="n"/>
    </row>
    <row r="933" ht="15" customHeight="1">
      <c r="T933" s="27" t="n"/>
      <c r="U933" s="10" t="n"/>
      <c r="V933" s="27" t="n"/>
      <c r="W933" s="10" t="n"/>
      <c r="X933" s="10" t="n"/>
      <c r="Y933" s="10" t="n"/>
      <c r="Z933" s="60" t="n"/>
      <c r="AA933" s="141" t="n"/>
      <c r="AB933" s="70" t="n"/>
      <c r="AC933" s="50" t="n"/>
      <c r="AD933" s="321" t="n"/>
      <c r="AE933" s="50" t="n"/>
      <c r="AF933" s="50" t="n"/>
      <c r="AG933" s="50" t="n"/>
    </row>
    <row r="934" ht="15" customHeight="1">
      <c r="T934" s="27" t="n"/>
      <c r="U934" s="10" t="n"/>
      <c r="V934" s="27" t="n"/>
      <c r="W934" s="10" t="n"/>
      <c r="X934" s="10" t="n"/>
      <c r="Y934" s="10" t="n"/>
      <c r="Z934" s="60" t="n"/>
      <c r="AA934" s="141" t="n"/>
      <c r="AB934" s="70" t="n"/>
      <c r="AC934" s="50" t="n"/>
      <c r="AD934" s="321" t="n"/>
      <c r="AE934" s="50" t="n"/>
      <c r="AF934" s="50" t="n"/>
      <c r="AG934" s="50" t="n"/>
    </row>
    <row r="935" ht="15" customHeight="1">
      <c r="T935" s="27" t="n"/>
      <c r="U935" s="10" t="n"/>
      <c r="V935" s="27" t="n"/>
      <c r="W935" s="10" t="n"/>
      <c r="X935" s="10" t="n"/>
      <c r="Y935" s="10" t="n"/>
      <c r="Z935" s="60" t="n"/>
      <c r="AA935" s="141" t="n"/>
      <c r="AB935" s="70" t="n"/>
      <c r="AC935" s="50" t="n"/>
      <c r="AD935" s="321" t="n"/>
      <c r="AE935" s="50" t="n"/>
      <c r="AF935" s="50" t="n"/>
      <c r="AG935" s="50" t="n"/>
    </row>
    <row r="936" ht="15" customHeight="1">
      <c r="T936" s="27" t="n"/>
      <c r="U936" s="10" t="n"/>
      <c r="V936" s="27" t="n"/>
      <c r="W936" s="10" t="n"/>
      <c r="X936" s="10" t="n"/>
      <c r="Y936" s="10" t="n"/>
      <c r="Z936" s="60" t="n"/>
      <c r="AA936" s="141" t="n"/>
      <c r="AB936" s="70" t="n"/>
      <c r="AC936" s="50" t="n"/>
      <c r="AD936" s="321" t="n"/>
      <c r="AE936" s="50" t="n"/>
      <c r="AF936" s="50" t="n"/>
      <c r="AG936" s="50" t="n"/>
    </row>
    <row r="937" ht="15" customHeight="1">
      <c r="T937" s="27" t="n"/>
      <c r="U937" s="10" t="n"/>
      <c r="V937" s="27" t="n"/>
      <c r="W937" s="10" t="n"/>
      <c r="X937" s="10" t="n"/>
      <c r="Y937" s="10" t="n"/>
      <c r="Z937" s="60" t="n"/>
      <c r="AA937" s="141" t="n"/>
      <c r="AB937" s="70" t="n"/>
      <c r="AC937" s="50" t="n"/>
      <c r="AD937" s="321" t="n"/>
      <c r="AE937" s="50" t="n"/>
      <c r="AF937" s="50" t="n"/>
      <c r="AG937" s="50" t="n"/>
    </row>
    <row r="938" ht="15" customHeight="1">
      <c r="F938" s="50" t="n"/>
      <c r="G938" s="70" t="n"/>
      <c r="H938" s="70" t="n"/>
      <c r="I938" s="119" t="n"/>
      <c r="J938" s="119" t="n"/>
      <c r="K938" s="50" t="n"/>
      <c r="L938" s="70" t="n"/>
      <c r="M938" s="70" t="n"/>
      <c r="N938" s="70" t="n"/>
      <c r="O938" s="70" t="n"/>
      <c r="P938" s="119" t="n"/>
      <c r="Q938" s="70" t="n"/>
      <c r="R938" s="70" t="n"/>
      <c r="S938" s="70" t="n"/>
      <c r="T938" s="27" t="n"/>
      <c r="U938" s="10" t="n"/>
      <c r="V938" s="27" t="n"/>
      <c r="W938" s="10" t="n"/>
      <c r="X938" s="10" t="n"/>
      <c r="Y938" s="10" t="n"/>
      <c r="Z938" s="60" t="n"/>
      <c r="AA938" s="141" t="n"/>
      <c r="AB938" s="70" t="n"/>
      <c r="AC938" s="50" t="n"/>
      <c r="AD938" s="321" t="n"/>
      <c r="AE938" s="50" t="n"/>
      <c r="AF938" s="50" t="n"/>
      <c r="AG938" s="50" t="n"/>
    </row>
    <row r="939" ht="15" customHeight="1">
      <c r="F939" s="50" t="n"/>
      <c r="G939" s="70" t="n"/>
      <c r="H939" s="70" t="n"/>
      <c r="I939" s="119" t="n"/>
      <c r="J939" s="119" t="n"/>
      <c r="K939" s="50" t="n"/>
      <c r="L939" s="70" t="n"/>
      <c r="M939" s="70" t="n"/>
      <c r="N939" s="70" t="n"/>
      <c r="O939" s="70" t="n"/>
      <c r="P939" s="119" t="n"/>
      <c r="Q939" s="70" t="n"/>
      <c r="R939" s="70" t="n"/>
      <c r="S939" s="70" t="n"/>
      <c r="T939" s="27" t="n"/>
      <c r="U939" s="10" t="n"/>
      <c r="V939" s="27" t="n"/>
      <c r="W939" s="10" t="n"/>
      <c r="X939" s="10" t="n"/>
      <c r="Y939" s="10" t="n"/>
      <c r="Z939" s="60" t="n"/>
      <c r="AA939" s="141" t="n"/>
      <c r="AB939" s="70" t="n"/>
      <c r="AC939" s="50" t="n"/>
      <c r="AD939" s="321" t="n"/>
      <c r="AE939" s="50" t="n"/>
      <c r="AF939" s="50" t="n"/>
      <c r="AG939" s="50" t="n"/>
    </row>
    <row r="940" ht="15" customHeight="1">
      <c r="F940" s="50" t="n"/>
      <c r="G940" s="70" t="n"/>
      <c r="H940" s="70" t="n"/>
      <c r="I940" s="119" t="n"/>
      <c r="J940" s="119" t="n"/>
      <c r="K940" s="50" t="n"/>
      <c r="L940" s="70" t="n"/>
      <c r="M940" s="70" t="n"/>
      <c r="N940" s="70" t="n"/>
      <c r="O940" s="70" t="n"/>
      <c r="P940" s="119" t="n"/>
      <c r="Q940" s="70" t="n"/>
      <c r="R940" s="70" t="n"/>
      <c r="S940" s="70" t="n"/>
      <c r="T940" s="27" t="n"/>
      <c r="U940" s="10" t="n"/>
      <c r="V940" s="27" t="n"/>
      <c r="W940" s="10" t="n"/>
      <c r="X940" s="10" t="n"/>
      <c r="Y940" s="10" t="n"/>
      <c r="Z940" s="60" t="n"/>
      <c r="AA940" s="141" t="n"/>
      <c r="AB940" s="70" t="n"/>
      <c r="AC940" s="50" t="n"/>
      <c r="AD940" s="321" t="n"/>
      <c r="AE940" s="50" t="n"/>
      <c r="AF940" s="50" t="n"/>
      <c r="AG940" s="50" t="n"/>
    </row>
    <row r="941" ht="15" customHeight="1">
      <c r="F941" s="50" t="n"/>
      <c r="G941" s="70" t="n"/>
      <c r="H941" s="70" t="n"/>
      <c r="I941" s="119" t="n"/>
      <c r="J941" s="119" t="n"/>
      <c r="K941" s="50" t="n"/>
      <c r="L941" s="70" t="n"/>
      <c r="M941" s="70" t="n"/>
      <c r="N941" s="70" t="n"/>
      <c r="O941" s="70" t="n"/>
      <c r="P941" s="119" t="n"/>
      <c r="Q941" s="70" t="n"/>
      <c r="R941" s="70" t="n"/>
      <c r="S941" s="70" t="n"/>
      <c r="T941" s="27" t="n"/>
      <c r="U941" s="10" t="n"/>
      <c r="V941" s="27" t="n"/>
      <c r="W941" s="10" t="n"/>
      <c r="X941" s="10" t="n"/>
      <c r="Y941" s="10" t="n"/>
      <c r="Z941" s="60" t="n"/>
      <c r="AA941" s="141" t="n"/>
      <c r="AB941" s="70" t="n"/>
      <c r="AC941" s="50" t="n"/>
      <c r="AD941" s="321" t="n"/>
      <c r="AE941" s="50" t="n"/>
      <c r="AF941" s="50" t="n"/>
      <c r="AG941" s="50" t="n"/>
    </row>
    <row r="942" ht="15" customHeight="1">
      <c r="F942" s="50" t="n"/>
      <c r="G942" s="70" t="n"/>
      <c r="H942" s="70" t="n"/>
      <c r="I942" s="119" t="n"/>
      <c r="J942" s="119" t="n"/>
      <c r="K942" s="50" t="n"/>
      <c r="L942" s="70" t="n"/>
      <c r="M942" s="70" t="n"/>
      <c r="N942" s="70" t="n"/>
      <c r="O942" s="70" t="n"/>
      <c r="P942" s="119" t="n"/>
      <c r="Q942" s="70" t="n"/>
      <c r="R942" s="70" t="n"/>
      <c r="S942" s="70" t="n"/>
      <c r="T942" s="27" t="n"/>
      <c r="U942" s="10" t="n"/>
      <c r="V942" s="27" t="n"/>
      <c r="W942" s="10" t="n"/>
      <c r="X942" s="10" t="n"/>
      <c r="Y942" s="10" t="n"/>
      <c r="Z942" s="60" t="n"/>
      <c r="AA942" s="141" t="n"/>
      <c r="AB942" s="70" t="n"/>
      <c r="AC942" s="50" t="n"/>
      <c r="AD942" s="321" t="n"/>
      <c r="AE942" s="50" t="n"/>
      <c r="AF942" s="50" t="n"/>
      <c r="AG942" s="50" t="n"/>
    </row>
    <row r="943" ht="15" customHeight="1">
      <c r="F943" s="50" t="n"/>
      <c r="G943" s="70" t="n"/>
      <c r="H943" s="70" t="n"/>
      <c r="I943" s="119" t="n"/>
      <c r="J943" s="119" t="n"/>
      <c r="K943" s="50" t="n"/>
      <c r="L943" s="70" t="n"/>
      <c r="M943" s="70" t="n"/>
      <c r="N943" s="70" t="n"/>
      <c r="O943" s="70" t="n"/>
      <c r="P943" s="119" t="n"/>
      <c r="Q943" s="70" t="n"/>
      <c r="R943" s="70" t="n"/>
      <c r="S943" s="70" t="n"/>
      <c r="T943" s="27" t="n"/>
      <c r="U943" s="10" t="n"/>
      <c r="V943" s="27" t="n"/>
      <c r="W943" s="10" t="n"/>
      <c r="X943" s="10" t="n"/>
      <c r="Y943" s="10" t="n"/>
      <c r="Z943" s="60" t="n"/>
      <c r="AA943" s="141" t="n"/>
      <c r="AB943" s="70" t="n"/>
      <c r="AC943" s="50" t="n"/>
      <c r="AD943" s="321" t="n"/>
      <c r="AE943" s="50" t="n"/>
      <c r="AF943" s="50" t="n"/>
      <c r="AG943" s="50" t="n"/>
    </row>
    <row r="944" ht="15" customHeight="1">
      <c r="F944" s="50" t="n"/>
      <c r="G944" s="70" t="n"/>
      <c r="H944" s="70" t="n"/>
      <c r="I944" s="119" t="n"/>
      <c r="J944" s="119" t="n"/>
      <c r="K944" s="50" t="n"/>
      <c r="L944" s="70" t="n"/>
      <c r="M944" s="70" t="n"/>
      <c r="N944" s="70" t="n"/>
      <c r="O944" s="70" t="n"/>
      <c r="P944" s="119" t="n"/>
      <c r="Q944" s="70" t="n"/>
      <c r="R944" s="70" t="n"/>
      <c r="S944" s="70" t="n"/>
      <c r="T944" s="27" t="n"/>
      <c r="U944" s="10" t="n"/>
      <c r="V944" s="27" t="n"/>
      <c r="W944" s="10" t="n"/>
      <c r="X944" s="10" t="n"/>
      <c r="Y944" s="10" t="n"/>
      <c r="Z944" s="60" t="n"/>
      <c r="AA944" s="141" t="n"/>
      <c r="AB944" s="70" t="n"/>
      <c r="AC944" s="50" t="n"/>
      <c r="AD944" s="321" t="n"/>
      <c r="AE944" s="50" t="n"/>
      <c r="AF944" s="50" t="n"/>
      <c r="AG944" s="50" t="n"/>
    </row>
    <row r="945" ht="15" customHeight="1">
      <c r="F945" s="50" t="n"/>
      <c r="G945" s="70" t="n"/>
      <c r="H945" s="70" t="n"/>
      <c r="I945" s="119" t="n"/>
      <c r="J945" s="119" t="n"/>
      <c r="K945" s="50" t="n"/>
      <c r="L945" s="70" t="n"/>
      <c r="M945" s="70" t="n"/>
      <c r="N945" s="70" t="n"/>
      <c r="O945" s="70" t="n"/>
      <c r="P945" s="119" t="n"/>
      <c r="Q945" s="70" t="n"/>
      <c r="R945" s="70" t="n"/>
      <c r="S945" s="70" t="n"/>
      <c r="T945" s="27" t="n"/>
      <c r="U945" s="10" t="n"/>
      <c r="V945" s="27" t="n"/>
      <c r="W945" s="10" t="n"/>
      <c r="X945" s="10" t="n"/>
      <c r="Y945" s="10" t="n"/>
      <c r="Z945" s="60" t="n"/>
      <c r="AA945" s="141" t="n"/>
      <c r="AB945" s="70" t="n"/>
      <c r="AC945" s="50" t="n"/>
      <c r="AD945" s="321" t="n"/>
      <c r="AE945" s="50" t="n"/>
      <c r="AF945" s="50" t="n"/>
      <c r="AG945" s="50" t="n"/>
    </row>
    <row r="946" ht="15" customHeight="1">
      <c r="F946" s="50" t="n"/>
      <c r="G946" s="70" t="n"/>
      <c r="H946" s="70" t="n"/>
      <c r="I946" s="119" t="n"/>
      <c r="J946" s="119" t="n"/>
      <c r="K946" s="50" t="n"/>
      <c r="L946" s="70" t="n"/>
      <c r="M946" s="70" t="n"/>
      <c r="N946" s="70" t="n"/>
      <c r="O946" s="70" t="n"/>
      <c r="P946" s="119" t="n"/>
      <c r="Q946" s="70" t="n"/>
      <c r="R946" s="70" t="n"/>
      <c r="S946" s="70" t="n"/>
      <c r="T946" s="27" t="n"/>
      <c r="U946" s="10" t="n"/>
      <c r="V946" s="27" t="n"/>
      <c r="W946" s="10" t="n"/>
      <c r="X946" s="10" t="n"/>
      <c r="Y946" s="10" t="n"/>
      <c r="Z946" s="60" t="n"/>
      <c r="AA946" s="141" t="n"/>
      <c r="AB946" s="70" t="n"/>
      <c r="AC946" s="50" t="n"/>
      <c r="AD946" s="321" t="n"/>
      <c r="AE946" s="50" t="n"/>
      <c r="AF946" s="50" t="n"/>
      <c r="AG946" s="50" t="n"/>
    </row>
    <row r="947" ht="15" customHeight="1">
      <c r="F947" s="50" t="n"/>
      <c r="G947" s="70" t="n"/>
      <c r="H947" s="70" t="n"/>
      <c r="I947" s="119" t="n"/>
      <c r="J947" s="119" t="n"/>
      <c r="K947" s="50" t="n"/>
      <c r="L947" s="70" t="n"/>
      <c r="M947" s="70" t="n"/>
      <c r="N947" s="70" t="n"/>
      <c r="O947" s="70" t="n"/>
      <c r="P947" s="119" t="n"/>
      <c r="Q947" s="70" t="n"/>
      <c r="R947" s="70" t="n"/>
      <c r="S947" s="70" t="n"/>
      <c r="T947" s="27" t="n"/>
      <c r="U947" s="10" t="n"/>
      <c r="V947" s="27" t="n"/>
      <c r="W947" s="10" t="n"/>
      <c r="X947" s="10" t="n"/>
      <c r="Y947" s="10" t="n"/>
      <c r="Z947" s="60" t="n"/>
      <c r="AA947" s="141" t="n"/>
      <c r="AB947" s="70" t="n"/>
      <c r="AC947" s="50" t="n"/>
      <c r="AD947" s="321" t="n"/>
      <c r="AE947" s="50" t="n"/>
      <c r="AF947" s="50" t="n"/>
      <c r="AG947" s="50" t="n"/>
    </row>
    <row r="948" ht="15" customHeight="1">
      <c r="F948" s="50" t="n"/>
      <c r="G948" s="70" t="n"/>
      <c r="H948" s="70" t="n"/>
      <c r="I948" s="119" t="n"/>
      <c r="J948" s="119" t="n"/>
      <c r="K948" s="50" t="n"/>
      <c r="L948" s="70" t="n"/>
      <c r="M948" s="70" t="n"/>
      <c r="N948" s="70" t="n"/>
      <c r="O948" s="70" t="n"/>
      <c r="P948" s="119" t="n"/>
      <c r="Q948" s="70" t="n"/>
      <c r="R948" s="70" t="n"/>
      <c r="S948" s="70" t="n"/>
      <c r="T948" s="27" t="n"/>
      <c r="U948" s="10" t="n"/>
      <c r="V948" s="27" t="n"/>
      <c r="W948" s="10" t="n"/>
      <c r="X948" s="10" t="n"/>
      <c r="Y948" s="10" t="n"/>
      <c r="Z948" s="60" t="n"/>
      <c r="AA948" s="141" t="n"/>
      <c r="AB948" s="70" t="n"/>
      <c r="AC948" s="50" t="n"/>
      <c r="AD948" s="321" t="n"/>
      <c r="AE948" s="50" t="n"/>
      <c r="AF948" s="50" t="n"/>
      <c r="AG948" s="50" t="n"/>
    </row>
    <row r="949" ht="15" customHeight="1">
      <c r="F949" s="50" t="n"/>
      <c r="G949" s="70" t="n"/>
      <c r="H949" s="70" t="n"/>
      <c r="I949" s="119" t="n"/>
      <c r="J949" s="119" t="n"/>
      <c r="K949" s="50" t="n"/>
      <c r="L949" s="70" t="n"/>
      <c r="M949" s="70" t="n"/>
      <c r="N949" s="70" t="n"/>
      <c r="O949" s="70" t="n"/>
      <c r="P949" s="119" t="n"/>
      <c r="Q949" s="70" t="n"/>
      <c r="R949" s="70" t="n"/>
      <c r="S949" s="70" t="n"/>
      <c r="T949" s="27" t="n"/>
      <c r="U949" s="10" t="n"/>
      <c r="V949" s="27" t="n"/>
      <c r="W949" s="10" t="n"/>
      <c r="X949" s="10" t="n"/>
      <c r="Y949" s="10" t="n"/>
      <c r="Z949" s="60" t="n"/>
      <c r="AA949" s="141" t="n"/>
      <c r="AB949" s="70" t="n"/>
      <c r="AC949" s="50" t="n"/>
      <c r="AD949" s="321" t="n"/>
      <c r="AE949" s="50" t="n"/>
      <c r="AF949" s="50" t="n"/>
      <c r="AG949" s="50" t="n"/>
    </row>
    <row r="950" ht="15" customHeight="1">
      <c r="F950" s="50" t="n"/>
      <c r="G950" s="70" t="n"/>
      <c r="H950" s="70" t="n"/>
      <c r="I950" s="119" t="n"/>
      <c r="J950" s="119" t="n"/>
      <c r="K950" s="50" t="n"/>
      <c r="L950" s="70" t="n"/>
      <c r="M950" s="70" t="n"/>
      <c r="N950" s="70" t="n"/>
      <c r="O950" s="70" t="n"/>
      <c r="P950" s="119" t="n"/>
      <c r="Q950" s="70" t="n"/>
      <c r="R950" s="70" t="n"/>
      <c r="S950" s="70" t="n"/>
      <c r="T950" s="27" t="n"/>
      <c r="U950" s="10" t="n"/>
      <c r="V950" s="27" t="n"/>
      <c r="W950" s="10" t="n"/>
      <c r="X950" s="10" t="n"/>
      <c r="Y950" s="10" t="n"/>
      <c r="Z950" s="60" t="n"/>
      <c r="AA950" s="141" t="n"/>
      <c r="AB950" s="70" t="n"/>
      <c r="AC950" s="50" t="n"/>
      <c r="AD950" s="321" t="n"/>
      <c r="AE950" s="50" t="n"/>
      <c r="AF950" s="50" t="n"/>
      <c r="AG950" s="50" t="n"/>
    </row>
    <row r="951" ht="15" customHeight="1">
      <c r="F951" s="50" t="n"/>
      <c r="G951" s="70" t="n"/>
      <c r="H951" s="70" t="n"/>
      <c r="I951" s="119" t="n"/>
      <c r="J951" s="119" t="n"/>
      <c r="K951" s="50" t="n"/>
      <c r="L951" s="70" t="n"/>
      <c r="M951" s="70" t="n"/>
      <c r="N951" s="70" t="n"/>
      <c r="O951" s="70" t="n"/>
      <c r="P951" s="119" t="n"/>
      <c r="Q951" s="70" t="n"/>
      <c r="R951" s="70" t="n"/>
      <c r="S951" s="70" t="n"/>
      <c r="T951" s="27" t="n"/>
      <c r="U951" s="10" t="n"/>
      <c r="V951" s="27" t="n"/>
      <c r="W951" s="10" t="n"/>
      <c r="X951" s="10" t="n"/>
      <c r="Y951" s="10" t="n"/>
      <c r="Z951" s="60" t="n"/>
      <c r="AA951" s="141" t="n"/>
      <c r="AB951" s="70" t="n"/>
      <c r="AC951" s="50" t="n"/>
      <c r="AD951" s="321" t="n"/>
      <c r="AE951" s="50" t="n"/>
      <c r="AF951" s="50" t="n"/>
      <c r="AG951" s="50" t="n"/>
    </row>
    <row r="952" ht="15" customHeight="1">
      <c r="F952" s="50" t="n"/>
      <c r="G952" s="70" t="n"/>
      <c r="H952" s="70" t="n"/>
      <c r="I952" s="119" t="n"/>
      <c r="J952" s="119" t="n"/>
      <c r="K952" s="50" t="n"/>
      <c r="L952" s="70" t="n"/>
      <c r="M952" s="70" t="n"/>
      <c r="N952" s="70" t="n"/>
      <c r="O952" s="70" t="n"/>
      <c r="P952" s="119" t="n"/>
      <c r="Q952" s="70" t="n"/>
      <c r="R952" s="70" t="n"/>
      <c r="S952" s="70" t="n"/>
      <c r="T952" s="27" t="n"/>
      <c r="U952" s="10" t="n"/>
      <c r="V952" s="27" t="n"/>
      <c r="W952" s="10" t="n"/>
      <c r="X952" s="10" t="n"/>
      <c r="Y952" s="10" t="n"/>
      <c r="Z952" s="60" t="n"/>
      <c r="AA952" s="141" t="n"/>
      <c r="AB952" s="70" t="n"/>
      <c r="AC952" s="50" t="n"/>
      <c r="AD952" s="321" t="n"/>
      <c r="AE952" s="50" t="n"/>
      <c r="AF952" s="50" t="n"/>
      <c r="AG952" s="50" t="n"/>
    </row>
    <row r="953" ht="15" customHeight="1">
      <c r="F953" s="50" t="n"/>
      <c r="G953" s="70" t="n"/>
      <c r="H953" s="70" t="n"/>
      <c r="I953" s="119" t="n"/>
      <c r="J953" s="119" t="n"/>
      <c r="K953" s="50" t="n"/>
      <c r="L953" s="70" t="n"/>
      <c r="M953" s="70" t="n"/>
      <c r="N953" s="70" t="n"/>
      <c r="O953" s="70" t="n"/>
      <c r="P953" s="119" t="n"/>
      <c r="Q953" s="70" t="n"/>
      <c r="R953" s="70" t="n"/>
      <c r="S953" s="70" t="n"/>
      <c r="T953" s="27" t="n"/>
      <c r="U953" s="10" t="n"/>
      <c r="V953" s="27" t="n"/>
      <c r="W953" s="10" t="n"/>
      <c r="X953" s="10" t="n"/>
      <c r="Y953" s="10" t="n"/>
      <c r="Z953" s="60" t="n"/>
      <c r="AA953" s="141" t="n"/>
      <c r="AB953" s="70" t="n"/>
      <c r="AC953" s="50" t="n"/>
      <c r="AD953" s="321" t="n"/>
      <c r="AE953" s="50" t="n"/>
      <c r="AF953" s="50" t="n"/>
      <c r="AG953" s="50" t="n"/>
    </row>
    <row r="954" ht="15" customHeight="1">
      <c r="F954" s="50" t="n"/>
      <c r="G954" s="70" t="n"/>
      <c r="H954" s="70" t="n"/>
      <c r="I954" s="119" t="n"/>
      <c r="J954" s="119" t="n"/>
      <c r="K954" s="50" t="n"/>
      <c r="L954" s="70" t="n"/>
      <c r="M954" s="70" t="n"/>
      <c r="N954" s="70" t="n"/>
      <c r="O954" s="70" t="n"/>
      <c r="P954" s="119" t="n"/>
      <c r="Q954" s="70" t="n"/>
      <c r="R954" s="70" t="n"/>
      <c r="S954" s="70" t="n"/>
      <c r="T954" s="27" t="n"/>
      <c r="U954" s="10" t="n"/>
      <c r="V954" s="27" t="n"/>
      <c r="W954" s="10" t="n"/>
      <c r="X954" s="10" t="n"/>
      <c r="Y954" s="10" t="n"/>
      <c r="Z954" s="60" t="n"/>
      <c r="AA954" s="141" t="n"/>
      <c r="AB954" s="70" t="n"/>
      <c r="AC954" s="50" t="n"/>
      <c r="AD954" s="321" t="n"/>
      <c r="AE954" s="50" t="n"/>
      <c r="AF954" s="50" t="n"/>
      <c r="AG954" s="50" t="n"/>
    </row>
    <row r="955" ht="15" customHeight="1">
      <c r="F955" s="50" t="n"/>
      <c r="G955" s="70" t="n"/>
      <c r="H955" s="70" t="n"/>
      <c r="I955" s="119" t="n"/>
      <c r="J955" s="119" t="n"/>
      <c r="K955" s="50" t="n"/>
      <c r="L955" s="70" t="n"/>
      <c r="M955" s="70" t="n"/>
      <c r="N955" s="70" t="n"/>
      <c r="O955" s="70" t="n"/>
      <c r="P955" s="119" t="n"/>
      <c r="Q955" s="70" t="n"/>
      <c r="R955" s="70" t="n"/>
      <c r="S955" s="70" t="n"/>
      <c r="T955" s="27" t="n"/>
      <c r="U955" s="10" t="n"/>
      <c r="V955" s="27" t="n"/>
      <c r="W955" s="10" t="n"/>
      <c r="X955" s="10" t="n"/>
      <c r="Y955" s="10" t="n"/>
      <c r="Z955" s="60" t="n"/>
      <c r="AA955" s="141" t="n"/>
      <c r="AB955" s="70" t="n"/>
      <c r="AC955" s="50" t="n"/>
      <c r="AD955" s="321" t="n"/>
      <c r="AE955" s="50" t="n"/>
      <c r="AF955" s="50" t="n"/>
      <c r="AG955" s="50" t="n"/>
    </row>
    <row r="956" ht="15" customHeight="1">
      <c r="F956" s="50" t="n"/>
      <c r="G956" s="70" t="n"/>
      <c r="H956" s="70" t="n"/>
      <c r="I956" s="119" t="n"/>
      <c r="J956" s="119" t="n"/>
      <c r="K956" s="50" t="n"/>
      <c r="L956" s="70" t="n"/>
      <c r="M956" s="70" t="n"/>
      <c r="N956" s="70" t="n"/>
      <c r="O956" s="70" t="n"/>
      <c r="P956" s="119" t="n"/>
      <c r="Q956" s="70" t="n"/>
      <c r="R956" s="70" t="n"/>
      <c r="S956" s="70" t="n"/>
      <c r="T956" s="27" t="n"/>
      <c r="U956" s="10" t="n"/>
      <c r="V956" s="27" t="n"/>
      <c r="W956" s="10" t="n"/>
      <c r="X956" s="10" t="n"/>
      <c r="Y956" s="10" t="n"/>
      <c r="Z956" s="60" t="n"/>
      <c r="AA956" s="141" t="n"/>
      <c r="AB956" s="70" t="n"/>
      <c r="AC956" s="50" t="n"/>
      <c r="AD956" s="321" t="n"/>
      <c r="AE956" s="50" t="n"/>
      <c r="AF956" s="50" t="n"/>
      <c r="AG956" s="50" t="n"/>
    </row>
    <row r="957" ht="15" customHeight="1">
      <c r="F957" s="50" t="n"/>
      <c r="G957" s="70" t="n"/>
      <c r="H957" s="70" t="n"/>
      <c r="I957" s="119" t="n"/>
      <c r="J957" s="119" t="n"/>
      <c r="K957" s="50" t="n"/>
      <c r="L957" s="70" t="n"/>
      <c r="M957" s="70" t="n"/>
      <c r="N957" s="70" t="n"/>
      <c r="O957" s="70" t="n"/>
      <c r="P957" s="119" t="n"/>
      <c r="Q957" s="70" t="n"/>
      <c r="R957" s="70" t="n"/>
      <c r="S957" s="70" t="n"/>
      <c r="T957" s="27" t="n"/>
      <c r="U957" s="10" t="n"/>
      <c r="V957" s="27" t="n"/>
      <c r="W957" s="10" t="n"/>
      <c r="X957" s="10" t="n"/>
      <c r="Y957" s="10" t="n"/>
      <c r="Z957" s="60" t="n"/>
      <c r="AA957" s="141" t="n"/>
      <c r="AB957" s="70" t="n"/>
      <c r="AC957" s="50" t="n"/>
      <c r="AD957" s="321" t="n"/>
      <c r="AE957" s="50" t="n"/>
      <c r="AF957" s="50" t="n"/>
      <c r="AG957" s="50" t="n"/>
    </row>
    <row r="958" ht="15" customHeight="1">
      <c r="F958" s="50" t="n"/>
      <c r="G958" s="70" t="n"/>
      <c r="H958" s="70" t="n"/>
      <c r="I958" s="119" t="n"/>
      <c r="J958" s="119" t="n"/>
      <c r="K958" s="50" t="n"/>
      <c r="L958" s="70" t="n"/>
      <c r="M958" s="70" t="n"/>
      <c r="N958" s="70" t="n"/>
      <c r="O958" s="70" t="n"/>
      <c r="P958" s="119" t="n"/>
      <c r="Q958" s="70" t="n"/>
      <c r="R958" s="70" t="n"/>
      <c r="S958" s="70" t="n"/>
      <c r="T958" s="27" t="n"/>
      <c r="U958" s="10" t="n"/>
      <c r="V958" s="27" t="n"/>
      <c r="W958" s="10" t="n"/>
      <c r="X958" s="10" t="n"/>
      <c r="Y958" s="10" t="n"/>
      <c r="Z958" s="60" t="n"/>
      <c r="AA958" s="141" t="n"/>
      <c r="AB958" s="70" t="n"/>
      <c r="AC958" s="50" t="n"/>
      <c r="AD958" s="321" t="n"/>
      <c r="AE958" s="50" t="n"/>
      <c r="AF958" s="50" t="n"/>
      <c r="AG958" s="50" t="n"/>
    </row>
    <row r="959" ht="15" customHeight="1">
      <c r="F959" s="50" t="n"/>
      <c r="G959" s="70" t="n"/>
      <c r="H959" s="70" t="n"/>
      <c r="I959" s="119" t="n"/>
      <c r="J959" s="119" t="n"/>
      <c r="K959" s="50" t="n"/>
      <c r="L959" s="70" t="n"/>
      <c r="M959" s="70" t="n"/>
      <c r="N959" s="70" t="n"/>
      <c r="O959" s="70" t="n"/>
      <c r="P959" s="119" t="n"/>
      <c r="Q959" s="70" t="n"/>
      <c r="R959" s="70" t="n"/>
      <c r="S959" s="70" t="n"/>
      <c r="T959" s="27" t="n"/>
      <c r="U959" s="10" t="n"/>
      <c r="V959" s="27" t="n"/>
      <c r="W959" s="10" t="n"/>
      <c r="X959" s="10" t="n"/>
      <c r="Y959" s="10" t="n"/>
      <c r="Z959" s="60" t="n"/>
      <c r="AA959" s="141" t="n"/>
      <c r="AB959" s="70" t="n"/>
      <c r="AC959" s="50" t="n"/>
      <c r="AD959" s="321" t="n"/>
      <c r="AE959" s="50" t="n"/>
      <c r="AF959" s="50" t="n"/>
      <c r="AG959" s="50" t="n"/>
    </row>
    <row r="960" ht="15" customHeight="1">
      <c r="F960" s="50" t="n"/>
      <c r="G960" s="70" t="n"/>
      <c r="H960" s="70" t="n"/>
      <c r="I960" s="119" t="n"/>
      <c r="J960" s="119" t="n"/>
      <c r="K960" s="50" t="n"/>
      <c r="L960" s="70" t="n"/>
      <c r="M960" s="70" t="n"/>
      <c r="N960" s="70" t="n"/>
      <c r="O960" s="70" t="n"/>
      <c r="P960" s="119" t="n"/>
      <c r="Q960" s="70" t="n"/>
      <c r="R960" s="70" t="n"/>
      <c r="S960" s="70" t="n"/>
      <c r="T960" s="27" t="n"/>
      <c r="U960" s="10" t="n"/>
      <c r="V960" s="27" t="n"/>
      <c r="W960" s="10" t="n"/>
      <c r="X960" s="10" t="n"/>
      <c r="Y960" s="10" t="n"/>
      <c r="Z960" s="60" t="n"/>
      <c r="AA960" s="141" t="n"/>
      <c r="AB960" s="70" t="n"/>
      <c r="AC960" s="50" t="n"/>
      <c r="AD960" s="321" t="n"/>
      <c r="AE960" s="50" t="n"/>
      <c r="AF960" s="50" t="n"/>
      <c r="AG960" s="50" t="n"/>
    </row>
    <row r="961">
      <c r="T961" s="27" t="n"/>
    </row>
    <row r="962">
      <c r="T962" s="27" t="n"/>
    </row>
    <row r="963">
      <c r="T963" s="27" t="n"/>
    </row>
    <row r="964">
      <c r="T964" s="27" t="n"/>
    </row>
    <row r="965">
      <c r="T965" s="27" t="n"/>
    </row>
    <row r="966">
      <c r="T966" s="27" t="n"/>
    </row>
    <row r="967">
      <c r="T967" s="27" t="n"/>
    </row>
    <row r="968">
      <c r="T968" s="27" t="n"/>
    </row>
  </sheetData>
  <dataValidations disablePrompts="1" count="1">
    <dataValidation sqref="P587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_x000a_31st August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3" min="0" max="16383" man="1"/>
    <brk id="523" min="0" max="16383" man="1"/>
    <brk id="546" min="0" max="16383" man="1"/>
    <brk id="575" min="0" max="16383" man="1"/>
    <brk id="598" min="0" max="16383" man="1"/>
    <brk id="628" min="0" max="16383" man="1"/>
    <brk id="653" min="2" max="32" man="1"/>
    <brk id="672" min="0" max="16383" man="1"/>
    <brk id="691" min="0" max="16383" man="1"/>
    <brk id="708" min="0" max="16383" man="1"/>
    <brk id="745" min="2" max="32" man="1"/>
    <brk id="775" min="0" max="16383" man="1"/>
  </rowBreaks>
  <colBreaks count="1" manualBreakCount="1">
    <brk id="29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K197"/>
  <sheetViews>
    <sheetView showZeros="0" zoomScale="85" zoomScaleNormal="85" workbookViewId="0">
      <pane ySplit="3" topLeftCell="A63" activePane="bottomLeft" state="frozen"/>
      <selection activeCell="F1" sqref="F1"/>
      <selection pane="bottomLeft" activeCell="Y1" sqref="Y1:AA1048576"/>
    </sheetView>
  </sheetViews>
  <sheetFormatPr baseColWidth="10" defaultColWidth="8.83203125" defaultRowHeight="13"/>
  <cols>
    <col width="3.5" customWidth="1" min="1" max="1"/>
    <col width="10.33203125" customWidth="1" min="2" max="2"/>
    <col width="6.33203125" customWidth="1" min="3" max="3"/>
    <col width="9.83203125" customWidth="1" min="4" max="4"/>
    <col width="31.83203125" customWidth="1" min="5" max="5"/>
    <col width="21.83203125" customWidth="1" min="6" max="6"/>
    <col width="15" customWidth="1" min="7" max="7"/>
    <col width="9" bestFit="1" customWidth="1" min="8" max="8"/>
    <col hidden="1" width="6" customWidth="1" min="9" max="9"/>
    <col width="15.83203125" customWidth="1" style="120" min="10" max="10"/>
    <col hidden="1" width="11.5" customWidth="1" min="11" max="11"/>
    <col hidden="1" width="9.33203125" customWidth="1" min="12" max="12"/>
    <col width="10.33203125" customWidth="1" min="13" max="13"/>
    <col hidden="1" width="11.1640625" customWidth="1" style="228" min="14" max="14"/>
    <col hidden="1" width="8.5" customWidth="1" min="15" max="15"/>
    <col hidden="1" width="10.1640625" customWidth="1" min="16" max="16"/>
    <col hidden="1" width="8" customWidth="1" min="17" max="17"/>
    <col hidden="1" width="7.1640625" customWidth="1" min="18" max="18"/>
    <col width="9" customWidth="1" min="19" max="19"/>
    <col hidden="1" width="7" customWidth="1" min="20" max="20"/>
    <col width="9.5" customWidth="1" min="21" max="21"/>
    <col hidden="1" width="6.5" customWidth="1" min="22" max="22"/>
    <col width="9.5" customWidth="1" min="23" max="23"/>
    <col width="8.1640625" bestFit="1" customWidth="1" min="24" max="24"/>
    <col hidden="1" width="7" customWidth="1" min="25" max="25"/>
    <col hidden="1" width="16" customWidth="1" min="26" max="26"/>
    <col hidden="1" width="9.5" customWidth="1" min="27" max="27"/>
    <col width="35.5" customWidth="1" min="28" max="28"/>
    <col width="11.6640625" customWidth="1" min="29" max="29"/>
    <col width="9.1640625" customWidth="1" min="30" max="31"/>
    <col width="24.6640625" customWidth="1" min="32" max="32"/>
    <col width="20.5" customWidth="1" min="33" max="33"/>
    <col width="13.1640625" customWidth="1" min="36" max="36"/>
    <col width="11.1640625" customWidth="1" min="37" max="37"/>
  </cols>
  <sheetData>
    <row r="1" ht="14.25" customHeight="1">
      <c r="B1" s="130" t="n"/>
      <c r="C1" s="116" t="n"/>
      <c r="D1" s="97" t="n"/>
      <c r="E1" s="97" t="n"/>
      <c r="F1" s="4" t="n"/>
      <c r="G1" s="14" t="n"/>
      <c r="H1" s="7" t="n"/>
      <c r="I1" s="7" t="n"/>
      <c r="J1" s="14" t="n"/>
      <c r="K1" s="116" t="n"/>
      <c r="L1" s="8" t="n"/>
      <c r="M1" s="9" t="n"/>
      <c r="N1" s="9" t="n"/>
      <c r="O1" s="9" t="n"/>
      <c r="P1" s="116" t="n"/>
      <c r="Q1" s="116" t="n"/>
      <c r="R1" s="10" t="n"/>
      <c r="S1" s="10" t="n"/>
      <c r="T1" s="10" t="n"/>
      <c r="U1" s="97" t="n"/>
      <c r="V1" s="97" t="n"/>
      <c r="W1" s="97" t="n"/>
      <c r="X1" s="142" t="n"/>
      <c r="Y1" s="11" t="n"/>
      <c r="Z1" s="142" t="n"/>
      <c r="AA1" s="11" t="n"/>
      <c r="AB1" s="11" t="n"/>
      <c r="AC1" s="57" t="n"/>
      <c r="AD1" s="138" t="n"/>
      <c r="AE1" s="97" t="n"/>
      <c r="AF1" s="4" t="n"/>
      <c r="AG1" s="4" t="n"/>
    </row>
    <row r="2" ht="14.25" customHeight="1">
      <c r="B2" s="130" t="n"/>
      <c r="C2" s="116" t="n"/>
      <c r="D2" s="97" t="n"/>
      <c r="E2" s="97" t="n"/>
      <c r="F2" s="4" t="n"/>
      <c r="G2" s="14" t="n"/>
      <c r="H2" s="7" t="n"/>
      <c r="I2" s="116" t="n"/>
      <c r="J2" s="14" t="n"/>
      <c r="K2" s="116" t="n"/>
      <c r="L2" s="8" t="n"/>
      <c r="M2" s="9" t="n"/>
      <c r="N2" s="9" t="n"/>
      <c r="O2" s="9" t="n"/>
      <c r="P2" s="116" t="n"/>
      <c r="Q2" s="116" t="n"/>
      <c r="R2" s="10" t="n"/>
      <c r="S2" s="97" t="n"/>
      <c r="T2" s="97" t="n"/>
      <c r="U2" s="97" t="n"/>
      <c r="V2" s="97" t="n"/>
      <c r="W2" s="97" t="n"/>
      <c r="X2" s="142" t="n"/>
      <c r="Y2" s="116" t="n"/>
      <c r="Z2" s="142" t="n"/>
      <c r="AA2" s="116" t="n"/>
      <c r="AB2" s="116" t="n"/>
      <c r="AC2" s="57" t="n"/>
      <c r="AD2" s="138" t="n"/>
      <c r="AE2" s="97" t="n"/>
      <c r="AF2" s="4" t="n"/>
      <c r="AG2" s="4" t="n"/>
    </row>
    <row r="3" ht="33.75" customHeight="1">
      <c r="A3" s="241" t="n"/>
      <c r="B3" s="131" t="inlineStr">
        <is>
          <t>Surveyor</t>
        </is>
      </c>
      <c r="C3" s="131" t="inlineStr">
        <is>
          <t>Client</t>
        </is>
      </c>
      <c r="D3" s="71" t="inlineStr">
        <is>
          <t>Property Number</t>
        </is>
      </c>
      <c r="E3" s="71" t="inlineStr">
        <is>
          <t>Property</t>
        </is>
      </c>
      <c r="F3" s="71" t="inlineStr">
        <is>
          <t>Unit Demise</t>
        </is>
      </c>
      <c r="G3" s="72" t="inlineStr">
        <is>
          <t>Unit Type</t>
        </is>
      </c>
      <c r="H3" s="73" t="inlineStr">
        <is>
          <t>Net Area</t>
        </is>
      </c>
      <c r="I3" s="73" t="inlineStr">
        <is>
          <t>.</t>
        </is>
      </c>
      <c r="J3" s="74" t="inlineStr">
        <is>
          <t>Tenant Name</t>
        </is>
      </c>
      <c r="K3" s="75" t="inlineStr">
        <is>
          <t>Start            Date</t>
        </is>
      </c>
      <c r="L3" s="75" t="inlineStr">
        <is>
          <t>Expiry   Date</t>
        </is>
      </c>
      <c r="M3" s="75" t="inlineStr">
        <is>
          <t>Vacant Since?</t>
        </is>
      </c>
      <c r="N3" s="75" t="inlineStr">
        <is>
          <t>RRs</t>
        </is>
      </c>
      <c r="O3" s="75" t="inlineStr">
        <is>
          <t xml:space="preserve">Break Date </t>
        </is>
      </c>
      <c r="P3" s="76" t="inlineStr">
        <is>
          <t xml:space="preserve">Rent PA (£) </t>
        </is>
      </c>
      <c r="Q3" s="77" t="inlineStr">
        <is>
          <t>check 1</t>
        </is>
      </c>
      <c r="R3" s="77" t="inlineStr">
        <is>
          <t>check 2</t>
        </is>
      </c>
      <c r="S3" s="76" t="inlineStr">
        <is>
          <t xml:space="preserve">  2023 ERV (£)</t>
        </is>
      </c>
      <c r="T3" s="72" t="inlineStr">
        <is>
          <t>check 3</t>
        </is>
      </c>
      <c r="U3" s="76" t="inlineStr">
        <is>
          <t xml:space="preserve">  2024 ERV (£)</t>
        </is>
      </c>
      <c r="V3" s="72" t="inlineStr">
        <is>
          <t>check 4</t>
        </is>
      </c>
      <c r="W3" s="72" t="inlineStr">
        <is>
          <t>ERV 2023 £.Sq.ft</t>
        </is>
      </c>
      <c r="X3" s="72" t="inlineStr">
        <is>
          <t>EPC</t>
        </is>
      </c>
      <c r="Y3" s="58" t="inlineStr">
        <is>
          <t>*</t>
        </is>
      </c>
      <c r="Z3" s="78" t="inlineStr">
        <is>
          <t xml:space="preserve">2024 Cap Valn. (£)    </t>
        </is>
      </c>
      <c r="AA3" s="78" t="inlineStr">
        <is>
          <t>1954 Act Protected</t>
        </is>
      </c>
      <c r="AB3" s="96" t="inlineStr">
        <is>
          <t>Remarks</t>
        </is>
      </c>
      <c r="AC3" s="239" t="inlineStr">
        <is>
          <t>Agency Quoting Rent £.sq.ft</t>
        </is>
      </c>
      <c r="AD3" s="239" t="inlineStr">
        <is>
          <t>Monthly Viewings</t>
        </is>
      </c>
      <c r="AE3" s="239" t="inlineStr">
        <is>
          <t>Total Viewings</t>
        </is>
      </c>
      <c r="AF3" s="239" t="inlineStr">
        <is>
          <t>Marketing Agent</t>
        </is>
      </c>
      <c r="AG3" s="4" t="n"/>
    </row>
    <row r="4" ht="28.5" customHeight="1">
      <c r="A4" s="2">
        <f t="array" ref="A4">IFERROR(INDEX('Bank Schedule'!A:A, SMALL(IF('Bank Schedule'!$K$2:$K$817="Vacant", ROW('Bank Schedule'!$K$2:$K$817)), ROW(1:1))), "")</f>
        <v/>
      </c>
      <c r="B4" s="11">
        <f t="array" ref="B4">IFERROR(INDEX('Bank Schedule'!B:B, SMALL(IF('Bank Schedule'!$K$2:$K$817="Vacant", ROW('Bank Schedule'!$K$2:$K$817)), ROW(1:1))), "")</f>
        <v/>
      </c>
      <c r="C4" s="11">
        <f t="array" ref="C4">IFERROR(INDEX('Bank Schedule'!C:C, SMALL(IF('Bank Schedule'!$K$2:$K$817="Vacant", ROW('Bank Schedule'!$K$2:$K$817)), ROW(1:1))), "")</f>
        <v/>
      </c>
      <c r="D4" s="11">
        <f t="array" ref="D4">IFERROR(INDEX('Bank Schedule'!D:D, SMALL(IF('Bank Schedule'!$K$2:$K$817="Vacant", ROW('Bank Schedule'!$K$2:$K$817)), ROW(1:1))), "")</f>
        <v/>
      </c>
      <c r="E4" s="25">
        <f t="array" ref="E4">IFERROR(INDEX('Bank Schedule'!E:E, SMALL(IF('Bank Schedule'!$K$2:$K$817="Vacant", ROW('Bank Schedule'!$K$2:$K$817)), ROW(1:1))), "")</f>
        <v/>
      </c>
      <c r="F4" s="25">
        <f t="array" ref="F4">IFERROR(INDEX('Bank Schedule'!F:F, SMALL(IF('Bank Schedule'!$K$2:$K$817="Vacant", ROW('Bank Schedule'!$K$2:$K$817)), ROW(1:1))), "")</f>
        <v/>
      </c>
      <c r="G4" s="25">
        <f t="array" ref="G4">IFERROR(INDEX('Bank Schedule'!G:G, SMALL(IF('Bank Schedule'!$K$2:$K$817="Vacant", ROW('Bank Schedule'!$K$2:$K$817)), ROW(1:1))), "")</f>
        <v/>
      </c>
      <c r="H4" s="53">
        <f t="array" ref="H4">IFERROR(INDEX('Bank Schedule'!H:H, SMALL(IF('Bank Schedule'!$K$2:$K$817="Vacant", ROW('Bank Schedule'!$K$2:$K$817)), ROW(1:1))), "")</f>
        <v/>
      </c>
      <c r="I4" s="53">
        <f t="array" ref="I4">IFERROR(INDEX('Bank Schedule'!I:I, SMALL(IF('Bank Schedule'!$K$2:$K$817="Vacant", ROW('Bank Schedule'!$K$2:$K$817)), ROW(1:1))), "")</f>
        <v/>
      </c>
      <c r="J4" s="11">
        <f t="array" ref="J4">IFERROR(INDEX('Bank Schedule'!K:K, SMALL(IF('Bank Schedule'!$K$2:$K$817="Vacant", ROW('Bank Schedule'!$K$2:$K$817)), ROW(1:1))), "")</f>
        <v/>
      </c>
      <c r="K4" s="11">
        <f t="array" ref="K4">IFERROR(INDEX('Bank Schedule'!L:L, SMALL(IF('Bank Schedule'!$K$2:$K$817="Vacant", ROW('Bank Schedule'!$K$2:$K$817)), ROW(1:1))), "")</f>
        <v/>
      </c>
      <c r="L4" s="11">
        <f t="array" ref="L4">IFERROR(INDEX('Bank Schedule'!M:M, SMALL(IF('Bank Schedule'!$K$2:$K$817="Vacant", ROW('Bank Schedule'!$K$2:$K$817)), ROW(1:1))), "")</f>
        <v/>
      </c>
      <c r="M4" s="106">
        <f t="array" ref="M4">IFERROR(INDEX('Bank Schedule'!N:N, SMALL(IF('Bank Schedule'!$K$2:$K$817="Vacant", ROW('Bank Schedule'!$K$2:$K$817)), ROW(1:1))), "")</f>
        <v/>
      </c>
      <c r="N4" s="11">
        <f t="array" ref="N4">IFERROR(INDEX('Bank Schedule'!O:O, SMALL(IF('Bank Schedule'!$K$2:$K$817="Vacant", ROW('Bank Schedule'!$K$2:$K$817)), ROW(1:1))), "")</f>
        <v/>
      </c>
      <c r="O4" s="11">
        <f t="array" ref="O4">IFERROR(INDEX('Bank Schedule'!P:P, SMALL(IF('Bank Schedule'!$K$2:$K$817="Vacant", ROW('Bank Schedule'!$K$2:$K$817)), ROW(1:1))), "")</f>
        <v/>
      </c>
      <c r="P4" s="11">
        <f t="array" ref="P4">IFERROR(INDEX('Bank Schedule'!Q:Q, SMALL(IF('Bank Schedule'!$K$2:$K$817="Vacant", ROW('Bank Schedule'!$K$2:$K$817)), ROW(1:1))), "")</f>
        <v/>
      </c>
      <c r="Q4" s="11">
        <f t="array" ref="Q4">IFERROR(INDEX('Bank Schedule'!R:R, SMALL(IF('Bank Schedule'!$K$2:$K$817="Vacant", ROW('Bank Schedule'!$K$2:$K$817)), ROW(1:1))), "")</f>
        <v/>
      </c>
      <c r="R4" s="11">
        <f t="array" ref="R4">IFERROR(INDEX('Bank Schedule'!S:S, SMALL(IF('Bank Schedule'!$K$2:$K$817="Vacant", ROW('Bank Schedule'!$K$2:$K$817)), ROW(1:1))), "")</f>
        <v/>
      </c>
      <c r="S4" s="301">
        <f t="array" ref="S4">IFERROR(INDEX('Bank Schedule'!T:T, SMALL(IF('Bank Schedule'!$K$2:$K$817="Vacant", ROW('Bank Schedule'!$K$2:$K$817)), ROW(1:1))), "")</f>
        <v/>
      </c>
      <c r="T4" s="301">
        <f t="array" ref="T4">IFERROR(INDEX('Bank Schedule'!U:U, SMALL(IF('Bank Schedule'!$K$2:$K$817="Vacant", ROW('Bank Schedule'!$K$2:$K$817)), ROW(1:1))), "")</f>
        <v/>
      </c>
      <c r="U4" s="301">
        <f t="array" ref="U4">IFERROR(INDEX('Bank Schedule'!V:V, SMALL(IF('Bank Schedule'!$K$2:$K$817="Vacant", ROW('Bank Schedule'!$K$2:$K$817)), ROW(1:1))), "")</f>
        <v/>
      </c>
      <c r="V4" s="301">
        <f t="array" ref="V4">IFERROR(INDEX('Bank Schedule'!W:W, SMALL(IF('Bank Schedule'!$K$2:$K$817="Vacant", ROW('Bank Schedule'!$K$2:$K$817)), ROW(1:1))), "")</f>
        <v/>
      </c>
      <c r="W4" s="300">
        <f t="array" ref="W4">IFERROR(INDEX('Bank Schedule'!X:X, SMALL(IF('Bank Schedule'!$K$2:$K$817="Vacant", ROW('Bank Schedule'!$K$2:$K$817)), ROW(1:1))), "")</f>
        <v/>
      </c>
      <c r="X4" s="11">
        <f t="array" ref="X4">IFERROR(INDEX('Bank Schedule'!Y:Y, SMALL(IF('Bank Schedule'!$K$2:$K$817="Vacant", ROW('Bank Schedule'!$K$2:$K$817)), ROW(1:1))), "")</f>
        <v/>
      </c>
      <c r="Y4" s="11">
        <f t="array" ref="Y4">IFERROR(INDEX('Bank Schedule'!Z:Z, SMALL(IF('Bank Schedule'!$K$2:$K$817="Vacant", ROW('Bank Schedule'!$K$2:$K$817)), ROW(1:1))), "")</f>
        <v/>
      </c>
      <c r="Z4" s="11">
        <f t="array" ref="Z4">IFERROR(INDEX('Bank Schedule'!AA:AA, SMALL(IF('Bank Schedule'!$K$2:$K$817="Vacant", ROW('Bank Schedule'!$K$2:$K$817)), ROW(1:1))), "")</f>
        <v/>
      </c>
      <c r="AA4" s="11">
        <f t="array" ref="AA4">IFERROR(INDEX('Bank Schedule'!AB:AB, SMALL(IF('Bank Schedule'!$K$2:$K$817="Vacant", ROW('Bank Schedule'!$K$2:$K$817)), ROW(1:1))), "")</f>
        <v/>
      </c>
      <c r="AB4" s="25">
        <f t="array" ref="AB4">IFERROR(INDEX('Bank Schedule'!AC:AC, SMALL(IF('Bank Schedule'!$K$2:$K$817="Vacant", ROW('Bank Schedule'!$K$2:$K$817)), ROW(1:1))), "")</f>
        <v/>
      </c>
      <c r="AC4" s="277">
        <f t="array" ref="AC4">IFERROR(INDEX('Bank Schedule'!AD:AD, SMALL(IF('Bank Schedule'!$K$2:$K$817="Vacant", ROW('Bank Schedule'!$K$2:$K$817)), ROW(1:1))), "")</f>
        <v/>
      </c>
      <c r="AD4" s="11">
        <f t="array" ref="AD4">IFERROR(INDEX('Bank Schedule'!AE:AE, SMALL(IF('Bank Schedule'!$K$2:$K$817="Vacant", ROW('Bank Schedule'!$K$2:$K$817)), ROW(1:1))), "")</f>
        <v/>
      </c>
      <c r="AE4" s="11">
        <f t="array" ref="AE4">IFERROR(INDEX('Bank Schedule'!AF:AF, SMALL(IF('Bank Schedule'!$K$2:$K$817="Vacant", ROW('Bank Schedule'!$K$2:$K$817)), ROW(1:1))), "")</f>
        <v/>
      </c>
      <c r="AF4" s="11" t="n"/>
      <c r="AG4" s="4" t="n"/>
    </row>
    <row r="5" ht="28.5" customHeight="1">
      <c r="A5" s="2">
        <f t="array" ref="A5">IFERROR(INDEX('Bank Schedule'!A:A, SMALL(IF('Bank Schedule'!$K$2:$K$817="Vacant", ROW('Bank Schedule'!$K$2:$K$817)), ROW(2:2))), "")</f>
        <v/>
      </c>
      <c r="B5" s="11">
        <f t="array" ref="B5">IFERROR(INDEX('Bank Schedule'!B:B, SMALL(IF('Bank Schedule'!$K$2:$K$817="Vacant", ROW('Bank Schedule'!$K$2:$K$817)), ROW(2:2))), "")</f>
        <v/>
      </c>
      <c r="C5" s="11">
        <f t="array" ref="C5">IFERROR(INDEX('Bank Schedule'!C:C, SMALL(IF('Bank Schedule'!$K$2:$K$817="Vacant", ROW('Bank Schedule'!$K$2:$K$817)), ROW(2:2))), "")</f>
        <v/>
      </c>
      <c r="D5" s="11">
        <f t="array" ref="D5">IFERROR(INDEX('Bank Schedule'!D:D, SMALL(IF('Bank Schedule'!$K$2:$K$817="Vacant", ROW('Bank Schedule'!$K$2:$K$817)), ROW(2:2))), "")</f>
        <v/>
      </c>
      <c r="E5" s="25">
        <f t="array" ref="E5">IFERROR(INDEX('Bank Schedule'!E:E, SMALL(IF('Bank Schedule'!$K$2:$K$817="Vacant", ROW('Bank Schedule'!$K$2:$K$817)), ROW(2:2))), "")</f>
        <v/>
      </c>
      <c r="F5" s="25">
        <f t="array" ref="F5">IFERROR(INDEX('Bank Schedule'!F:F, SMALL(IF('Bank Schedule'!$K$2:$K$817="Vacant", ROW('Bank Schedule'!$K$2:$K$817)), ROW(2:2))), "")</f>
        <v/>
      </c>
      <c r="G5" s="25">
        <f t="array" ref="G5">IFERROR(INDEX('Bank Schedule'!G:G, SMALL(IF('Bank Schedule'!$K$2:$K$817="Vacant", ROW('Bank Schedule'!$K$2:$K$817)), ROW(2:2))), "")</f>
        <v/>
      </c>
      <c r="H5" s="53">
        <f t="array" ref="H5">IFERROR(INDEX('Bank Schedule'!H:H, SMALL(IF('Bank Schedule'!$K$2:$K$817="Vacant", ROW('Bank Schedule'!$K$2:$K$817)), ROW(2:2))), "")</f>
        <v/>
      </c>
      <c r="I5" s="53">
        <f t="array" ref="I5">IFERROR(INDEX('Bank Schedule'!I:I, SMALL(IF('Bank Schedule'!$K$2:$K$817="Vacant", ROW('Bank Schedule'!$K$2:$K$817)), ROW(2:2))), "")</f>
        <v/>
      </c>
      <c r="J5" s="11">
        <f t="array" ref="J5">IFERROR(INDEX('Bank Schedule'!K:K, SMALL(IF('Bank Schedule'!$K$2:$K$817="Vacant", ROW('Bank Schedule'!$K$2:$K$817)), ROW(2:2))), "")</f>
        <v/>
      </c>
      <c r="K5" s="11">
        <f t="array" ref="K5">IFERROR(INDEX('Bank Schedule'!L:L, SMALL(IF('Bank Schedule'!$K$2:$K$817="Vacant", ROW('Bank Schedule'!$K$2:$K$817)), ROW(2:2))), "")</f>
        <v/>
      </c>
      <c r="L5" s="11">
        <f t="array" ref="L5">IFERROR(INDEX('Bank Schedule'!M:M, SMALL(IF('Bank Schedule'!$K$2:$K$817="Vacant", ROW('Bank Schedule'!$K$2:$K$817)), ROW(2:2))), "")</f>
        <v/>
      </c>
      <c r="M5" s="106">
        <f t="array" ref="M5">IFERROR(INDEX('Bank Schedule'!N:N, SMALL(IF('Bank Schedule'!$K$2:$K$817="Vacant", ROW('Bank Schedule'!$K$2:$K$817)), ROW(2:2))), "")</f>
        <v/>
      </c>
      <c r="N5" s="11">
        <f t="array" ref="N5">IFERROR(INDEX('Bank Schedule'!O:O, SMALL(IF('Bank Schedule'!$K$2:$K$817="Vacant", ROW('Bank Schedule'!$K$2:$K$817)), ROW(2:2))), "")</f>
        <v/>
      </c>
      <c r="O5" s="11">
        <f t="array" ref="O5">IFERROR(INDEX('Bank Schedule'!P:P, SMALL(IF('Bank Schedule'!$K$2:$K$817="Vacant", ROW('Bank Schedule'!$K$2:$K$817)), ROW(2:2))), "")</f>
        <v/>
      </c>
      <c r="P5" s="11">
        <f t="array" ref="P5">IFERROR(INDEX('Bank Schedule'!Q:Q, SMALL(IF('Bank Schedule'!$K$2:$K$817="Vacant", ROW('Bank Schedule'!$K$2:$K$817)), ROW(2:2))), "")</f>
        <v/>
      </c>
      <c r="Q5" s="11">
        <f t="array" ref="Q5">IFERROR(INDEX('Bank Schedule'!R:R, SMALL(IF('Bank Schedule'!$K$2:$K$817="Vacant", ROW('Bank Schedule'!$K$2:$K$817)), ROW(2:2))), "")</f>
        <v/>
      </c>
      <c r="R5" s="11">
        <f t="array" ref="R5">IFERROR(INDEX('Bank Schedule'!S:S, SMALL(IF('Bank Schedule'!$K$2:$K$817="Vacant", ROW('Bank Schedule'!$K$2:$K$817)), ROW(2:2))), "")</f>
        <v/>
      </c>
      <c r="S5" s="301">
        <f t="array" ref="S5">IFERROR(INDEX('Bank Schedule'!T:T, SMALL(IF('Bank Schedule'!$K$2:$K$817="Vacant", ROW('Bank Schedule'!$K$2:$K$817)), ROW(2:2))), "")</f>
        <v/>
      </c>
      <c r="T5" s="301">
        <f t="array" ref="T5">IFERROR(INDEX('Bank Schedule'!U:U, SMALL(IF('Bank Schedule'!$K$2:$K$817="Vacant", ROW('Bank Schedule'!$K$2:$K$817)), ROW(2:2))), "")</f>
        <v/>
      </c>
      <c r="U5" s="301">
        <f t="array" ref="U5">IFERROR(INDEX('Bank Schedule'!V:V, SMALL(IF('Bank Schedule'!$K$2:$K$817="Vacant", ROW('Bank Schedule'!$K$2:$K$817)), ROW(2:2))), "")</f>
        <v/>
      </c>
      <c r="V5" s="301">
        <f t="array" ref="V5">IFERROR(INDEX('Bank Schedule'!W:W, SMALL(IF('Bank Schedule'!$K$2:$K$817="Vacant", ROW('Bank Schedule'!$K$2:$K$817)), ROW(2:2))), "")</f>
        <v/>
      </c>
      <c r="W5" s="300">
        <f t="array" ref="W5">IFERROR(INDEX('Bank Schedule'!X:X, SMALL(IF('Bank Schedule'!$K$2:$K$817="Vacant", ROW('Bank Schedule'!$K$2:$K$817)), ROW(2:2))), "")</f>
        <v/>
      </c>
      <c r="X5" s="11">
        <f t="array" ref="X5">IFERROR(INDEX('Bank Schedule'!Y:Y, SMALL(IF('Bank Schedule'!$K$2:$K$817="Vacant", ROW('Bank Schedule'!$K$2:$K$817)), ROW(2:2))), "")</f>
        <v/>
      </c>
      <c r="Y5" s="11">
        <f t="array" ref="Y5">IFERROR(INDEX('Bank Schedule'!Z:Z, SMALL(IF('Bank Schedule'!$K$2:$K$817="Vacant", ROW('Bank Schedule'!$K$2:$K$817)), ROW(2:2))), "")</f>
        <v/>
      </c>
      <c r="Z5" s="11">
        <f t="array" ref="Z5">IFERROR(INDEX('Bank Schedule'!AA:AA, SMALL(IF('Bank Schedule'!$K$2:$K$817="Vacant", ROW('Bank Schedule'!$K$2:$K$817)), ROW(2:2))), "")</f>
        <v/>
      </c>
      <c r="AA5" s="11">
        <f t="array" ref="AA5">IFERROR(INDEX('Bank Schedule'!AB:AB, SMALL(IF('Bank Schedule'!$K$2:$K$817="Vacant", ROW('Bank Schedule'!$K$2:$K$817)), ROW(2:2))), "")</f>
        <v/>
      </c>
      <c r="AB5" s="25">
        <f t="array" ref="AB5">IFERROR(INDEX('Bank Schedule'!AC:AC, SMALL(IF('Bank Schedule'!$K$2:$K$817="Vacant", ROW('Bank Schedule'!$K$2:$K$817)), ROW(2:2))), "")</f>
        <v/>
      </c>
      <c r="AC5" s="277">
        <f t="array" ref="AC5">IFERROR(INDEX('Bank Schedule'!AD:AD, SMALL(IF('Bank Schedule'!$K$2:$K$817="Vacant", ROW('Bank Schedule'!$K$2:$K$817)), ROW(2:2))), "")</f>
        <v/>
      </c>
      <c r="AD5" s="11">
        <f t="array" ref="AD5">IFERROR(INDEX('Bank Schedule'!AE:AE, SMALL(IF('Bank Schedule'!$K$2:$K$817="Vacant", ROW('Bank Schedule'!$K$2:$K$817)), ROW(2:2))), "")</f>
        <v/>
      </c>
      <c r="AE5" s="11">
        <f t="array" ref="AE5">IFERROR(INDEX('Bank Schedule'!AF:AF, SMALL(IF('Bank Schedule'!$K$2:$K$817="Vacant", ROW('Bank Schedule'!$K$2:$K$817)), ROW(2:2))), "")</f>
        <v/>
      </c>
      <c r="AF5" s="11">
        <f t="array" ref="AF5">IFERROR(INDEX('Bank Schedule'!AG:AG, SMALL(IF('Bank Schedule'!$K$2:$K$817="Vacant", ROW('Bank Schedule'!$K$2:$K$817)), ROW(2:2))), "")</f>
        <v/>
      </c>
      <c r="AG5" s="4" t="n"/>
    </row>
    <row r="6" ht="28.5" customHeight="1">
      <c r="A6" s="2">
        <f t="array" ref="A6">IFERROR(INDEX('Bank Schedule'!A:A, SMALL(IF('Bank Schedule'!$K$2:$K$817="Vacant", ROW('Bank Schedule'!$K$2:$K$817)), ROW(3:3))), "")</f>
        <v/>
      </c>
      <c r="B6" s="11">
        <f t="array" ref="B6">IFERROR(INDEX('Bank Schedule'!B:B, SMALL(IF('Bank Schedule'!$K$2:$K$817="Vacant", ROW('Bank Schedule'!$K$2:$K$817)), ROW(3:3))), "")</f>
        <v/>
      </c>
      <c r="C6" s="11">
        <f t="array" ref="C6">IFERROR(INDEX('Bank Schedule'!C:C, SMALL(IF('Bank Schedule'!$K$2:$K$817="Vacant", ROW('Bank Schedule'!$K$2:$K$817)), ROW(3:3))), "")</f>
        <v/>
      </c>
      <c r="D6" s="11">
        <f t="array" ref="D6">IFERROR(INDEX('Bank Schedule'!D:D, SMALL(IF('Bank Schedule'!$K$2:$K$817="Vacant", ROW('Bank Schedule'!$K$2:$K$817)), ROW(3:3))), "")</f>
        <v/>
      </c>
      <c r="E6" s="25">
        <f t="array" ref="E6">IFERROR(INDEX('Bank Schedule'!E:E, SMALL(IF('Bank Schedule'!$K$2:$K$817="Vacant", ROW('Bank Schedule'!$K$2:$K$817)), ROW(3:3))), "")</f>
        <v/>
      </c>
      <c r="F6" s="25">
        <f t="array" ref="F6">IFERROR(INDEX('Bank Schedule'!F:F, SMALL(IF('Bank Schedule'!$K$2:$K$817="Vacant", ROW('Bank Schedule'!$K$2:$K$817)), ROW(3:3))), "")</f>
        <v/>
      </c>
      <c r="G6" s="25">
        <f t="array" ref="G6">IFERROR(INDEX('Bank Schedule'!G:G, SMALL(IF('Bank Schedule'!$K$2:$K$817="Vacant", ROW('Bank Schedule'!$K$2:$K$817)), ROW(3:3))), "")</f>
        <v/>
      </c>
      <c r="H6" s="53">
        <f t="array" ref="H6">IFERROR(INDEX('Bank Schedule'!H:H, SMALL(IF('Bank Schedule'!$K$2:$K$817="Vacant", ROW('Bank Schedule'!$K$2:$K$817)), ROW(3:3))), "")</f>
        <v/>
      </c>
      <c r="I6" s="53">
        <f t="array" ref="I6">IFERROR(INDEX('Bank Schedule'!I:I, SMALL(IF('Bank Schedule'!$K$2:$K$817="Vacant", ROW('Bank Schedule'!$K$2:$K$817)), ROW(3:3))), "")</f>
        <v/>
      </c>
      <c r="J6" s="11">
        <f t="array" ref="J6">IFERROR(INDEX('Bank Schedule'!K:K, SMALL(IF('Bank Schedule'!$K$2:$K$817="Vacant", ROW('Bank Schedule'!$K$2:$K$817)), ROW(3:3))), "")</f>
        <v/>
      </c>
      <c r="K6" s="11">
        <f t="array" ref="K6">IFERROR(INDEX('Bank Schedule'!L:L, SMALL(IF('Bank Schedule'!$K$2:$K$817="Vacant", ROW('Bank Schedule'!$K$2:$K$817)), ROW(3:3))), "")</f>
        <v/>
      </c>
      <c r="L6" s="11">
        <f t="array" ref="L6">IFERROR(INDEX('Bank Schedule'!M:M, SMALL(IF('Bank Schedule'!$K$2:$K$817="Vacant", ROW('Bank Schedule'!$K$2:$K$817)), ROW(3:3))), "")</f>
        <v/>
      </c>
      <c r="M6" s="106">
        <f t="array" ref="M6">IFERROR(INDEX('Bank Schedule'!N:N, SMALL(IF('Bank Schedule'!$K$2:$K$817="Vacant", ROW('Bank Schedule'!$K$2:$K$817)), ROW(3:3))), "")</f>
        <v/>
      </c>
      <c r="N6" s="11">
        <f t="array" ref="N6">IFERROR(INDEX('Bank Schedule'!O:O, SMALL(IF('Bank Schedule'!$K$2:$K$817="Vacant", ROW('Bank Schedule'!$K$2:$K$817)), ROW(3:3))), "")</f>
        <v/>
      </c>
      <c r="O6" s="11">
        <f t="array" ref="O6">IFERROR(INDEX('Bank Schedule'!P:P, SMALL(IF('Bank Schedule'!$K$2:$K$817="Vacant", ROW('Bank Schedule'!$K$2:$K$817)), ROW(3:3))), "")</f>
        <v/>
      </c>
      <c r="P6" s="11">
        <f t="array" ref="P6">IFERROR(INDEX('Bank Schedule'!Q:Q, SMALL(IF('Bank Schedule'!$K$2:$K$817="Vacant", ROW('Bank Schedule'!$K$2:$K$817)), ROW(3:3))), "")</f>
        <v/>
      </c>
      <c r="Q6" s="11">
        <f t="array" ref="Q6">IFERROR(INDEX('Bank Schedule'!R:R, SMALL(IF('Bank Schedule'!$K$2:$K$817="Vacant", ROW('Bank Schedule'!$K$2:$K$817)), ROW(3:3))), "")</f>
        <v/>
      </c>
      <c r="R6" s="11">
        <f t="array" ref="R6">IFERROR(INDEX('Bank Schedule'!S:S, SMALL(IF('Bank Schedule'!$K$2:$K$817="Vacant", ROW('Bank Schedule'!$K$2:$K$817)), ROW(3:3))), "")</f>
        <v/>
      </c>
      <c r="S6" s="301">
        <f t="array" ref="S6">IFERROR(INDEX('Bank Schedule'!T:T, SMALL(IF('Bank Schedule'!$K$2:$K$817="Vacant", ROW('Bank Schedule'!$K$2:$K$817)), ROW(3:3))), "")</f>
        <v/>
      </c>
      <c r="T6" s="301">
        <f t="array" ref="T6">IFERROR(INDEX('Bank Schedule'!U:U, SMALL(IF('Bank Schedule'!$K$2:$K$817="Vacant", ROW('Bank Schedule'!$K$2:$K$817)), ROW(3:3))), "")</f>
        <v/>
      </c>
      <c r="U6" s="301">
        <f t="array" ref="U6">IFERROR(INDEX('Bank Schedule'!V:V, SMALL(IF('Bank Schedule'!$K$2:$K$817="Vacant", ROW('Bank Schedule'!$K$2:$K$817)), ROW(3:3))), "")</f>
        <v/>
      </c>
      <c r="V6" s="301">
        <f t="array" ref="V6">IFERROR(INDEX('Bank Schedule'!W:W, SMALL(IF('Bank Schedule'!$K$2:$K$817="Vacant", ROW('Bank Schedule'!$K$2:$K$817)), ROW(3:3))), "")</f>
        <v/>
      </c>
      <c r="W6" s="300">
        <f t="array" ref="W6">IFERROR(INDEX('Bank Schedule'!X:X, SMALL(IF('Bank Schedule'!$K$2:$K$817="Vacant", ROW('Bank Schedule'!$K$2:$K$817)), ROW(3:3))), "")</f>
        <v/>
      </c>
      <c r="X6" s="11">
        <f t="array" ref="X6">IFERROR(INDEX('Bank Schedule'!Y:Y, SMALL(IF('Bank Schedule'!$K$2:$K$817="Vacant", ROW('Bank Schedule'!$K$2:$K$817)), ROW(3:3))), "")</f>
        <v/>
      </c>
      <c r="Y6" s="11">
        <f t="array" ref="Y6">IFERROR(INDEX('Bank Schedule'!Z:Z, SMALL(IF('Bank Schedule'!$K$2:$K$817="Vacant", ROW('Bank Schedule'!$K$2:$K$817)), ROW(3:3))), "")</f>
        <v/>
      </c>
      <c r="Z6" s="11">
        <f t="array" ref="Z6">IFERROR(INDEX('Bank Schedule'!AA:AA, SMALL(IF('Bank Schedule'!$K$2:$K$817="Vacant", ROW('Bank Schedule'!$K$2:$K$817)), ROW(3:3))), "")</f>
        <v/>
      </c>
      <c r="AA6" s="11">
        <f t="array" ref="AA6">IFERROR(INDEX('Bank Schedule'!AB:AB, SMALL(IF('Bank Schedule'!$K$2:$K$817="Vacant", ROW('Bank Schedule'!$K$2:$K$817)), ROW(3:3))), "")</f>
        <v/>
      </c>
      <c r="AB6" s="25">
        <f t="array" ref="AB6">IFERROR(INDEX('Bank Schedule'!AC:AC, SMALL(IF('Bank Schedule'!$K$2:$K$817="Vacant", ROW('Bank Schedule'!$K$2:$K$817)), ROW(3:3))), "")</f>
        <v/>
      </c>
      <c r="AC6" s="277">
        <f t="array" ref="AC6">IFERROR(INDEX('Bank Schedule'!AD:AD, SMALL(IF('Bank Schedule'!$K$2:$K$817="Vacant", ROW('Bank Schedule'!$K$2:$K$817)), ROW(3:3))), "")</f>
        <v/>
      </c>
      <c r="AD6" s="11">
        <f t="array" ref="AD6">IFERROR(INDEX('Bank Schedule'!AE:AE, SMALL(IF('Bank Schedule'!$K$2:$K$817="Vacant", ROW('Bank Schedule'!$K$2:$K$817)), ROW(3:3))), "")</f>
        <v/>
      </c>
      <c r="AE6" s="11">
        <f t="array" ref="AE6">IFERROR(INDEX('Bank Schedule'!AF:AF, SMALL(IF('Bank Schedule'!$K$2:$K$817="Vacant", ROW('Bank Schedule'!$K$2:$K$817)), ROW(3:3))), "")</f>
        <v/>
      </c>
      <c r="AF6" s="11" t="n"/>
      <c r="AG6" s="4" t="n"/>
    </row>
    <row r="7" ht="28.5" customHeight="1">
      <c r="A7" s="2">
        <f t="array" ref="A7">IFERROR(INDEX('Bank Schedule'!A:A, SMALL(IF('Bank Schedule'!$K$2:$K$817="Vacant", ROW('Bank Schedule'!$K$2:$K$817)), ROW(4:4))), "")</f>
        <v/>
      </c>
      <c r="B7" s="11">
        <f t="array" ref="B7">IFERROR(INDEX('Bank Schedule'!B:B, SMALL(IF('Bank Schedule'!$K$2:$K$817="Vacant", ROW('Bank Schedule'!$K$2:$K$817)), ROW(4:4))), "")</f>
        <v/>
      </c>
      <c r="C7" s="11">
        <f t="array" ref="C7">IFERROR(INDEX('Bank Schedule'!C:C, SMALL(IF('Bank Schedule'!$K$2:$K$817="Vacant", ROW('Bank Schedule'!$K$2:$K$817)), ROW(4:4))), "")</f>
        <v/>
      </c>
      <c r="D7" s="11">
        <f t="array" ref="D7">IFERROR(INDEX('Bank Schedule'!D:D, SMALL(IF('Bank Schedule'!$K$2:$K$817="Vacant", ROW('Bank Schedule'!$K$2:$K$817)), ROW(4:4))), "")</f>
        <v/>
      </c>
      <c r="E7" s="25">
        <f t="array" ref="E7">IFERROR(INDEX('Bank Schedule'!E:E, SMALL(IF('Bank Schedule'!$K$2:$K$817="Vacant", ROW('Bank Schedule'!$K$2:$K$817)), ROW(4:4))), "")</f>
        <v/>
      </c>
      <c r="F7" s="25">
        <f t="array" ref="F7">IFERROR(INDEX('Bank Schedule'!F:F, SMALL(IF('Bank Schedule'!$K$2:$K$817="Vacant", ROW('Bank Schedule'!$K$2:$K$817)), ROW(4:4))), "")</f>
        <v/>
      </c>
      <c r="G7" s="25">
        <f t="array" ref="G7">IFERROR(INDEX('Bank Schedule'!G:G, SMALL(IF('Bank Schedule'!$K$2:$K$817="Vacant", ROW('Bank Schedule'!$K$2:$K$817)), ROW(4:4))), "")</f>
        <v/>
      </c>
      <c r="H7" s="53">
        <f t="array" ref="H7">IFERROR(INDEX('Bank Schedule'!H:H, SMALL(IF('Bank Schedule'!$K$2:$K$817="Vacant", ROW('Bank Schedule'!$K$2:$K$817)), ROW(4:4))), "")</f>
        <v/>
      </c>
      <c r="I7" s="53">
        <f t="array" ref="I7">IFERROR(INDEX('Bank Schedule'!I:I, SMALL(IF('Bank Schedule'!$K$2:$K$817="Vacant", ROW('Bank Schedule'!$K$2:$K$817)), ROW(4:4))), "")</f>
        <v/>
      </c>
      <c r="J7" s="11">
        <f t="array" ref="J7">IFERROR(INDEX('Bank Schedule'!K:K, SMALL(IF('Bank Schedule'!$K$2:$K$817="Vacant", ROW('Bank Schedule'!$K$2:$K$817)), ROW(4:4))), "")</f>
        <v/>
      </c>
      <c r="K7" s="11">
        <f t="array" ref="K7">IFERROR(INDEX('Bank Schedule'!L:L, SMALL(IF('Bank Schedule'!$K$2:$K$817="Vacant", ROW('Bank Schedule'!$K$2:$K$817)), ROW(4:4))), "")</f>
        <v/>
      </c>
      <c r="L7" s="11">
        <f t="array" ref="L7">IFERROR(INDEX('Bank Schedule'!M:M, SMALL(IF('Bank Schedule'!$K$2:$K$817="Vacant", ROW('Bank Schedule'!$K$2:$K$817)), ROW(4:4))), "")</f>
        <v/>
      </c>
      <c r="M7" s="106">
        <f t="array" ref="M7">IFERROR(INDEX('Bank Schedule'!N:N, SMALL(IF('Bank Schedule'!$K$2:$K$817="Vacant", ROW('Bank Schedule'!$K$2:$K$817)), ROW(4:4))), "")</f>
        <v/>
      </c>
      <c r="N7" s="11">
        <f t="array" ref="N7">IFERROR(INDEX('Bank Schedule'!O:O, SMALL(IF('Bank Schedule'!$K$2:$K$817="Vacant", ROW('Bank Schedule'!$K$2:$K$817)), ROW(4:4))), "")</f>
        <v/>
      </c>
      <c r="O7" s="11">
        <f t="array" ref="O7">IFERROR(INDEX('Bank Schedule'!P:P, SMALL(IF('Bank Schedule'!$K$2:$K$817="Vacant", ROW('Bank Schedule'!$K$2:$K$817)), ROW(4:4))), "")</f>
        <v/>
      </c>
      <c r="P7" s="11">
        <f t="array" ref="P7">IFERROR(INDEX('Bank Schedule'!Q:Q, SMALL(IF('Bank Schedule'!$K$2:$K$817="Vacant", ROW('Bank Schedule'!$K$2:$K$817)), ROW(4:4))), "")</f>
        <v/>
      </c>
      <c r="Q7" s="11">
        <f t="array" ref="Q7">IFERROR(INDEX('Bank Schedule'!R:R, SMALL(IF('Bank Schedule'!$K$2:$K$817="Vacant", ROW('Bank Schedule'!$K$2:$K$817)), ROW(4:4))), "")</f>
        <v/>
      </c>
      <c r="R7" s="11">
        <f t="array" ref="R7">IFERROR(INDEX('Bank Schedule'!S:S, SMALL(IF('Bank Schedule'!$K$2:$K$817="Vacant", ROW('Bank Schedule'!$K$2:$K$817)), ROW(4:4))), "")</f>
        <v/>
      </c>
      <c r="S7" s="301">
        <f t="array" ref="S7">IFERROR(INDEX('Bank Schedule'!T:T, SMALL(IF('Bank Schedule'!$K$2:$K$817="Vacant", ROW('Bank Schedule'!$K$2:$K$817)), ROW(4:4))), "")</f>
        <v/>
      </c>
      <c r="T7" s="301">
        <f t="array" ref="T7">IFERROR(INDEX('Bank Schedule'!U:U, SMALL(IF('Bank Schedule'!$K$2:$K$817="Vacant", ROW('Bank Schedule'!$K$2:$K$817)), ROW(4:4))), "")</f>
        <v/>
      </c>
      <c r="U7" s="301">
        <f t="array" ref="U7">IFERROR(INDEX('Bank Schedule'!V:V, SMALL(IF('Bank Schedule'!$K$2:$K$817="Vacant", ROW('Bank Schedule'!$K$2:$K$817)), ROW(4:4))), "")</f>
        <v/>
      </c>
      <c r="V7" s="301">
        <f t="array" ref="V7">IFERROR(INDEX('Bank Schedule'!W:W, SMALL(IF('Bank Schedule'!$K$2:$K$817="Vacant", ROW('Bank Schedule'!$K$2:$K$817)), ROW(4:4))), "")</f>
        <v/>
      </c>
      <c r="W7" s="300">
        <f t="array" ref="W7">IFERROR(INDEX('Bank Schedule'!X:X, SMALL(IF('Bank Schedule'!$K$2:$K$817="Vacant", ROW('Bank Schedule'!$K$2:$K$817)), ROW(4:4))), "")</f>
        <v/>
      </c>
      <c r="X7" s="11">
        <f t="array" ref="X7">IFERROR(INDEX('Bank Schedule'!Y:Y, SMALL(IF('Bank Schedule'!$K$2:$K$817="Vacant", ROW('Bank Schedule'!$K$2:$K$817)), ROW(4:4))), "")</f>
        <v/>
      </c>
      <c r="Y7" s="11">
        <f t="array" ref="Y7">IFERROR(INDEX('Bank Schedule'!Z:Z, SMALL(IF('Bank Schedule'!$K$2:$K$817="Vacant", ROW('Bank Schedule'!$K$2:$K$817)), ROW(4:4))), "")</f>
        <v/>
      </c>
      <c r="Z7" s="11">
        <f t="array" ref="Z7">IFERROR(INDEX('Bank Schedule'!AA:AA, SMALL(IF('Bank Schedule'!$K$2:$K$817="Vacant", ROW('Bank Schedule'!$K$2:$K$817)), ROW(4:4))), "")</f>
        <v/>
      </c>
      <c r="AA7" s="11">
        <f t="array" ref="AA7">IFERROR(INDEX('Bank Schedule'!AB:AB, SMALL(IF('Bank Schedule'!$K$2:$K$817="Vacant", ROW('Bank Schedule'!$K$2:$K$817)), ROW(4:4))), "")</f>
        <v/>
      </c>
      <c r="AB7" s="25">
        <f t="array" ref="AB7">IFERROR(INDEX('Bank Schedule'!AC:AC, SMALL(IF('Bank Schedule'!$K$2:$K$817="Vacant", ROW('Bank Schedule'!$K$2:$K$817)), ROW(4:4))), "")</f>
        <v/>
      </c>
      <c r="AC7" s="277">
        <f t="array" ref="AC7">IFERROR(INDEX('Bank Schedule'!AD:AD, SMALL(IF('Bank Schedule'!$K$2:$K$817="Vacant", ROW('Bank Schedule'!$K$2:$K$817)), ROW(4:4))), "")</f>
        <v/>
      </c>
      <c r="AD7" s="11">
        <f t="array" ref="AD7">IFERROR(INDEX('Bank Schedule'!AE:AE, SMALL(IF('Bank Schedule'!$K$2:$K$817="Vacant", ROW('Bank Schedule'!$K$2:$K$817)), ROW(4:4))), "")</f>
        <v/>
      </c>
      <c r="AE7" s="11">
        <f t="array" ref="AE7">IFERROR(INDEX('Bank Schedule'!AF:AF, SMALL(IF('Bank Schedule'!$K$2:$K$817="Vacant", ROW('Bank Schedule'!$K$2:$K$817)), ROW(4:4))), "")</f>
        <v/>
      </c>
      <c r="AF7" s="11">
        <f t="array" ref="AF7">IFERROR(INDEX('Bank Schedule'!AG:AG, SMALL(IF('Bank Schedule'!$K$2:$K$817="Vacant", ROW('Bank Schedule'!$K$2:$K$817)), ROW(4:4))), "")</f>
        <v/>
      </c>
      <c r="AG7" s="4" t="n"/>
    </row>
    <row r="8" ht="28.5" customHeight="1">
      <c r="A8" s="2">
        <f t="array" ref="A8">IFERROR(INDEX('Bank Schedule'!A:A, SMALL(IF('Bank Schedule'!$K$2:$K$817="Vacant", ROW('Bank Schedule'!$K$2:$K$817)), ROW(5:5))), "")</f>
        <v/>
      </c>
      <c r="B8" s="11">
        <f t="array" ref="B8">IFERROR(INDEX('Bank Schedule'!B:B, SMALL(IF('Bank Schedule'!$K$2:$K$817="Vacant", ROW('Bank Schedule'!$K$2:$K$817)), ROW(5:5))), "")</f>
        <v/>
      </c>
      <c r="C8" s="11">
        <f t="array" ref="C8">IFERROR(INDEX('Bank Schedule'!C:C, SMALL(IF('Bank Schedule'!$K$2:$K$817="Vacant", ROW('Bank Schedule'!$K$2:$K$817)), ROW(5:5))), "")</f>
        <v/>
      </c>
      <c r="D8" s="11">
        <f t="array" ref="D8">IFERROR(INDEX('Bank Schedule'!D:D, SMALL(IF('Bank Schedule'!$K$2:$K$817="Vacant", ROW('Bank Schedule'!$K$2:$K$817)), ROW(5:5))), "")</f>
        <v/>
      </c>
      <c r="E8" s="25">
        <f t="array" ref="E8">IFERROR(INDEX('Bank Schedule'!E:E, SMALL(IF('Bank Schedule'!$K$2:$K$817="Vacant", ROW('Bank Schedule'!$K$2:$K$817)), ROW(5:5))), "")</f>
        <v/>
      </c>
      <c r="F8" s="25">
        <f t="array" ref="F8">IFERROR(INDEX('Bank Schedule'!F:F, SMALL(IF('Bank Schedule'!$K$2:$K$817="Vacant", ROW('Bank Schedule'!$K$2:$K$817)), ROW(5:5))), "")</f>
        <v/>
      </c>
      <c r="G8" s="25">
        <f t="array" ref="G8">IFERROR(INDEX('Bank Schedule'!G:G, SMALL(IF('Bank Schedule'!$K$2:$K$817="Vacant", ROW('Bank Schedule'!$K$2:$K$817)), ROW(5:5))), "")</f>
        <v/>
      </c>
      <c r="H8" s="53">
        <f t="array" ref="H8">IFERROR(INDEX('Bank Schedule'!H:H, SMALL(IF('Bank Schedule'!$K$2:$K$817="Vacant", ROW('Bank Schedule'!$K$2:$K$817)), ROW(5:5))), "")</f>
        <v/>
      </c>
      <c r="I8" s="53">
        <f t="array" ref="I8">IFERROR(INDEX('Bank Schedule'!I:I, SMALL(IF('Bank Schedule'!$K$2:$K$817="Vacant", ROW('Bank Schedule'!$K$2:$K$817)), ROW(5:5))), "")</f>
        <v/>
      </c>
      <c r="J8" s="11">
        <f t="array" ref="J8">IFERROR(INDEX('Bank Schedule'!K:K, SMALL(IF('Bank Schedule'!$K$2:$K$817="Vacant", ROW('Bank Schedule'!$K$2:$K$817)), ROW(5:5))), "")</f>
        <v/>
      </c>
      <c r="K8" s="11">
        <f t="array" ref="K8">IFERROR(INDEX('Bank Schedule'!L:L, SMALL(IF('Bank Schedule'!$K$2:$K$817="Vacant", ROW('Bank Schedule'!$K$2:$K$817)), ROW(5:5))), "")</f>
        <v/>
      </c>
      <c r="L8" s="11">
        <f t="array" ref="L8">IFERROR(INDEX('Bank Schedule'!M:M, SMALL(IF('Bank Schedule'!$K$2:$K$817="Vacant", ROW('Bank Schedule'!$K$2:$K$817)), ROW(5:5))), "")</f>
        <v/>
      </c>
      <c r="M8" s="106">
        <f t="array" ref="M8">IFERROR(INDEX('Bank Schedule'!N:N, SMALL(IF('Bank Schedule'!$K$2:$K$817="Vacant", ROW('Bank Schedule'!$K$2:$K$817)), ROW(5:5))), "")</f>
        <v/>
      </c>
      <c r="N8" s="11">
        <f t="array" ref="N8">IFERROR(INDEX('Bank Schedule'!O:O, SMALL(IF('Bank Schedule'!$K$2:$K$817="Vacant", ROW('Bank Schedule'!$K$2:$K$817)), ROW(5:5))), "")</f>
        <v/>
      </c>
      <c r="O8" s="11">
        <f t="array" ref="O8">IFERROR(INDEX('Bank Schedule'!P:P, SMALL(IF('Bank Schedule'!$K$2:$K$817="Vacant", ROW('Bank Schedule'!$K$2:$K$817)), ROW(5:5))), "")</f>
        <v/>
      </c>
      <c r="P8" s="11">
        <f t="array" ref="P8">IFERROR(INDEX('Bank Schedule'!Q:Q, SMALL(IF('Bank Schedule'!$K$2:$K$817="Vacant", ROW('Bank Schedule'!$K$2:$K$817)), ROW(5:5))), "")</f>
        <v/>
      </c>
      <c r="Q8" s="11">
        <f t="array" ref="Q8">IFERROR(INDEX('Bank Schedule'!R:R, SMALL(IF('Bank Schedule'!$K$2:$K$817="Vacant", ROW('Bank Schedule'!$K$2:$K$817)), ROW(5:5))), "")</f>
        <v/>
      </c>
      <c r="R8" s="11">
        <f t="array" ref="R8">IFERROR(INDEX('Bank Schedule'!S:S, SMALL(IF('Bank Schedule'!$K$2:$K$817="Vacant", ROW('Bank Schedule'!$K$2:$K$817)), ROW(5:5))), "")</f>
        <v/>
      </c>
      <c r="S8" s="301">
        <f t="array" ref="S8">IFERROR(INDEX('Bank Schedule'!T:T, SMALL(IF('Bank Schedule'!$K$2:$K$817="Vacant", ROW('Bank Schedule'!$K$2:$K$817)), ROW(5:5))), "")</f>
        <v/>
      </c>
      <c r="T8" s="301">
        <f t="array" ref="T8">IFERROR(INDEX('Bank Schedule'!U:U, SMALL(IF('Bank Schedule'!$K$2:$K$817="Vacant", ROW('Bank Schedule'!$K$2:$K$817)), ROW(5:5))), "")</f>
        <v/>
      </c>
      <c r="U8" s="301">
        <f t="array" ref="U8">IFERROR(INDEX('Bank Schedule'!V:V, SMALL(IF('Bank Schedule'!$K$2:$K$817="Vacant", ROW('Bank Schedule'!$K$2:$K$817)), ROW(5:5))), "")</f>
        <v/>
      </c>
      <c r="V8" s="301">
        <f t="array" ref="V8">IFERROR(INDEX('Bank Schedule'!W:W, SMALL(IF('Bank Schedule'!$K$2:$K$817="Vacant", ROW('Bank Schedule'!$K$2:$K$817)), ROW(5:5))), "")</f>
        <v/>
      </c>
      <c r="W8" s="300">
        <f t="array" ref="W8">IFERROR(INDEX('Bank Schedule'!X:X, SMALL(IF('Bank Schedule'!$K$2:$K$817="Vacant", ROW('Bank Schedule'!$K$2:$K$817)), ROW(5:5))), "")</f>
        <v/>
      </c>
      <c r="X8" s="11">
        <f t="array" ref="X8">IFERROR(INDEX('Bank Schedule'!Y:Y, SMALL(IF('Bank Schedule'!$K$2:$K$817="Vacant", ROW('Bank Schedule'!$K$2:$K$817)), ROW(5:5))), "")</f>
        <v/>
      </c>
      <c r="Y8" s="11">
        <f t="array" ref="Y8">IFERROR(INDEX('Bank Schedule'!Z:Z, SMALL(IF('Bank Schedule'!$K$2:$K$817="Vacant", ROW('Bank Schedule'!$K$2:$K$817)), ROW(5:5))), "")</f>
        <v/>
      </c>
      <c r="Z8" s="11">
        <f t="array" ref="Z8">IFERROR(INDEX('Bank Schedule'!AA:AA, SMALL(IF('Bank Schedule'!$K$2:$K$817="Vacant", ROW('Bank Schedule'!$K$2:$K$817)), ROW(5:5))), "")</f>
        <v/>
      </c>
      <c r="AA8" s="11">
        <f t="array" ref="AA8">IFERROR(INDEX('Bank Schedule'!AB:AB, SMALL(IF('Bank Schedule'!$K$2:$K$817="Vacant", ROW('Bank Schedule'!$K$2:$K$817)), ROW(5:5))), "")</f>
        <v/>
      </c>
      <c r="AB8" s="25">
        <f t="array" ref="AB8">IFERROR(INDEX('Bank Schedule'!AC:AC, SMALL(IF('Bank Schedule'!$K$2:$K$817="Vacant", ROW('Bank Schedule'!$K$2:$K$817)), ROW(5:5))), "")</f>
        <v/>
      </c>
      <c r="AC8" s="277">
        <f t="array" ref="AC8">IFERROR(INDEX('Bank Schedule'!AD:AD, SMALL(IF('Bank Schedule'!$K$2:$K$817="Vacant", ROW('Bank Schedule'!$K$2:$K$817)), ROW(5:5))), "")</f>
        <v/>
      </c>
      <c r="AD8" s="11">
        <f t="array" ref="AD8">IFERROR(INDEX('Bank Schedule'!AE:AE, SMALL(IF('Bank Schedule'!$K$2:$K$817="Vacant", ROW('Bank Schedule'!$K$2:$K$817)), ROW(5:5))), "")</f>
        <v/>
      </c>
      <c r="AE8" s="11">
        <f t="array" ref="AE8">IFERROR(INDEX('Bank Schedule'!AF:AF, SMALL(IF('Bank Schedule'!$K$2:$K$817="Vacant", ROW('Bank Schedule'!$K$2:$K$817)), ROW(5:5))), "")</f>
        <v/>
      </c>
      <c r="AF8" s="11" t="n"/>
      <c r="AG8" s="4" t="n"/>
    </row>
    <row r="9" ht="28.5" customHeight="1">
      <c r="A9" s="2">
        <f t="array" ref="A9">IFERROR(INDEX('Bank Schedule'!A:A, SMALL(IF('Bank Schedule'!$K$2:$K$817="Vacant", ROW('Bank Schedule'!$K$2:$K$817)), ROW(6:6))), "")</f>
        <v/>
      </c>
      <c r="B9" s="11">
        <f t="array" ref="B9">IFERROR(INDEX('Bank Schedule'!B:B, SMALL(IF('Bank Schedule'!$K$2:$K$817="Vacant", ROW('Bank Schedule'!$K$2:$K$817)), ROW(6:6))), "")</f>
        <v/>
      </c>
      <c r="C9" s="11">
        <f t="array" ref="C9">IFERROR(INDEX('Bank Schedule'!C:C, SMALL(IF('Bank Schedule'!$K$2:$K$817="Vacant", ROW('Bank Schedule'!$K$2:$K$817)), ROW(6:6))), "")</f>
        <v/>
      </c>
      <c r="D9" s="11">
        <f t="array" ref="D9">IFERROR(INDEX('Bank Schedule'!D:D, SMALL(IF('Bank Schedule'!$K$2:$K$817="Vacant", ROW('Bank Schedule'!$K$2:$K$817)), ROW(6:6))), "")</f>
        <v/>
      </c>
      <c r="E9" s="25">
        <f t="array" ref="E9">IFERROR(INDEX('Bank Schedule'!E:E, SMALL(IF('Bank Schedule'!$K$2:$K$817="Vacant", ROW('Bank Schedule'!$K$2:$K$817)), ROW(6:6))), "")</f>
        <v/>
      </c>
      <c r="F9" s="25">
        <f t="array" ref="F9">IFERROR(INDEX('Bank Schedule'!F:F, SMALL(IF('Bank Schedule'!$K$2:$K$817="Vacant", ROW('Bank Schedule'!$K$2:$K$817)), ROW(6:6))), "")</f>
        <v/>
      </c>
      <c r="G9" s="25">
        <f t="array" ref="G9">IFERROR(INDEX('Bank Schedule'!G:G, SMALL(IF('Bank Schedule'!$K$2:$K$817="Vacant", ROW('Bank Schedule'!$K$2:$K$817)), ROW(6:6))), "")</f>
        <v/>
      </c>
      <c r="H9" s="53">
        <f t="array" ref="H9">IFERROR(INDEX('Bank Schedule'!H:H, SMALL(IF('Bank Schedule'!$K$2:$K$817="Vacant", ROW('Bank Schedule'!$K$2:$K$817)), ROW(6:6))), "")</f>
        <v/>
      </c>
      <c r="I9" s="53">
        <f t="array" ref="I9">IFERROR(INDEX('Bank Schedule'!I:I, SMALL(IF('Bank Schedule'!$K$2:$K$817="Vacant", ROW('Bank Schedule'!$K$2:$K$817)), ROW(6:6))), "")</f>
        <v/>
      </c>
      <c r="J9" s="11">
        <f t="array" ref="J9">IFERROR(INDEX('Bank Schedule'!K:K, SMALL(IF('Bank Schedule'!$K$2:$K$817="Vacant", ROW('Bank Schedule'!$K$2:$K$817)), ROW(6:6))), "")</f>
        <v/>
      </c>
      <c r="K9" s="11">
        <f t="array" ref="K9">IFERROR(INDEX('Bank Schedule'!L:L, SMALL(IF('Bank Schedule'!$K$2:$K$817="Vacant", ROW('Bank Schedule'!$K$2:$K$817)), ROW(6:6))), "")</f>
        <v/>
      </c>
      <c r="L9" s="11">
        <f t="array" ref="L9">IFERROR(INDEX('Bank Schedule'!M:M, SMALL(IF('Bank Schedule'!$K$2:$K$817="Vacant", ROW('Bank Schedule'!$K$2:$K$817)), ROW(6:6))), "")</f>
        <v/>
      </c>
      <c r="M9" s="106">
        <f t="array" ref="M9">IFERROR(INDEX('Bank Schedule'!N:N, SMALL(IF('Bank Schedule'!$K$2:$K$817="Vacant", ROW('Bank Schedule'!$K$2:$K$817)), ROW(6:6))), "")</f>
        <v/>
      </c>
      <c r="N9" s="11">
        <f t="array" ref="N9">IFERROR(INDEX('Bank Schedule'!O:O, SMALL(IF('Bank Schedule'!$K$2:$K$817="Vacant", ROW('Bank Schedule'!$K$2:$K$817)), ROW(6:6))), "")</f>
        <v/>
      </c>
      <c r="O9" s="11">
        <f t="array" ref="O9">IFERROR(INDEX('Bank Schedule'!P:P, SMALL(IF('Bank Schedule'!$K$2:$K$817="Vacant", ROW('Bank Schedule'!$K$2:$K$817)), ROW(6:6))), "")</f>
        <v/>
      </c>
      <c r="P9" s="11">
        <f t="array" ref="P9">IFERROR(INDEX('Bank Schedule'!Q:Q, SMALL(IF('Bank Schedule'!$K$2:$K$817="Vacant", ROW('Bank Schedule'!$K$2:$K$817)), ROW(6:6))), "")</f>
        <v/>
      </c>
      <c r="Q9" s="11">
        <f t="array" ref="Q9">IFERROR(INDEX('Bank Schedule'!R:R, SMALL(IF('Bank Schedule'!$K$2:$K$817="Vacant", ROW('Bank Schedule'!$K$2:$K$817)), ROW(6:6))), "")</f>
        <v/>
      </c>
      <c r="R9" s="11">
        <f t="array" ref="R9">IFERROR(INDEX('Bank Schedule'!S:S, SMALL(IF('Bank Schedule'!$K$2:$K$817="Vacant", ROW('Bank Schedule'!$K$2:$K$817)), ROW(6:6))), "")</f>
        <v/>
      </c>
      <c r="S9" s="301">
        <f t="array" ref="S9">IFERROR(INDEX('Bank Schedule'!T:T, SMALL(IF('Bank Schedule'!$K$2:$K$817="Vacant", ROW('Bank Schedule'!$K$2:$K$817)), ROW(6:6))), "")</f>
        <v/>
      </c>
      <c r="T9" s="301">
        <f t="array" ref="T9">IFERROR(INDEX('Bank Schedule'!U:U, SMALL(IF('Bank Schedule'!$K$2:$K$817="Vacant", ROW('Bank Schedule'!$K$2:$K$817)), ROW(6:6))), "")</f>
        <v/>
      </c>
      <c r="U9" s="301">
        <f t="array" ref="U9">IFERROR(INDEX('Bank Schedule'!V:V, SMALL(IF('Bank Schedule'!$K$2:$K$817="Vacant", ROW('Bank Schedule'!$K$2:$K$817)), ROW(6:6))), "")</f>
        <v/>
      </c>
      <c r="V9" s="301">
        <f t="array" ref="V9">IFERROR(INDEX('Bank Schedule'!W:W, SMALL(IF('Bank Schedule'!$K$2:$K$817="Vacant", ROW('Bank Schedule'!$K$2:$K$817)), ROW(6:6))), "")</f>
        <v/>
      </c>
      <c r="W9" s="300">
        <f t="array" ref="W9">IFERROR(INDEX('Bank Schedule'!X:X, SMALL(IF('Bank Schedule'!$K$2:$K$817="Vacant", ROW('Bank Schedule'!$K$2:$K$817)), ROW(6:6))), "")</f>
        <v/>
      </c>
      <c r="X9" s="11">
        <f t="array" ref="X9">IFERROR(INDEX('Bank Schedule'!Y:Y, SMALL(IF('Bank Schedule'!$K$2:$K$817="Vacant", ROW('Bank Schedule'!$K$2:$K$817)), ROW(6:6))), "")</f>
        <v/>
      </c>
      <c r="Y9" s="11">
        <f t="array" ref="Y9">IFERROR(INDEX('Bank Schedule'!Z:Z, SMALL(IF('Bank Schedule'!$K$2:$K$817="Vacant", ROW('Bank Schedule'!$K$2:$K$817)), ROW(6:6))), "")</f>
        <v/>
      </c>
      <c r="Z9" s="11">
        <f t="array" ref="Z9">IFERROR(INDEX('Bank Schedule'!AA:AA, SMALL(IF('Bank Schedule'!$K$2:$K$817="Vacant", ROW('Bank Schedule'!$K$2:$K$817)), ROW(6:6))), "")</f>
        <v/>
      </c>
      <c r="AA9" s="11">
        <f t="array" ref="AA9">IFERROR(INDEX('Bank Schedule'!AB:AB, SMALL(IF('Bank Schedule'!$K$2:$K$817="Vacant", ROW('Bank Schedule'!$K$2:$K$817)), ROW(6:6))), "")</f>
        <v/>
      </c>
      <c r="AB9" s="25">
        <f t="array" ref="AB9">IFERROR(INDEX('Bank Schedule'!AC:AC, SMALL(IF('Bank Schedule'!$K$2:$K$817="Vacant", ROW('Bank Schedule'!$K$2:$K$817)), ROW(6:6))), "")</f>
        <v/>
      </c>
      <c r="AC9" s="277">
        <f t="array" ref="AC9">IFERROR(INDEX('Bank Schedule'!AD:AD, SMALL(IF('Bank Schedule'!$K$2:$K$817="Vacant", ROW('Bank Schedule'!$K$2:$K$817)), ROW(6:6))), "")</f>
        <v/>
      </c>
      <c r="AD9" s="11">
        <f t="array" ref="AD9">IFERROR(INDEX('Bank Schedule'!AE:AE, SMALL(IF('Bank Schedule'!$K$2:$K$817="Vacant", ROW('Bank Schedule'!$K$2:$K$817)), ROW(6:6))), "")</f>
        <v/>
      </c>
      <c r="AE9" s="11">
        <f t="array" ref="AE9">IFERROR(INDEX('Bank Schedule'!AF:AF, SMALL(IF('Bank Schedule'!$K$2:$K$817="Vacant", ROW('Bank Schedule'!$K$2:$K$817)), ROW(6:6))), "")</f>
        <v/>
      </c>
      <c r="AF9" s="11" t="n"/>
      <c r="AG9" s="4" t="n"/>
    </row>
    <row r="10" ht="28.5" customHeight="1">
      <c r="A10" s="2">
        <f t="array" ref="A10">IFERROR(INDEX('Bank Schedule'!A:A, SMALL(IF('Bank Schedule'!$K$2:$K$817="Vacant", ROW('Bank Schedule'!$K$2:$K$817)), ROW(7:7))), "")</f>
        <v/>
      </c>
      <c r="B10" s="11">
        <f t="array" ref="B10">IFERROR(INDEX('Bank Schedule'!B:B, SMALL(IF('Bank Schedule'!$K$2:$K$817="Vacant", ROW('Bank Schedule'!$K$2:$K$817)), ROW(7:7))), "")</f>
        <v/>
      </c>
      <c r="C10" s="11">
        <f t="array" ref="C10">IFERROR(INDEX('Bank Schedule'!C:C, SMALL(IF('Bank Schedule'!$K$2:$K$817="Vacant", ROW('Bank Schedule'!$K$2:$K$817)), ROW(7:7))), "")</f>
        <v/>
      </c>
      <c r="D10" s="11">
        <f t="array" ref="D10">IFERROR(INDEX('Bank Schedule'!D:D, SMALL(IF('Bank Schedule'!$K$2:$K$817="Vacant", ROW('Bank Schedule'!$K$2:$K$817)), ROW(7:7))), "")</f>
        <v/>
      </c>
      <c r="E10" s="25">
        <f t="array" ref="E10">IFERROR(INDEX('Bank Schedule'!E:E, SMALL(IF('Bank Schedule'!$K$2:$K$817="Vacant", ROW('Bank Schedule'!$K$2:$K$817)), ROW(7:7))), "")</f>
        <v/>
      </c>
      <c r="F10" s="25">
        <f t="array" ref="F10">IFERROR(INDEX('Bank Schedule'!F:F, SMALL(IF('Bank Schedule'!$K$2:$K$817="Vacant", ROW('Bank Schedule'!$K$2:$K$817)), ROW(7:7))), "")</f>
        <v/>
      </c>
      <c r="G10" s="25">
        <f t="array" ref="G10">IFERROR(INDEX('Bank Schedule'!G:G, SMALL(IF('Bank Schedule'!$K$2:$K$817="Vacant", ROW('Bank Schedule'!$K$2:$K$817)), ROW(7:7))), "")</f>
        <v/>
      </c>
      <c r="H10" s="53">
        <f t="array" ref="H10">IFERROR(INDEX('Bank Schedule'!H:H, SMALL(IF('Bank Schedule'!$K$2:$K$817="Vacant", ROW('Bank Schedule'!$K$2:$K$817)), ROW(7:7))), "")</f>
        <v/>
      </c>
      <c r="I10" s="53">
        <f t="array" ref="I10">IFERROR(INDEX('Bank Schedule'!I:I, SMALL(IF('Bank Schedule'!$K$2:$K$817="Vacant", ROW('Bank Schedule'!$K$2:$K$817)), ROW(7:7))), "")</f>
        <v/>
      </c>
      <c r="J10" s="11">
        <f t="array" ref="J10">IFERROR(INDEX('Bank Schedule'!K:K, SMALL(IF('Bank Schedule'!$K$2:$K$817="Vacant", ROW('Bank Schedule'!$K$2:$K$817)), ROW(7:7))), "")</f>
        <v/>
      </c>
      <c r="K10" s="11">
        <f t="array" ref="K10">IFERROR(INDEX('Bank Schedule'!L:L, SMALL(IF('Bank Schedule'!$K$2:$K$817="Vacant", ROW('Bank Schedule'!$K$2:$K$817)), ROW(7:7))), "")</f>
        <v/>
      </c>
      <c r="L10" s="11">
        <f t="array" ref="L10">IFERROR(INDEX('Bank Schedule'!M:M, SMALL(IF('Bank Schedule'!$K$2:$K$817="Vacant", ROW('Bank Schedule'!$K$2:$K$817)), ROW(7:7))), "")</f>
        <v/>
      </c>
      <c r="M10" s="106">
        <f t="array" ref="M10">IFERROR(INDEX('Bank Schedule'!N:N, SMALL(IF('Bank Schedule'!$K$2:$K$817="Vacant", ROW('Bank Schedule'!$K$2:$K$817)), ROW(7:7))), "")</f>
        <v/>
      </c>
      <c r="N10" s="11">
        <f t="array" ref="N10">IFERROR(INDEX('Bank Schedule'!O:O, SMALL(IF('Bank Schedule'!$K$2:$K$817="Vacant", ROW('Bank Schedule'!$K$2:$K$817)), ROW(7:7))), "")</f>
        <v/>
      </c>
      <c r="O10" s="11">
        <f t="array" ref="O10">IFERROR(INDEX('Bank Schedule'!P:P, SMALL(IF('Bank Schedule'!$K$2:$K$817="Vacant", ROW('Bank Schedule'!$K$2:$K$817)), ROW(7:7))), "")</f>
        <v/>
      </c>
      <c r="P10" s="11">
        <f t="array" ref="P10">IFERROR(INDEX('Bank Schedule'!Q:Q, SMALL(IF('Bank Schedule'!$K$2:$K$817="Vacant", ROW('Bank Schedule'!$K$2:$K$817)), ROW(7:7))), "")</f>
        <v/>
      </c>
      <c r="Q10" s="11">
        <f t="array" ref="Q10">IFERROR(INDEX('Bank Schedule'!R:R, SMALL(IF('Bank Schedule'!$K$2:$K$817="Vacant", ROW('Bank Schedule'!$K$2:$K$817)), ROW(7:7))), "")</f>
        <v/>
      </c>
      <c r="R10" s="11">
        <f t="array" ref="R10">IFERROR(INDEX('Bank Schedule'!S:S, SMALL(IF('Bank Schedule'!$K$2:$K$817="Vacant", ROW('Bank Schedule'!$K$2:$K$817)), ROW(7:7))), "")</f>
        <v/>
      </c>
      <c r="S10" s="301">
        <f t="array" ref="S10">IFERROR(INDEX('Bank Schedule'!T:T, SMALL(IF('Bank Schedule'!$K$2:$K$817="Vacant", ROW('Bank Schedule'!$K$2:$K$817)), ROW(7:7))), "")</f>
        <v/>
      </c>
      <c r="T10" s="301">
        <f t="array" ref="T10">IFERROR(INDEX('Bank Schedule'!U:U, SMALL(IF('Bank Schedule'!$K$2:$K$817="Vacant", ROW('Bank Schedule'!$K$2:$K$817)), ROW(7:7))), "")</f>
        <v/>
      </c>
      <c r="U10" s="301">
        <f t="array" ref="U10">IFERROR(INDEX('Bank Schedule'!V:V, SMALL(IF('Bank Schedule'!$K$2:$K$817="Vacant", ROW('Bank Schedule'!$K$2:$K$817)), ROW(7:7))), "")</f>
        <v/>
      </c>
      <c r="V10" s="301">
        <f t="array" ref="V10">IFERROR(INDEX('Bank Schedule'!W:W, SMALL(IF('Bank Schedule'!$K$2:$K$817="Vacant", ROW('Bank Schedule'!$K$2:$K$817)), ROW(7:7))), "")</f>
        <v/>
      </c>
      <c r="W10" s="300">
        <f t="array" ref="W10">IFERROR(INDEX('Bank Schedule'!X:X, SMALL(IF('Bank Schedule'!$K$2:$K$817="Vacant", ROW('Bank Schedule'!$K$2:$K$817)), ROW(7:7))), "")</f>
        <v/>
      </c>
      <c r="X10" s="11">
        <f t="array" ref="X10">IFERROR(INDEX('Bank Schedule'!Y:Y, SMALL(IF('Bank Schedule'!$K$2:$K$817="Vacant", ROW('Bank Schedule'!$K$2:$K$817)), ROW(7:7))), "")</f>
        <v/>
      </c>
      <c r="Y10" s="11">
        <f t="array" ref="Y10">IFERROR(INDEX('Bank Schedule'!Z:Z, SMALL(IF('Bank Schedule'!$K$2:$K$817="Vacant", ROW('Bank Schedule'!$K$2:$K$817)), ROW(7:7))), "")</f>
        <v/>
      </c>
      <c r="Z10" s="11">
        <f t="array" ref="Z10">IFERROR(INDEX('Bank Schedule'!AA:AA, SMALL(IF('Bank Schedule'!$K$2:$K$817="Vacant", ROW('Bank Schedule'!$K$2:$K$817)), ROW(7:7))), "")</f>
        <v/>
      </c>
      <c r="AA10" s="11">
        <f t="array" ref="AA10">IFERROR(INDEX('Bank Schedule'!AB:AB, SMALL(IF('Bank Schedule'!$K$2:$K$817="Vacant", ROW('Bank Schedule'!$K$2:$K$817)), ROW(7:7))), "")</f>
        <v/>
      </c>
      <c r="AB10" s="25">
        <f t="array" ref="AB10">IFERROR(INDEX('Bank Schedule'!AC:AC, SMALL(IF('Bank Schedule'!$K$2:$K$817="Vacant", ROW('Bank Schedule'!$K$2:$K$817)), ROW(7:7))), "")</f>
        <v/>
      </c>
      <c r="AC10" s="277">
        <f t="array" ref="AC10">IFERROR(INDEX('Bank Schedule'!AD:AD, SMALL(IF('Bank Schedule'!$K$2:$K$817="Vacant", ROW('Bank Schedule'!$K$2:$K$817)), ROW(7:7))), "")</f>
        <v/>
      </c>
      <c r="AD10" s="11">
        <f t="array" ref="AD10">IFERROR(INDEX('Bank Schedule'!AE:AE, SMALL(IF('Bank Schedule'!$K$2:$K$817="Vacant", ROW('Bank Schedule'!$K$2:$K$817)), ROW(7:7))), "")</f>
        <v/>
      </c>
      <c r="AE10" s="11">
        <f t="array" ref="AE10">IFERROR(INDEX('Bank Schedule'!AF:AF, SMALL(IF('Bank Schedule'!$K$2:$K$817="Vacant", ROW('Bank Schedule'!$K$2:$K$817)), ROW(7:7))), "")</f>
        <v/>
      </c>
      <c r="AF10" s="11">
        <f t="array" ref="AF10">IFERROR(INDEX('Bank Schedule'!AG:AG, SMALL(IF('Bank Schedule'!$K$2:$K$817="Vacant", ROW('Bank Schedule'!$K$2:$K$817)), ROW(7:7))), "")</f>
        <v/>
      </c>
      <c r="AG10" s="4" t="n"/>
    </row>
    <row r="11" ht="28.5" customHeight="1">
      <c r="A11" s="2">
        <f t="array" ref="A11">IFERROR(INDEX('Bank Schedule'!A:A, SMALL(IF('Bank Schedule'!$K$2:$K$817="Vacant", ROW('Bank Schedule'!$K$2:$K$817)), ROW(8:8))), "")</f>
        <v/>
      </c>
      <c r="B11" s="11">
        <f t="array" ref="B11">IFERROR(INDEX('Bank Schedule'!B:B, SMALL(IF('Bank Schedule'!$K$2:$K$817="Vacant", ROW('Bank Schedule'!$K$2:$K$817)), ROW(8:8))), "")</f>
        <v/>
      </c>
      <c r="C11" s="11">
        <f t="array" ref="C11">IFERROR(INDEX('Bank Schedule'!C:C, SMALL(IF('Bank Schedule'!$K$2:$K$817="Vacant", ROW('Bank Schedule'!$K$2:$K$817)), ROW(8:8))), "")</f>
        <v/>
      </c>
      <c r="D11" s="11">
        <f t="array" ref="D11">IFERROR(INDEX('Bank Schedule'!D:D, SMALL(IF('Bank Schedule'!$K$2:$K$817="Vacant", ROW('Bank Schedule'!$K$2:$K$817)), ROW(8:8))), "")</f>
        <v/>
      </c>
      <c r="E11" s="25">
        <f t="array" ref="E11">IFERROR(INDEX('Bank Schedule'!E:E, SMALL(IF('Bank Schedule'!$K$2:$K$817="Vacant", ROW('Bank Schedule'!$K$2:$K$817)), ROW(8:8))), "")</f>
        <v/>
      </c>
      <c r="F11" s="25">
        <f t="array" ref="F11">IFERROR(INDEX('Bank Schedule'!F:F, SMALL(IF('Bank Schedule'!$K$2:$K$817="Vacant", ROW('Bank Schedule'!$K$2:$K$817)), ROW(8:8))), "")</f>
        <v/>
      </c>
      <c r="G11" s="25">
        <f t="array" ref="G11">IFERROR(INDEX('Bank Schedule'!G:G, SMALL(IF('Bank Schedule'!$K$2:$K$817="Vacant", ROW('Bank Schedule'!$K$2:$K$817)), ROW(8:8))), "")</f>
        <v/>
      </c>
      <c r="H11" s="53">
        <f t="array" ref="H11">IFERROR(INDEX('Bank Schedule'!H:H, SMALL(IF('Bank Schedule'!$K$2:$K$817="Vacant", ROW('Bank Schedule'!$K$2:$K$817)), ROW(8:8))), "")</f>
        <v/>
      </c>
      <c r="I11" s="53">
        <f t="array" ref="I11">IFERROR(INDEX('Bank Schedule'!I:I, SMALL(IF('Bank Schedule'!$K$2:$K$817="Vacant", ROW('Bank Schedule'!$K$2:$K$817)), ROW(8:8))), "")</f>
        <v/>
      </c>
      <c r="J11" s="11">
        <f t="array" ref="J11">IFERROR(INDEX('Bank Schedule'!K:K, SMALL(IF('Bank Schedule'!$K$2:$K$817="Vacant", ROW('Bank Schedule'!$K$2:$K$817)), ROW(8:8))), "")</f>
        <v/>
      </c>
      <c r="K11" s="11">
        <f t="array" ref="K11">IFERROR(INDEX('Bank Schedule'!L:L, SMALL(IF('Bank Schedule'!$K$2:$K$817="Vacant", ROW('Bank Schedule'!$K$2:$K$817)), ROW(8:8))), "")</f>
        <v/>
      </c>
      <c r="L11" s="11">
        <f t="array" ref="L11">IFERROR(INDEX('Bank Schedule'!M:M, SMALL(IF('Bank Schedule'!$K$2:$K$817="Vacant", ROW('Bank Schedule'!$K$2:$K$817)), ROW(8:8))), "")</f>
        <v/>
      </c>
      <c r="M11" s="106">
        <f t="array" ref="M11">IFERROR(INDEX('Bank Schedule'!N:N, SMALL(IF('Bank Schedule'!$K$2:$K$817="Vacant", ROW('Bank Schedule'!$K$2:$K$817)), ROW(8:8))), "")</f>
        <v/>
      </c>
      <c r="N11" s="11">
        <f t="array" ref="N11">IFERROR(INDEX('Bank Schedule'!O:O, SMALL(IF('Bank Schedule'!$K$2:$K$817="Vacant", ROW('Bank Schedule'!$K$2:$K$817)), ROW(8:8))), "")</f>
        <v/>
      </c>
      <c r="O11" s="11">
        <f t="array" ref="O11">IFERROR(INDEX('Bank Schedule'!P:P, SMALL(IF('Bank Schedule'!$K$2:$K$817="Vacant", ROW('Bank Schedule'!$K$2:$K$817)), ROW(8:8))), "")</f>
        <v/>
      </c>
      <c r="P11" s="11">
        <f t="array" ref="P11">IFERROR(INDEX('Bank Schedule'!Q:Q, SMALL(IF('Bank Schedule'!$K$2:$K$817="Vacant", ROW('Bank Schedule'!$K$2:$K$817)), ROW(8:8))), "")</f>
        <v/>
      </c>
      <c r="Q11" s="11">
        <f t="array" ref="Q11">IFERROR(INDEX('Bank Schedule'!R:R, SMALL(IF('Bank Schedule'!$K$2:$K$817="Vacant", ROW('Bank Schedule'!$K$2:$K$817)), ROW(8:8))), "")</f>
        <v/>
      </c>
      <c r="R11" s="11">
        <f t="array" ref="R11">IFERROR(INDEX('Bank Schedule'!S:S, SMALL(IF('Bank Schedule'!$K$2:$K$817="Vacant", ROW('Bank Schedule'!$K$2:$K$817)), ROW(8:8))), "")</f>
        <v/>
      </c>
      <c r="S11" s="301">
        <f t="array" ref="S11">IFERROR(INDEX('Bank Schedule'!T:T, SMALL(IF('Bank Schedule'!$K$2:$K$817="Vacant", ROW('Bank Schedule'!$K$2:$K$817)), ROW(8:8))), "")</f>
        <v/>
      </c>
      <c r="T11" s="301">
        <f t="array" ref="T11">IFERROR(INDEX('Bank Schedule'!U:U, SMALL(IF('Bank Schedule'!$K$2:$K$817="Vacant", ROW('Bank Schedule'!$K$2:$K$817)), ROW(8:8))), "")</f>
        <v/>
      </c>
      <c r="U11" s="301">
        <f t="array" ref="U11">IFERROR(INDEX('Bank Schedule'!V:V, SMALL(IF('Bank Schedule'!$K$2:$K$817="Vacant", ROW('Bank Schedule'!$K$2:$K$817)), ROW(8:8))), "")</f>
        <v/>
      </c>
      <c r="V11" s="301">
        <f t="array" ref="V11">IFERROR(INDEX('Bank Schedule'!W:W, SMALL(IF('Bank Schedule'!$K$2:$K$817="Vacant", ROW('Bank Schedule'!$K$2:$K$817)), ROW(8:8))), "")</f>
        <v/>
      </c>
      <c r="W11" s="300">
        <f t="array" ref="W11">IFERROR(INDEX('Bank Schedule'!X:X, SMALL(IF('Bank Schedule'!$K$2:$K$817="Vacant", ROW('Bank Schedule'!$K$2:$K$817)), ROW(8:8))), "")</f>
        <v/>
      </c>
      <c r="X11" s="11">
        <f t="array" ref="X11">IFERROR(INDEX('Bank Schedule'!Y:Y, SMALL(IF('Bank Schedule'!$K$2:$K$817="Vacant", ROW('Bank Schedule'!$K$2:$K$817)), ROW(8:8))), "")</f>
        <v/>
      </c>
      <c r="Y11" s="11">
        <f t="array" ref="Y11">IFERROR(INDEX('Bank Schedule'!Z:Z, SMALL(IF('Bank Schedule'!$K$2:$K$817="Vacant", ROW('Bank Schedule'!$K$2:$K$817)), ROW(8:8))), "")</f>
        <v/>
      </c>
      <c r="Z11" s="11">
        <f t="array" ref="Z11">IFERROR(INDEX('Bank Schedule'!AA:AA, SMALL(IF('Bank Schedule'!$K$2:$K$817="Vacant", ROW('Bank Schedule'!$K$2:$K$817)), ROW(8:8))), "")</f>
        <v/>
      </c>
      <c r="AA11" s="11">
        <f t="array" ref="AA11">IFERROR(INDEX('Bank Schedule'!AB:AB, SMALL(IF('Bank Schedule'!$K$2:$K$817="Vacant", ROW('Bank Schedule'!$K$2:$K$817)), ROW(8:8))), "")</f>
        <v/>
      </c>
      <c r="AB11" s="25">
        <f t="array" ref="AB11">IFERROR(INDEX('Bank Schedule'!AC:AC, SMALL(IF('Bank Schedule'!$K$2:$K$817="Vacant", ROW('Bank Schedule'!$K$2:$K$817)), ROW(8:8))), "")</f>
        <v/>
      </c>
      <c r="AC11" s="277">
        <f t="array" ref="AC11">IFERROR(INDEX('Bank Schedule'!AD:AD, SMALL(IF('Bank Schedule'!$K$2:$K$817="Vacant", ROW('Bank Schedule'!$K$2:$K$817)), ROW(8:8))), "")</f>
        <v/>
      </c>
      <c r="AD11" s="11">
        <f t="array" ref="AD11">IFERROR(INDEX('Bank Schedule'!AE:AE, SMALL(IF('Bank Schedule'!$K$2:$K$817="Vacant", ROW('Bank Schedule'!$K$2:$K$817)), ROW(8:8))), "")</f>
        <v/>
      </c>
      <c r="AE11" s="11">
        <f t="array" ref="AE11">IFERROR(INDEX('Bank Schedule'!AF:AF, SMALL(IF('Bank Schedule'!$K$2:$K$817="Vacant", ROW('Bank Schedule'!$K$2:$K$817)), ROW(8:8))), "")</f>
        <v/>
      </c>
      <c r="AF11" s="11" t="n"/>
      <c r="AG11" s="4" t="n"/>
    </row>
    <row r="12" ht="28.5" customHeight="1">
      <c r="A12" s="2">
        <f t="array" ref="A12">IFERROR(INDEX('Bank Schedule'!A:A, SMALL(IF('Bank Schedule'!$K$2:$K$817="Vacant", ROW('Bank Schedule'!$K$2:$K$817)), ROW(9:9))), "")</f>
        <v/>
      </c>
      <c r="B12" s="11">
        <f t="array" ref="B12">IFERROR(INDEX('Bank Schedule'!B:B, SMALL(IF('Bank Schedule'!$K$2:$K$817="Vacant", ROW('Bank Schedule'!$K$2:$K$817)), ROW(9:9))), "")</f>
        <v/>
      </c>
      <c r="C12" s="11">
        <f t="array" ref="C12">IFERROR(INDEX('Bank Schedule'!C:C, SMALL(IF('Bank Schedule'!$K$2:$K$817="Vacant", ROW('Bank Schedule'!$K$2:$K$817)), ROW(9:9))), "")</f>
        <v/>
      </c>
      <c r="D12" s="11">
        <f t="array" ref="D12">IFERROR(INDEX('Bank Schedule'!D:D, SMALL(IF('Bank Schedule'!$K$2:$K$817="Vacant", ROW('Bank Schedule'!$K$2:$K$817)), ROW(9:9))), "")</f>
        <v/>
      </c>
      <c r="E12" s="25">
        <f t="array" ref="E12">IFERROR(INDEX('Bank Schedule'!E:E, SMALL(IF('Bank Schedule'!$K$2:$K$817="Vacant", ROW('Bank Schedule'!$K$2:$K$817)), ROW(9:9))), "")</f>
        <v/>
      </c>
      <c r="F12" s="25">
        <f t="array" ref="F12">IFERROR(INDEX('Bank Schedule'!F:F, SMALL(IF('Bank Schedule'!$K$2:$K$817="Vacant", ROW('Bank Schedule'!$K$2:$K$817)), ROW(9:9))), "")</f>
        <v/>
      </c>
      <c r="G12" s="25">
        <f t="array" ref="G12">IFERROR(INDEX('Bank Schedule'!G:G, SMALL(IF('Bank Schedule'!$K$2:$K$817="Vacant", ROW('Bank Schedule'!$K$2:$K$817)), ROW(9:9))), "")</f>
        <v/>
      </c>
      <c r="H12" s="53">
        <f t="array" ref="H12">IFERROR(INDEX('Bank Schedule'!H:H, SMALL(IF('Bank Schedule'!$K$2:$K$817="Vacant", ROW('Bank Schedule'!$K$2:$K$817)), ROW(9:9))), "")</f>
        <v/>
      </c>
      <c r="I12" s="53">
        <f t="array" ref="I12">IFERROR(INDEX('Bank Schedule'!I:I, SMALL(IF('Bank Schedule'!$K$2:$K$817="Vacant", ROW('Bank Schedule'!$K$2:$K$817)), ROW(9:9))), "")</f>
        <v/>
      </c>
      <c r="J12" s="11">
        <f t="array" ref="J12">IFERROR(INDEX('Bank Schedule'!K:K, SMALL(IF('Bank Schedule'!$K$2:$K$817="Vacant", ROW('Bank Schedule'!$K$2:$K$817)), ROW(9:9))), "")</f>
        <v/>
      </c>
      <c r="K12" s="11">
        <f t="array" ref="K12">IFERROR(INDEX('Bank Schedule'!L:L, SMALL(IF('Bank Schedule'!$K$2:$K$817="Vacant", ROW('Bank Schedule'!$K$2:$K$817)), ROW(9:9))), "")</f>
        <v/>
      </c>
      <c r="L12" s="11">
        <f t="array" ref="L12">IFERROR(INDEX('Bank Schedule'!M:M, SMALL(IF('Bank Schedule'!$K$2:$K$817="Vacant", ROW('Bank Schedule'!$K$2:$K$817)), ROW(9:9))), "")</f>
        <v/>
      </c>
      <c r="M12" s="106">
        <f t="array" ref="M12">IFERROR(INDEX('Bank Schedule'!N:N, SMALL(IF('Bank Schedule'!$K$2:$K$817="Vacant", ROW('Bank Schedule'!$K$2:$K$817)), ROW(9:9))), "")</f>
        <v/>
      </c>
      <c r="N12" s="11">
        <f t="array" ref="N12">IFERROR(INDEX('Bank Schedule'!O:O, SMALL(IF('Bank Schedule'!$K$2:$K$817="Vacant", ROW('Bank Schedule'!$K$2:$K$817)), ROW(9:9))), "")</f>
        <v/>
      </c>
      <c r="O12" s="11">
        <f t="array" ref="O12">IFERROR(INDEX('Bank Schedule'!P:P, SMALL(IF('Bank Schedule'!$K$2:$K$817="Vacant", ROW('Bank Schedule'!$K$2:$K$817)), ROW(9:9))), "")</f>
        <v/>
      </c>
      <c r="P12" s="11">
        <f t="array" ref="P12">IFERROR(INDEX('Bank Schedule'!Q:Q, SMALL(IF('Bank Schedule'!$K$2:$K$817="Vacant", ROW('Bank Schedule'!$K$2:$K$817)), ROW(9:9))), "")</f>
        <v/>
      </c>
      <c r="Q12" s="11">
        <f t="array" ref="Q12">IFERROR(INDEX('Bank Schedule'!R:R, SMALL(IF('Bank Schedule'!$K$2:$K$817="Vacant", ROW('Bank Schedule'!$K$2:$K$817)), ROW(9:9))), "")</f>
        <v/>
      </c>
      <c r="R12" s="11">
        <f t="array" ref="R12">IFERROR(INDEX('Bank Schedule'!S:S, SMALL(IF('Bank Schedule'!$K$2:$K$817="Vacant", ROW('Bank Schedule'!$K$2:$K$817)), ROW(9:9))), "")</f>
        <v/>
      </c>
      <c r="S12" s="301">
        <f t="array" ref="S12">IFERROR(INDEX('Bank Schedule'!T:T, SMALL(IF('Bank Schedule'!$K$2:$K$817="Vacant", ROW('Bank Schedule'!$K$2:$K$817)), ROW(9:9))), "")</f>
        <v/>
      </c>
      <c r="T12" s="301">
        <f t="array" ref="T12">IFERROR(INDEX('Bank Schedule'!U:U, SMALL(IF('Bank Schedule'!$K$2:$K$817="Vacant", ROW('Bank Schedule'!$K$2:$K$817)), ROW(9:9))), "")</f>
        <v/>
      </c>
      <c r="U12" s="301">
        <f t="array" ref="U12">IFERROR(INDEX('Bank Schedule'!V:V, SMALL(IF('Bank Schedule'!$K$2:$K$817="Vacant", ROW('Bank Schedule'!$K$2:$K$817)), ROW(9:9))), "")</f>
        <v/>
      </c>
      <c r="V12" s="301">
        <f t="array" ref="V12">IFERROR(INDEX('Bank Schedule'!W:W, SMALL(IF('Bank Schedule'!$K$2:$K$817="Vacant", ROW('Bank Schedule'!$K$2:$K$817)), ROW(9:9))), "")</f>
        <v/>
      </c>
      <c r="W12" s="300">
        <f t="array" ref="W12">IFERROR(INDEX('Bank Schedule'!X:X, SMALL(IF('Bank Schedule'!$K$2:$K$817="Vacant", ROW('Bank Schedule'!$K$2:$K$817)), ROW(9:9))), "")</f>
        <v/>
      </c>
      <c r="X12" s="11">
        <f t="array" ref="X12">IFERROR(INDEX('Bank Schedule'!Y:Y, SMALL(IF('Bank Schedule'!$K$2:$K$817="Vacant", ROW('Bank Schedule'!$K$2:$K$817)), ROW(9:9))), "")</f>
        <v/>
      </c>
      <c r="Y12" s="11">
        <f t="array" ref="Y12">IFERROR(INDEX('Bank Schedule'!Z:Z, SMALL(IF('Bank Schedule'!$K$2:$K$817="Vacant", ROW('Bank Schedule'!$K$2:$K$817)), ROW(9:9))), "")</f>
        <v/>
      </c>
      <c r="Z12" s="11">
        <f t="array" ref="Z12">IFERROR(INDEX('Bank Schedule'!AA:AA, SMALL(IF('Bank Schedule'!$K$2:$K$817="Vacant", ROW('Bank Schedule'!$K$2:$K$817)), ROW(9:9))), "")</f>
        <v/>
      </c>
      <c r="AA12" s="11">
        <f t="array" ref="AA12">IFERROR(INDEX('Bank Schedule'!AB:AB, SMALL(IF('Bank Schedule'!$K$2:$K$817="Vacant", ROW('Bank Schedule'!$K$2:$K$817)), ROW(9:9))), "")</f>
        <v/>
      </c>
      <c r="AB12" s="25">
        <f t="array" ref="AB12">IFERROR(INDEX('Bank Schedule'!AC:AC, SMALL(IF('Bank Schedule'!$K$2:$K$817="Vacant", ROW('Bank Schedule'!$K$2:$K$817)), ROW(9:9))), "")</f>
        <v/>
      </c>
      <c r="AC12" s="277">
        <f t="array" ref="AC12">IFERROR(INDEX('Bank Schedule'!AD:AD, SMALL(IF('Bank Schedule'!$K$2:$K$817="Vacant", ROW('Bank Schedule'!$K$2:$K$817)), ROW(9:9))), "")</f>
        <v/>
      </c>
      <c r="AD12" s="11">
        <f t="array" ref="AD12">IFERROR(INDEX('Bank Schedule'!AE:AE, SMALL(IF('Bank Schedule'!$K$2:$K$817="Vacant", ROW('Bank Schedule'!$K$2:$K$817)), ROW(9:9))), "")</f>
        <v/>
      </c>
      <c r="AE12" s="11">
        <f t="array" ref="AE12">IFERROR(INDEX('Bank Schedule'!AF:AF, SMALL(IF('Bank Schedule'!$K$2:$K$817="Vacant", ROW('Bank Schedule'!$K$2:$K$817)), ROW(9:9))), "")</f>
        <v/>
      </c>
      <c r="AF12" s="11">
        <f t="array" ref="AF12">IFERROR(INDEX('Bank Schedule'!AG:AG, SMALL(IF('Bank Schedule'!$K$2:$K$817="Vacant", ROW('Bank Schedule'!$K$2:$K$817)), ROW(9:9))), "")</f>
        <v/>
      </c>
      <c r="AG12" s="4" t="n"/>
    </row>
    <row r="13" ht="28.5" customHeight="1">
      <c r="A13" s="2">
        <f t="array" ref="A13">IFERROR(INDEX('Bank Schedule'!A:A, SMALL(IF('Bank Schedule'!$K$2:$K$817="Vacant", ROW('Bank Schedule'!$K$2:$K$817)), ROW(10:10))), "")</f>
        <v/>
      </c>
      <c r="B13" s="11">
        <f t="array" ref="B13">IFERROR(INDEX('Bank Schedule'!B:B, SMALL(IF('Bank Schedule'!$K$2:$K$817="Vacant", ROW('Bank Schedule'!$K$2:$K$817)), ROW(10:10))), "")</f>
        <v/>
      </c>
      <c r="C13" s="11">
        <f t="array" ref="C13">IFERROR(INDEX('Bank Schedule'!C:C, SMALL(IF('Bank Schedule'!$K$2:$K$817="Vacant", ROW('Bank Schedule'!$K$2:$K$817)), ROW(10:10))), "")</f>
        <v/>
      </c>
      <c r="D13" s="11">
        <f t="array" ref="D13">IFERROR(INDEX('Bank Schedule'!D:D, SMALL(IF('Bank Schedule'!$K$2:$K$817="Vacant", ROW('Bank Schedule'!$K$2:$K$817)), ROW(10:10))), "")</f>
        <v/>
      </c>
      <c r="E13" s="25">
        <f t="array" ref="E13">IFERROR(INDEX('Bank Schedule'!E:E, SMALL(IF('Bank Schedule'!$K$2:$K$817="Vacant", ROW('Bank Schedule'!$K$2:$K$817)), ROW(10:10))), "")</f>
        <v/>
      </c>
      <c r="F13" s="25">
        <f t="array" ref="F13">IFERROR(INDEX('Bank Schedule'!F:F, SMALL(IF('Bank Schedule'!$K$2:$K$817="Vacant", ROW('Bank Schedule'!$K$2:$K$817)), ROW(10:10))), "")</f>
        <v/>
      </c>
      <c r="G13" s="25">
        <f t="array" ref="G13">IFERROR(INDEX('Bank Schedule'!G:G, SMALL(IF('Bank Schedule'!$K$2:$K$817="Vacant", ROW('Bank Schedule'!$K$2:$K$817)), ROW(10:10))), "")</f>
        <v/>
      </c>
      <c r="H13" s="53">
        <f t="array" ref="H13">IFERROR(INDEX('Bank Schedule'!H:H, SMALL(IF('Bank Schedule'!$K$2:$K$817="Vacant", ROW('Bank Schedule'!$K$2:$K$817)), ROW(10:10))), "")</f>
        <v/>
      </c>
      <c r="I13" s="53">
        <f t="array" ref="I13">IFERROR(INDEX('Bank Schedule'!I:I, SMALL(IF('Bank Schedule'!$K$2:$K$817="Vacant", ROW('Bank Schedule'!$K$2:$K$817)), ROW(10:10))), "")</f>
        <v/>
      </c>
      <c r="J13" s="11">
        <f t="array" ref="J13">IFERROR(INDEX('Bank Schedule'!K:K, SMALL(IF('Bank Schedule'!$K$2:$K$817="Vacant", ROW('Bank Schedule'!$K$2:$K$817)), ROW(10:10))), "")</f>
        <v/>
      </c>
      <c r="K13" s="11">
        <f t="array" ref="K13">IFERROR(INDEX('Bank Schedule'!L:L, SMALL(IF('Bank Schedule'!$K$2:$K$817="Vacant", ROW('Bank Schedule'!$K$2:$K$817)), ROW(10:10))), "")</f>
        <v/>
      </c>
      <c r="L13" s="11">
        <f t="array" ref="L13">IFERROR(INDEX('Bank Schedule'!M:M, SMALL(IF('Bank Schedule'!$K$2:$K$817="Vacant", ROW('Bank Schedule'!$K$2:$K$817)), ROW(10:10))), "")</f>
        <v/>
      </c>
      <c r="M13" s="106">
        <f t="array" ref="M13">IFERROR(INDEX('Bank Schedule'!N:N, SMALL(IF('Bank Schedule'!$K$2:$K$817="Vacant", ROW('Bank Schedule'!$K$2:$K$817)), ROW(10:10))), "")</f>
        <v/>
      </c>
      <c r="N13" s="11">
        <f t="array" ref="N13">IFERROR(INDEX('Bank Schedule'!O:O, SMALL(IF('Bank Schedule'!$K$2:$K$817="Vacant", ROW('Bank Schedule'!$K$2:$K$817)), ROW(10:10))), "")</f>
        <v/>
      </c>
      <c r="O13" s="11">
        <f t="array" ref="O13">IFERROR(INDEX('Bank Schedule'!P:P, SMALL(IF('Bank Schedule'!$K$2:$K$817="Vacant", ROW('Bank Schedule'!$K$2:$K$817)), ROW(10:10))), "")</f>
        <v/>
      </c>
      <c r="P13" s="11">
        <f t="array" ref="P13">IFERROR(INDEX('Bank Schedule'!Q:Q, SMALL(IF('Bank Schedule'!$K$2:$K$817="Vacant", ROW('Bank Schedule'!$K$2:$K$817)), ROW(10:10))), "")</f>
        <v/>
      </c>
      <c r="Q13" s="11">
        <f t="array" ref="Q13">IFERROR(INDEX('Bank Schedule'!R:R, SMALL(IF('Bank Schedule'!$K$2:$K$817="Vacant", ROW('Bank Schedule'!$K$2:$K$817)), ROW(10:10))), "")</f>
        <v/>
      </c>
      <c r="R13" s="11">
        <f t="array" ref="R13">IFERROR(INDEX('Bank Schedule'!S:S, SMALL(IF('Bank Schedule'!$K$2:$K$817="Vacant", ROW('Bank Schedule'!$K$2:$K$817)), ROW(10:10))), "")</f>
        <v/>
      </c>
      <c r="S13" s="301">
        <f t="array" ref="S13">IFERROR(INDEX('Bank Schedule'!T:T, SMALL(IF('Bank Schedule'!$K$2:$K$817="Vacant", ROW('Bank Schedule'!$K$2:$K$817)), ROW(10:10))), "")</f>
        <v/>
      </c>
      <c r="T13" s="301">
        <f t="array" ref="T13">IFERROR(INDEX('Bank Schedule'!U:U, SMALL(IF('Bank Schedule'!$K$2:$K$817="Vacant", ROW('Bank Schedule'!$K$2:$K$817)), ROW(10:10))), "")</f>
        <v/>
      </c>
      <c r="U13" s="301">
        <f t="array" ref="U13">IFERROR(INDEX('Bank Schedule'!V:V, SMALL(IF('Bank Schedule'!$K$2:$K$817="Vacant", ROW('Bank Schedule'!$K$2:$K$817)), ROW(10:10))), "")</f>
        <v/>
      </c>
      <c r="V13" s="301">
        <f t="array" ref="V13">IFERROR(INDEX('Bank Schedule'!W:W, SMALL(IF('Bank Schedule'!$K$2:$K$817="Vacant", ROW('Bank Schedule'!$K$2:$K$817)), ROW(10:10))), "")</f>
        <v/>
      </c>
      <c r="W13" s="300">
        <f t="array" ref="W13">IFERROR(INDEX('Bank Schedule'!X:X, SMALL(IF('Bank Schedule'!$K$2:$K$817="Vacant", ROW('Bank Schedule'!$K$2:$K$817)), ROW(10:10))), "")</f>
        <v/>
      </c>
      <c r="X13" s="11">
        <f t="array" ref="X13">IFERROR(INDEX('Bank Schedule'!Y:Y, SMALL(IF('Bank Schedule'!$K$2:$K$817="Vacant", ROW('Bank Schedule'!$K$2:$K$817)), ROW(10:10))), "")</f>
        <v/>
      </c>
      <c r="Y13" s="11">
        <f t="array" ref="Y13">IFERROR(INDEX('Bank Schedule'!Z:Z, SMALL(IF('Bank Schedule'!$K$2:$K$817="Vacant", ROW('Bank Schedule'!$K$2:$K$817)), ROW(10:10))), "")</f>
        <v/>
      </c>
      <c r="Z13" s="11">
        <f t="array" ref="Z13">IFERROR(INDEX('Bank Schedule'!AA:AA, SMALL(IF('Bank Schedule'!$K$2:$K$817="Vacant", ROW('Bank Schedule'!$K$2:$K$817)), ROW(10:10))), "")</f>
        <v/>
      </c>
      <c r="AA13" s="11">
        <f t="array" ref="AA13">IFERROR(INDEX('Bank Schedule'!AB:AB, SMALL(IF('Bank Schedule'!$K$2:$K$817="Vacant", ROW('Bank Schedule'!$K$2:$K$817)), ROW(10:10))), "")</f>
        <v/>
      </c>
      <c r="AB13" s="25">
        <f t="array" ref="AB13">IFERROR(INDEX('Bank Schedule'!AC:AC, SMALL(IF('Bank Schedule'!$K$2:$K$817="Vacant", ROW('Bank Schedule'!$K$2:$K$817)), ROW(10:10))), "")</f>
        <v/>
      </c>
      <c r="AC13" s="277">
        <f t="array" ref="AC13">IFERROR(INDEX('Bank Schedule'!AD:AD, SMALL(IF('Bank Schedule'!$K$2:$K$817="Vacant", ROW('Bank Schedule'!$K$2:$K$817)), ROW(10:10))), "")</f>
        <v/>
      </c>
      <c r="AD13" s="11">
        <f t="array" ref="AD13">IFERROR(INDEX('Bank Schedule'!AE:AE, SMALL(IF('Bank Schedule'!$K$2:$K$817="Vacant", ROW('Bank Schedule'!$K$2:$K$817)), ROW(10:10))), "")</f>
        <v/>
      </c>
      <c r="AE13" s="11">
        <f t="array" ref="AE13">IFERROR(INDEX('Bank Schedule'!AF:AF, SMALL(IF('Bank Schedule'!$K$2:$K$817="Vacant", ROW('Bank Schedule'!$K$2:$K$817)), ROW(10:10))), "")</f>
        <v/>
      </c>
      <c r="AF13" s="11">
        <f t="array" ref="AF13">IFERROR(INDEX('Bank Schedule'!AG:AG, SMALL(IF('Bank Schedule'!$K$2:$K$817="Vacant", ROW('Bank Schedule'!$K$2:$K$817)), ROW(10:10))), "")</f>
        <v/>
      </c>
      <c r="AG13" s="4" t="n"/>
    </row>
    <row r="14" ht="28.5" customHeight="1">
      <c r="A14" s="2">
        <f t="array" ref="A14">IFERROR(INDEX('Bank Schedule'!A:A, SMALL(IF('Bank Schedule'!$K$2:$K$817="Vacant", ROW('Bank Schedule'!$K$2:$K$817)), ROW(11:11))), "")</f>
        <v/>
      </c>
      <c r="B14" s="11">
        <f t="array" ref="B14">IFERROR(INDEX('Bank Schedule'!B:B, SMALL(IF('Bank Schedule'!$K$2:$K$817="Vacant", ROW('Bank Schedule'!$K$2:$K$817)), ROW(11:11))), "")</f>
        <v/>
      </c>
      <c r="C14" s="11">
        <f t="array" ref="C14">IFERROR(INDEX('Bank Schedule'!C:C, SMALL(IF('Bank Schedule'!$K$2:$K$817="Vacant", ROW('Bank Schedule'!$K$2:$K$817)), ROW(11:11))), "")</f>
        <v/>
      </c>
      <c r="D14" s="11">
        <f t="array" ref="D14">IFERROR(INDEX('Bank Schedule'!D:D, SMALL(IF('Bank Schedule'!$K$2:$K$817="Vacant", ROW('Bank Schedule'!$K$2:$K$817)), ROW(11:11))), "")</f>
        <v/>
      </c>
      <c r="E14" s="25">
        <f t="array" ref="E14">IFERROR(INDEX('Bank Schedule'!E:E, SMALL(IF('Bank Schedule'!$K$2:$K$817="Vacant", ROW('Bank Schedule'!$K$2:$K$817)), ROW(11:11))), "")</f>
        <v/>
      </c>
      <c r="F14" s="25">
        <f t="array" ref="F14">IFERROR(INDEX('Bank Schedule'!F:F, SMALL(IF('Bank Schedule'!$K$2:$K$817="Vacant", ROW('Bank Schedule'!$K$2:$K$817)), ROW(11:11))), "")</f>
        <v/>
      </c>
      <c r="G14" s="25">
        <f t="array" ref="G14">IFERROR(INDEX('Bank Schedule'!G:G, SMALL(IF('Bank Schedule'!$K$2:$K$817="Vacant", ROW('Bank Schedule'!$K$2:$K$817)), ROW(11:11))), "")</f>
        <v/>
      </c>
      <c r="H14" s="53">
        <f t="array" ref="H14">IFERROR(INDEX('Bank Schedule'!H:H, SMALL(IF('Bank Schedule'!$K$2:$K$817="Vacant", ROW('Bank Schedule'!$K$2:$K$817)), ROW(11:11))), "")</f>
        <v/>
      </c>
      <c r="I14" s="53">
        <f t="array" ref="I14">IFERROR(INDEX('Bank Schedule'!I:I, SMALL(IF('Bank Schedule'!$K$2:$K$817="Vacant", ROW('Bank Schedule'!$K$2:$K$817)), ROW(11:11))), "")</f>
        <v/>
      </c>
      <c r="J14" s="11">
        <f t="array" ref="J14">IFERROR(INDEX('Bank Schedule'!K:K, SMALL(IF('Bank Schedule'!$K$2:$K$817="Vacant", ROW('Bank Schedule'!$K$2:$K$817)), ROW(11:11))), "")</f>
        <v/>
      </c>
      <c r="K14" s="11">
        <f t="array" ref="K14">IFERROR(INDEX('Bank Schedule'!L:L, SMALL(IF('Bank Schedule'!$K$2:$K$817="Vacant", ROW('Bank Schedule'!$K$2:$K$817)), ROW(11:11))), "")</f>
        <v/>
      </c>
      <c r="L14" s="11">
        <f t="array" ref="L14">IFERROR(INDEX('Bank Schedule'!M:M, SMALL(IF('Bank Schedule'!$K$2:$K$817="Vacant", ROW('Bank Schedule'!$K$2:$K$817)), ROW(11:11))), "")</f>
        <v/>
      </c>
      <c r="M14" s="106">
        <f t="array" ref="M14">IFERROR(INDEX('Bank Schedule'!N:N, SMALL(IF('Bank Schedule'!$K$2:$K$817="Vacant", ROW('Bank Schedule'!$K$2:$K$817)), ROW(11:11))), "")</f>
        <v/>
      </c>
      <c r="N14" s="11">
        <f t="array" ref="N14">IFERROR(INDEX('Bank Schedule'!O:O, SMALL(IF('Bank Schedule'!$K$2:$K$817="Vacant", ROW('Bank Schedule'!$K$2:$K$817)), ROW(11:11))), "")</f>
        <v/>
      </c>
      <c r="O14" s="11">
        <f t="array" ref="O14">IFERROR(INDEX('Bank Schedule'!P:P, SMALL(IF('Bank Schedule'!$K$2:$K$817="Vacant", ROW('Bank Schedule'!$K$2:$K$817)), ROW(11:11))), "")</f>
        <v/>
      </c>
      <c r="P14" s="11">
        <f t="array" ref="P14">IFERROR(INDEX('Bank Schedule'!Q:Q, SMALL(IF('Bank Schedule'!$K$2:$K$817="Vacant", ROW('Bank Schedule'!$K$2:$K$817)), ROW(11:11))), "")</f>
        <v/>
      </c>
      <c r="Q14" s="11">
        <f t="array" ref="Q14">IFERROR(INDEX('Bank Schedule'!R:R, SMALL(IF('Bank Schedule'!$K$2:$K$817="Vacant", ROW('Bank Schedule'!$K$2:$K$817)), ROW(11:11))), "")</f>
        <v/>
      </c>
      <c r="R14" s="11">
        <f t="array" ref="R14">IFERROR(INDEX('Bank Schedule'!S:S, SMALL(IF('Bank Schedule'!$K$2:$K$817="Vacant", ROW('Bank Schedule'!$K$2:$K$817)), ROW(11:11))), "")</f>
        <v/>
      </c>
      <c r="S14" s="301">
        <f t="array" ref="S14">IFERROR(INDEX('Bank Schedule'!T:T, SMALL(IF('Bank Schedule'!$K$2:$K$817="Vacant", ROW('Bank Schedule'!$K$2:$K$817)), ROW(11:11))), "")</f>
        <v/>
      </c>
      <c r="T14" s="301">
        <f t="array" ref="T14">IFERROR(INDEX('Bank Schedule'!U:U, SMALL(IF('Bank Schedule'!$K$2:$K$817="Vacant", ROW('Bank Schedule'!$K$2:$K$817)), ROW(11:11))), "")</f>
        <v/>
      </c>
      <c r="U14" s="301">
        <f t="array" ref="U14">IFERROR(INDEX('Bank Schedule'!V:V, SMALL(IF('Bank Schedule'!$K$2:$K$817="Vacant", ROW('Bank Schedule'!$K$2:$K$817)), ROW(11:11))), "")</f>
        <v/>
      </c>
      <c r="V14" s="301">
        <f t="array" ref="V14">IFERROR(INDEX('Bank Schedule'!W:W, SMALL(IF('Bank Schedule'!$K$2:$K$817="Vacant", ROW('Bank Schedule'!$K$2:$K$817)), ROW(11:11))), "")</f>
        <v/>
      </c>
      <c r="W14" s="300">
        <f t="array" ref="W14">IFERROR(INDEX('Bank Schedule'!X:X, SMALL(IF('Bank Schedule'!$K$2:$K$817="Vacant", ROW('Bank Schedule'!$K$2:$K$817)), ROW(11:11))), "")</f>
        <v/>
      </c>
      <c r="X14" s="11">
        <f t="array" ref="X14">IFERROR(INDEX('Bank Schedule'!Y:Y, SMALL(IF('Bank Schedule'!$K$2:$K$817="Vacant", ROW('Bank Schedule'!$K$2:$K$817)), ROW(11:11))), "")</f>
        <v/>
      </c>
      <c r="Y14" s="11">
        <f t="array" ref="Y14">IFERROR(INDEX('Bank Schedule'!Z:Z, SMALL(IF('Bank Schedule'!$K$2:$K$817="Vacant", ROW('Bank Schedule'!$K$2:$K$817)), ROW(11:11))), "")</f>
        <v/>
      </c>
      <c r="Z14" s="11">
        <f t="array" ref="Z14">IFERROR(INDEX('Bank Schedule'!AA:AA, SMALL(IF('Bank Schedule'!$K$2:$K$817="Vacant", ROW('Bank Schedule'!$K$2:$K$817)), ROW(11:11))), "")</f>
        <v/>
      </c>
      <c r="AA14" s="11">
        <f t="array" ref="AA14">IFERROR(INDEX('Bank Schedule'!AB:AB, SMALL(IF('Bank Schedule'!$K$2:$K$817="Vacant", ROW('Bank Schedule'!$K$2:$K$817)), ROW(11:11))), "")</f>
        <v/>
      </c>
      <c r="AB14" s="25">
        <f t="array" ref="AB14">IFERROR(INDEX('Bank Schedule'!AC:AC, SMALL(IF('Bank Schedule'!$K$2:$K$817="Vacant", ROW('Bank Schedule'!$K$2:$K$817)), ROW(11:11))), "")</f>
        <v/>
      </c>
      <c r="AC14" s="277">
        <f t="array" ref="AC14">IFERROR(INDEX('Bank Schedule'!AD:AD, SMALL(IF('Bank Schedule'!$K$2:$K$817="Vacant", ROW('Bank Schedule'!$K$2:$K$817)), ROW(11:11))), "")</f>
        <v/>
      </c>
      <c r="AD14" s="11">
        <f t="array" ref="AD14">IFERROR(INDEX('Bank Schedule'!AE:AE, SMALL(IF('Bank Schedule'!$K$2:$K$817="Vacant", ROW('Bank Schedule'!$K$2:$K$817)), ROW(11:11))), "")</f>
        <v/>
      </c>
      <c r="AE14" s="11">
        <f t="array" ref="AE14">IFERROR(INDEX('Bank Schedule'!AF:AF, SMALL(IF('Bank Schedule'!$K$2:$K$817="Vacant", ROW('Bank Schedule'!$K$2:$K$817)), ROW(11:11))), "")</f>
        <v/>
      </c>
      <c r="AF14" s="11">
        <f t="array" ref="AF14">IFERROR(INDEX('Bank Schedule'!AG:AG, SMALL(IF('Bank Schedule'!$K$2:$K$817="Vacant", ROW('Bank Schedule'!$K$2:$K$817)), ROW(11:11))), "")</f>
        <v/>
      </c>
      <c r="AG14" s="4" t="n"/>
    </row>
    <row r="15" ht="28.5" customHeight="1">
      <c r="A15" s="2">
        <f t="array" ref="A15">IFERROR(INDEX('Bank Schedule'!A:A, SMALL(IF('Bank Schedule'!$K$2:$K$817="Vacant", ROW('Bank Schedule'!$K$2:$K$817)), ROW(12:12))), "")</f>
        <v/>
      </c>
      <c r="B15" s="11">
        <f t="array" ref="B15">IFERROR(INDEX('Bank Schedule'!B:B, SMALL(IF('Bank Schedule'!$K$2:$K$817="Vacant", ROW('Bank Schedule'!$K$2:$K$817)), ROW(12:12))), "")</f>
        <v/>
      </c>
      <c r="C15" s="11">
        <f t="array" ref="C15">IFERROR(INDEX('Bank Schedule'!C:C, SMALL(IF('Bank Schedule'!$K$2:$K$817="Vacant", ROW('Bank Schedule'!$K$2:$K$817)), ROW(12:12))), "")</f>
        <v/>
      </c>
      <c r="D15" s="11">
        <f t="array" ref="D15">IFERROR(INDEX('Bank Schedule'!D:D, SMALL(IF('Bank Schedule'!$K$2:$K$817="Vacant", ROW('Bank Schedule'!$K$2:$K$817)), ROW(12:12))), "")</f>
        <v/>
      </c>
      <c r="E15" s="25">
        <f t="array" ref="E15">IFERROR(INDEX('Bank Schedule'!E:E, SMALL(IF('Bank Schedule'!$K$2:$K$817="Vacant", ROW('Bank Schedule'!$K$2:$K$817)), ROW(12:12))), "")</f>
        <v/>
      </c>
      <c r="F15" s="25">
        <f t="array" ref="F15">IFERROR(INDEX('Bank Schedule'!F:F, SMALL(IF('Bank Schedule'!$K$2:$K$817="Vacant", ROW('Bank Schedule'!$K$2:$K$817)), ROW(12:12))), "")</f>
        <v/>
      </c>
      <c r="G15" s="25">
        <f t="array" ref="G15">IFERROR(INDEX('Bank Schedule'!G:G, SMALL(IF('Bank Schedule'!$K$2:$K$817="Vacant", ROW('Bank Schedule'!$K$2:$K$817)), ROW(12:12))), "")</f>
        <v/>
      </c>
      <c r="H15" s="53">
        <f t="array" ref="H15">IFERROR(INDEX('Bank Schedule'!H:H, SMALL(IF('Bank Schedule'!$K$2:$K$817="Vacant", ROW('Bank Schedule'!$K$2:$K$817)), ROW(12:12))), "")</f>
        <v/>
      </c>
      <c r="I15" s="53">
        <f t="array" ref="I15">IFERROR(INDEX('Bank Schedule'!I:I, SMALL(IF('Bank Schedule'!$K$2:$K$817="Vacant", ROW('Bank Schedule'!$K$2:$K$817)), ROW(12:12))), "")</f>
        <v/>
      </c>
      <c r="J15" s="11">
        <f t="array" ref="J15">IFERROR(INDEX('Bank Schedule'!K:K, SMALL(IF('Bank Schedule'!$K$2:$K$817="Vacant", ROW('Bank Schedule'!$K$2:$K$817)), ROW(12:12))), "")</f>
        <v/>
      </c>
      <c r="K15" s="11">
        <f t="array" ref="K15">IFERROR(INDEX('Bank Schedule'!L:L, SMALL(IF('Bank Schedule'!$K$2:$K$817="Vacant", ROW('Bank Schedule'!$K$2:$K$817)), ROW(12:12))), "")</f>
        <v/>
      </c>
      <c r="L15" s="11">
        <f t="array" ref="L15">IFERROR(INDEX('Bank Schedule'!M:M, SMALL(IF('Bank Schedule'!$K$2:$K$817="Vacant", ROW('Bank Schedule'!$K$2:$K$817)), ROW(12:12))), "")</f>
        <v/>
      </c>
      <c r="M15" s="106">
        <f t="array" ref="M15">IFERROR(INDEX('Bank Schedule'!N:N, SMALL(IF('Bank Schedule'!$K$2:$K$817="Vacant", ROW('Bank Schedule'!$K$2:$K$817)), ROW(12:12))), "")</f>
        <v/>
      </c>
      <c r="N15" s="11">
        <f t="array" ref="N15">IFERROR(INDEX('Bank Schedule'!O:O, SMALL(IF('Bank Schedule'!$K$2:$K$817="Vacant", ROW('Bank Schedule'!$K$2:$K$817)), ROW(12:12))), "")</f>
        <v/>
      </c>
      <c r="O15" s="11">
        <f t="array" ref="O15">IFERROR(INDEX('Bank Schedule'!P:P, SMALL(IF('Bank Schedule'!$K$2:$K$817="Vacant", ROW('Bank Schedule'!$K$2:$K$817)), ROW(12:12))), "")</f>
        <v/>
      </c>
      <c r="P15" s="11">
        <f t="array" ref="P15">IFERROR(INDEX('Bank Schedule'!Q:Q, SMALL(IF('Bank Schedule'!$K$2:$K$817="Vacant", ROW('Bank Schedule'!$K$2:$K$817)), ROW(12:12))), "")</f>
        <v/>
      </c>
      <c r="Q15" s="11">
        <f t="array" ref="Q15">IFERROR(INDEX('Bank Schedule'!R:R, SMALL(IF('Bank Schedule'!$K$2:$K$817="Vacant", ROW('Bank Schedule'!$K$2:$K$817)), ROW(12:12))), "")</f>
        <v/>
      </c>
      <c r="R15" s="11">
        <f t="array" ref="R15">IFERROR(INDEX('Bank Schedule'!S:S, SMALL(IF('Bank Schedule'!$K$2:$K$817="Vacant", ROW('Bank Schedule'!$K$2:$K$817)), ROW(12:12))), "")</f>
        <v/>
      </c>
      <c r="S15" s="301">
        <f t="array" ref="S15">IFERROR(INDEX('Bank Schedule'!T:T, SMALL(IF('Bank Schedule'!$K$2:$K$817="Vacant", ROW('Bank Schedule'!$K$2:$K$817)), ROW(12:12))), "")</f>
        <v/>
      </c>
      <c r="T15" s="301">
        <f t="array" ref="T15">IFERROR(INDEX('Bank Schedule'!U:U, SMALL(IF('Bank Schedule'!$K$2:$K$817="Vacant", ROW('Bank Schedule'!$K$2:$K$817)), ROW(12:12))), "")</f>
        <v/>
      </c>
      <c r="U15" s="301">
        <f t="array" ref="U15">IFERROR(INDEX('Bank Schedule'!V:V, SMALL(IF('Bank Schedule'!$K$2:$K$817="Vacant", ROW('Bank Schedule'!$K$2:$K$817)), ROW(12:12))), "")</f>
        <v/>
      </c>
      <c r="V15" s="301">
        <f t="array" ref="V15">IFERROR(INDEX('Bank Schedule'!W:W, SMALL(IF('Bank Schedule'!$K$2:$K$817="Vacant", ROW('Bank Schedule'!$K$2:$K$817)), ROW(12:12))), "")</f>
        <v/>
      </c>
      <c r="W15" s="300">
        <f t="array" ref="W15">IFERROR(INDEX('Bank Schedule'!X:X, SMALL(IF('Bank Schedule'!$K$2:$K$817="Vacant", ROW('Bank Schedule'!$K$2:$K$817)), ROW(12:12))), "")</f>
        <v/>
      </c>
      <c r="X15" s="11">
        <f t="array" ref="X15">IFERROR(INDEX('Bank Schedule'!Y:Y, SMALL(IF('Bank Schedule'!$K$2:$K$817="Vacant", ROW('Bank Schedule'!$K$2:$K$817)), ROW(12:12))), "")</f>
        <v/>
      </c>
      <c r="Y15" s="11">
        <f t="array" ref="Y15">IFERROR(INDEX('Bank Schedule'!Z:Z, SMALL(IF('Bank Schedule'!$K$2:$K$817="Vacant", ROW('Bank Schedule'!$K$2:$K$817)), ROW(12:12))), "")</f>
        <v/>
      </c>
      <c r="Z15" s="11">
        <f t="array" ref="Z15">IFERROR(INDEX('Bank Schedule'!AA:AA, SMALL(IF('Bank Schedule'!$K$2:$K$817="Vacant", ROW('Bank Schedule'!$K$2:$K$817)), ROW(12:12))), "")</f>
        <v/>
      </c>
      <c r="AA15" s="11">
        <f t="array" ref="AA15">IFERROR(INDEX('Bank Schedule'!AB:AB, SMALL(IF('Bank Schedule'!$K$2:$K$817="Vacant", ROW('Bank Schedule'!$K$2:$K$817)), ROW(12:12))), "")</f>
        <v/>
      </c>
      <c r="AB15" s="25">
        <f t="array" ref="AB15">IFERROR(INDEX('Bank Schedule'!AC:AC, SMALL(IF('Bank Schedule'!$K$2:$K$817="Vacant", ROW('Bank Schedule'!$K$2:$K$817)), ROW(12:12))), "")</f>
        <v/>
      </c>
      <c r="AC15" s="277">
        <f t="array" ref="AC15">IFERROR(INDEX('Bank Schedule'!AD:AD, SMALL(IF('Bank Schedule'!$K$2:$K$817="Vacant", ROW('Bank Schedule'!$K$2:$K$817)), ROW(12:12))), "")</f>
        <v/>
      </c>
      <c r="AD15" s="11">
        <f t="array" ref="AD15">IFERROR(INDEX('Bank Schedule'!AE:AE, SMALL(IF('Bank Schedule'!$K$2:$K$817="Vacant", ROW('Bank Schedule'!$K$2:$K$817)), ROW(12:12))), "")</f>
        <v/>
      </c>
      <c r="AE15" s="11">
        <f t="array" ref="AE15">IFERROR(INDEX('Bank Schedule'!AF:AF, SMALL(IF('Bank Schedule'!$K$2:$K$817="Vacant", ROW('Bank Schedule'!$K$2:$K$817)), ROW(12:12))), "")</f>
        <v/>
      </c>
      <c r="AF15" s="11">
        <f t="array" ref="AF15">IFERROR(INDEX('Bank Schedule'!AG:AG, SMALL(IF('Bank Schedule'!$K$2:$K$817="Vacant", ROW('Bank Schedule'!$K$2:$K$817)), ROW(12:12))), "")</f>
        <v/>
      </c>
      <c r="AG15" s="4" t="n"/>
    </row>
    <row r="16" ht="28.5" customHeight="1">
      <c r="A16" s="2">
        <f t="array" ref="A16">IFERROR(INDEX('Bank Schedule'!A:A, SMALL(IF('Bank Schedule'!$K$2:$K$817="Vacant", ROW('Bank Schedule'!$K$2:$K$817)), ROW(13:13))), "")</f>
        <v/>
      </c>
      <c r="B16" s="11">
        <f t="array" ref="B16">IFERROR(INDEX('Bank Schedule'!B:B, SMALL(IF('Bank Schedule'!$K$2:$K$817="Vacant", ROW('Bank Schedule'!$K$2:$K$817)), ROW(13:13))), "")</f>
        <v/>
      </c>
      <c r="C16" s="11">
        <f t="array" ref="C16">IFERROR(INDEX('Bank Schedule'!C:C, SMALL(IF('Bank Schedule'!$K$2:$K$817="Vacant", ROW('Bank Schedule'!$K$2:$K$817)), ROW(13:13))), "")</f>
        <v/>
      </c>
      <c r="D16" s="11">
        <f t="array" ref="D16">IFERROR(INDEX('Bank Schedule'!D:D, SMALL(IF('Bank Schedule'!$K$2:$K$817="Vacant", ROW('Bank Schedule'!$K$2:$K$817)), ROW(13:13))), "")</f>
        <v/>
      </c>
      <c r="E16" s="25">
        <f t="array" ref="E16">IFERROR(INDEX('Bank Schedule'!E:E, SMALL(IF('Bank Schedule'!$K$2:$K$817="Vacant", ROW('Bank Schedule'!$K$2:$K$817)), ROW(13:13))), "")</f>
        <v/>
      </c>
      <c r="F16" s="25">
        <f t="array" ref="F16">IFERROR(INDEX('Bank Schedule'!F:F, SMALL(IF('Bank Schedule'!$K$2:$K$817="Vacant", ROW('Bank Schedule'!$K$2:$K$817)), ROW(13:13))), "")</f>
        <v/>
      </c>
      <c r="G16" s="25">
        <f t="array" ref="G16">IFERROR(INDEX('Bank Schedule'!G:G, SMALL(IF('Bank Schedule'!$K$2:$K$817="Vacant", ROW('Bank Schedule'!$K$2:$K$817)), ROW(13:13))), "")</f>
        <v/>
      </c>
      <c r="H16" s="53">
        <f t="array" ref="H16">IFERROR(INDEX('Bank Schedule'!H:H, SMALL(IF('Bank Schedule'!$K$2:$K$817="Vacant", ROW('Bank Schedule'!$K$2:$K$817)), ROW(13:13))), "")</f>
        <v/>
      </c>
      <c r="I16" s="53">
        <f t="array" ref="I16">IFERROR(INDEX('Bank Schedule'!I:I, SMALL(IF('Bank Schedule'!$K$2:$K$817="Vacant", ROW('Bank Schedule'!$K$2:$K$817)), ROW(13:13))), "")</f>
        <v/>
      </c>
      <c r="J16" s="11">
        <f t="array" ref="J16">IFERROR(INDEX('Bank Schedule'!K:K, SMALL(IF('Bank Schedule'!$K$2:$K$817="Vacant", ROW('Bank Schedule'!$K$2:$K$817)), ROW(13:13))), "")</f>
        <v/>
      </c>
      <c r="K16" s="11">
        <f t="array" ref="K16">IFERROR(INDEX('Bank Schedule'!L:L, SMALL(IF('Bank Schedule'!$K$2:$K$817="Vacant", ROW('Bank Schedule'!$K$2:$K$817)), ROW(13:13))), "")</f>
        <v/>
      </c>
      <c r="L16" s="11">
        <f t="array" ref="L16">IFERROR(INDEX('Bank Schedule'!M:M, SMALL(IF('Bank Schedule'!$K$2:$K$817="Vacant", ROW('Bank Schedule'!$K$2:$K$817)), ROW(13:13))), "")</f>
        <v/>
      </c>
      <c r="M16" s="106">
        <f t="array" ref="M16">IFERROR(INDEX('Bank Schedule'!N:N, SMALL(IF('Bank Schedule'!$K$2:$K$817="Vacant", ROW('Bank Schedule'!$K$2:$K$817)), ROW(13:13))), "")</f>
        <v/>
      </c>
      <c r="N16" s="11">
        <f t="array" ref="N16">IFERROR(INDEX('Bank Schedule'!O:O, SMALL(IF('Bank Schedule'!$K$2:$K$817="Vacant", ROW('Bank Schedule'!$K$2:$K$817)), ROW(13:13))), "")</f>
        <v/>
      </c>
      <c r="O16" s="11">
        <f t="array" ref="O16">IFERROR(INDEX('Bank Schedule'!P:P, SMALL(IF('Bank Schedule'!$K$2:$K$817="Vacant", ROW('Bank Schedule'!$K$2:$K$817)), ROW(13:13))), "")</f>
        <v/>
      </c>
      <c r="P16" s="11">
        <f t="array" ref="P16">IFERROR(INDEX('Bank Schedule'!Q:Q, SMALL(IF('Bank Schedule'!$K$2:$K$817="Vacant", ROW('Bank Schedule'!$K$2:$K$817)), ROW(13:13))), "")</f>
        <v/>
      </c>
      <c r="Q16" s="11">
        <f t="array" ref="Q16">IFERROR(INDEX('Bank Schedule'!R:R, SMALL(IF('Bank Schedule'!$K$2:$K$817="Vacant", ROW('Bank Schedule'!$K$2:$K$817)), ROW(13:13))), "")</f>
        <v/>
      </c>
      <c r="R16" s="11">
        <f t="array" ref="R16">IFERROR(INDEX('Bank Schedule'!S:S, SMALL(IF('Bank Schedule'!$K$2:$K$817="Vacant", ROW('Bank Schedule'!$K$2:$K$817)), ROW(13:13))), "")</f>
        <v/>
      </c>
      <c r="S16" s="301">
        <f t="array" ref="S16">IFERROR(INDEX('Bank Schedule'!T:T, SMALL(IF('Bank Schedule'!$K$2:$K$817="Vacant", ROW('Bank Schedule'!$K$2:$K$817)), ROW(13:13))), "")</f>
        <v/>
      </c>
      <c r="T16" s="301">
        <f t="array" ref="T16">IFERROR(INDEX('Bank Schedule'!U:U, SMALL(IF('Bank Schedule'!$K$2:$K$817="Vacant", ROW('Bank Schedule'!$K$2:$K$817)), ROW(13:13))), "")</f>
        <v/>
      </c>
      <c r="U16" s="301">
        <f t="array" ref="U16">IFERROR(INDEX('Bank Schedule'!V:V, SMALL(IF('Bank Schedule'!$K$2:$K$817="Vacant", ROW('Bank Schedule'!$K$2:$K$817)), ROW(13:13))), "")</f>
        <v/>
      </c>
      <c r="V16" s="301">
        <f t="array" ref="V16">IFERROR(INDEX('Bank Schedule'!W:W, SMALL(IF('Bank Schedule'!$K$2:$K$817="Vacant", ROW('Bank Schedule'!$K$2:$K$817)), ROW(13:13))), "")</f>
        <v/>
      </c>
      <c r="W16" s="300">
        <f t="array" ref="W16">IFERROR(INDEX('Bank Schedule'!X:X, SMALL(IF('Bank Schedule'!$K$2:$K$817="Vacant", ROW('Bank Schedule'!$K$2:$K$817)), ROW(13:13))), "")</f>
        <v/>
      </c>
      <c r="X16" s="11">
        <f t="array" ref="X16">IFERROR(INDEX('Bank Schedule'!Y:Y, SMALL(IF('Bank Schedule'!$K$2:$K$817="Vacant", ROW('Bank Schedule'!$K$2:$K$817)), ROW(13:13))), "")</f>
        <v/>
      </c>
      <c r="Y16" s="11">
        <f t="array" ref="Y16">IFERROR(INDEX('Bank Schedule'!Z:Z, SMALL(IF('Bank Schedule'!$K$2:$K$817="Vacant", ROW('Bank Schedule'!$K$2:$K$817)), ROW(13:13))), "")</f>
        <v/>
      </c>
      <c r="Z16" s="11">
        <f t="array" ref="Z16">IFERROR(INDEX('Bank Schedule'!AA:AA, SMALL(IF('Bank Schedule'!$K$2:$K$817="Vacant", ROW('Bank Schedule'!$K$2:$K$817)), ROW(13:13))), "")</f>
        <v/>
      </c>
      <c r="AA16" s="11">
        <f t="array" ref="AA16">IFERROR(INDEX('Bank Schedule'!AB:AB, SMALL(IF('Bank Schedule'!$K$2:$K$817="Vacant", ROW('Bank Schedule'!$K$2:$K$817)), ROW(13:13))), "")</f>
        <v/>
      </c>
      <c r="AB16" s="25">
        <f t="array" ref="AB16">IFERROR(INDEX('Bank Schedule'!AC:AC, SMALL(IF('Bank Schedule'!$K$2:$K$817="Vacant", ROW('Bank Schedule'!$K$2:$K$817)), ROW(13:13))), "")</f>
        <v/>
      </c>
      <c r="AC16" s="277">
        <f t="array" ref="AC16">IFERROR(INDEX('Bank Schedule'!AD:AD, SMALL(IF('Bank Schedule'!$K$2:$K$817="Vacant", ROW('Bank Schedule'!$K$2:$K$817)), ROW(13:13))), "")</f>
        <v/>
      </c>
      <c r="AD16" s="11">
        <f t="array" ref="AD16">IFERROR(INDEX('Bank Schedule'!AE:AE, SMALL(IF('Bank Schedule'!$K$2:$K$817="Vacant", ROW('Bank Schedule'!$K$2:$K$817)), ROW(13:13))), "")</f>
        <v/>
      </c>
      <c r="AE16" s="11">
        <f t="array" ref="AE16">IFERROR(INDEX('Bank Schedule'!AF:AF, SMALL(IF('Bank Schedule'!$K$2:$K$817="Vacant", ROW('Bank Schedule'!$K$2:$K$817)), ROW(13:13))), "")</f>
        <v/>
      </c>
      <c r="AF16" s="11">
        <f t="array" ref="AF16">IFERROR(INDEX('Bank Schedule'!AG:AG, SMALL(IF('Bank Schedule'!$K$2:$K$817="Vacant", ROW('Bank Schedule'!$K$2:$K$817)), ROW(13:13))), "")</f>
        <v/>
      </c>
      <c r="AG16" s="4" t="n"/>
    </row>
    <row r="17" ht="28.5" customHeight="1">
      <c r="A17" s="2">
        <f t="array" ref="A17">IFERROR(INDEX('Bank Schedule'!A:A, SMALL(IF('Bank Schedule'!$K$2:$K$817="Vacant", ROW('Bank Schedule'!$K$2:$K$817)), ROW(14:14))), "")</f>
        <v/>
      </c>
      <c r="B17" s="11">
        <f t="array" ref="B17">IFERROR(INDEX('Bank Schedule'!B:B, SMALL(IF('Bank Schedule'!$K$2:$K$817="Vacant", ROW('Bank Schedule'!$K$2:$K$817)), ROW(14:14))), "")</f>
        <v/>
      </c>
      <c r="C17" s="11">
        <f t="array" ref="C17">IFERROR(INDEX('Bank Schedule'!C:C, SMALL(IF('Bank Schedule'!$K$2:$K$817="Vacant", ROW('Bank Schedule'!$K$2:$K$817)), ROW(14:14))), "")</f>
        <v/>
      </c>
      <c r="D17" s="11">
        <f t="array" ref="D17">IFERROR(INDEX('Bank Schedule'!D:D, SMALL(IF('Bank Schedule'!$K$2:$K$817="Vacant", ROW('Bank Schedule'!$K$2:$K$817)), ROW(14:14))), "")</f>
        <v/>
      </c>
      <c r="E17" s="25">
        <f t="array" ref="E17">IFERROR(INDEX('Bank Schedule'!E:E, SMALL(IF('Bank Schedule'!$K$2:$K$817="Vacant", ROW('Bank Schedule'!$K$2:$K$817)), ROW(14:14))), "")</f>
        <v/>
      </c>
      <c r="F17" s="25">
        <f t="array" ref="F17">IFERROR(INDEX('Bank Schedule'!F:F, SMALL(IF('Bank Schedule'!$K$2:$K$817="Vacant", ROW('Bank Schedule'!$K$2:$K$817)), ROW(14:14))), "")</f>
        <v/>
      </c>
      <c r="G17" s="25">
        <f t="array" ref="G17">IFERROR(INDEX('Bank Schedule'!G:G, SMALL(IF('Bank Schedule'!$K$2:$K$817="Vacant", ROW('Bank Schedule'!$K$2:$K$817)), ROW(14:14))), "")</f>
        <v/>
      </c>
      <c r="H17" s="53">
        <f t="array" ref="H17">IFERROR(INDEX('Bank Schedule'!H:H, SMALL(IF('Bank Schedule'!$K$2:$K$817="Vacant", ROW('Bank Schedule'!$K$2:$K$817)), ROW(14:14))), "")</f>
        <v/>
      </c>
      <c r="I17" s="53">
        <f t="array" ref="I17">IFERROR(INDEX('Bank Schedule'!I:I, SMALL(IF('Bank Schedule'!$K$2:$K$817="Vacant", ROW('Bank Schedule'!$K$2:$K$817)), ROW(14:14))), "")</f>
        <v/>
      </c>
      <c r="J17" s="11">
        <f t="array" ref="J17">IFERROR(INDEX('Bank Schedule'!K:K, SMALL(IF('Bank Schedule'!$K$2:$K$817="Vacant", ROW('Bank Schedule'!$K$2:$K$817)), ROW(14:14))), "")</f>
        <v/>
      </c>
      <c r="K17" s="11">
        <f t="array" ref="K17">IFERROR(INDEX('Bank Schedule'!L:L, SMALL(IF('Bank Schedule'!$K$2:$K$817="Vacant", ROW('Bank Schedule'!$K$2:$K$817)), ROW(14:14))), "")</f>
        <v/>
      </c>
      <c r="L17" s="11">
        <f t="array" ref="L17">IFERROR(INDEX('Bank Schedule'!M:M, SMALL(IF('Bank Schedule'!$K$2:$K$817="Vacant", ROW('Bank Schedule'!$K$2:$K$817)), ROW(14:14))), "")</f>
        <v/>
      </c>
      <c r="M17" s="106">
        <f t="array" ref="M17">IFERROR(INDEX('Bank Schedule'!N:N, SMALL(IF('Bank Schedule'!$K$2:$K$817="Vacant", ROW('Bank Schedule'!$K$2:$K$817)), ROW(14:14))), "")</f>
        <v/>
      </c>
      <c r="N17" s="11">
        <f t="array" ref="N17">IFERROR(INDEX('Bank Schedule'!O:O, SMALL(IF('Bank Schedule'!$K$2:$K$817="Vacant", ROW('Bank Schedule'!$K$2:$K$817)), ROW(14:14))), "")</f>
        <v/>
      </c>
      <c r="O17" s="11">
        <f t="array" ref="O17">IFERROR(INDEX('Bank Schedule'!P:P, SMALL(IF('Bank Schedule'!$K$2:$K$817="Vacant", ROW('Bank Schedule'!$K$2:$K$817)), ROW(14:14))), "")</f>
        <v/>
      </c>
      <c r="P17" s="11">
        <f t="array" ref="P17">IFERROR(INDEX('Bank Schedule'!Q:Q, SMALL(IF('Bank Schedule'!$K$2:$K$817="Vacant", ROW('Bank Schedule'!$K$2:$K$817)), ROW(14:14))), "")</f>
        <v/>
      </c>
      <c r="Q17" s="11">
        <f t="array" ref="Q17">IFERROR(INDEX('Bank Schedule'!R:R, SMALL(IF('Bank Schedule'!$K$2:$K$817="Vacant", ROW('Bank Schedule'!$K$2:$K$817)), ROW(14:14))), "")</f>
        <v/>
      </c>
      <c r="R17" s="11">
        <f t="array" ref="R17">IFERROR(INDEX('Bank Schedule'!S:S, SMALL(IF('Bank Schedule'!$K$2:$K$817="Vacant", ROW('Bank Schedule'!$K$2:$K$817)), ROW(14:14))), "")</f>
        <v/>
      </c>
      <c r="S17" s="301">
        <f t="array" ref="S17">IFERROR(INDEX('Bank Schedule'!T:T, SMALL(IF('Bank Schedule'!$K$2:$K$817="Vacant", ROW('Bank Schedule'!$K$2:$K$817)), ROW(14:14))), "")</f>
        <v/>
      </c>
      <c r="T17" s="301">
        <f t="array" ref="T17">IFERROR(INDEX('Bank Schedule'!U:U, SMALL(IF('Bank Schedule'!$K$2:$K$817="Vacant", ROW('Bank Schedule'!$K$2:$K$817)), ROW(14:14))), "")</f>
        <v/>
      </c>
      <c r="U17" s="301">
        <f t="array" ref="U17">IFERROR(INDEX('Bank Schedule'!V:V, SMALL(IF('Bank Schedule'!$K$2:$K$817="Vacant", ROW('Bank Schedule'!$K$2:$K$817)), ROW(14:14))), "")</f>
        <v/>
      </c>
      <c r="V17" s="301">
        <f t="array" ref="V17">IFERROR(INDEX('Bank Schedule'!W:W, SMALL(IF('Bank Schedule'!$K$2:$K$817="Vacant", ROW('Bank Schedule'!$K$2:$K$817)), ROW(14:14))), "")</f>
        <v/>
      </c>
      <c r="W17" s="300">
        <f t="array" ref="W17">IFERROR(INDEX('Bank Schedule'!X:X, SMALL(IF('Bank Schedule'!$K$2:$K$817="Vacant", ROW('Bank Schedule'!$K$2:$K$817)), ROW(14:14))), "")</f>
        <v/>
      </c>
      <c r="X17" s="11">
        <f t="array" ref="X17">IFERROR(INDEX('Bank Schedule'!Y:Y, SMALL(IF('Bank Schedule'!$K$2:$K$817="Vacant", ROW('Bank Schedule'!$K$2:$K$817)), ROW(14:14))), "")</f>
        <v/>
      </c>
      <c r="Y17" s="11">
        <f t="array" ref="Y17">IFERROR(INDEX('Bank Schedule'!Z:Z, SMALL(IF('Bank Schedule'!$K$2:$K$817="Vacant", ROW('Bank Schedule'!$K$2:$K$817)), ROW(14:14))), "")</f>
        <v/>
      </c>
      <c r="Z17" s="11">
        <f t="array" ref="Z17">IFERROR(INDEX('Bank Schedule'!AA:AA, SMALL(IF('Bank Schedule'!$K$2:$K$817="Vacant", ROW('Bank Schedule'!$K$2:$K$817)), ROW(14:14))), "")</f>
        <v/>
      </c>
      <c r="AA17" s="11">
        <f t="array" ref="AA17">IFERROR(INDEX('Bank Schedule'!AB:AB, SMALL(IF('Bank Schedule'!$K$2:$K$817="Vacant", ROW('Bank Schedule'!$K$2:$K$817)), ROW(14:14))), "")</f>
        <v/>
      </c>
      <c r="AB17" s="25">
        <f t="array" ref="AB17">IFERROR(INDEX('Bank Schedule'!AC:AC, SMALL(IF('Bank Schedule'!$K$2:$K$817="Vacant", ROW('Bank Schedule'!$K$2:$K$817)), ROW(14:14))), "")</f>
        <v/>
      </c>
      <c r="AC17" s="277">
        <f t="array" ref="AC17">IFERROR(INDEX('Bank Schedule'!AD:AD, SMALL(IF('Bank Schedule'!$K$2:$K$817="Vacant", ROW('Bank Schedule'!$K$2:$K$817)), ROW(14:14))), "")</f>
        <v/>
      </c>
      <c r="AD17" s="11">
        <f t="array" ref="AD17">IFERROR(INDEX('Bank Schedule'!AE:AE, SMALL(IF('Bank Schedule'!$K$2:$K$817="Vacant", ROW('Bank Schedule'!$K$2:$K$817)), ROW(14:14))), "")</f>
        <v/>
      </c>
      <c r="AE17" s="11">
        <f t="array" ref="AE17">IFERROR(INDEX('Bank Schedule'!AF:AF, SMALL(IF('Bank Schedule'!$K$2:$K$817="Vacant", ROW('Bank Schedule'!$K$2:$K$817)), ROW(14:14))), "")</f>
        <v/>
      </c>
      <c r="AF17" s="11">
        <f t="array" ref="AF17">IFERROR(INDEX('Bank Schedule'!AG:AG, SMALL(IF('Bank Schedule'!$K$2:$K$817="Vacant", ROW('Bank Schedule'!$K$2:$K$817)), ROW(14:14))), "")</f>
        <v/>
      </c>
      <c r="AG17" s="4" t="n"/>
    </row>
    <row r="18" ht="28.5" customHeight="1">
      <c r="A18" s="2">
        <f t="array" ref="A18">IFERROR(INDEX('Bank Schedule'!A:A, SMALL(IF('Bank Schedule'!$K$2:$K$817="Vacant", ROW('Bank Schedule'!$K$2:$K$817)), ROW(15:15))), "")</f>
        <v/>
      </c>
      <c r="B18" s="11">
        <f t="array" ref="B18">IFERROR(INDEX('Bank Schedule'!B:B, SMALL(IF('Bank Schedule'!$K$2:$K$817="Vacant", ROW('Bank Schedule'!$K$2:$K$817)), ROW(15:15))), "")</f>
        <v/>
      </c>
      <c r="C18" s="11">
        <f t="array" ref="C18">IFERROR(INDEX('Bank Schedule'!C:C, SMALL(IF('Bank Schedule'!$K$2:$K$817="Vacant", ROW('Bank Schedule'!$K$2:$K$817)), ROW(15:15))), "")</f>
        <v/>
      </c>
      <c r="D18" s="11">
        <f t="array" ref="D18">IFERROR(INDEX('Bank Schedule'!D:D, SMALL(IF('Bank Schedule'!$K$2:$K$817="Vacant", ROW('Bank Schedule'!$K$2:$K$817)), ROW(15:15))), "")</f>
        <v/>
      </c>
      <c r="E18" s="25">
        <f t="array" ref="E18">IFERROR(INDEX('Bank Schedule'!E:E, SMALL(IF('Bank Schedule'!$K$2:$K$817="Vacant", ROW('Bank Schedule'!$K$2:$K$817)), ROW(15:15))), "")</f>
        <v/>
      </c>
      <c r="F18" s="25">
        <f t="array" ref="F18">IFERROR(INDEX('Bank Schedule'!F:F, SMALL(IF('Bank Schedule'!$K$2:$K$817="Vacant", ROW('Bank Schedule'!$K$2:$K$817)), ROW(15:15))), "")</f>
        <v/>
      </c>
      <c r="G18" s="25">
        <f t="array" ref="G18">IFERROR(INDEX('Bank Schedule'!G:G, SMALL(IF('Bank Schedule'!$K$2:$K$817="Vacant", ROW('Bank Schedule'!$K$2:$K$817)), ROW(15:15))), "")</f>
        <v/>
      </c>
      <c r="H18" s="53">
        <f t="array" ref="H18">IFERROR(INDEX('Bank Schedule'!H:H, SMALL(IF('Bank Schedule'!$K$2:$K$817="Vacant", ROW('Bank Schedule'!$K$2:$K$817)), ROW(15:15))), "")</f>
        <v/>
      </c>
      <c r="I18" s="53">
        <f t="array" ref="I18">IFERROR(INDEX('Bank Schedule'!I:I, SMALL(IF('Bank Schedule'!$K$2:$K$817="Vacant", ROW('Bank Schedule'!$K$2:$K$817)), ROW(15:15))), "")</f>
        <v/>
      </c>
      <c r="J18" s="11">
        <f t="array" ref="J18">IFERROR(INDEX('Bank Schedule'!K:K, SMALL(IF('Bank Schedule'!$K$2:$K$817="Vacant", ROW('Bank Schedule'!$K$2:$K$817)), ROW(15:15))), "")</f>
        <v/>
      </c>
      <c r="K18" s="11">
        <f t="array" ref="K18">IFERROR(INDEX('Bank Schedule'!L:L, SMALL(IF('Bank Schedule'!$K$2:$K$817="Vacant", ROW('Bank Schedule'!$K$2:$K$817)), ROW(15:15))), "")</f>
        <v/>
      </c>
      <c r="L18" s="11">
        <f t="array" ref="L18">IFERROR(INDEX('Bank Schedule'!M:M, SMALL(IF('Bank Schedule'!$K$2:$K$817="Vacant", ROW('Bank Schedule'!$K$2:$K$817)), ROW(15:15))), "")</f>
        <v/>
      </c>
      <c r="M18" s="106">
        <f t="array" ref="M18">IFERROR(INDEX('Bank Schedule'!N:N, SMALL(IF('Bank Schedule'!$K$2:$K$817="Vacant", ROW('Bank Schedule'!$K$2:$K$817)), ROW(15:15))), "")</f>
        <v/>
      </c>
      <c r="N18" s="11">
        <f t="array" ref="N18">IFERROR(INDEX('Bank Schedule'!O:O, SMALL(IF('Bank Schedule'!$K$2:$K$817="Vacant", ROW('Bank Schedule'!$K$2:$K$817)), ROW(15:15))), "")</f>
        <v/>
      </c>
      <c r="O18" s="11">
        <f t="array" ref="O18">IFERROR(INDEX('Bank Schedule'!P:P, SMALL(IF('Bank Schedule'!$K$2:$K$817="Vacant", ROW('Bank Schedule'!$K$2:$K$817)), ROW(15:15))), "")</f>
        <v/>
      </c>
      <c r="P18" s="11">
        <f t="array" ref="P18">IFERROR(INDEX('Bank Schedule'!Q:Q, SMALL(IF('Bank Schedule'!$K$2:$K$817="Vacant", ROW('Bank Schedule'!$K$2:$K$817)), ROW(15:15))), "")</f>
        <v/>
      </c>
      <c r="Q18" s="11">
        <f t="array" ref="Q18">IFERROR(INDEX('Bank Schedule'!R:R, SMALL(IF('Bank Schedule'!$K$2:$K$817="Vacant", ROW('Bank Schedule'!$K$2:$K$817)), ROW(15:15))), "")</f>
        <v/>
      </c>
      <c r="R18" s="11">
        <f t="array" ref="R18">IFERROR(INDEX('Bank Schedule'!S:S, SMALL(IF('Bank Schedule'!$K$2:$K$817="Vacant", ROW('Bank Schedule'!$K$2:$K$817)), ROW(15:15))), "")</f>
        <v/>
      </c>
      <c r="S18" s="301">
        <f t="array" ref="S18">IFERROR(INDEX('Bank Schedule'!T:T, SMALL(IF('Bank Schedule'!$K$2:$K$817="Vacant", ROW('Bank Schedule'!$K$2:$K$817)), ROW(15:15))), "")</f>
        <v/>
      </c>
      <c r="T18" s="301">
        <f t="array" ref="T18">IFERROR(INDEX('Bank Schedule'!U:U, SMALL(IF('Bank Schedule'!$K$2:$K$817="Vacant", ROW('Bank Schedule'!$K$2:$K$817)), ROW(15:15))), "")</f>
        <v/>
      </c>
      <c r="U18" s="301">
        <f t="array" ref="U18">IFERROR(INDEX('Bank Schedule'!V:V, SMALL(IF('Bank Schedule'!$K$2:$K$817="Vacant", ROW('Bank Schedule'!$K$2:$K$817)), ROW(15:15))), "")</f>
        <v/>
      </c>
      <c r="V18" s="301">
        <f t="array" ref="V18">IFERROR(INDEX('Bank Schedule'!W:W, SMALL(IF('Bank Schedule'!$K$2:$K$817="Vacant", ROW('Bank Schedule'!$K$2:$K$817)), ROW(15:15))), "")</f>
        <v/>
      </c>
      <c r="W18" s="300">
        <f t="array" ref="W18">IFERROR(INDEX('Bank Schedule'!X:X, SMALL(IF('Bank Schedule'!$K$2:$K$817="Vacant", ROW('Bank Schedule'!$K$2:$K$817)), ROW(15:15))), "")</f>
        <v/>
      </c>
      <c r="X18" s="11">
        <f t="array" ref="X18">IFERROR(INDEX('Bank Schedule'!Y:Y, SMALL(IF('Bank Schedule'!$K$2:$K$817="Vacant", ROW('Bank Schedule'!$K$2:$K$817)), ROW(15:15))), "")</f>
        <v/>
      </c>
      <c r="Y18" s="11">
        <f t="array" ref="Y18">IFERROR(INDEX('Bank Schedule'!Z:Z, SMALL(IF('Bank Schedule'!$K$2:$K$817="Vacant", ROW('Bank Schedule'!$K$2:$K$817)), ROW(15:15))), "")</f>
        <v/>
      </c>
      <c r="Z18" s="11">
        <f t="array" ref="Z18">IFERROR(INDEX('Bank Schedule'!AA:AA, SMALL(IF('Bank Schedule'!$K$2:$K$817="Vacant", ROW('Bank Schedule'!$K$2:$K$817)), ROW(15:15))), "")</f>
        <v/>
      </c>
      <c r="AA18" s="11">
        <f t="array" ref="AA18">IFERROR(INDEX('Bank Schedule'!AB:AB, SMALL(IF('Bank Schedule'!$K$2:$K$817="Vacant", ROW('Bank Schedule'!$K$2:$K$817)), ROW(15:15))), "")</f>
        <v/>
      </c>
      <c r="AB18" s="25">
        <f t="array" ref="AB18">IFERROR(INDEX('Bank Schedule'!AC:AC, SMALL(IF('Bank Schedule'!$K$2:$K$817="Vacant", ROW('Bank Schedule'!$K$2:$K$817)), ROW(15:15))), "")</f>
        <v/>
      </c>
      <c r="AC18" s="277">
        <f t="array" ref="AC18">IFERROR(INDEX('Bank Schedule'!AD:AD, SMALL(IF('Bank Schedule'!$K$2:$K$817="Vacant", ROW('Bank Schedule'!$K$2:$K$817)), ROW(15:15))), "")</f>
        <v/>
      </c>
      <c r="AD18" s="11">
        <f t="array" ref="AD18">IFERROR(INDEX('Bank Schedule'!AE:AE, SMALL(IF('Bank Schedule'!$K$2:$K$817="Vacant", ROW('Bank Schedule'!$K$2:$K$817)), ROW(15:15))), "")</f>
        <v/>
      </c>
      <c r="AE18" s="11">
        <f t="array" ref="AE18">IFERROR(INDEX('Bank Schedule'!AF:AF, SMALL(IF('Bank Schedule'!$K$2:$K$817="Vacant", ROW('Bank Schedule'!$K$2:$K$817)), ROW(15:15))), "")</f>
        <v/>
      </c>
      <c r="AF18" s="11">
        <f t="array" ref="AF18">IFERROR(INDEX('Bank Schedule'!AG:AG, SMALL(IF('Bank Schedule'!$K$2:$K$817="Vacant", ROW('Bank Schedule'!$K$2:$K$817)), ROW(15:15))), "")</f>
        <v/>
      </c>
      <c r="AG18" s="4" t="n"/>
    </row>
    <row r="19" ht="28.5" customHeight="1">
      <c r="A19" s="2">
        <f t="array" ref="A19">IFERROR(INDEX('Bank Schedule'!A:A, SMALL(IF('Bank Schedule'!$K$2:$K$817="Vacant", ROW('Bank Schedule'!$K$2:$K$817)), ROW(16:16))), "")</f>
        <v/>
      </c>
      <c r="B19" s="11">
        <f t="array" ref="B19">IFERROR(INDEX('Bank Schedule'!B:B, SMALL(IF('Bank Schedule'!$K$2:$K$817="Vacant", ROW('Bank Schedule'!$K$2:$K$817)), ROW(16:16))), "")</f>
        <v/>
      </c>
      <c r="C19" s="11">
        <f t="array" ref="C19">IFERROR(INDEX('Bank Schedule'!C:C, SMALL(IF('Bank Schedule'!$K$2:$K$817="Vacant", ROW('Bank Schedule'!$K$2:$K$817)), ROW(16:16))), "")</f>
        <v/>
      </c>
      <c r="D19" s="11">
        <f t="array" ref="D19">IFERROR(INDEX('Bank Schedule'!D:D, SMALL(IF('Bank Schedule'!$K$2:$K$817="Vacant", ROW('Bank Schedule'!$K$2:$K$817)), ROW(16:16))), "")</f>
        <v/>
      </c>
      <c r="E19" s="25">
        <f t="array" ref="E19">IFERROR(INDEX('Bank Schedule'!E:E, SMALL(IF('Bank Schedule'!$K$2:$K$817="Vacant", ROW('Bank Schedule'!$K$2:$K$817)), ROW(16:16))), "")</f>
        <v/>
      </c>
      <c r="F19" s="25">
        <f t="array" ref="F19">IFERROR(INDEX('Bank Schedule'!F:F, SMALL(IF('Bank Schedule'!$K$2:$K$817="Vacant", ROW('Bank Schedule'!$K$2:$K$817)), ROW(16:16))), "")</f>
        <v/>
      </c>
      <c r="G19" s="25">
        <f t="array" ref="G19">IFERROR(INDEX('Bank Schedule'!G:G, SMALL(IF('Bank Schedule'!$K$2:$K$817="Vacant", ROW('Bank Schedule'!$K$2:$K$817)), ROW(16:16))), "")</f>
        <v/>
      </c>
      <c r="H19" s="53">
        <f t="array" ref="H19">IFERROR(INDEX('Bank Schedule'!H:H, SMALL(IF('Bank Schedule'!$K$2:$K$817="Vacant", ROW('Bank Schedule'!$K$2:$K$817)), ROW(16:16))), "")</f>
        <v/>
      </c>
      <c r="I19" s="53">
        <f t="array" ref="I19">IFERROR(INDEX('Bank Schedule'!I:I, SMALL(IF('Bank Schedule'!$K$2:$K$817="Vacant", ROW('Bank Schedule'!$K$2:$K$817)), ROW(16:16))), "")</f>
        <v/>
      </c>
      <c r="J19" s="11">
        <f t="array" ref="J19">IFERROR(INDEX('Bank Schedule'!K:K, SMALL(IF('Bank Schedule'!$K$2:$K$817="Vacant", ROW('Bank Schedule'!$K$2:$K$817)), ROW(16:16))), "")</f>
        <v/>
      </c>
      <c r="K19" s="11">
        <f t="array" ref="K19">IFERROR(INDEX('Bank Schedule'!L:L, SMALL(IF('Bank Schedule'!$K$2:$K$817="Vacant", ROW('Bank Schedule'!$K$2:$K$817)), ROW(16:16))), "")</f>
        <v/>
      </c>
      <c r="L19" s="11">
        <f t="array" ref="L19">IFERROR(INDEX('Bank Schedule'!M:M, SMALL(IF('Bank Schedule'!$K$2:$K$817="Vacant", ROW('Bank Schedule'!$K$2:$K$817)), ROW(16:16))), "")</f>
        <v/>
      </c>
      <c r="M19" s="106">
        <f t="array" ref="M19">IFERROR(INDEX('Bank Schedule'!N:N, SMALL(IF('Bank Schedule'!$K$2:$K$817="Vacant", ROW('Bank Schedule'!$K$2:$K$817)), ROW(16:16))), "")</f>
        <v/>
      </c>
      <c r="N19" s="11">
        <f t="array" ref="N19">IFERROR(INDEX('Bank Schedule'!O:O, SMALL(IF('Bank Schedule'!$K$2:$K$817="Vacant", ROW('Bank Schedule'!$K$2:$K$817)), ROW(16:16))), "")</f>
        <v/>
      </c>
      <c r="O19" s="11">
        <f t="array" ref="O19">IFERROR(INDEX('Bank Schedule'!P:P, SMALL(IF('Bank Schedule'!$K$2:$K$817="Vacant", ROW('Bank Schedule'!$K$2:$K$817)), ROW(16:16))), "")</f>
        <v/>
      </c>
      <c r="P19" s="11">
        <f t="array" ref="P19">IFERROR(INDEX('Bank Schedule'!Q:Q, SMALL(IF('Bank Schedule'!$K$2:$K$817="Vacant", ROW('Bank Schedule'!$K$2:$K$817)), ROW(16:16))), "")</f>
        <v/>
      </c>
      <c r="Q19" s="11">
        <f t="array" ref="Q19">IFERROR(INDEX('Bank Schedule'!R:R, SMALL(IF('Bank Schedule'!$K$2:$K$817="Vacant", ROW('Bank Schedule'!$K$2:$K$817)), ROW(16:16))), "")</f>
        <v/>
      </c>
      <c r="R19" s="11">
        <f t="array" ref="R19">IFERROR(INDEX('Bank Schedule'!S:S, SMALL(IF('Bank Schedule'!$K$2:$K$817="Vacant", ROW('Bank Schedule'!$K$2:$K$817)), ROW(16:16))), "")</f>
        <v/>
      </c>
      <c r="S19" s="301">
        <f t="array" ref="S19">IFERROR(INDEX('Bank Schedule'!T:T, SMALL(IF('Bank Schedule'!$K$2:$K$817="Vacant", ROW('Bank Schedule'!$K$2:$K$817)), ROW(16:16))), "")</f>
        <v/>
      </c>
      <c r="T19" s="301">
        <f t="array" ref="T19">IFERROR(INDEX('Bank Schedule'!U:U, SMALL(IF('Bank Schedule'!$K$2:$K$817="Vacant", ROW('Bank Schedule'!$K$2:$K$817)), ROW(16:16))), "")</f>
        <v/>
      </c>
      <c r="U19" s="301">
        <f t="array" ref="U19">IFERROR(INDEX('Bank Schedule'!V:V, SMALL(IF('Bank Schedule'!$K$2:$K$817="Vacant", ROW('Bank Schedule'!$K$2:$K$817)), ROW(16:16))), "")</f>
        <v/>
      </c>
      <c r="V19" s="301">
        <f t="array" ref="V19">IFERROR(INDEX('Bank Schedule'!W:W, SMALL(IF('Bank Schedule'!$K$2:$K$817="Vacant", ROW('Bank Schedule'!$K$2:$K$817)), ROW(16:16))), "")</f>
        <v/>
      </c>
      <c r="W19" s="300">
        <f t="array" ref="W19">IFERROR(INDEX('Bank Schedule'!X:X, SMALL(IF('Bank Schedule'!$K$2:$K$817="Vacant", ROW('Bank Schedule'!$K$2:$K$817)), ROW(16:16))), "")</f>
        <v/>
      </c>
      <c r="X19" s="11">
        <f t="array" ref="X19">IFERROR(INDEX('Bank Schedule'!Y:Y, SMALL(IF('Bank Schedule'!$K$2:$K$817="Vacant", ROW('Bank Schedule'!$K$2:$K$817)), ROW(16:16))), "")</f>
        <v/>
      </c>
      <c r="Y19" s="11">
        <f t="array" ref="Y19">IFERROR(INDEX('Bank Schedule'!Z:Z, SMALL(IF('Bank Schedule'!$K$2:$K$817="Vacant", ROW('Bank Schedule'!$K$2:$K$817)), ROW(16:16))), "")</f>
        <v/>
      </c>
      <c r="Z19" s="11">
        <f t="array" ref="Z19">IFERROR(INDEX('Bank Schedule'!AA:AA, SMALL(IF('Bank Schedule'!$K$2:$K$817="Vacant", ROW('Bank Schedule'!$K$2:$K$817)), ROW(16:16))), "")</f>
        <v/>
      </c>
      <c r="AA19" s="11">
        <f t="array" ref="AA19">IFERROR(INDEX('Bank Schedule'!AB:AB, SMALL(IF('Bank Schedule'!$K$2:$K$817="Vacant", ROW('Bank Schedule'!$K$2:$K$817)), ROW(16:16))), "")</f>
        <v/>
      </c>
      <c r="AB19" s="25">
        <f t="array" ref="AB19">IFERROR(INDEX('Bank Schedule'!AC:AC, SMALL(IF('Bank Schedule'!$K$2:$K$817="Vacant", ROW('Bank Schedule'!$K$2:$K$817)), ROW(16:16))), "")</f>
        <v/>
      </c>
      <c r="AC19" s="277">
        <f t="array" ref="AC19">IFERROR(INDEX('Bank Schedule'!AD:AD, SMALL(IF('Bank Schedule'!$K$2:$K$817="Vacant", ROW('Bank Schedule'!$K$2:$K$817)), ROW(16:16))), "")</f>
        <v/>
      </c>
      <c r="AD19" s="11">
        <f t="array" ref="AD19">IFERROR(INDEX('Bank Schedule'!AE:AE, SMALL(IF('Bank Schedule'!$K$2:$K$817="Vacant", ROW('Bank Schedule'!$K$2:$K$817)), ROW(16:16))), "")</f>
        <v/>
      </c>
      <c r="AE19" s="11">
        <f t="array" ref="AE19">IFERROR(INDEX('Bank Schedule'!AF:AF, SMALL(IF('Bank Schedule'!$K$2:$K$817="Vacant", ROW('Bank Schedule'!$K$2:$K$817)), ROW(16:16))), "")</f>
        <v/>
      </c>
      <c r="AF19" s="11">
        <f t="array" ref="AF19">IFERROR(INDEX('Bank Schedule'!AG:AG, SMALL(IF('Bank Schedule'!$K$2:$K$817="Vacant", ROW('Bank Schedule'!$K$2:$K$817)), ROW(16:16))), "")</f>
        <v/>
      </c>
      <c r="AG19" s="4" t="n"/>
    </row>
    <row r="20" ht="28.5" customHeight="1">
      <c r="A20" s="2">
        <f t="array" ref="A20">IFERROR(INDEX('Bank Schedule'!A:A, SMALL(IF('Bank Schedule'!$K$2:$K$817="Vacant", ROW('Bank Schedule'!$K$2:$K$817)), ROW(17:17))), "")</f>
        <v/>
      </c>
      <c r="B20" s="11">
        <f t="array" ref="B20">IFERROR(INDEX('Bank Schedule'!B:B, SMALL(IF('Bank Schedule'!$K$2:$K$817="Vacant", ROW('Bank Schedule'!$K$2:$K$817)), ROW(17:17))), "")</f>
        <v/>
      </c>
      <c r="C20" s="11">
        <f t="array" ref="C20">IFERROR(INDEX('Bank Schedule'!C:C, SMALL(IF('Bank Schedule'!$K$2:$K$817="Vacant", ROW('Bank Schedule'!$K$2:$K$817)), ROW(17:17))), "")</f>
        <v/>
      </c>
      <c r="D20" s="11">
        <f t="array" ref="D20">IFERROR(INDEX('Bank Schedule'!D:D, SMALL(IF('Bank Schedule'!$K$2:$K$817="Vacant", ROW('Bank Schedule'!$K$2:$K$817)), ROW(17:17))), "")</f>
        <v/>
      </c>
      <c r="E20" s="25">
        <f t="array" ref="E20">IFERROR(INDEX('Bank Schedule'!E:E, SMALL(IF('Bank Schedule'!$K$2:$K$817="Vacant", ROW('Bank Schedule'!$K$2:$K$817)), ROW(17:17))), "")</f>
        <v/>
      </c>
      <c r="F20" s="25">
        <f t="array" ref="F20">IFERROR(INDEX('Bank Schedule'!F:F, SMALL(IF('Bank Schedule'!$K$2:$K$817="Vacant", ROW('Bank Schedule'!$K$2:$K$817)), ROW(17:17))), "")</f>
        <v/>
      </c>
      <c r="G20" s="25">
        <f t="array" ref="G20">IFERROR(INDEX('Bank Schedule'!G:G, SMALL(IF('Bank Schedule'!$K$2:$K$817="Vacant", ROW('Bank Schedule'!$K$2:$K$817)), ROW(17:17))), "")</f>
        <v/>
      </c>
      <c r="H20" s="53">
        <f t="array" ref="H20">IFERROR(INDEX('Bank Schedule'!H:H, SMALL(IF('Bank Schedule'!$K$2:$K$817="Vacant", ROW('Bank Schedule'!$K$2:$K$817)), ROW(17:17))), "")</f>
        <v/>
      </c>
      <c r="I20" s="53">
        <f t="array" ref="I20">IFERROR(INDEX('Bank Schedule'!I:I, SMALL(IF('Bank Schedule'!$K$2:$K$817="Vacant", ROW('Bank Schedule'!$K$2:$K$817)), ROW(17:17))), "")</f>
        <v/>
      </c>
      <c r="J20" s="11">
        <f t="array" ref="J20">IFERROR(INDEX('Bank Schedule'!K:K, SMALL(IF('Bank Schedule'!$K$2:$K$817="Vacant", ROW('Bank Schedule'!$K$2:$K$817)), ROW(17:17))), "")</f>
        <v/>
      </c>
      <c r="K20" s="11">
        <f t="array" ref="K20">IFERROR(INDEX('Bank Schedule'!L:L, SMALL(IF('Bank Schedule'!$K$2:$K$817="Vacant", ROW('Bank Schedule'!$K$2:$K$817)), ROW(17:17))), "")</f>
        <v/>
      </c>
      <c r="L20" s="11">
        <f t="array" ref="L20">IFERROR(INDEX('Bank Schedule'!M:M, SMALL(IF('Bank Schedule'!$K$2:$K$817="Vacant", ROW('Bank Schedule'!$K$2:$K$817)), ROW(17:17))), "")</f>
        <v/>
      </c>
      <c r="M20" s="106">
        <f t="array" ref="M20">IFERROR(INDEX('Bank Schedule'!N:N, SMALL(IF('Bank Schedule'!$K$2:$K$817="Vacant", ROW('Bank Schedule'!$K$2:$K$817)), ROW(17:17))), "")</f>
        <v/>
      </c>
      <c r="N20" s="11">
        <f t="array" ref="N20">IFERROR(INDEX('Bank Schedule'!O:O, SMALL(IF('Bank Schedule'!$K$2:$K$817="Vacant", ROW('Bank Schedule'!$K$2:$K$817)), ROW(17:17))), "")</f>
        <v/>
      </c>
      <c r="O20" s="11">
        <f t="array" ref="O20">IFERROR(INDEX('Bank Schedule'!P:P, SMALL(IF('Bank Schedule'!$K$2:$K$817="Vacant", ROW('Bank Schedule'!$K$2:$K$817)), ROW(17:17))), "")</f>
        <v/>
      </c>
      <c r="P20" s="11">
        <f t="array" ref="P20">IFERROR(INDEX('Bank Schedule'!Q:Q, SMALL(IF('Bank Schedule'!$K$2:$K$817="Vacant", ROW('Bank Schedule'!$K$2:$K$817)), ROW(17:17))), "")</f>
        <v/>
      </c>
      <c r="Q20" s="11">
        <f t="array" ref="Q20">IFERROR(INDEX('Bank Schedule'!R:R, SMALL(IF('Bank Schedule'!$K$2:$K$817="Vacant", ROW('Bank Schedule'!$K$2:$K$817)), ROW(17:17))), "")</f>
        <v/>
      </c>
      <c r="R20" s="11">
        <f t="array" ref="R20">IFERROR(INDEX('Bank Schedule'!S:S, SMALL(IF('Bank Schedule'!$K$2:$K$817="Vacant", ROW('Bank Schedule'!$K$2:$K$817)), ROW(17:17))), "")</f>
        <v/>
      </c>
      <c r="S20" s="301">
        <f t="array" ref="S20">IFERROR(INDEX('Bank Schedule'!T:T, SMALL(IF('Bank Schedule'!$K$2:$K$817="Vacant", ROW('Bank Schedule'!$K$2:$K$817)), ROW(17:17))), "")</f>
        <v/>
      </c>
      <c r="T20" s="301">
        <f t="array" ref="T20">IFERROR(INDEX('Bank Schedule'!U:U, SMALL(IF('Bank Schedule'!$K$2:$K$817="Vacant", ROW('Bank Schedule'!$K$2:$K$817)), ROW(17:17))), "")</f>
        <v/>
      </c>
      <c r="U20" s="301">
        <f t="array" ref="U20">IFERROR(INDEX('Bank Schedule'!V:V, SMALL(IF('Bank Schedule'!$K$2:$K$817="Vacant", ROW('Bank Schedule'!$K$2:$K$817)), ROW(17:17))), "")</f>
        <v/>
      </c>
      <c r="V20" s="301">
        <f t="array" ref="V20">IFERROR(INDEX('Bank Schedule'!W:W, SMALL(IF('Bank Schedule'!$K$2:$K$817="Vacant", ROW('Bank Schedule'!$K$2:$K$817)), ROW(17:17))), "")</f>
        <v/>
      </c>
      <c r="W20" s="300">
        <f t="array" ref="W20">IFERROR(INDEX('Bank Schedule'!X:X, SMALL(IF('Bank Schedule'!$K$2:$K$817="Vacant", ROW('Bank Schedule'!$K$2:$K$817)), ROW(17:17))), "")</f>
        <v/>
      </c>
      <c r="X20" s="11">
        <f t="array" ref="X20">IFERROR(INDEX('Bank Schedule'!Y:Y, SMALL(IF('Bank Schedule'!$K$2:$K$817="Vacant", ROW('Bank Schedule'!$K$2:$K$817)), ROW(17:17))), "")</f>
        <v/>
      </c>
      <c r="Y20" s="11">
        <f t="array" ref="Y20">IFERROR(INDEX('Bank Schedule'!Z:Z, SMALL(IF('Bank Schedule'!$K$2:$K$817="Vacant", ROW('Bank Schedule'!$K$2:$K$817)), ROW(17:17))), "")</f>
        <v/>
      </c>
      <c r="Z20" s="11">
        <f t="array" ref="Z20">IFERROR(INDEX('Bank Schedule'!AA:AA, SMALL(IF('Bank Schedule'!$K$2:$K$817="Vacant", ROW('Bank Schedule'!$K$2:$K$817)), ROW(17:17))), "")</f>
        <v/>
      </c>
      <c r="AA20" s="11">
        <f t="array" ref="AA20">IFERROR(INDEX('Bank Schedule'!AB:AB, SMALL(IF('Bank Schedule'!$K$2:$K$817="Vacant", ROW('Bank Schedule'!$K$2:$K$817)), ROW(17:17))), "")</f>
        <v/>
      </c>
      <c r="AB20" s="25">
        <f t="array" ref="AB20">IFERROR(INDEX('Bank Schedule'!AC:AC, SMALL(IF('Bank Schedule'!$K$2:$K$817="Vacant", ROW('Bank Schedule'!$K$2:$K$817)), ROW(17:17))), "")</f>
        <v/>
      </c>
      <c r="AC20" s="277">
        <f t="array" ref="AC20">IFERROR(INDEX('Bank Schedule'!AD:AD, SMALL(IF('Bank Schedule'!$K$2:$K$817="Vacant", ROW('Bank Schedule'!$K$2:$K$817)), ROW(17:17))), "")</f>
        <v/>
      </c>
      <c r="AD20" s="11">
        <f t="array" ref="AD20">IFERROR(INDEX('Bank Schedule'!AE:AE, SMALL(IF('Bank Schedule'!$K$2:$K$817="Vacant", ROW('Bank Schedule'!$K$2:$K$817)), ROW(17:17))), "")</f>
        <v/>
      </c>
      <c r="AE20" s="11">
        <f t="array" ref="AE20">IFERROR(INDEX('Bank Schedule'!AF:AF, SMALL(IF('Bank Schedule'!$K$2:$K$817="Vacant", ROW('Bank Schedule'!$K$2:$K$817)), ROW(17:17))), "")</f>
        <v/>
      </c>
      <c r="AF20" s="11">
        <f t="array" ref="AF20">IFERROR(INDEX('Bank Schedule'!AG:AG, SMALL(IF('Bank Schedule'!$K$2:$K$817="Vacant", ROW('Bank Schedule'!$K$2:$K$817)), ROW(17:17))), "")</f>
        <v/>
      </c>
      <c r="AG20" s="4" t="n"/>
    </row>
    <row r="21" ht="28.5" customHeight="1">
      <c r="A21" s="2">
        <f t="array" ref="A21">IFERROR(INDEX('Bank Schedule'!A:A, SMALL(IF('Bank Schedule'!$K$2:$K$817="Vacant", ROW('Bank Schedule'!$K$2:$K$817)), ROW(18:18))), "")</f>
        <v/>
      </c>
      <c r="B21" s="11">
        <f t="array" ref="B21">IFERROR(INDEX('Bank Schedule'!B:B, SMALL(IF('Bank Schedule'!$K$2:$K$817="Vacant", ROW('Bank Schedule'!$K$2:$K$817)), ROW(18:18))), "")</f>
        <v/>
      </c>
      <c r="C21" s="11">
        <f t="array" ref="C21">IFERROR(INDEX('Bank Schedule'!C:C, SMALL(IF('Bank Schedule'!$K$2:$K$817="Vacant", ROW('Bank Schedule'!$K$2:$K$817)), ROW(18:18))), "")</f>
        <v/>
      </c>
      <c r="D21" s="11">
        <f t="array" ref="D21">IFERROR(INDEX('Bank Schedule'!D:D, SMALL(IF('Bank Schedule'!$K$2:$K$817="Vacant", ROW('Bank Schedule'!$K$2:$K$817)), ROW(18:18))), "")</f>
        <v/>
      </c>
      <c r="E21" s="25">
        <f t="array" ref="E21">IFERROR(INDEX('Bank Schedule'!E:E, SMALL(IF('Bank Schedule'!$K$2:$K$817="Vacant", ROW('Bank Schedule'!$K$2:$K$817)), ROW(18:18))), "")</f>
        <v/>
      </c>
      <c r="F21" s="25">
        <f t="array" ref="F21">IFERROR(INDEX('Bank Schedule'!F:F, SMALL(IF('Bank Schedule'!$K$2:$K$817="Vacant", ROW('Bank Schedule'!$K$2:$K$817)), ROW(18:18))), "")</f>
        <v/>
      </c>
      <c r="G21" s="25">
        <f t="array" ref="G21">IFERROR(INDEX('Bank Schedule'!G:G, SMALL(IF('Bank Schedule'!$K$2:$K$817="Vacant", ROW('Bank Schedule'!$K$2:$K$817)), ROW(18:18))), "")</f>
        <v/>
      </c>
      <c r="H21" s="53">
        <f t="array" ref="H21">IFERROR(INDEX('Bank Schedule'!H:H, SMALL(IF('Bank Schedule'!$K$2:$K$817="Vacant", ROW('Bank Schedule'!$K$2:$K$817)), ROW(18:18))), "")</f>
        <v/>
      </c>
      <c r="I21" s="53">
        <f t="array" ref="I21">IFERROR(INDEX('Bank Schedule'!I:I, SMALL(IF('Bank Schedule'!$K$2:$K$817="Vacant", ROW('Bank Schedule'!$K$2:$K$817)), ROW(18:18))), "")</f>
        <v/>
      </c>
      <c r="J21" s="11">
        <f t="array" ref="J21">IFERROR(INDEX('Bank Schedule'!K:K, SMALL(IF('Bank Schedule'!$K$2:$K$817="Vacant", ROW('Bank Schedule'!$K$2:$K$817)), ROW(18:18))), "")</f>
        <v/>
      </c>
      <c r="K21" s="11">
        <f t="array" ref="K21">IFERROR(INDEX('Bank Schedule'!L:L, SMALL(IF('Bank Schedule'!$K$2:$K$817="Vacant", ROW('Bank Schedule'!$K$2:$K$817)), ROW(18:18))), "")</f>
        <v/>
      </c>
      <c r="L21" s="11">
        <f t="array" ref="L21">IFERROR(INDEX('Bank Schedule'!M:M, SMALL(IF('Bank Schedule'!$K$2:$K$817="Vacant", ROW('Bank Schedule'!$K$2:$K$817)), ROW(18:18))), "")</f>
        <v/>
      </c>
      <c r="M21" s="106">
        <f t="array" ref="M21">IFERROR(INDEX('Bank Schedule'!N:N, SMALL(IF('Bank Schedule'!$K$2:$K$817="Vacant", ROW('Bank Schedule'!$K$2:$K$817)), ROW(18:18))), "")</f>
        <v/>
      </c>
      <c r="N21" s="11">
        <f t="array" ref="N21">IFERROR(INDEX('Bank Schedule'!O:O, SMALL(IF('Bank Schedule'!$K$2:$K$817="Vacant", ROW('Bank Schedule'!$K$2:$K$817)), ROW(18:18))), "")</f>
        <v/>
      </c>
      <c r="O21" s="11">
        <f t="array" ref="O21">IFERROR(INDEX('Bank Schedule'!P:P, SMALL(IF('Bank Schedule'!$K$2:$K$817="Vacant", ROW('Bank Schedule'!$K$2:$K$817)), ROW(18:18))), "")</f>
        <v/>
      </c>
      <c r="P21" s="11">
        <f t="array" ref="P21">IFERROR(INDEX('Bank Schedule'!Q:Q, SMALL(IF('Bank Schedule'!$K$2:$K$817="Vacant", ROW('Bank Schedule'!$K$2:$K$817)), ROW(18:18))), "")</f>
        <v/>
      </c>
      <c r="Q21" s="11">
        <f t="array" ref="Q21">IFERROR(INDEX('Bank Schedule'!R:R, SMALL(IF('Bank Schedule'!$K$2:$K$817="Vacant", ROW('Bank Schedule'!$K$2:$K$817)), ROW(18:18))), "")</f>
        <v/>
      </c>
      <c r="R21" s="11">
        <f t="array" ref="R21">IFERROR(INDEX('Bank Schedule'!S:S, SMALL(IF('Bank Schedule'!$K$2:$K$817="Vacant", ROW('Bank Schedule'!$K$2:$K$817)), ROW(18:18))), "")</f>
        <v/>
      </c>
      <c r="S21" s="301">
        <f t="array" ref="S21">IFERROR(INDEX('Bank Schedule'!T:T, SMALL(IF('Bank Schedule'!$K$2:$K$817="Vacant", ROW('Bank Schedule'!$K$2:$K$817)), ROW(18:18))), "")</f>
        <v/>
      </c>
      <c r="T21" s="301">
        <f t="array" ref="T21">IFERROR(INDEX('Bank Schedule'!U:U, SMALL(IF('Bank Schedule'!$K$2:$K$817="Vacant", ROW('Bank Schedule'!$K$2:$K$817)), ROW(18:18))), "")</f>
        <v/>
      </c>
      <c r="U21" s="301">
        <f t="array" ref="U21">IFERROR(INDEX('Bank Schedule'!V:V, SMALL(IF('Bank Schedule'!$K$2:$K$817="Vacant", ROW('Bank Schedule'!$K$2:$K$817)), ROW(18:18))), "")</f>
        <v/>
      </c>
      <c r="V21" s="301">
        <f t="array" ref="V21">IFERROR(INDEX('Bank Schedule'!W:W, SMALL(IF('Bank Schedule'!$K$2:$K$817="Vacant", ROW('Bank Schedule'!$K$2:$K$817)), ROW(18:18))), "")</f>
        <v/>
      </c>
      <c r="W21" s="300">
        <f t="array" ref="W21">IFERROR(INDEX('Bank Schedule'!X:X, SMALL(IF('Bank Schedule'!$K$2:$K$817="Vacant", ROW('Bank Schedule'!$K$2:$K$817)), ROW(18:18))), "")</f>
        <v/>
      </c>
      <c r="X21" s="11">
        <f t="array" ref="X21">IFERROR(INDEX('Bank Schedule'!Y:Y, SMALL(IF('Bank Schedule'!$K$2:$K$817="Vacant", ROW('Bank Schedule'!$K$2:$K$817)), ROW(18:18))), "")</f>
        <v/>
      </c>
      <c r="Y21" s="11">
        <f t="array" ref="Y21">IFERROR(INDEX('Bank Schedule'!Z:Z, SMALL(IF('Bank Schedule'!$K$2:$K$817="Vacant", ROW('Bank Schedule'!$K$2:$K$817)), ROW(18:18))), "")</f>
        <v/>
      </c>
      <c r="Z21" s="11">
        <f t="array" ref="Z21">IFERROR(INDEX('Bank Schedule'!AA:AA, SMALL(IF('Bank Schedule'!$K$2:$K$817="Vacant", ROW('Bank Schedule'!$K$2:$K$817)), ROW(18:18))), "")</f>
        <v/>
      </c>
      <c r="AA21" s="11">
        <f t="array" ref="AA21">IFERROR(INDEX('Bank Schedule'!AB:AB, SMALL(IF('Bank Schedule'!$K$2:$K$817="Vacant", ROW('Bank Schedule'!$K$2:$K$817)), ROW(18:18))), "")</f>
        <v/>
      </c>
      <c r="AB21" s="25">
        <f t="array" ref="AB21">IFERROR(INDEX('Bank Schedule'!AC:AC, SMALL(IF('Bank Schedule'!$K$2:$K$817="Vacant", ROW('Bank Schedule'!$K$2:$K$817)), ROW(18:18))), "")</f>
        <v/>
      </c>
      <c r="AC21" s="277">
        <f t="array" ref="AC21">IFERROR(INDEX('Bank Schedule'!AD:AD, SMALL(IF('Bank Schedule'!$K$2:$K$817="Vacant", ROW('Bank Schedule'!$K$2:$K$817)), ROW(18:18))), "")</f>
        <v/>
      </c>
      <c r="AD21" s="11">
        <f t="array" ref="AD21">IFERROR(INDEX('Bank Schedule'!AE:AE, SMALL(IF('Bank Schedule'!$K$2:$K$817="Vacant", ROW('Bank Schedule'!$K$2:$K$817)), ROW(18:18))), "")</f>
        <v/>
      </c>
      <c r="AE21" s="11">
        <f t="array" ref="AE21">IFERROR(INDEX('Bank Schedule'!AF:AF, SMALL(IF('Bank Schedule'!$K$2:$K$817="Vacant", ROW('Bank Schedule'!$K$2:$K$817)), ROW(18:18))), "")</f>
        <v/>
      </c>
      <c r="AF21" s="11">
        <f t="array" ref="AF21">IFERROR(INDEX('Bank Schedule'!AG:AG, SMALL(IF('Bank Schedule'!$K$2:$K$817="Vacant", ROW('Bank Schedule'!$K$2:$K$817)), ROW(18:18))), "")</f>
        <v/>
      </c>
      <c r="AG21" s="4" t="n"/>
    </row>
    <row r="22" ht="28.5" customHeight="1">
      <c r="A22" s="2">
        <f t="array" ref="A22">IFERROR(INDEX('Bank Schedule'!A:A, SMALL(IF('Bank Schedule'!$K$2:$K$817="Vacant", ROW('Bank Schedule'!$K$2:$K$817)), ROW(19:19))), "")</f>
        <v/>
      </c>
      <c r="B22" s="11">
        <f t="array" ref="B22">IFERROR(INDEX('Bank Schedule'!B:B, SMALL(IF('Bank Schedule'!$K$2:$K$817="Vacant", ROW('Bank Schedule'!$K$2:$K$817)), ROW(19:19))), "")</f>
        <v/>
      </c>
      <c r="C22" s="11">
        <f t="array" ref="C22">IFERROR(INDEX('Bank Schedule'!C:C, SMALL(IF('Bank Schedule'!$K$2:$K$817="Vacant", ROW('Bank Schedule'!$K$2:$K$817)), ROW(19:19))), "")</f>
        <v/>
      </c>
      <c r="D22" s="11">
        <f t="array" ref="D22">IFERROR(INDEX('Bank Schedule'!D:D, SMALL(IF('Bank Schedule'!$K$2:$K$817="Vacant", ROW('Bank Schedule'!$K$2:$K$817)), ROW(19:19))), "")</f>
        <v/>
      </c>
      <c r="E22" s="25">
        <f t="array" ref="E22">IFERROR(INDEX('Bank Schedule'!E:E, SMALL(IF('Bank Schedule'!$K$2:$K$817="Vacant", ROW('Bank Schedule'!$K$2:$K$817)), ROW(19:19))), "")</f>
        <v/>
      </c>
      <c r="F22" s="25">
        <f t="array" ref="F22">IFERROR(INDEX('Bank Schedule'!F:F, SMALL(IF('Bank Schedule'!$K$2:$K$817="Vacant", ROW('Bank Schedule'!$K$2:$K$817)), ROW(19:19))), "")</f>
        <v/>
      </c>
      <c r="G22" s="25">
        <f t="array" ref="G22">IFERROR(INDEX('Bank Schedule'!G:G, SMALL(IF('Bank Schedule'!$K$2:$K$817="Vacant", ROW('Bank Schedule'!$K$2:$K$817)), ROW(19:19))), "")</f>
        <v/>
      </c>
      <c r="H22" s="53">
        <f t="array" ref="H22">IFERROR(INDEX('Bank Schedule'!H:H, SMALL(IF('Bank Schedule'!$K$2:$K$817="Vacant", ROW('Bank Schedule'!$K$2:$K$817)), ROW(19:19))), "")</f>
        <v/>
      </c>
      <c r="I22" s="53">
        <f t="array" ref="I22">IFERROR(INDEX('Bank Schedule'!I:I, SMALL(IF('Bank Schedule'!$K$2:$K$817="Vacant", ROW('Bank Schedule'!$K$2:$K$817)), ROW(19:19))), "")</f>
        <v/>
      </c>
      <c r="J22" s="11">
        <f t="array" ref="J22">IFERROR(INDEX('Bank Schedule'!K:K, SMALL(IF('Bank Schedule'!$K$2:$K$817="Vacant", ROW('Bank Schedule'!$K$2:$K$817)), ROW(19:19))), "")</f>
        <v/>
      </c>
      <c r="K22" s="11">
        <f t="array" ref="K22">IFERROR(INDEX('Bank Schedule'!L:L, SMALL(IF('Bank Schedule'!$K$2:$K$817="Vacant", ROW('Bank Schedule'!$K$2:$K$817)), ROW(19:19))), "")</f>
        <v/>
      </c>
      <c r="L22" s="11">
        <f t="array" ref="L22">IFERROR(INDEX('Bank Schedule'!M:M, SMALL(IF('Bank Schedule'!$K$2:$K$817="Vacant", ROW('Bank Schedule'!$K$2:$K$817)), ROW(19:19))), "")</f>
        <v/>
      </c>
      <c r="M22" s="106">
        <f t="array" ref="M22">IFERROR(INDEX('Bank Schedule'!N:N, SMALL(IF('Bank Schedule'!$K$2:$K$817="Vacant", ROW('Bank Schedule'!$K$2:$K$817)), ROW(19:19))), "")</f>
        <v/>
      </c>
      <c r="N22" s="11">
        <f t="array" ref="N22">IFERROR(INDEX('Bank Schedule'!O:O, SMALL(IF('Bank Schedule'!$K$2:$K$817="Vacant", ROW('Bank Schedule'!$K$2:$K$817)), ROW(19:19))), "")</f>
        <v/>
      </c>
      <c r="O22" s="11">
        <f t="array" ref="O22">IFERROR(INDEX('Bank Schedule'!P:P, SMALL(IF('Bank Schedule'!$K$2:$K$817="Vacant", ROW('Bank Schedule'!$K$2:$K$817)), ROW(19:19))), "")</f>
        <v/>
      </c>
      <c r="P22" s="11">
        <f t="array" ref="P22">IFERROR(INDEX('Bank Schedule'!Q:Q, SMALL(IF('Bank Schedule'!$K$2:$K$817="Vacant", ROW('Bank Schedule'!$K$2:$K$817)), ROW(19:19))), "")</f>
        <v/>
      </c>
      <c r="Q22" s="11">
        <f t="array" ref="Q22">IFERROR(INDEX('Bank Schedule'!R:R, SMALL(IF('Bank Schedule'!$K$2:$K$817="Vacant", ROW('Bank Schedule'!$K$2:$K$817)), ROW(19:19))), "")</f>
        <v/>
      </c>
      <c r="R22" s="11">
        <f t="array" ref="R22">IFERROR(INDEX('Bank Schedule'!S:S, SMALL(IF('Bank Schedule'!$K$2:$K$817="Vacant", ROW('Bank Schedule'!$K$2:$K$817)), ROW(19:19))), "")</f>
        <v/>
      </c>
      <c r="S22" s="301">
        <f t="array" ref="S22">IFERROR(INDEX('Bank Schedule'!T:T, SMALL(IF('Bank Schedule'!$K$2:$K$817="Vacant", ROW('Bank Schedule'!$K$2:$K$817)), ROW(19:19))), "")</f>
        <v/>
      </c>
      <c r="T22" s="301">
        <f t="array" ref="T22">IFERROR(INDEX('Bank Schedule'!U:U, SMALL(IF('Bank Schedule'!$K$2:$K$817="Vacant", ROW('Bank Schedule'!$K$2:$K$817)), ROW(19:19))), "")</f>
        <v/>
      </c>
      <c r="U22" s="301">
        <f t="array" ref="U22">IFERROR(INDEX('Bank Schedule'!V:V, SMALL(IF('Bank Schedule'!$K$2:$K$817="Vacant", ROW('Bank Schedule'!$K$2:$K$817)), ROW(19:19))), "")</f>
        <v/>
      </c>
      <c r="V22" s="301">
        <f t="array" ref="V22">IFERROR(INDEX('Bank Schedule'!W:W, SMALL(IF('Bank Schedule'!$K$2:$K$817="Vacant", ROW('Bank Schedule'!$K$2:$K$817)), ROW(19:19))), "")</f>
        <v/>
      </c>
      <c r="W22" s="300">
        <f t="array" ref="W22">IFERROR(INDEX('Bank Schedule'!X:X, SMALL(IF('Bank Schedule'!$K$2:$K$817="Vacant", ROW('Bank Schedule'!$K$2:$K$817)), ROW(19:19))), "")</f>
        <v/>
      </c>
      <c r="X22" s="11">
        <f t="array" ref="X22">IFERROR(INDEX('Bank Schedule'!Y:Y, SMALL(IF('Bank Schedule'!$K$2:$K$817="Vacant", ROW('Bank Schedule'!$K$2:$K$817)), ROW(19:19))), "")</f>
        <v/>
      </c>
      <c r="Y22" s="11">
        <f t="array" ref="Y22">IFERROR(INDEX('Bank Schedule'!Z:Z, SMALL(IF('Bank Schedule'!$K$2:$K$817="Vacant", ROW('Bank Schedule'!$K$2:$K$817)), ROW(19:19))), "")</f>
        <v/>
      </c>
      <c r="Z22" s="11">
        <f t="array" ref="Z22">IFERROR(INDEX('Bank Schedule'!AA:AA, SMALL(IF('Bank Schedule'!$K$2:$K$817="Vacant", ROW('Bank Schedule'!$K$2:$K$817)), ROW(19:19))), "")</f>
        <v/>
      </c>
      <c r="AA22" s="11">
        <f t="array" ref="AA22">IFERROR(INDEX('Bank Schedule'!AB:AB, SMALL(IF('Bank Schedule'!$K$2:$K$817="Vacant", ROW('Bank Schedule'!$K$2:$K$817)), ROW(19:19))), "")</f>
        <v/>
      </c>
      <c r="AB22" s="25">
        <f t="array" ref="AB22">IFERROR(INDEX('Bank Schedule'!AC:AC, SMALL(IF('Bank Schedule'!$K$2:$K$817="Vacant", ROW('Bank Schedule'!$K$2:$K$817)), ROW(19:19))), "")</f>
        <v/>
      </c>
      <c r="AC22" s="277">
        <f t="array" ref="AC22">IFERROR(INDEX('Bank Schedule'!AD:AD, SMALL(IF('Bank Schedule'!$K$2:$K$817="Vacant", ROW('Bank Schedule'!$K$2:$K$817)), ROW(19:19))), "")</f>
        <v/>
      </c>
      <c r="AD22" s="11">
        <f t="array" ref="AD22">IFERROR(INDEX('Bank Schedule'!AE:AE, SMALL(IF('Bank Schedule'!$K$2:$K$817="Vacant", ROW('Bank Schedule'!$K$2:$K$817)), ROW(19:19))), "")</f>
        <v/>
      </c>
      <c r="AE22" s="11">
        <f t="array" ref="AE22">IFERROR(INDEX('Bank Schedule'!AF:AF, SMALL(IF('Bank Schedule'!$K$2:$K$817="Vacant", ROW('Bank Schedule'!$K$2:$K$817)), ROW(19:19))), "")</f>
        <v/>
      </c>
      <c r="AF22" s="11">
        <f t="array" ref="AF22">IFERROR(INDEX('Bank Schedule'!AG:AG, SMALL(IF('Bank Schedule'!$K$2:$K$817="Vacant", ROW('Bank Schedule'!$K$2:$K$817)), ROW(19:19))), "")</f>
        <v/>
      </c>
      <c r="AG22" s="4" t="n"/>
    </row>
    <row r="23" ht="28.5" customHeight="1">
      <c r="A23" s="2">
        <f t="array" ref="A23">IFERROR(INDEX('Bank Schedule'!A:A, SMALL(IF('Bank Schedule'!$K$2:$K$817="Vacant", ROW('Bank Schedule'!$K$2:$K$817)), ROW(20:20))), "")</f>
        <v/>
      </c>
      <c r="B23" s="11">
        <f t="array" ref="B23">IFERROR(INDEX('Bank Schedule'!B:B, SMALL(IF('Bank Schedule'!$K$2:$K$817="Vacant", ROW('Bank Schedule'!$K$2:$K$817)), ROW(20:20))), "")</f>
        <v/>
      </c>
      <c r="C23" s="11">
        <f t="array" ref="C23">IFERROR(INDEX('Bank Schedule'!C:C, SMALL(IF('Bank Schedule'!$K$2:$K$817="Vacant", ROW('Bank Schedule'!$K$2:$K$817)), ROW(20:20))), "")</f>
        <v/>
      </c>
      <c r="D23" s="11">
        <f t="array" ref="D23">IFERROR(INDEX('Bank Schedule'!D:D, SMALL(IF('Bank Schedule'!$K$2:$K$817="Vacant", ROW('Bank Schedule'!$K$2:$K$817)), ROW(20:20))), "")</f>
        <v/>
      </c>
      <c r="E23" s="25">
        <f t="array" ref="E23">IFERROR(INDEX('Bank Schedule'!E:E, SMALL(IF('Bank Schedule'!$K$2:$K$817="Vacant", ROW('Bank Schedule'!$K$2:$K$817)), ROW(20:20))), "")</f>
        <v/>
      </c>
      <c r="F23" s="25">
        <f t="array" ref="F23">IFERROR(INDEX('Bank Schedule'!F:F, SMALL(IF('Bank Schedule'!$K$2:$K$817="Vacant", ROW('Bank Schedule'!$K$2:$K$817)), ROW(20:20))), "")</f>
        <v/>
      </c>
      <c r="G23" s="25">
        <f t="array" ref="G23">IFERROR(INDEX('Bank Schedule'!G:G, SMALL(IF('Bank Schedule'!$K$2:$K$817="Vacant", ROW('Bank Schedule'!$K$2:$K$817)), ROW(20:20))), "")</f>
        <v/>
      </c>
      <c r="H23" s="53">
        <f t="array" ref="H23">IFERROR(INDEX('Bank Schedule'!H:H, SMALL(IF('Bank Schedule'!$K$2:$K$817="Vacant", ROW('Bank Schedule'!$K$2:$K$817)), ROW(20:20))), "")</f>
        <v/>
      </c>
      <c r="I23" s="53">
        <f t="array" ref="I23">IFERROR(INDEX('Bank Schedule'!I:I, SMALL(IF('Bank Schedule'!$K$2:$K$817="Vacant", ROW('Bank Schedule'!$K$2:$K$817)), ROW(20:20))), "")</f>
        <v/>
      </c>
      <c r="J23" s="11">
        <f t="array" ref="J23">IFERROR(INDEX('Bank Schedule'!K:K, SMALL(IF('Bank Schedule'!$K$2:$K$817="Vacant", ROW('Bank Schedule'!$K$2:$K$817)), ROW(20:20))), "")</f>
        <v/>
      </c>
      <c r="K23" s="11">
        <f t="array" ref="K23">IFERROR(INDEX('Bank Schedule'!L:L, SMALL(IF('Bank Schedule'!$K$2:$K$817="Vacant", ROW('Bank Schedule'!$K$2:$K$817)), ROW(20:20))), "")</f>
        <v/>
      </c>
      <c r="L23" s="11">
        <f t="array" ref="L23">IFERROR(INDEX('Bank Schedule'!M:M, SMALL(IF('Bank Schedule'!$K$2:$K$817="Vacant", ROW('Bank Schedule'!$K$2:$K$817)), ROW(20:20))), "")</f>
        <v/>
      </c>
      <c r="M23" s="106">
        <f t="array" ref="M23">IFERROR(INDEX('Bank Schedule'!N:N, SMALL(IF('Bank Schedule'!$K$2:$K$817="Vacant", ROW('Bank Schedule'!$K$2:$K$817)), ROW(20:20))), "")</f>
        <v/>
      </c>
      <c r="N23" s="11">
        <f t="array" ref="N23">IFERROR(INDEX('Bank Schedule'!O:O, SMALL(IF('Bank Schedule'!$K$2:$K$817="Vacant", ROW('Bank Schedule'!$K$2:$K$817)), ROW(20:20))), "")</f>
        <v/>
      </c>
      <c r="O23" s="11">
        <f t="array" ref="O23">IFERROR(INDEX('Bank Schedule'!P:P, SMALL(IF('Bank Schedule'!$K$2:$K$817="Vacant", ROW('Bank Schedule'!$K$2:$K$817)), ROW(20:20))), "")</f>
        <v/>
      </c>
      <c r="P23" s="11">
        <f t="array" ref="P23">IFERROR(INDEX('Bank Schedule'!Q:Q, SMALL(IF('Bank Schedule'!$K$2:$K$817="Vacant", ROW('Bank Schedule'!$K$2:$K$817)), ROW(20:20))), "")</f>
        <v/>
      </c>
      <c r="Q23" s="11">
        <f t="array" ref="Q23">IFERROR(INDEX('Bank Schedule'!R:R, SMALL(IF('Bank Schedule'!$K$2:$K$817="Vacant", ROW('Bank Schedule'!$K$2:$K$817)), ROW(20:20))), "")</f>
        <v/>
      </c>
      <c r="R23" s="11">
        <f t="array" ref="R23">IFERROR(INDEX('Bank Schedule'!S:S, SMALL(IF('Bank Schedule'!$K$2:$K$817="Vacant", ROW('Bank Schedule'!$K$2:$K$817)), ROW(20:20))), "")</f>
        <v/>
      </c>
      <c r="S23" s="301">
        <f t="array" ref="S23">IFERROR(INDEX('Bank Schedule'!T:T, SMALL(IF('Bank Schedule'!$K$2:$K$817="Vacant", ROW('Bank Schedule'!$K$2:$K$817)), ROW(20:20))), "")</f>
        <v/>
      </c>
      <c r="T23" s="301">
        <f t="array" ref="T23">IFERROR(INDEX('Bank Schedule'!U:U, SMALL(IF('Bank Schedule'!$K$2:$K$817="Vacant", ROW('Bank Schedule'!$K$2:$K$817)), ROW(20:20))), "")</f>
        <v/>
      </c>
      <c r="U23" s="301">
        <f t="array" ref="U23">IFERROR(INDEX('Bank Schedule'!V:V, SMALL(IF('Bank Schedule'!$K$2:$K$817="Vacant", ROW('Bank Schedule'!$K$2:$K$817)), ROW(20:20))), "")</f>
        <v/>
      </c>
      <c r="V23" s="301">
        <f t="array" ref="V23">IFERROR(INDEX('Bank Schedule'!W:W, SMALL(IF('Bank Schedule'!$K$2:$K$817="Vacant", ROW('Bank Schedule'!$K$2:$K$817)), ROW(20:20))), "")</f>
        <v/>
      </c>
      <c r="W23" s="300">
        <f t="array" ref="W23">IFERROR(INDEX('Bank Schedule'!X:X, SMALL(IF('Bank Schedule'!$K$2:$K$817="Vacant", ROW('Bank Schedule'!$K$2:$K$817)), ROW(20:20))), "")</f>
        <v/>
      </c>
      <c r="X23" s="11">
        <f t="array" ref="X23">IFERROR(INDEX('Bank Schedule'!Y:Y, SMALL(IF('Bank Schedule'!$K$2:$K$817="Vacant", ROW('Bank Schedule'!$K$2:$K$817)), ROW(20:20))), "")</f>
        <v/>
      </c>
      <c r="Y23" s="11">
        <f t="array" ref="Y23">IFERROR(INDEX('Bank Schedule'!Z:Z, SMALL(IF('Bank Schedule'!$K$2:$K$817="Vacant", ROW('Bank Schedule'!$K$2:$K$817)), ROW(20:20))), "")</f>
        <v/>
      </c>
      <c r="Z23" s="11">
        <f t="array" ref="Z23">IFERROR(INDEX('Bank Schedule'!AA:AA, SMALL(IF('Bank Schedule'!$K$2:$K$817="Vacant", ROW('Bank Schedule'!$K$2:$K$817)), ROW(20:20))), "")</f>
        <v/>
      </c>
      <c r="AA23" s="11">
        <f t="array" ref="AA23">IFERROR(INDEX('Bank Schedule'!AB:AB, SMALL(IF('Bank Schedule'!$K$2:$K$817="Vacant", ROW('Bank Schedule'!$K$2:$K$817)), ROW(20:20))), "")</f>
        <v/>
      </c>
      <c r="AB23" s="25">
        <f t="array" ref="AB23">IFERROR(INDEX('Bank Schedule'!AC:AC, SMALL(IF('Bank Schedule'!$K$2:$K$817="Vacant", ROW('Bank Schedule'!$K$2:$K$817)), ROW(20:20))), "")</f>
        <v/>
      </c>
      <c r="AC23" s="277">
        <f t="array" ref="AC23">IFERROR(INDEX('Bank Schedule'!AD:AD, SMALL(IF('Bank Schedule'!$K$2:$K$817="Vacant", ROW('Bank Schedule'!$K$2:$K$817)), ROW(20:20))), "")</f>
        <v/>
      </c>
      <c r="AD23" s="11">
        <f t="array" ref="AD23">IFERROR(INDEX('Bank Schedule'!AE:AE, SMALL(IF('Bank Schedule'!$K$2:$K$817="Vacant", ROW('Bank Schedule'!$K$2:$K$817)), ROW(20:20))), "")</f>
        <v/>
      </c>
      <c r="AE23" s="11">
        <f t="array" ref="AE23">IFERROR(INDEX('Bank Schedule'!AF:AF, SMALL(IF('Bank Schedule'!$K$2:$K$817="Vacant", ROW('Bank Schedule'!$K$2:$K$817)), ROW(20:20))), "")</f>
        <v/>
      </c>
      <c r="AF23" s="11">
        <f t="array" ref="AF23">IFERROR(INDEX('Bank Schedule'!AG:AG, SMALL(IF('Bank Schedule'!$K$2:$K$817="Vacant", ROW('Bank Schedule'!$K$2:$K$817)), ROW(20:20))), "")</f>
        <v/>
      </c>
      <c r="AG23" s="4" t="n"/>
    </row>
    <row r="24" ht="28.5" customHeight="1">
      <c r="A24" s="2">
        <f t="array" ref="A24">IFERROR(INDEX('Bank Schedule'!A:A, SMALL(IF('Bank Schedule'!$K$2:$K$817="Vacant", ROW('Bank Schedule'!$K$2:$K$817)), ROW(21:21))), "")</f>
        <v/>
      </c>
      <c r="B24" s="11">
        <f t="array" ref="B24">IFERROR(INDEX('Bank Schedule'!B:B, SMALL(IF('Bank Schedule'!$K$2:$K$817="Vacant", ROW('Bank Schedule'!$K$2:$K$817)), ROW(21:21))), "")</f>
        <v/>
      </c>
      <c r="C24" s="11">
        <f t="array" ref="C24">IFERROR(INDEX('Bank Schedule'!C:C, SMALL(IF('Bank Schedule'!$K$2:$K$817="Vacant", ROW('Bank Schedule'!$K$2:$K$817)), ROW(21:21))), "")</f>
        <v/>
      </c>
      <c r="D24" s="11">
        <f t="array" ref="D24">IFERROR(INDEX('Bank Schedule'!D:D, SMALL(IF('Bank Schedule'!$K$2:$K$817="Vacant", ROW('Bank Schedule'!$K$2:$K$817)), ROW(21:21))), "")</f>
        <v/>
      </c>
      <c r="E24" s="25">
        <f t="array" ref="E24">IFERROR(INDEX('Bank Schedule'!E:E, SMALL(IF('Bank Schedule'!$K$2:$K$817="Vacant", ROW('Bank Schedule'!$K$2:$K$817)), ROW(21:21))), "")</f>
        <v/>
      </c>
      <c r="F24" s="25">
        <f t="array" ref="F24">IFERROR(INDEX('Bank Schedule'!F:F, SMALL(IF('Bank Schedule'!$K$2:$K$817="Vacant", ROW('Bank Schedule'!$K$2:$K$817)), ROW(21:21))), "")</f>
        <v/>
      </c>
      <c r="G24" s="25">
        <f t="array" ref="G24">IFERROR(INDEX('Bank Schedule'!G:G, SMALL(IF('Bank Schedule'!$K$2:$K$817="Vacant", ROW('Bank Schedule'!$K$2:$K$817)), ROW(21:21))), "")</f>
        <v/>
      </c>
      <c r="H24" s="53">
        <f t="array" ref="H24">IFERROR(INDEX('Bank Schedule'!H:H, SMALL(IF('Bank Schedule'!$K$2:$K$817="Vacant", ROW('Bank Schedule'!$K$2:$K$817)), ROW(21:21))), "")</f>
        <v/>
      </c>
      <c r="I24" s="53">
        <f t="array" ref="I24">IFERROR(INDEX('Bank Schedule'!I:I, SMALL(IF('Bank Schedule'!$K$2:$K$817="Vacant", ROW('Bank Schedule'!$K$2:$K$817)), ROW(21:21))), "")</f>
        <v/>
      </c>
      <c r="J24" s="11">
        <f t="array" ref="J24">IFERROR(INDEX('Bank Schedule'!K:K, SMALL(IF('Bank Schedule'!$K$2:$K$817="Vacant", ROW('Bank Schedule'!$K$2:$K$817)), ROW(21:21))), "")</f>
        <v/>
      </c>
      <c r="K24" s="11">
        <f t="array" ref="K24">IFERROR(INDEX('Bank Schedule'!L:L, SMALL(IF('Bank Schedule'!$K$2:$K$817="Vacant", ROW('Bank Schedule'!$K$2:$K$817)), ROW(21:21))), "")</f>
        <v/>
      </c>
      <c r="L24" s="11">
        <f t="array" ref="L24">IFERROR(INDEX('Bank Schedule'!M:M, SMALL(IF('Bank Schedule'!$K$2:$K$817="Vacant", ROW('Bank Schedule'!$K$2:$K$817)), ROW(21:21))), "")</f>
        <v/>
      </c>
      <c r="M24" s="106">
        <f t="array" ref="M24">IFERROR(INDEX('Bank Schedule'!N:N, SMALL(IF('Bank Schedule'!$K$2:$K$817="Vacant", ROW('Bank Schedule'!$K$2:$K$817)), ROW(21:21))), "")</f>
        <v/>
      </c>
      <c r="N24" s="11">
        <f t="array" ref="N24">IFERROR(INDEX('Bank Schedule'!O:O, SMALL(IF('Bank Schedule'!$K$2:$K$817="Vacant", ROW('Bank Schedule'!$K$2:$K$817)), ROW(21:21))), "")</f>
        <v/>
      </c>
      <c r="O24" s="11">
        <f t="array" ref="O24">IFERROR(INDEX('Bank Schedule'!P:P, SMALL(IF('Bank Schedule'!$K$2:$K$817="Vacant", ROW('Bank Schedule'!$K$2:$K$817)), ROW(21:21))), "")</f>
        <v/>
      </c>
      <c r="P24" s="11">
        <f t="array" ref="P24">IFERROR(INDEX('Bank Schedule'!Q:Q, SMALL(IF('Bank Schedule'!$K$2:$K$817="Vacant", ROW('Bank Schedule'!$K$2:$K$817)), ROW(21:21))), "")</f>
        <v/>
      </c>
      <c r="Q24" s="11">
        <f t="array" ref="Q24">IFERROR(INDEX('Bank Schedule'!R:R, SMALL(IF('Bank Schedule'!$K$2:$K$817="Vacant", ROW('Bank Schedule'!$K$2:$K$817)), ROW(21:21))), "")</f>
        <v/>
      </c>
      <c r="R24" s="11">
        <f t="array" ref="R24">IFERROR(INDEX('Bank Schedule'!S:S, SMALL(IF('Bank Schedule'!$K$2:$K$817="Vacant", ROW('Bank Schedule'!$K$2:$K$817)), ROW(21:21))), "")</f>
        <v/>
      </c>
      <c r="S24" s="301">
        <f t="array" ref="S24">IFERROR(INDEX('Bank Schedule'!T:T, SMALL(IF('Bank Schedule'!$K$2:$K$817="Vacant", ROW('Bank Schedule'!$K$2:$K$817)), ROW(21:21))), "")</f>
        <v/>
      </c>
      <c r="T24" s="301">
        <f t="array" ref="T24">IFERROR(INDEX('Bank Schedule'!U:U, SMALL(IF('Bank Schedule'!$K$2:$K$817="Vacant", ROW('Bank Schedule'!$K$2:$K$817)), ROW(21:21))), "")</f>
        <v/>
      </c>
      <c r="U24" s="301">
        <f t="array" ref="U24">IFERROR(INDEX('Bank Schedule'!V:V, SMALL(IF('Bank Schedule'!$K$2:$K$817="Vacant", ROW('Bank Schedule'!$K$2:$K$817)), ROW(21:21))), "")</f>
        <v/>
      </c>
      <c r="V24" s="301">
        <f t="array" ref="V24">IFERROR(INDEX('Bank Schedule'!W:W, SMALL(IF('Bank Schedule'!$K$2:$K$817="Vacant", ROW('Bank Schedule'!$K$2:$K$817)), ROW(21:21))), "")</f>
        <v/>
      </c>
      <c r="W24" s="300">
        <f t="array" ref="W24">IFERROR(INDEX('Bank Schedule'!X:X, SMALL(IF('Bank Schedule'!$K$2:$K$817="Vacant", ROW('Bank Schedule'!$K$2:$K$817)), ROW(21:21))), "")</f>
        <v/>
      </c>
      <c r="X24" s="11">
        <f t="array" ref="X24">IFERROR(INDEX('Bank Schedule'!Y:Y, SMALL(IF('Bank Schedule'!$K$2:$K$817="Vacant", ROW('Bank Schedule'!$K$2:$K$817)), ROW(21:21))), "")</f>
        <v/>
      </c>
      <c r="Y24" s="11">
        <f t="array" ref="Y24">IFERROR(INDEX('Bank Schedule'!Z:Z, SMALL(IF('Bank Schedule'!$K$2:$K$817="Vacant", ROW('Bank Schedule'!$K$2:$K$817)), ROW(21:21))), "")</f>
        <v/>
      </c>
      <c r="Z24" s="11">
        <f t="array" ref="Z24">IFERROR(INDEX('Bank Schedule'!AA:AA, SMALL(IF('Bank Schedule'!$K$2:$K$817="Vacant", ROW('Bank Schedule'!$K$2:$K$817)), ROW(21:21))), "")</f>
        <v/>
      </c>
      <c r="AA24" s="11">
        <f t="array" ref="AA24">IFERROR(INDEX('Bank Schedule'!AB:AB, SMALL(IF('Bank Schedule'!$K$2:$K$817="Vacant", ROW('Bank Schedule'!$K$2:$K$817)), ROW(21:21))), "")</f>
        <v/>
      </c>
      <c r="AB24" s="25">
        <f t="array" ref="AB24">IFERROR(INDEX('Bank Schedule'!AC:AC, SMALL(IF('Bank Schedule'!$K$2:$K$817="Vacant", ROW('Bank Schedule'!$K$2:$K$817)), ROW(21:21))), "")</f>
        <v/>
      </c>
      <c r="AC24" s="277">
        <f t="array" ref="AC24">IFERROR(INDEX('Bank Schedule'!AD:AD, SMALL(IF('Bank Schedule'!$K$2:$K$817="Vacant", ROW('Bank Schedule'!$K$2:$K$817)), ROW(21:21))), "")</f>
        <v/>
      </c>
      <c r="AD24" s="11">
        <f t="array" ref="AD24">IFERROR(INDEX('Bank Schedule'!AE:AE, SMALL(IF('Bank Schedule'!$K$2:$K$817="Vacant", ROW('Bank Schedule'!$K$2:$K$817)), ROW(21:21))), "")</f>
        <v/>
      </c>
      <c r="AE24" s="11">
        <f t="array" ref="AE24">IFERROR(INDEX('Bank Schedule'!AF:AF, SMALL(IF('Bank Schedule'!$K$2:$K$817="Vacant", ROW('Bank Schedule'!$K$2:$K$817)), ROW(21:21))), "")</f>
        <v/>
      </c>
      <c r="AF24" s="11">
        <f t="array" ref="AF24">IFERROR(INDEX('Bank Schedule'!AG:AG, SMALL(IF('Bank Schedule'!$K$2:$K$817="Vacant", ROW('Bank Schedule'!$K$2:$K$817)), ROW(21:21))), "")</f>
        <v/>
      </c>
      <c r="AG24" s="4" t="n"/>
    </row>
    <row r="25" ht="28.5" customHeight="1">
      <c r="A25" s="2">
        <f t="array" ref="A25">IFERROR(INDEX('Bank Schedule'!A:A, SMALL(IF('Bank Schedule'!$K$2:$K$817="Vacant", ROW('Bank Schedule'!$K$2:$K$817)), ROW(22:22))), "")</f>
        <v/>
      </c>
      <c r="B25" s="11">
        <f t="array" ref="B25">IFERROR(INDEX('Bank Schedule'!B:B, SMALL(IF('Bank Schedule'!$K$2:$K$817="Vacant", ROW('Bank Schedule'!$K$2:$K$817)), ROW(22:22))), "")</f>
        <v/>
      </c>
      <c r="C25" s="11">
        <f t="array" ref="C25">IFERROR(INDEX('Bank Schedule'!C:C, SMALL(IF('Bank Schedule'!$K$2:$K$817="Vacant", ROW('Bank Schedule'!$K$2:$K$817)), ROW(22:22))), "")</f>
        <v/>
      </c>
      <c r="D25" s="11">
        <f t="array" ref="D25">IFERROR(INDEX('Bank Schedule'!D:D, SMALL(IF('Bank Schedule'!$K$2:$K$817="Vacant", ROW('Bank Schedule'!$K$2:$K$817)), ROW(22:22))), "")</f>
        <v/>
      </c>
      <c r="E25" s="25">
        <f t="array" ref="E25">IFERROR(INDEX('Bank Schedule'!E:E, SMALL(IF('Bank Schedule'!$K$2:$K$817="Vacant", ROW('Bank Schedule'!$K$2:$K$817)), ROW(22:22))), "")</f>
        <v/>
      </c>
      <c r="F25" s="25">
        <f t="array" ref="F25">IFERROR(INDEX('Bank Schedule'!F:F, SMALL(IF('Bank Schedule'!$K$2:$K$817="Vacant", ROW('Bank Schedule'!$K$2:$K$817)), ROW(22:22))), "")</f>
        <v/>
      </c>
      <c r="G25" s="25">
        <f t="array" ref="G25">IFERROR(INDEX('Bank Schedule'!G:G, SMALL(IF('Bank Schedule'!$K$2:$K$817="Vacant", ROW('Bank Schedule'!$K$2:$K$817)), ROW(22:22))), "")</f>
        <v/>
      </c>
      <c r="H25" s="53">
        <f t="array" ref="H25">IFERROR(INDEX('Bank Schedule'!H:H, SMALL(IF('Bank Schedule'!$K$2:$K$817="Vacant", ROW('Bank Schedule'!$K$2:$K$817)), ROW(22:22))), "")</f>
        <v/>
      </c>
      <c r="I25" s="53">
        <f t="array" ref="I25">IFERROR(INDEX('Bank Schedule'!I:I, SMALL(IF('Bank Schedule'!$K$2:$K$817="Vacant", ROW('Bank Schedule'!$K$2:$K$817)), ROW(22:22))), "")</f>
        <v/>
      </c>
      <c r="J25" s="11">
        <f t="array" ref="J25">IFERROR(INDEX('Bank Schedule'!K:K, SMALL(IF('Bank Schedule'!$K$2:$K$817="Vacant", ROW('Bank Schedule'!$K$2:$K$817)), ROW(22:22))), "")</f>
        <v/>
      </c>
      <c r="K25" s="11">
        <f t="array" ref="K25">IFERROR(INDEX('Bank Schedule'!L:L, SMALL(IF('Bank Schedule'!$K$2:$K$817="Vacant", ROW('Bank Schedule'!$K$2:$K$817)), ROW(22:22))), "")</f>
        <v/>
      </c>
      <c r="L25" s="11">
        <f t="array" ref="L25">IFERROR(INDEX('Bank Schedule'!M:M, SMALL(IF('Bank Schedule'!$K$2:$K$817="Vacant", ROW('Bank Schedule'!$K$2:$K$817)), ROW(22:22))), "")</f>
        <v/>
      </c>
      <c r="M25" s="106">
        <f t="array" ref="M25">IFERROR(INDEX('Bank Schedule'!N:N, SMALL(IF('Bank Schedule'!$K$2:$K$817="Vacant", ROW('Bank Schedule'!$K$2:$K$817)), ROW(22:22))), "")</f>
        <v/>
      </c>
      <c r="N25" s="11">
        <f t="array" ref="N25">IFERROR(INDEX('Bank Schedule'!O:O, SMALL(IF('Bank Schedule'!$K$2:$K$817="Vacant", ROW('Bank Schedule'!$K$2:$K$817)), ROW(22:22))), "")</f>
        <v/>
      </c>
      <c r="O25" s="11">
        <f t="array" ref="O25">IFERROR(INDEX('Bank Schedule'!P:P, SMALL(IF('Bank Schedule'!$K$2:$K$817="Vacant", ROW('Bank Schedule'!$K$2:$K$817)), ROW(22:22))), "")</f>
        <v/>
      </c>
      <c r="P25" s="11">
        <f t="array" ref="P25">IFERROR(INDEX('Bank Schedule'!Q:Q, SMALL(IF('Bank Schedule'!$K$2:$K$817="Vacant", ROW('Bank Schedule'!$K$2:$K$817)), ROW(22:22))), "")</f>
        <v/>
      </c>
      <c r="Q25" s="11">
        <f t="array" ref="Q25">IFERROR(INDEX('Bank Schedule'!R:R, SMALL(IF('Bank Schedule'!$K$2:$K$817="Vacant", ROW('Bank Schedule'!$K$2:$K$817)), ROW(22:22))), "")</f>
        <v/>
      </c>
      <c r="R25" s="11">
        <f t="array" ref="R25">IFERROR(INDEX('Bank Schedule'!S:S, SMALL(IF('Bank Schedule'!$K$2:$K$817="Vacant", ROW('Bank Schedule'!$K$2:$K$817)), ROW(22:22))), "")</f>
        <v/>
      </c>
      <c r="S25" s="301">
        <f t="array" ref="S25">IFERROR(INDEX('Bank Schedule'!T:T, SMALL(IF('Bank Schedule'!$K$2:$K$817="Vacant", ROW('Bank Schedule'!$K$2:$K$817)), ROW(22:22))), "")</f>
        <v/>
      </c>
      <c r="T25" s="301">
        <f t="array" ref="T25">IFERROR(INDEX('Bank Schedule'!U:U, SMALL(IF('Bank Schedule'!$K$2:$K$817="Vacant", ROW('Bank Schedule'!$K$2:$K$817)), ROW(22:22))), "")</f>
        <v/>
      </c>
      <c r="U25" s="301">
        <f t="array" ref="U25">IFERROR(INDEX('Bank Schedule'!V:V, SMALL(IF('Bank Schedule'!$K$2:$K$817="Vacant", ROW('Bank Schedule'!$K$2:$K$817)), ROW(22:22))), "")</f>
        <v/>
      </c>
      <c r="V25" s="301">
        <f t="array" ref="V25">IFERROR(INDEX('Bank Schedule'!W:W, SMALL(IF('Bank Schedule'!$K$2:$K$817="Vacant", ROW('Bank Schedule'!$K$2:$K$817)), ROW(22:22))), "")</f>
        <v/>
      </c>
      <c r="W25" s="300">
        <f t="array" ref="W25">IFERROR(INDEX('Bank Schedule'!X:X, SMALL(IF('Bank Schedule'!$K$2:$K$817="Vacant", ROW('Bank Schedule'!$K$2:$K$817)), ROW(22:22))), "")</f>
        <v/>
      </c>
      <c r="X25" s="11">
        <f t="array" ref="X25">IFERROR(INDEX('Bank Schedule'!Y:Y, SMALL(IF('Bank Schedule'!$K$2:$K$817="Vacant", ROW('Bank Schedule'!$K$2:$K$817)), ROW(22:22))), "")</f>
        <v/>
      </c>
      <c r="Y25" s="11">
        <f t="array" ref="Y25">IFERROR(INDEX('Bank Schedule'!Z:Z, SMALL(IF('Bank Schedule'!$K$2:$K$817="Vacant", ROW('Bank Schedule'!$K$2:$K$817)), ROW(22:22))), "")</f>
        <v/>
      </c>
      <c r="Z25" s="11">
        <f t="array" ref="Z25">IFERROR(INDEX('Bank Schedule'!AA:AA, SMALL(IF('Bank Schedule'!$K$2:$K$817="Vacant", ROW('Bank Schedule'!$K$2:$K$817)), ROW(22:22))), "")</f>
        <v/>
      </c>
      <c r="AA25" s="11">
        <f t="array" ref="AA25">IFERROR(INDEX('Bank Schedule'!AB:AB, SMALL(IF('Bank Schedule'!$K$2:$K$817="Vacant", ROW('Bank Schedule'!$K$2:$K$817)), ROW(22:22))), "")</f>
        <v/>
      </c>
      <c r="AB25" s="25">
        <f t="array" ref="AB25">IFERROR(INDEX('Bank Schedule'!AC:AC, SMALL(IF('Bank Schedule'!$K$2:$K$817="Vacant", ROW('Bank Schedule'!$K$2:$K$817)), ROW(22:22))), "")</f>
        <v/>
      </c>
      <c r="AC25" s="277">
        <f t="array" ref="AC25">IFERROR(INDEX('Bank Schedule'!AD:AD, SMALL(IF('Bank Schedule'!$K$2:$K$817="Vacant", ROW('Bank Schedule'!$K$2:$K$817)), ROW(22:22))), "")</f>
        <v/>
      </c>
      <c r="AD25" s="11">
        <f t="array" ref="AD25">IFERROR(INDEX('Bank Schedule'!AE:AE, SMALL(IF('Bank Schedule'!$K$2:$K$817="Vacant", ROW('Bank Schedule'!$K$2:$K$817)), ROW(22:22))), "")</f>
        <v/>
      </c>
      <c r="AE25" s="11">
        <f t="array" ref="AE25">IFERROR(INDEX('Bank Schedule'!AF:AF, SMALL(IF('Bank Schedule'!$K$2:$K$817="Vacant", ROW('Bank Schedule'!$K$2:$K$817)), ROW(22:22))), "")</f>
        <v/>
      </c>
      <c r="AF25" s="11">
        <f t="array" ref="AF25">IFERROR(INDEX('Bank Schedule'!AG:AG, SMALL(IF('Bank Schedule'!$K$2:$K$817="Vacant", ROW('Bank Schedule'!$K$2:$K$817)), ROW(22:22))), "")</f>
        <v/>
      </c>
      <c r="AG25" s="4" t="n"/>
    </row>
    <row r="26" ht="28.5" customHeight="1">
      <c r="A26" s="2">
        <f t="array" ref="A26">IFERROR(INDEX('Bank Schedule'!A:A, SMALL(IF('Bank Schedule'!$K$2:$K$817="Vacant", ROW('Bank Schedule'!$K$2:$K$817)), ROW(23:23))), "")</f>
        <v/>
      </c>
      <c r="B26" s="11">
        <f t="array" ref="B26">IFERROR(INDEX('Bank Schedule'!B:B, SMALL(IF('Bank Schedule'!$K$2:$K$817="Vacant", ROW('Bank Schedule'!$K$2:$K$817)), ROW(23:23))), "")</f>
        <v/>
      </c>
      <c r="C26" s="11">
        <f t="array" ref="C26">IFERROR(INDEX('Bank Schedule'!C:C, SMALL(IF('Bank Schedule'!$K$2:$K$817="Vacant", ROW('Bank Schedule'!$K$2:$K$817)), ROW(23:23))), "")</f>
        <v/>
      </c>
      <c r="D26" s="11">
        <f t="array" ref="D26">IFERROR(INDEX('Bank Schedule'!D:D, SMALL(IF('Bank Schedule'!$K$2:$K$817="Vacant", ROW('Bank Schedule'!$K$2:$K$817)), ROW(23:23))), "")</f>
        <v/>
      </c>
      <c r="E26" s="25">
        <f t="array" ref="E26">IFERROR(INDEX('Bank Schedule'!E:E, SMALL(IF('Bank Schedule'!$K$2:$K$817="Vacant", ROW('Bank Schedule'!$K$2:$K$817)), ROW(23:23))), "")</f>
        <v/>
      </c>
      <c r="F26" s="25">
        <f t="array" ref="F26">IFERROR(INDEX('Bank Schedule'!F:F, SMALL(IF('Bank Schedule'!$K$2:$K$817="Vacant", ROW('Bank Schedule'!$K$2:$K$817)), ROW(23:23))), "")</f>
        <v/>
      </c>
      <c r="G26" s="25">
        <f t="array" ref="G26">IFERROR(INDEX('Bank Schedule'!G:G, SMALL(IF('Bank Schedule'!$K$2:$K$817="Vacant", ROW('Bank Schedule'!$K$2:$K$817)), ROW(23:23))), "")</f>
        <v/>
      </c>
      <c r="H26" s="53">
        <f t="array" ref="H26">IFERROR(INDEX('Bank Schedule'!H:H, SMALL(IF('Bank Schedule'!$K$2:$K$817="Vacant", ROW('Bank Schedule'!$K$2:$K$817)), ROW(23:23))), "")</f>
        <v/>
      </c>
      <c r="I26" s="53">
        <f t="array" ref="I26">IFERROR(INDEX('Bank Schedule'!I:I, SMALL(IF('Bank Schedule'!$K$2:$K$817="Vacant", ROW('Bank Schedule'!$K$2:$K$817)), ROW(23:23))), "")</f>
        <v/>
      </c>
      <c r="J26" s="11">
        <f t="array" ref="J26">IFERROR(INDEX('Bank Schedule'!K:K, SMALL(IF('Bank Schedule'!$K$2:$K$817="Vacant", ROW('Bank Schedule'!$K$2:$K$817)), ROW(23:23))), "")</f>
        <v/>
      </c>
      <c r="K26" s="11">
        <f t="array" ref="K26">IFERROR(INDEX('Bank Schedule'!L:L, SMALL(IF('Bank Schedule'!$K$2:$K$817="Vacant", ROW('Bank Schedule'!$K$2:$K$817)), ROW(23:23))), "")</f>
        <v/>
      </c>
      <c r="L26" s="11">
        <f t="array" ref="L26">IFERROR(INDEX('Bank Schedule'!M:M, SMALL(IF('Bank Schedule'!$K$2:$K$817="Vacant", ROW('Bank Schedule'!$K$2:$K$817)), ROW(23:23))), "")</f>
        <v/>
      </c>
      <c r="M26" s="106">
        <f t="array" ref="M26">IFERROR(INDEX('Bank Schedule'!N:N, SMALL(IF('Bank Schedule'!$K$2:$K$817="Vacant", ROW('Bank Schedule'!$K$2:$K$817)), ROW(23:23))), "")</f>
        <v/>
      </c>
      <c r="N26" s="11">
        <f t="array" ref="N26">IFERROR(INDEX('Bank Schedule'!O:O, SMALL(IF('Bank Schedule'!$K$2:$K$817="Vacant", ROW('Bank Schedule'!$K$2:$K$817)), ROW(23:23))), "")</f>
        <v/>
      </c>
      <c r="O26" s="11">
        <f t="array" ref="O26">IFERROR(INDEX('Bank Schedule'!P:P, SMALL(IF('Bank Schedule'!$K$2:$K$817="Vacant", ROW('Bank Schedule'!$K$2:$K$817)), ROW(23:23))), "")</f>
        <v/>
      </c>
      <c r="P26" s="11">
        <f t="array" ref="P26">IFERROR(INDEX('Bank Schedule'!Q:Q, SMALL(IF('Bank Schedule'!$K$2:$K$817="Vacant", ROW('Bank Schedule'!$K$2:$K$817)), ROW(23:23))), "")</f>
        <v/>
      </c>
      <c r="Q26" s="11">
        <f t="array" ref="Q26">IFERROR(INDEX('Bank Schedule'!R:R, SMALL(IF('Bank Schedule'!$K$2:$K$817="Vacant", ROW('Bank Schedule'!$K$2:$K$817)), ROW(23:23))), "")</f>
        <v/>
      </c>
      <c r="R26" s="11">
        <f t="array" ref="R26">IFERROR(INDEX('Bank Schedule'!S:S, SMALL(IF('Bank Schedule'!$K$2:$K$817="Vacant", ROW('Bank Schedule'!$K$2:$K$817)), ROW(23:23))), "")</f>
        <v/>
      </c>
      <c r="S26" s="301">
        <f t="array" ref="S26">IFERROR(INDEX('Bank Schedule'!T:T, SMALL(IF('Bank Schedule'!$K$2:$K$817="Vacant", ROW('Bank Schedule'!$K$2:$K$817)), ROW(23:23))), "")</f>
        <v/>
      </c>
      <c r="T26" s="301">
        <f t="array" ref="T26">IFERROR(INDEX('Bank Schedule'!U:U, SMALL(IF('Bank Schedule'!$K$2:$K$817="Vacant", ROW('Bank Schedule'!$K$2:$K$817)), ROW(23:23))), "")</f>
        <v/>
      </c>
      <c r="U26" s="301">
        <f t="array" ref="U26">IFERROR(INDEX('Bank Schedule'!V:V, SMALL(IF('Bank Schedule'!$K$2:$K$817="Vacant", ROW('Bank Schedule'!$K$2:$K$817)), ROW(23:23))), "")</f>
        <v/>
      </c>
      <c r="V26" s="301">
        <f t="array" ref="V26">IFERROR(INDEX('Bank Schedule'!W:W, SMALL(IF('Bank Schedule'!$K$2:$K$817="Vacant", ROW('Bank Schedule'!$K$2:$K$817)), ROW(23:23))), "")</f>
        <v/>
      </c>
      <c r="W26" s="300">
        <f t="array" ref="W26">IFERROR(INDEX('Bank Schedule'!X:X, SMALL(IF('Bank Schedule'!$K$2:$K$817="Vacant", ROW('Bank Schedule'!$K$2:$K$817)), ROW(23:23))), "")</f>
        <v/>
      </c>
      <c r="X26" s="11">
        <f t="array" ref="X26">IFERROR(INDEX('Bank Schedule'!Y:Y, SMALL(IF('Bank Schedule'!$K$2:$K$817="Vacant", ROW('Bank Schedule'!$K$2:$K$817)), ROW(23:23))), "")</f>
        <v/>
      </c>
      <c r="Y26" s="11">
        <f t="array" ref="Y26">IFERROR(INDEX('Bank Schedule'!Z:Z, SMALL(IF('Bank Schedule'!$K$2:$K$817="Vacant", ROW('Bank Schedule'!$K$2:$K$817)), ROW(23:23))), "")</f>
        <v/>
      </c>
      <c r="Z26" s="11">
        <f t="array" ref="Z26">IFERROR(INDEX('Bank Schedule'!AA:AA, SMALL(IF('Bank Schedule'!$K$2:$K$817="Vacant", ROW('Bank Schedule'!$K$2:$K$817)), ROW(23:23))), "")</f>
        <v/>
      </c>
      <c r="AA26" s="11">
        <f t="array" ref="AA26">IFERROR(INDEX('Bank Schedule'!AB:AB, SMALL(IF('Bank Schedule'!$K$2:$K$817="Vacant", ROW('Bank Schedule'!$K$2:$K$817)), ROW(23:23))), "")</f>
        <v/>
      </c>
      <c r="AB26" s="25">
        <f t="array" ref="AB26">IFERROR(INDEX('Bank Schedule'!AC:AC, SMALL(IF('Bank Schedule'!$K$2:$K$817="Vacant", ROW('Bank Schedule'!$K$2:$K$817)), ROW(23:23))), "")</f>
        <v/>
      </c>
      <c r="AC26" s="277">
        <f t="array" ref="AC26">IFERROR(INDEX('Bank Schedule'!AD:AD, SMALL(IF('Bank Schedule'!$K$2:$K$817="Vacant", ROW('Bank Schedule'!$K$2:$K$817)), ROW(23:23))), "")</f>
        <v/>
      </c>
      <c r="AD26" s="11">
        <f t="array" ref="AD26">IFERROR(INDEX('Bank Schedule'!AE:AE, SMALL(IF('Bank Schedule'!$K$2:$K$817="Vacant", ROW('Bank Schedule'!$K$2:$K$817)), ROW(23:23))), "")</f>
        <v/>
      </c>
      <c r="AE26" s="11">
        <f t="array" ref="AE26">IFERROR(INDEX('Bank Schedule'!AF:AF, SMALL(IF('Bank Schedule'!$K$2:$K$817="Vacant", ROW('Bank Schedule'!$K$2:$K$817)), ROW(23:23))), "")</f>
        <v/>
      </c>
      <c r="AF26" s="11">
        <f t="array" ref="AF26">IFERROR(INDEX('Bank Schedule'!AG:AG, SMALL(IF('Bank Schedule'!$K$2:$K$817="Vacant", ROW('Bank Schedule'!$K$2:$K$817)), ROW(23:23))), "")</f>
        <v/>
      </c>
      <c r="AG26" s="4" t="n"/>
    </row>
    <row r="27" ht="28.5" customHeight="1">
      <c r="A27" s="2">
        <f t="array" ref="A27">IFERROR(INDEX('Bank Schedule'!A:A, SMALL(IF('Bank Schedule'!$K$2:$K$817="Vacant", ROW('Bank Schedule'!$K$2:$K$817)), ROW(24:24))), "")</f>
        <v/>
      </c>
      <c r="B27" s="11">
        <f t="array" ref="B27">IFERROR(INDEX('Bank Schedule'!B:B, SMALL(IF('Bank Schedule'!$K$2:$K$817="Vacant", ROW('Bank Schedule'!$K$2:$K$817)), ROW(24:24))), "")</f>
        <v/>
      </c>
      <c r="C27" s="11">
        <f t="array" ref="C27">IFERROR(INDEX('Bank Schedule'!C:C, SMALL(IF('Bank Schedule'!$K$2:$K$817="Vacant", ROW('Bank Schedule'!$K$2:$K$817)), ROW(24:24))), "")</f>
        <v/>
      </c>
      <c r="D27" s="11">
        <f t="array" ref="D27">IFERROR(INDEX('Bank Schedule'!D:D, SMALL(IF('Bank Schedule'!$K$2:$K$817="Vacant", ROW('Bank Schedule'!$K$2:$K$817)), ROW(24:24))), "")</f>
        <v/>
      </c>
      <c r="E27" s="25">
        <f t="array" ref="E27">IFERROR(INDEX('Bank Schedule'!E:E, SMALL(IF('Bank Schedule'!$K$2:$K$817="Vacant", ROW('Bank Schedule'!$K$2:$K$817)), ROW(24:24))), "")</f>
        <v/>
      </c>
      <c r="F27" s="25">
        <f t="array" ref="F27">IFERROR(INDEX('Bank Schedule'!F:F, SMALL(IF('Bank Schedule'!$K$2:$K$817="Vacant", ROW('Bank Schedule'!$K$2:$K$817)), ROW(24:24))), "")</f>
        <v/>
      </c>
      <c r="G27" s="25">
        <f t="array" ref="G27">IFERROR(INDEX('Bank Schedule'!G:G, SMALL(IF('Bank Schedule'!$K$2:$K$817="Vacant", ROW('Bank Schedule'!$K$2:$K$817)), ROW(24:24))), "")</f>
        <v/>
      </c>
      <c r="H27" s="53">
        <f t="array" ref="H27">IFERROR(INDEX('Bank Schedule'!H:H, SMALL(IF('Bank Schedule'!$K$2:$K$817="Vacant", ROW('Bank Schedule'!$K$2:$K$817)), ROW(24:24))), "")</f>
        <v/>
      </c>
      <c r="I27" s="53">
        <f t="array" ref="I27">IFERROR(INDEX('Bank Schedule'!I:I, SMALL(IF('Bank Schedule'!$K$2:$K$817="Vacant", ROW('Bank Schedule'!$K$2:$K$817)), ROW(24:24))), "")</f>
        <v/>
      </c>
      <c r="J27" s="11">
        <f t="array" ref="J27">IFERROR(INDEX('Bank Schedule'!K:K, SMALL(IF('Bank Schedule'!$K$2:$K$817="Vacant", ROW('Bank Schedule'!$K$2:$K$817)), ROW(24:24))), "")</f>
        <v/>
      </c>
      <c r="K27" s="11">
        <f t="array" ref="K27">IFERROR(INDEX('Bank Schedule'!L:L, SMALL(IF('Bank Schedule'!$K$2:$K$817="Vacant", ROW('Bank Schedule'!$K$2:$K$817)), ROW(24:24))), "")</f>
        <v/>
      </c>
      <c r="L27" s="11">
        <f t="array" ref="L27">IFERROR(INDEX('Bank Schedule'!M:M, SMALL(IF('Bank Schedule'!$K$2:$K$817="Vacant", ROW('Bank Schedule'!$K$2:$K$817)), ROW(24:24))), "")</f>
        <v/>
      </c>
      <c r="M27" s="106">
        <f t="array" ref="M27">IFERROR(INDEX('Bank Schedule'!N:N, SMALL(IF('Bank Schedule'!$K$2:$K$817="Vacant", ROW('Bank Schedule'!$K$2:$K$817)), ROW(24:24))), "")</f>
        <v/>
      </c>
      <c r="N27" s="11">
        <f t="array" ref="N27">IFERROR(INDEX('Bank Schedule'!O:O, SMALL(IF('Bank Schedule'!$K$2:$K$817="Vacant", ROW('Bank Schedule'!$K$2:$K$817)), ROW(24:24))), "")</f>
        <v/>
      </c>
      <c r="O27" s="11">
        <f t="array" ref="O27">IFERROR(INDEX('Bank Schedule'!P:P, SMALL(IF('Bank Schedule'!$K$2:$K$817="Vacant", ROW('Bank Schedule'!$K$2:$K$817)), ROW(24:24))), "")</f>
        <v/>
      </c>
      <c r="P27" s="11">
        <f t="array" ref="P27">IFERROR(INDEX('Bank Schedule'!Q:Q, SMALL(IF('Bank Schedule'!$K$2:$K$817="Vacant", ROW('Bank Schedule'!$K$2:$K$817)), ROW(24:24))), "")</f>
        <v/>
      </c>
      <c r="Q27" s="11">
        <f t="array" ref="Q27">IFERROR(INDEX('Bank Schedule'!R:R, SMALL(IF('Bank Schedule'!$K$2:$K$817="Vacant", ROW('Bank Schedule'!$K$2:$K$817)), ROW(24:24))), "")</f>
        <v/>
      </c>
      <c r="R27" s="11">
        <f t="array" ref="R27">IFERROR(INDEX('Bank Schedule'!S:S, SMALL(IF('Bank Schedule'!$K$2:$K$817="Vacant", ROW('Bank Schedule'!$K$2:$K$817)), ROW(24:24))), "")</f>
        <v/>
      </c>
      <c r="S27" s="301">
        <f t="array" ref="S27">IFERROR(INDEX('Bank Schedule'!T:T, SMALL(IF('Bank Schedule'!$K$2:$K$817="Vacant", ROW('Bank Schedule'!$K$2:$K$817)), ROW(24:24))), "")</f>
        <v/>
      </c>
      <c r="T27" s="301">
        <f t="array" ref="T27">IFERROR(INDEX('Bank Schedule'!U:U, SMALL(IF('Bank Schedule'!$K$2:$K$817="Vacant", ROW('Bank Schedule'!$K$2:$K$817)), ROW(24:24))), "")</f>
        <v/>
      </c>
      <c r="U27" s="301">
        <f t="array" ref="U27">IFERROR(INDEX('Bank Schedule'!V:V, SMALL(IF('Bank Schedule'!$K$2:$K$817="Vacant", ROW('Bank Schedule'!$K$2:$K$817)), ROW(24:24))), "")</f>
        <v/>
      </c>
      <c r="V27" s="301">
        <f t="array" ref="V27">IFERROR(INDEX('Bank Schedule'!W:W, SMALL(IF('Bank Schedule'!$K$2:$K$817="Vacant", ROW('Bank Schedule'!$K$2:$K$817)), ROW(24:24))), "")</f>
        <v/>
      </c>
      <c r="W27" s="300">
        <f t="array" ref="W27">IFERROR(INDEX('Bank Schedule'!X:X, SMALL(IF('Bank Schedule'!$K$2:$K$817="Vacant", ROW('Bank Schedule'!$K$2:$K$817)), ROW(24:24))), "")</f>
        <v/>
      </c>
      <c r="X27" s="11">
        <f t="array" ref="X27">IFERROR(INDEX('Bank Schedule'!Y:Y, SMALL(IF('Bank Schedule'!$K$2:$K$817="Vacant", ROW('Bank Schedule'!$K$2:$K$817)), ROW(24:24))), "")</f>
        <v/>
      </c>
      <c r="Y27" s="11">
        <f t="array" ref="Y27">IFERROR(INDEX('Bank Schedule'!Z:Z, SMALL(IF('Bank Schedule'!$K$2:$K$817="Vacant", ROW('Bank Schedule'!$K$2:$K$817)), ROW(24:24))), "")</f>
        <v/>
      </c>
      <c r="Z27" s="11">
        <f t="array" ref="Z27">IFERROR(INDEX('Bank Schedule'!AA:AA, SMALL(IF('Bank Schedule'!$K$2:$K$817="Vacant", ROW('Bank Schedule'!$K$2:$K$817)), ROW(24:24))), "")</f>
        <v/>
      </c>
      <c r="AA27" s="11">
        <f t="array" ref="AA27">IFERROR(INDEX('Bank Schedule'!AB:AB, SMALL(IF('Bank Schedule'!$K$2:$K$817="Vacant", ROW('Bank Schedule'!$K$2:$K$817)), ROW(24:24))), "")</f>
        <v/>
      </c>
      <c r="AB27" s="25">
        <f t="array" ref="AB27">IFERROR(INDEX('Bank Schedule'!AC:AC, SMALL(IF('Bank Schedule'!$K$2:$K$817="Vacant", ROW('Bank Schedule'!$K$2:$K$817)), ROW(24:24))), "")</f>
        <v/>
      </c>
      <c r="AC27" s="277">
        <f t="array" ref="AC27">IFERROR(INDEX('Bank Schedule'!AD:AD, SMALL(IF('Bank Schedule'!$K$2:$K$817="Vacant", ROW('Bank Schedule'!$K$2:$K$817)), ROW(24:24))), "")</f>
        <v/>
      </c>
      <c r="AD27" s="11">
        <f t="array" ref="AD27">IFERROR(INDEX('Bank Schedule'!AE:AE, SMALL(IF('Bank Schedule'!$K$2:$K$817="Vacant", ROW('Bank Schedule'!$K$2:$K$817)), ROW(24:24))), "")</f>
        <v/>
      </c>
      <c r="AE27" s="11">
        <f t="array" ref="AE27">IFERROR(INDEX('Bank Schedule'!AF:AF, SMALL(IF('Bank Schedule'!$K$2:$K$817="Vacant", ROW('Bank Schedule'!$K$2:$K$817)), ROW(24:24))), "")</f>
        <v/>
      </c>
      <c r="AF27" s="11">
        <f t="array" ref="AF27">IFERROR(INDEX('Bank Schedule'!AG:AG, SMALL(IF('Bank Schedule'!$K$2:$K$817="Vacant", ROW('Bank Schedule'!$K$2:$K$817)), ROW(24:24))), "")</f>
        <v/>
      </c>
      <c r="AG27" s="4" t="n"/>
    </row>
    <row r="28" ht="28.5" customHeight="1">
      <c r="A28" s="2">
        <f t="array" ref="A28">IFERROR(INDEX('Bank Schedule'!A:A, SMALL(IF('Bank Schedule'!$K$2:$K$817="Vacant", ROW('Bank Schedule'!$K$2:$K$817)), ROW(25:25))), "")</f>
        <v/>
      </c>
      <c r="B28" s="11">
        <f t="array" ref="B28">IFERROR(INDEX('Bank Schedule'!B:B, SMALL(IF('Bank Schedule'!$K$2:$K$817="Vacant", ROW('Bank Schedule'!$K$2:$K$817)), ROW(25:25))), "")</f>
        <v/>
      </c>
      <c r="C28" s="11">
        <f t="array" ref="C28">IFERROR(INDEX('Bank Schedule'!C:C, SMALL(IF('Bank Schedule'!$K$2:$K$817="Vacant", ROW('Bank Schedule'!$K$2:$K$817)), ROW(25:25))), "")</f>
        <v/>
      </c>
      <c r="D28" s="11">
        <f t="array" ref="D28">IFERROR(INDEX('Bank Schedule'!D:D, SMALL(IF('Bank Schedule'!$K$2:$K$817="Vacant", ROW('Bank Schedule'!$K$2:$K$817)), ROW(25:25))), "")</f>
        <v/>
      </c>
      <c r="E28" s="25">
        <f t="array" ref="E28">IFERROR(INDEX('Bank Schedule'!E:E, SMALL(IF('Bank Schedule'!$K$2:$K$817="Vacant", ROW('Bank Schedule'!$K$2:$K$817)), ROW(25:25))), "")</f>
        <v/>
      </c>
      <c r="F28" s="25">
        <f t="array" ref="F28">IFERROR(INDEX('Bank Schedule'!F:F, SMALL(IF('Bank Schedule'!$K$2:$K$817="Vacant", ROW('Bank Schedule'!$K$2:$K$817)), ROW(25:25))), "")</f>
        <v/>
      </c>
      <c r="G28" s="25">
        <f t="array" ref="G28">IFERROR(INDEX('Bank Schedule'!G:G, SMALL(IF('Bank Schedule'!$K$2:$K$817="Vacant", ROW('Bank Schedule'!$K$2:$K$817)), ROW(25:25))), "")</f>
        <v/>
      </c>
      <c r="H28" s="53">
        <f t="array" ref="H28">IFERROR(INDEX('Bank Schedule'!H:H, SMALL(IF('Bank Schedule'!$K$2:$K$817="Vacant", ROW('Bank Schedule'!$K$2:$K$817)), ROW(25:25))), "")</f>
        <v/>
      </c>
      <c r="I28" s="53">
        <f t="array" ref="I28">IFERROR(INDEX('Bank Schedule'!I:I, SMALL(IF('Bank Schedule'!$K$2:$K$817="Vacant", ROW('Bank Schedule'!$K$2:$K$817)), ROW(25:25))), "")</f>
        <v/>
      </c>
      <c r="J28" s="11">
        <f t="array" ref="J28">IFERROR(INDEX('Bank Schedule'!K:K, SMALL(IF('Bank Schedule'!$K$2:$K$817="Vacant", ROW('Bank Schedule'!$K$2:$K$817)), ROW(25:25))), "")</f>
        <v/>
      </c>
      <c r="K28" s="11">
        <f t="array" ref="K28">IFERROR(INDEX('Bank Schedule'!L:L, SMALL(IF('Bank Schedule'!$K$2:$K$817="Vacant", ROW('Bank Schedule'!$K$2:$K$817)), ROW(25:25))), "")</f>
        <v/>
      </c>
      <c r="L28" s="11">
        <f t="array" ref="L28">IFERROR(INDEX('Bank Schedule'!M:M, SMALL(IF('Bank Schedule'!$K$2:$K$817="Vacant", ROW('Bank Schedule'!$K$2:$K$817)), ROW(25:25))), "")</f>
        <v/>
      </c>
      <c r="M28" s="106">
        <f t="array" ref="M28">IFERROR(INDEX('Bank Schedule'!N:N, SMALL(IF('Bank Schedule'!$K$2:$K$817="Vacant", ROW('Bank Schedule'!$K$2:$K$817)), ROW(25:25))), "")</f>
        <v/>
      </c>
      <c r="N28" s="11">
        <f t="array" ref="N28">IFERROR(INDEX('Bank Schedule'!O:O, SMALL(IF('Bank Schedule'!$K$2:$K$817="Vacant", ROW('Bank Schedule'!$K$2:$K$817)), ROW(25:25))), "")</f>
        <v/>
      </c>
      <c r="O28" s="11">
        <f t="array" ref="O28">IFERROR(INDEX('Bank Schedule'!P:P, SMALL(IF('Bank Schedule'!$K$2:$K$817="Vacant", ROW('Bank Schedule'!$K$2:$K$817)), ROW(25:25))), "")</f>
        <v/>
      </c>
      <c r="P28" s="11">
        <f t="array" ref="P28">IFERROR(INDEX('Bank Schedule'!Q:Q, SMALL(IF('Bank Schedule'!$K$2:$K$817="Vacant", ROW('Bank Schedule'!$K$2:$K$817)), ROW(25:25))), "")</f>
        <v/>
      </c>
      <c r="Q28" s="11">
        <f t="array" ref="Q28">IFERROR(INDEX('Bank Schedule'!R:R, SMALL(IF('Bank Schedule'!$K$2:$K$817="Vacant", ROW('Bank Schedule'!$K$2:$K$817)), ROW(25:25))), "")</f>
        <v/>
      </c>
      <c r="R28" s="11">
        <f t="array" ref="R28">IFERROR(INDEX('Bank Schedule'!S:S, SMALL(IF('Bank Schedule'!$K$2:$K$817="Vacant", ROW('Bank Schedule'!$K$2:$K$817)), ROW(25:25))), "")</f>
        <v/>
      </c>
      <c r="S28" s="301">
        <f t="array" ref="S28">IFERROR(INDEX('Bank Schedule'!T:T, SMALL(IF('Bank Schedule'!$K$2:$K$817="Vacant", ROW('Bank Schedule'!$K$2:$K$817)), ROW(25:25))), "")</f>
        <v/>
      </c>
      <c r="T28" s="301">
        <f t="array" ref="T28">IFERROR(INDEX('Bank Schedule'!U:U, SMALL(IF('Bank Schedule'!$K$2:$K$817="Vacant", ROW('Bank Schedule'!$K$2:$K$817)), ROW(25:25))), "")</f>
        <v/>
      </c>
      <c r="U28" s="301">
        <f t="array" ref="U28">IFERROR(INDEX('Bank Schedule'!V:V, SMALL(IF('Bank Schedule'!$K$2:$K$817="Vacant", ROW('Bank Schedule'!$K$2:$K$817)), ROW(25:25))), "")</f>
        <v/>
      </c>
      <c r="V28" s="301">
        <f t="array" ref="V28">IFERROR(INDEX('Bank Schedule'!W:W, SMALL(IF('Bank Schedule'!$K$2:$K$817="Vacant", ROW('Bank Schedule'!$K$2:$K$817)), ROW(25:25))), "")</f>
        <v/>
      </c>
      <c r="W28" s="300">
        <f t="array" ref="W28">IFERROR(INDEX('Bank Schedule'!X:X, SMALL(IF('Bank Schedule'!$K$2:$K$817="Vacant", ROW('Bank Schedule'!$K$2:$K$817)), ROW(25:25))), "")</f>
        <v/>
      </c>
      <c r="X28" s="11">
        <f t="array" ref="X28">IFERROR(INDEX('Bank Schedule'!Y:Y, SMALL(IF('Bank Schedule'!$K$2:$K$817="Vacant", ROW('Bank Schedule'!$K$2:$K$817)), ROW(25:25))), "")</f>
        <v/>
      </c>
      <c r="Y28" s="11">
        <f t="array" ref="Y28">IFERROR(INDEX('Bank Schedule'!Z:Z, SMALL(IF('Bank Schedule'!$K$2:$K$817="Vacant", ROW('Bank Schedule'!$K$2:$K$817)), ROW(25:25))), "")</f>
        <v/>
      </c>
      <c r="Z28" s="11">
        <f t="array" ref="Z28">IFERROR(INDEX('Bank Schedule'!AA:AA, SMALL(IF('Bank Schedule'!$K$2:$K$817="Vacant", ROW('Bank Schedule'!$K$2:$K$817)), ROW(25:25))), "")</f>
        <v/>
      </c>
      <c r="AA28" s="11">
        <f t="array" ref="AA28">IFERROR(INDEX('Bank Schedule'!AB:AB, SMALL(IF('Bank Schedule'!$K$2:$K$817="Vacant", ROW('Bank Schedule'!$K$2:$K$817)), ROW(25:25))), "")</f>
        <v/>
      </c>
      <c r="AB28" s="25">
        <f t="array" ref="AB28">IFERROR(INDEX('Bank Schedule'!AC:AC, SMALL(IF('Bank Schedule'!$K$2:$K$817="Vacant", ROW('Bank Schedule'!$K$2:$K$817)), ROW(25:25))), "")</f>
        <v/>
      </c>
      <c r="AC28" s="277">
        <f t="array" ref="AC28">IFERROR(INDEX('Bank Schedule'!AD:AD, SMALL(IF('Bank Schedule'!$K$2:$K$817="Vacant", ROW('Bank Schedule'!$K$2:$K$817)), ROW(25:25))), "")</f>
        <v/>
      </c>
      <c r="AD28" s="11">
        <f t="array" ref="AD28">IFERROR(INDEX('Bank Schedule'!AE:AE, SMALL(IF('Bank Schedule'!$K$2:$K$817="Vacant", ROW('Bank Schedule'!$K$2:$K$817)), ROW(25:25))), "")</f>
        <v/>
      </c>
      <c r="AE28" s="11">
        <f t="array" ref="AE28">IFERROR(INDEX('Bank Schedule'!AF:AF, SMALL(IF('Bank Schedule'!$K$2:$K$817="Vacant", ROW('Bank Schedule'!$K$2:$K$817)), ROW(25:25))), "")</f>
        <v/>
      </c>
      <c r="AF28" s="11">
        <f t="array" ref="AF28">IFERROR(INDEX('Bank Schedule'!AG:AG, SMALL(IF('Bank Schedule'!$K$2:$K$817="Vacant", ROW('Bank Schedule'!$K$2:$K$817)), ROW(25:25))), "")</f>
        <v/>
      </c>
      <c r="AG28" s="4" t="n"/>
    </row>
    <row r="29" ht="28.5" customHeight="1">
      <c r="A29" s="2">
        <f t="array" ref="A29">IFERROR(INDEX('Bank Schedule'!A:A, SMALL(IF('Bank Schedule'!$K$2:$K$817="Vacant", ROW('Bank Schedule'!$K$2:$K$817)), ROW(26:26))), "")</f>
        <v/>
      </c>
      <c r="B29" s="11">
        <f t="array" ref="B29">IFERROR(INDEX('Bank Schedule'!B:B, SMALL(IF('Bank Schedule'!$K$2:$K$817="Vacant", ROW('Bank Schedule'!$K$2:$K$817)), ROW(26:26))), "")</f>
        <v/>
      </c>
      <c r="C29" s="11">
        <f t="array" ref="C29">IFERROR(INDEX('Bank Schedule'!C:C, SMALL(IF('Bank Schedule'!$K$2:$K$817="Vacant", ROW('Bank Schedule'!$K$2:$K$817)), ROW(26:26))), "")</f>
        <v/>
      </c>
      <c r="D29" s="11">
        <f t="array" ref="D29">IFERROR(INDEX('Bank Schedule'!D:D, SMALL(IF('Bank Schedule'!$K$2:$K$817="Vacant", ROW('Bank Schedule'!$K$2:$K$817)), ROW(26:26))), "")</f>
        <v/>
      </c>
      <c r="E29" s="25">
        <f t="array" ref="E29">IFERROR(INDEX('Bank Schedule'!E:E, SMALL(IF('Bank Schedule'!$K$2:$K$817="Vacant", ROW('Bank Schedule'!$K$2:$K$817)), ROW(26:26))), "")</f>
        <v/>
      </c>
      <c r="F29" s="25">
        <f t="array" ref="F29">IFERROR(INDEX('Bank Schedule'!F:F, SMALL(IF('Bank Schedule'!$K$2:$K$817="Vacant", ROW('Bank Schedule'!$K$2:$K$817)), ROW(26:26))), "")</f>
        <v/>
      </c>
      <c r="G29" s="25">
        <f t="array" ref="G29">IFERROR(INDEX('Bank Schedule'!G:G, SMALL(IF('Bank Schedule'!$K$2:$K$817="Vacant", ROW('Bank Schedule'!$K$2:$K$817)), ROW(26:26))), "")</f>
        <v/>
      </c>
      <c r="H29" s="53">
        <f t="array" ref="H29">IFERROR(INDEX('Bank Schedule'!H:H, SMALL(IF('Bank Schedule'!$K$2:$K$817="Vacant", ROW('Bank Schedule'!$K$2:$K$817)), ROW(26:26))), "")</f>
        <v/>
      </c>
      <c r="I29" s="53">
        <f t="array" ref="I29">IFERROR(INDEX('Bank Schedule'!I:I, SMALL(IF('Bank Schedule'!$K$2:$K$817="Vacant", ROW('Bank Schedule'!$K$2:$K$817)), ROW(26:26))), "")</f>
        <v/>
      </c>
      <c r="J29" s="11">
        <f t="array" ref="J29">IFERROR(INDEX('Bank Schedule'!K:K, SMALL(IF('Bank Schedule'!$K$2:$K$817="Vacant", ROW('Bank Schedule'!$K$2:$K$817)), ROW(26:26))), "")</f>
        <v/>
      </c>
      <c r="K29" s="11">
        <f t="array" ref="K29">IFERROR(INDEX('Bank Schedule'!L:L, SMALL(IF('Bank Schedule'!$K$2:$K$817="Vacant", ROW('Bank Schedule'!$K$2:$K$817)), ROW(26:26))), "")</f>
        <v/>
      </c>
      <c r="L29" s="11">
        <f t="array" ref="L29">IFERROR(INDEX('Bank Schedule'!M:M, SMALL(IF('Bank Schedule'!$K$2:$K$817="Vacant", ROW('Bank Schedule'!$K$2:$K$817)), ROW(26:26))), "")</f>
        <v/>
      </c>
      <c r="M29" s="106">
        <f t="array" ref="M29">IFERROR(INDEX('Bank Schedule'!N:N, SMALL(IF('Bank Schedule'!$K$2:$K$817="Vacant", ROW('Bank Schedule'!$K$2:$K$817)), ROW(26:26))), "")</f>
        <v/>
      </c>
      <c r="N29" s="11">
        <f t="array" ref="N29">IFERROR(INDEX('Bank Schedule'!O:O, SMALL(IF('Bank Schedule'!$K$2:$K$817="Vacant", ROW('Bank Schedule'!$K$2:$K$817)), ROW(26:26))), "")</f>
        <v/>
      </c>
      <c r="O29" s="11">
        <f t="array" ref="O29">IFERROR(INDEX('Bank Schedule'!P:P, SMALL(IF('Bank Schedule'!$K$2:$K$817="Vacant", ROW('Bank Schedule'!$K$2:$K$817)), ROW(26:26))), "")</f>
        <v/>
      </c>
      <c r="P29" s="11">
        <f t="array" ref="P29">IFERROR(INDEX('Bank Schedule'!Q:Q, SMALL(IF('Bank Schedule'!$K$2:$K$817="Vacant", ROW('Bank Schedule'!$K$2:$K$817)), ROW(26:26))), "")</f>
        <v/>
      </c>
      <c r="Q29" s="11">
        <f t="array" ref="Q29">IFERROR(INDEX('Bank Schedule'!R:R, SMALL(IF('Bank Schedule'!$K$2:$K$817="Vacant", ROW('Bank Schedule'!$K$2:$K$817)), ROW(26:26))), "")</f>
        <v/>
      </c>
      <c r="R29" s="11">
        <f t="array" ref="R29">IFERROR(INDEX('Bank Schedule'!S:S, SMALL(IF('Bank Schedule'!$K$2:$K$817="Vacant", ROW('Bank Schedule'!$K$2:$K$817)), ROW(26:26))), "")</f>
        <v/>
      </c>
      <c r="S29" s="301">
        <f t="array" ref="S29">IFERROR(INDEX('Bank Schedule'!T:T, SMALL(IF('Bank Schedule'!$K$2:$K$817="Vacant", ROW('Bank Schedule'!$K$2:$K$817)), ROW(26:26))), "")</f>
        <v/>
      </c>
      <c r="T29" s="301">
        <f t="array" ref="T29">IFERROR(INDEX('Bank Schedule'!U:U, SMALL(IF('Bank Schedule'!$K$2:$K$817="Vacant", ROW('Bank Schedule'!$K$2:$K$817)), ROW(26:26))), "")</f>
        <v/>
      </c>
      <c r="U29" s="301">
        <f t="array" ref="U29">IFERROR(INDEX('Bank Schedule'!V:V, SMALL(IF('Bank Schedule'!$K$2:$K$817="Vacant", ROW('Bank Schedule'!$K$2:$K$817)), ROW(26:26))), "")</f>
        <v/>
      </c>
      <c r="V29" s="301">
        <f t="array" ref="V29">IFERROR(INDEX('Bank Schedule'!W:W, SMALL(IF('Bank Schedule'!$K$2:$K$817="Vacant", ROW('Bank Schedule'!$K$2:$K$817)), ROW(26:26))), "")</f>
        <v/>
      </c>
      <c r="W29" s="300">
        <f t="array" ref="W29">IFERROR(INDEX('Bank Schedule'!X:X, SMALL(IF('Bank Schedule'!$K$2:$K$817="Vacant", ROW('Bank Schedule'!$K$2:$K$817)), ROW(26:26))), "")</f>
        <v/>
      </c>
      <c r="X29" s="11">
        <f t="array" ref="X29">IFERROR(INDEX('Bank Schedule'!Y:Y, SMALL(IF('Bank Schedule'!$K$2:$K$817="Vacant", ROW('Bank Schedule'!$K$2:$K$817)), ROW(26:26))), "")</f>
        <v/>
      </c>
      <c r="Y29" s="11">
        <f t="array" ref="Y29">IFERROR(INDEX('Bank Schedule'!Z:Z, SMALL(IF('Bank Schedule'!$K$2:$K$817="Vacant", ROW('Bank Schedule'!$K$2:$K$817)), ROW(26:26))), "")</f>
        <v/>
      </c>
      <c r="Z29" s="11">
        <f t="array" ref="Z29">IFERROR(INDEX('Bank Schedule'!AA:AA, SMALL(IF('Bank Schedule'!$K$2:$K$817="Vacant", ROW('Bank Schedule'!$K$2:$K$817)), ROW(26:26))), "")</f>
        <v/>
      </c>
      <c r="AA29" s="11">
        <f t="array" ref="AA29">IFERROR(INDEX('Bank Schedule'!AB:AB, SMALL(IF('Bank Schedule'!$K$2:$K$817="Vacant", ROW('Bank Schedule'!$K$2:$K$817)), ROW(26:26))), "")</f>
        <v/>
      </c>
      <c r="AB29" s="25">
        <f t="array" ref="AB29">IFERROR(INDEX('Bank Schedule'!AC:AC, SMALL(IF('Bank Schedule'!$K$2:$K$817="Vacant", ROW('Bank Schedule'!$K$2:$K$817)), ROW(26:26))), "")</f>
        <v/>
      </c>
      <c r="AC29" s="277">
        <f t="array" ref="AC29">IFERROR(INDEX('Bank Schedule'!AD:AD, SMALL(IF('Bank Schedule'!$K$2:$K$817="Vacant", ROW('Bank Schedule'!$K$2:$K$817)), ROW(26:26))), "")</f>
        <v/>
      </c>
      <c r="AD29" s="11">
        <f t="array" ref="AD29">IFERROR(INDEX('Bank Schedule'!AE:AE, SMALL(IF('Bank Schedule'!$K$2:$K$817="Vacant", ROW('Bank Schedule'!$K$2:$K$817)), ROW(26:26))), "")</f>
        <v/>
      </c>
      <c r="AE29" s="11">
        <f t="array" ref="AE29">IFERROR(INDEX('Bank Schedule'!AF:AF, SMALL(IF('Bank Schedule'!$K$2:$K$817="Vacant", ROW('Bank Schedule'!$K$2:$K$817)), ROW(26:26))), "")</f>
        <v/>
      </c>
      <c r="AF29" s="11">
        <f t="array" ref="AF29">IFERROR(INDEX('Bank Schedule'!AG:AG, SMALL(IF('Bank Schedule'!$K$2:$K$817="Vacant", ROW('Bank Schedule'!$K$2:$K$817)), ROW(26:26))), "")</f>
        <v/>
      </c>
      <c r="AG29" s="4" t="n"/>
    </row>
    <row r="30" ht="28.5" customHeight="1">
      <c r="A30" s="2">
        <f t="array" ref="A30">IFERROR(INDEX('Bank Schedule'!A:A, SMALL(IF('Bank Schedule'!$K$2:$K$817="Vacant", ROW('Bank Schedule'!$K$2:$K$817)), ROW(27:27))), "")</f>
        <v/>
      </c>
      <c r="B30" s="11">
        <f t="array" ref="B30">IFERROR(INDEX('Bank Schedule'!B:B, SMALL(IF('Bank Schedule'!$K$2:$K$817="Vacant", ROW('Bank Schedule'!$K$2:$K$817)), ROW(27:27))), "")</f>
        <v/>
      </c>
      <c r="C30" s="11">
        <f t="array" ref="C30">IFERROR(INDEX('Bank Schedule'!C:C, SMALL(IF('Bank Schedule'!$K$2:$K$817="Vacant", ROW('Bank Schedule'!$K$2:$K$817)), ROW(27:27))), "")</f>
        <v/>
      </c>
      <c r="D30" s="11">
        <f t="array" ref="D30">IFERROR(INDEX('Bank Schedule'!D:D, SMALL(IF('Bank Schedule'!$K$2:$K$817="Vacant", ROW('Bank Schedule'!$K$2:$K$817)), ROW(27:27))), "")</f>
        <v/>
      </c>
      <c r="E30" s="25">
        <f t="array" ref="E30">IFERROR(INDEX('Bank Schedule'!E:E, SMALL(IF('Bank Schedule'!$K$2:$K$817="Vacant", ROW('Bank Schedule'!$K$2:$K$817)), ROW(27:27))), "")</f>
        <v/>
      </c>
      <c r="F30" s="25">
        <f t="array" ref="F30">IFERROR(INDEX('Bank Schedule'!F:F, SMALL(IF('Bank Schedule'!$K$2:$K$817="Vacant", ROW('Bank Schedule'!$K$2:$K$817)), ROW(27:27))), "")</f>
        <v/>
      </c>
      <c r="G30" s="25">
        <f t="array" ref="G30">IFERROR(INDEX('Bank Schedule'!G:G, SMALL(IF('Bank Schedule'!$K$2:$K$817="Vacant", ROW('Bank Schedule'!$K$2:$K$817)), ROW(27:27))), "")</f>
        <v/>
      </c>
      <c r="H30" s="53">
        <f t="array" ref="H30">IFERROR(INDEX('Bank Schedule'!H:H, SMALL(IF('Bank Schedule'!$K$2:$K$817="Vacant", ROW('Bank Schedule'!$K$2:$K$817)), ROW(27:27))), "")</f>
        <v/>
      </c>
      <c r="I30" s="53">
        <f t="array" ref="I30">IFERROR(INDEX('Bank Schedule'!I:I, SMALL(IF('Bank Schedule'!$K$2:$K$817="Vacant", ROW('Bank Schedule'!$K$2:$K$817)), ROW(27:27))), "")</f>
        <v/>
      </c>
      <c r="J30" s="11">
        <f t="array" ref="J30">IFERROR(INDEX('Bank Schedule'!K:K, SMALL(IF('Bank Schedule'!$K$2:$K$817="Vacant", ROW('Bank Schedule'!$K$2:$K$817)), ROW(27:27))), "")</f>
        <v/>
      </c>
      <c r="K30" s="11">
        <f t="array" ref="K30">IFERROR(INDEX('Bank Schedule'!L:L, SMALL(IF('Bank Schedule'!$K$2:$K$817="Vacant", ROW('Bank Schedule'!$K$2:$K$817)), ROW(27:27))), "")</f>
        <v/>
      </c>
      <c r="L30" s="11">
        <f t="array" ref="L30">IFERROR(INDEX('Bank Schedule'!M:M, SMALL(IF('Bank Schedule'!$K$2:$K$817="Vacant", ROW('Bank Schedule'!$K$2:$K$817)), ROW(27:27))), "")</f>
        <v/>
      </c>
      <c r="M30" s="106">
        <f t="array" ref="M30">IFERROR(INDEX('Bank Schedule'!N:N, SMALL(IF('Bank Schedule'!$K$2:$K$817="Vacant", ROW('Bank Schedule'!$K$2:$K$817)), ROW(27:27))), "")</f>
        <v/>
      </c>
      <c r="N30" s="11">
        <f t="array" ref="N30">IFERROR(INDEX('Bank Schedule'!O:O, SMALL(IF('Bank Schedule'!$K$2:$K$817="Vacant", ROW('Bank Schedule'!$K$2:$K$817)), ROW(27:27))), "")</f>
        <v/>
      </c>
      <c r="O30" s="11">
        <f t="array" ref="O30">IFERROR(INDEX('Bank Schedule'!P:P, SMALL(IF('Bank Schedule'!$K$2:$K$817="Vacant", ROW('Bank Schedule'!$K$2:$K$817)), ROW(27:27))), "")</f>
        <v/>
      </c>
      <c r="P30" s="11">
        <f t="array" ref="P30">IFERROR(INDEX('Bank Schedule'!Q:Q, SMALL(IF('Bank Schedule'!$K$2:$K$817="Vacant", ROW('Bank Schedule'!$K$2:$K$817)), ROW(27:27))), "")</f>
        <v/>
      </c>
      <c r="Q30" s="11">
        <f t="array" ref="Q30">IFERROR(INDEX('Bank Schedule'!R:R, SMALL(IF('Bank Schedule'!$K$2:$K$817="Vacant", ROW('Bank Schedule'!$K$2:$K$817)), ROW(27:27))), "")</f>
        <v/>
      </c>
      <c r="R30" s="11">
        <f t="array" ref="R30">IFERROR(INDEX('Bank Schedule'!S:S, SMALL(IF('Bank Schedule'!$K$2:$K$817="Vacant", ROW('Bank Schedule'!$K$2:$K$817)), ROW(27:27))), "")</f>
        <v/>
      </c>
      <c r="S30" s="301">
        <f t="array" ref="S30">IFERROR(INDEX('Bank Schedule'!T:T, SMALL(IF('Bank Schedule'!$K$2:$K$817="Vacant", ROW('Bank Schedule'!$K$2:$K$817)), ROW(27:27))), "")</f>
        <v/>
      </c>
      <c r="T30" s="301">
        <f t="array" ref="T30">IFERROR(INDEX('Bank Schedule'!U:U, SMALL(IF('Bank Schedule'!$K$2:$K$817="Vacant", ROW('Bank Schedule'!$K$2:$K$817)), ROW(27:27))), "")</f>
        <v/>
      </c>
      <c r="U30" s="301">
        <f t="array" ref="U30">IFERROR(INDEX('Bank Schedule'!V:V, SMALL(IF('Bank Schedule'!$K$2:$K$817="Vacant", ROW('Bank Schedule'!$K$2:$K$817)), ROW(27:27))), "")</f>
        <v/>
      </c>
      <c r="V30" s="301">
        <f t="array" ref="V30">IFERROR(INDEX('Bank Schedule'!W:W, SMALL(IF('Bank Schedule'!$K$2:$K$817="Vacant", ROW('Bank Schedule'!$K$2:$K$817)), ROW(27:27))), "")</f>
        <v/>
      </c>
      <c r="W30" s="300">
        <f t="array" ref="W30">IFERROR(INDEX('Bank Schedule'!X:X, SMALL(IF('Bank Schedule'!$K$2:$K$817="Vacant", ROW('Bank Schedule'!$K$2:$K$817)), ROW(27:27))), "")</f>
        <v/>
      </c>
      <c r="X30" s="11">
        <f t="array" ref="X30">IFERROR(INDEX('Bank Schedule'!Y:Y, SMALL(IF('Bank Schedule'!$K$2:$K$817="Vacant", ROW('Bank Schedule'!$K$2:$K$817)), ROW(27:27))), "")</f>
        <v/>
      </c>
      <c r="Y30" s="11">
        <f t="array" ref="Y30">IFERROR(INDEX('Bank Schedule'!Z:Z, SMALL(IF('Bank Schedule'!$K$2:$K$817="Vacant", ROW('Bank Schedule'!$K$2:$K$817)), ROW(27:27))), "")</f>
        <v/>
      </c>
      <c r="Z30" s="11">
        <f t="array" ref="Z30">IFERROR(INDEX('Bank Schedule'!AA:AA, SMALL(IF('Bank Schedule'!$K$2:$K$817="Vacant", ROW('Bank Schedule'!$K$2:$K$817)), ROW(27:27))), "")</f>
        <v/>
      </c>
      <c r="AA30" s="11">
        <f t="array" ref="AA30">IFERROR(INDEX('Bank Schedule'!AB:AB, SMALL(IF('Bank Schedule'!$K$2:$K$817="Vacant", ROW('Bank Schedule'!$K$2:$K$817)), ROW(27:27))), "")</f>
        <v/>
      </c>
      <c r="AB30" s="25">
        <f t="array" ref="AB30">IFERROR(INDEX('Bank Schedule'!AC:AC, SMALL(IF('Bank Schedule'!$K$2:$K$817="Vacant", ROW('Bank Schedule'!$K$2:$K$817)), ROW(27:27))), "")</f>
        <v/>
      </c>
      <c r="AC30" s="277">
        <f t="array" ref="AC30">IFERROR(INDEX('Bank Schedule'!AD:AD, SMALL(IF('Bank Schedule'!$K$2:$K$817="Vacant", ROW('Bank Schedule'!$K$2:$K$817)), ROW(27:27))), "")</f>
        <v/>
      </c>
      <c r="AD30" s="11">
        <f t="array" ref="AD30">IFERROR(INDEX('Bank Schedule'!AE:AE, SMALL(IF('Bank Schedule'!$K$2:$K$817="Vacant", ROW('Bank Schedule'!$K$2:$K$817)), ROW(27:27))), "")</f>
        <v/>
      </c>
      <c r="AE30" s="11">
        <f t="array" ref="AE30">IFERROR(INDEX('Bank Schedule'!AF:AF, SMALL(IF('Bank Schedule'!$K$2:$K$817="Vacant", ROW('Bank Schedule'!$K$2:$K$817)), ROW(27:27))), "")</f>
        <v/>
      </c>
      <c r="AF30" s="11">
        <f t="array" ref="AF30">IFERROR(INDEX('Bank Schedule'!AG:AG, SMALL(IF('Bank Schedule'!$K$2:$K$817="Vacant", ROW('Bank Schedule'!$K$2:$K$817)), ROW(27:27))), "")</f>
        <v/>
      </c>
      <c r="AG30" s="4" t="n"/>
    </row>
    <row r="31" ht="28.5" customHeight="1">
      <c r="A31" s="2">
        <f t="array" ref="A31">IFERROR(INDEX('Bank Schedule'!A:A, SMALL(IF('Bank Schedule'!$K$2:$K$817="Vacant", ROW('Bank Schedule'!$K$2:$K$817)), ROW(28:28))), "")</f>
        <v/>
      </c>
      <c r="B31" s="11">
        <f t="array" ref="B31">IFERROR(INDEX('Bank Schedule'!B:B, SMALL(IF('Bank Schedule'!$K$2:$K$817="Vacant", ROW('Bank Schedule'!$K$2:$K$817)), ROW(28:28))), "")</f>
        <v/>
      </c>
      <c r="C31" s="11">
        <f t="array" ref="C31">IFERROR(INDEX('Bank Schedule'!C:C, SMALL(IF('Bank Schedule'!$K$2:$K$817="Vacant", ROW('Bank Schedule'!$K$2:$K$817)), ROW(28:28))), "")</f>
        <v/>
      </c>
      <c r="D31" s="11">
        <f t="array" ref="D31">IFERROR(INDEX('Bank Schedule'!D:D, SMALL(IF('Bank Schedule'!$K$2:$K$817="Vacant", ROW('Bank Schedule'!$K$2:$K$817)), ROW(28:28))), "")</f>
        <v/>
      </c>
      <c r="E31" s="25">
        <f t="array" ref="E31">IFERROR(INDEX('Bank Schedule'!E:E, SMALL(IF('Bank Schedule'!$K$2:$K$817="Vacant", ROW('Bank Schedule'!$K$2:$K$817)), ROW(28:28))), "")</f>
        <v/>
      </c>
      <c r="F31" s="25">
        <f t="array" ref="F31">IFERROR(INDEX('Bank Schedule'!F:F, SMALL(IF('Bank Schedule'!$K$2:$K$817="Vacant", ROW('Bank Schedule'!$K$2:$K$817)), ROW(28:28))), "")</f>
        <v/>
      </c>
      <c r="G31" s="25">
        <f t="array" ref="G31">IFERROR(INDEX('Bank Schedule'!G:G, SMALL(IF('Bank Schedule'!$K$2:$K$817="Vacant", ROW('Bank Schedule'!$K$2:$K$817)), ROW(28:28))), "")</f>
        <v/>
      </c>
      <c r="H31" s="53">
        <f t="array" ref="H31">IFERROR(INDEX('Bank Schedule'!H:H, SMALL(IF('Bank Schedule'!$K$2:$K$817="Vacant", ROW('Bank Schedule'!$K$2:$K$817)), ROW(28:28))), "")</f>
        <v/>
      </c>
      <c r="I31" s="53">
        <f t="array" ref="I31">IFERROR(INDEX('Bank Schedule'!I:I, SMALL(IF('Bank Schedule'!$K$2:$K$817="Vacant", ROW('Bank Schedule'!$K$2:$K$817)), ROW(28:28))), "")</f>
        <v/>
      </c>
      <c r="J31" s="11">
        <f t="array" ref="J31">IFERROR(INDEX('Bank Schedule'!K:K, SMALL(IF('Bank Schedule'!$K$2:$K$817="Vacant", ROW('Bank Schedule'!$K$2:$K$817)), ROW(28:28))), "")</f>
        <v/>
      </c>
      <c r="K31" s="11">
        <f t="array" ref="K31">IFERROR(INDEX('Bank Schedule'!L:L, SMALL(IF('Bank Schedule'!$K$2:$K$817="Vacant", ROW('Bank Schedule'!$K$2:$K$817)), ROW(28:28))), "")</f>
        <v/>
      </c>
      <c r="L31" s="11">
        <f t="array" ref="L31">IFERROR(INDEX('Bank Schedule'!M:M, SMALL(IF('Bank Schedule'!$K$2:$K$817="Vacant", ROW('Bank Schedule'!$K$2:$K$817)), ROW(28:28))), "")</f>
        <v/>
      </c>
      <c r="M31" s="106">
        <f t="array" ref="M31">IFERROR(INDEX('Bank Schedule'!N:N, SMALL(IF('Bank Schedule'!$K$2:$K$817="Vacant", ROW('Bank Schedule'!$K$2:$K$817)), ROW(28:28))), "")</f>
        <v/>
      </c>
      <c r="N31" s="11">
        <f t="array" ref="N31">IFERROR(INDEX('Bank Schedule'!O:O, SMALL(IF('Bank Schedule'!$K$2:$K$817="Vacant", ROW('Bank Schedule'!$K$2:$K$817)), ROW(28:28))), "")</f>
        <v/>
      </c>
      <c r="O31" s="11">
        <f t="array" ref="O31">IFERROR(INDEX('Bank Schedule'!P:P, SMALL(IF('Bank Schedule'!$K$2:$K$817="Vacant", ROW('Bank Schedule'!$K$2:$K$817)), ROW(28:28))), "")</f>
        <v/>
      </c>
      <c r="P31" s="11">
        <f t="array" ref="P31">IFERROR(INDEX('Bank Schedule'!Q:Q, SMALL(IF('Bank Schedule'!$K$2:$K$817="Vacant", ROW('Bank Schedule'!$K$2:$K$817)), ROW(28:28))), "")</f>
        <v/>
      </c>
      <c r="Q31" s="11">
        <f t="array" ref="Q31">IFERROR(INDEX('Bank Schedule'!R:R, SMALL(IF('Bank Schedule'!$K$2:$K$817="Vacant", ROW('Bank Schedule'!$K$2:$K$817)), ROW(28:28))), "")</f>
        <v/>
      </c>
      <c r="R31" s="11">
        <f t="array" ref="R31">IFERROR(INDEX('Bank Schedule'!S:S, SMALL(IF('Bank Schedule'!$K$2:$K$817="Vacant", ROW('Bank Schedule'!$K$2:$K$817)), ROW(28:28))), "")</f>
        <v/>
      </c>
      <c r="S31" s="301">
        <f t="array" ref="S31">IFERROR(INDEX('Bank Schedule'!T:T, SMALL(IF('Bank Schedule'!$K$2:$K$817="Vacant", ROW('Bank Schedule'!$K$2:$K$817)), ROW(28:28))), "")</f>
        <v/>
      </c>
      <c r="T31" s="301">
        <f t="array" ref="T31">IFERROR(INDEX('Bank Schedule'!U:U, SMALL(IF('Bank Schedule'!$K$2:$K$817="Vacant", ROW('Bank Schedule'!$K$2:$K$817)), ROW(28:28))), "")</f>
        <v/>
      </c>
      <c r="U31" s="301">
        <f t="array" ref="U31">IFERROR(INDEX('Bank Schedule'!V:V, SMALL(IF('Bank Schedule'!$K$2:$K$817="Vacant", ROW('Bank Schedule'!$K$2:$K$817)), ROW(28:28))), "")</f>
        <v/>
      </c>
      <c r="V31" s="301">
        <f t="array" ref="V31">IFERROR(INDEX('Bank Schedule'!W:W, SMALL(IF('Bank Schedule'!$K$2:$K$817="Vacant", ROW('Bank Schedule'!$K$2:$K$817)), ROW(28:28))), "")</f>
        <v/>
      </c>
      <c r="W31" s="300">
        <f t="array" ref="W31">IFERROR(INDEX('Bank Schedule'!X:X, SMALL(IF('Bank Schedule'!$K$2:$K$817="Vacant", ROW('Bank Schedule'!$K$2:$K$817)), ROW(28:28))), "")</f>
        <v/>
      </c>
      <c r="X31" s="11">
        <f t="array" ref="X31">IFERROR(INDEX('Bank Schedule'!Y:Y, SMALL(IF('Bank Schedule'!$K$2:$K$817="Vacant", ROW('Bank Schedule'!$K$2:$K$817)), ROW(28:28))), "")</f>
        <v/>
      </c>
      <c r="Y31" s="11">
        <f t="array" ref="Y31">IFERROR(INDEX('Bank Schedule'!Z:Z, SMALL(IF('Bank Schedule'!$K$2:$K$817="Vacant", ROW('Bank Schedule'!$K$2:$K$817)), ROW(28:28))), "")</f>
        <v/>
      </c>
      <c r="Z31" s="11">
        <f t="array" ref="Z31">IFERROR(INDEX('Bank Schedule'!AA:AA, SMALL(IF('Bank Schedule'!$K$2:$K$817="Vacant", ROW('Bank Schedule'!$K$2:$K$817)), ROW(28:28))), "")</f>
        <v/>
      </c>
      <c r="AA31" s="11">
        <f t="array" ref="AA31">IFERROR(INDEX('Bank Schedule'!AB:AB, SMALL(IF('Bank Schedule'!$K$2:$K$817="Vacant", ROW('Bank Schedule'!$K$2:$K$817)), ROW(28:28))), "")</f>
        <v/>
      </c>
      <c r="AB31" s="25">
        <f t="array" ref="AB31">IFERROR(INDEX('Bank Schedule'!AC:AC, SMALL(IF('Bank Schedule'!$K$2:$K$817="Vacant", ROW('Bank Schedule'!$K$2:$K$817)), ROW(28:28))), "")</f>
        <v/>
      </c>
      <c r="AC31" s="277">
        <f t="array" ref="AC31">IFERROR(INDEX('Bank Schedule'!AD:AD, SMALL(IF('Bank Schedule'!$K$2:$K$817="Vacant", ROW('Bank Schedule'!$K$2:$K$817)), ROW(28:28))), "")</f>
        <v/>
      </c>
      <c r="AD31" s="11">
        <f t="array" ref="AD31">IFERROR(INDEX('Bank Schedule'!AE:AE, SMALL(IF('Bank Schedule'!$K$2:$K$817="Vacant", ROW('Bank Schedule'!$K$2:$K$817)), ROW(28:28))), "")</f>
        <v/>
      </c>
      <c r="AE31" s="11">
        <f t="array" ref="AE31">IFERROR(INDEX('Bank Schedule'!AF:AF, SMALL(IF('Bank Schedule'!$K$2:$K$817="Vacant", ROW('Bank Schedule'!$K$2:$K$817)), ROW(28:28))), "")</f>
        <v/>
      </c>
      <c r="AF31" s="11">
        <f t="array" ref="AF31">IFERROR(INDEX('Bank Schedule'!AG:AG, SMALL(IF('Bank Schedule'!$K$2:$K$817="Vacant", ROW('Bank Schedule'!$K$2:$K$817)), ROW(28:28))), "")</f>
        <v/>
      </c>
      <c r="AG31" s="4" t="n"/>
    </row>
    <row r="32" ht="28.5" customHeight="1">
      <c r="A32" s="2">
        <f t="array" ref="A32">IFERROR(INDEX('Bank Schedule'!A:A, SMALL(IF('Bank Schedule'!$K$2:$K$817="Vacant", ROW('Bank Schedule'!$K$2:$K$817)), ROW(29:29))), "")</f>
        <v/>
      </c>
      <c r="B32" s="11">
        <f t="array" ref="B32">IFERROR(INDEX('Bank Schedule'!B:B, SMALL(IF('Bank Schedule'!$K$2:$K$817="Vacant", ROW('Bank Schedule'!$K$2:$K$817)), ROW(29:29))), "")</f>
        <v/>
      </c>
      <c r="C32" s="11">
        <f t="array" ref="C32">IFERROR(INDEX('Bank Schedule'!C:C, SMALL(IF('Bank Schedule'!$K$2:$K$817="Vacant", ROW('Bank Schedule'!$K$2:$K$817)), ROW(29:29))), "")</f>
        <v/>
      </c>
      <c r="D32" s="11">
        <f t="array" ref="D32">IFERROR(INDEX('Bank Schedule'!D:D, SMALL(IF('Bank Schedule'!$K$2:$K$817="Vacant", ROW('Bank Schedule'!$K$2:$K$817)), ROW(29:29))), "")</f>
        <v/>
      </c>
      <c r="E32" s="25">
        <f t="array" ref="E32">IFERROR(INDEX('Bank Schedule'!E:E, SMALL(IF('Bank Schedule'!$K$2:$K$817="Vacant", ROW('Bank Schedule'!$K$2:$K$817)), ROW(29:29))), "")</f>
        <v/>
      </c>
      <c r="F32" s="25">
        <f t="array" ref="F32">IFERROR(INDEX('Bank Schedule'!F:F, SMALL(IF('Bank Schedule'!$K$2:$K$817="Vacant", ROW('Bank Schedule'!$K$2:$K$817)), ROW(29:29))), "")</f>
        <v/>
      </c>
      <c r="G32" s="25">
        <f t="array" ref="G32">IFERROR(INDEX('Bank Schedule'!G:G, SMALL(IF('Bank Schedule'!$K$2:$K$817="Vacant", ROW('Bank Schedule'!$K$2:$K$817)), ROW(29:29))), "")</f>
        <v/>
      </c>
      <c r="H32" s="53">
        <f t="array" ref="H32">IFERROR(INDEX('Bank Schedule'!H:H, SMALL(IF('Bank Schedule'!$K$2:$K$817="Vacant", ROW('Bank Schedule'!$K$2:$K$817)), ROW(29:29))), "")</f>
        <v/>
      </c>
      <c r="I32" s="53">
        <f t="array" ref="I32">IFERROR(INDEX('Bank Schedule'!I:I, SMALL(IF('Bank Schedule'!$K$2:$K$817="Vacant", ROW('Bank Schedule'!$K$2:$K$817)), ROW(29:29))), "")</f>
        <v/>
      </c>
      <c r="J32" s="11">
        <f t="array" ref="J32">IFERROR(INDEX('Bank Schedule'!K:K, SMALL(IF('Bank Schedule'!$K$2:$K$817="Vacant", ROW('Bank Schedule'!$K$2:$K$817)), ROW(29:29))), "")</f>
        <v/>
      </c>
      <c r="K32" s="11">
        <f t="array" ref="K32">IFERROR(INDEX('Bank Schedule'!L:L, SMALL(IF('Bank Schedule'!$K$2:$K$817="Vacant", ROW('Bank Schedule'!$K$2:$K$817)), ROW(29:29))), "")</f>
        <v/>
      </c>
      <c r="L32" s="11">
        <f t="array" ref="L32">IFERROR(INDEX('Bank Schedule'!M:M, SMALL(IF('Bank Schedule'!$K$2:$K$817="Vacant", ROW('Bank Schedule'!$K$2:$K$817)), ROW(29:29))), "")</f>
        <v/>
      </c>
      <c r="M32" s="106">
        <f t="array" ref="M32">IFERROR(INDEX('Bank Schedule'!N:N, SMALL(IF('Bank Schedule'!$K$2:$K$817="Vacant", ROW('Bank Schedule'!$K$2:$K$817)), ROW(29:29))), "")</f>
        <v/>
      </c>
      <c r="N32" s="11">
        <f t="array" ref="N32">IFERROR(INDEX('Bank Schedule'!O:O, SMALL(IF('Bank Schedule'!$K$2:$K$817="Vacant", ROW('Bank Schedule'!$K$2:$K$817)), ROW(29:29))), "")</f>
        <v/>
      </c>
      <c r="O32" s="11">
        <f t="array" ref="O32">IFERROR(INDEX('Bank Schedule'!P:P, SMALL(IF('Bank Schedule'!$K$2:$K$817="Vacant", ROW('Bank Schedule'!$K$2:$K$817)), ROW(29:29))), "")</f>
        <v/>
      </c>
      <c r="P32" s="11">
        <f t="array" ref="P32">IFERROR(INDEX('Bank Schedule'!Q:Q, SMALL(IF('Bank Schedule'!$K$2:$K$817="Vacant", ROW('Bank Schedule'!$K$2:$K$817)), ROW(29:29))), "")</f>
        <v/>
      </c>
      <c r="Q32" s="11">
        <f t="array" ref="Q32">IFERROR(INDEX('Bank Schedule'!R:R, SMALL(IF('Bank Schedule'!$K$2:$K$817="Vacant", ROW('Bank Schedule'!$K$2:$K$817)), ROW(29:29))), "")</f>
        <v/>
      </c>
      <c r="R32" s="11">
        <f t="array" ref="R32">IFERROR(INDEX('Bank Schedule'!S:S, SMALL(IF('Bank Schedule'!$K$2:$K$817="Vacant", ROW('Bank Schedule'!$K$2:$K$817)), ROW(29:29))), "")</f>
        <v/>
      </c>
      <c r="S32" s="301">
        <f t="array" ref="S32">IFERROR(INDEX('Bank Schedule'!T:T, SMALL(IF('Bank Schedule'!$K$2:$K$817="Vacant", ROW('Bank Schedule'!$K$2:$K$817)), ROW(29:29))), "")</f>
        <v/>
      </c>
      <c r="T32" s="301">
        <f t="array" ref="T32">IFERROR(INDEX('Bank Schedule'!U:U, SMALL(IF('Bank Schedule'!$K$2:$K$817="Vacant", ROW('Bank Schedule'!$K$2:$K$817)), ROW(29:29))), "")</f>
        <v/>
      </c>
      <c r="U32" s="301">
        <f t="array" ref="U32">IFERROR(INDEX('Bank Schedule'!V:V, SMALL(IF('Bank Schedule'!$K$2:$K$817="Vacant", ROW('Bank Schedule'!$K$2:$K$817)), ROW(29:29))), "")</f>
        <v/>
      </c>
      <c r="V32" s="301">
        <f t="array" ref="V32">IFERROR(INDEX('Bank Schedule'!W:W, SMALL(IF('Bank Schedule'!$K$2:$K$817="Vacant", ROW('Bank Schedule'!$K$2:$K$817)), ROW(29:29))), "")</f>
        <v/>
      </c>
      <c r="W32" s="300">
        <f t="array" ref="W32">IFERROR(INDEX('Bank Schedule'!X:X, SMALL(IF('Bank Schedule'!$K$2:$K$817="Vacant", ROW('Bank Schedule'!$K$2:$K$817)), ROW(29:29))), "")</f>
        <v/>
      </c>
      <c r="X32" s="11">
        <f t="array" ref="X32">IFERROR(INDEX('Bank Schedule'!Y:Y, SMALL(IF('Bank Schedule'!$K$2:$K$817="Vacant", ROW('Bank Schedule'!$K$2:$K$817)), ROW(29:29))), "")</f>
        <v/>
      </c>
      <c r="Y32" s="11">
        <f t="array" ref="Y32">IFERROR(INDEX('Bank Schedule'!Z:Z, SMALL(IF('Bank Schedule'!$K$2:$K$817="Vacant", ROW('Bank Schedule'!$K$2:$K$817)), ROW(29:29))), "")</f>
        <v/>
      </c>
      <c r="Z32" s="11">
        <f t="array" ref="Z32">IFERROR(INDEX('Bank Schedule'!AA:AA, SMALL(IF('Bank Schedule'!$K$2:$K$817="Vacant", ROW('Bank Schedule'!$K$2:$K$817)), ROW(29:29))), "")</f>
        <v/>
      </c>
      <c r="AA32" s="11">
        <f t="array" ref="AA32">IFERROR(INDEX('Bank Schedule'!AB:AB, SMALL(IF('Bank Schedule'!$K$2:$K$817="Vacant", ROW('Bank Schedule'!$K$2:$K$817)), ROW(29:29))), "")</f>
        <v/>
      </c>
      <c r="AB32" s="25">
        <f t="array" ref="AB32">IFERROR(INDEX('Bank Schedule'!AC:AC, SMALL(IF('Bank Schedule'!$K$2:$K$817="Vacant", ROW('Bank Schedule'!$K$2:$K$817)), ROW(29:29))), "")</f>
        <v/>
      </c>
      <c r="AC32" s="277">
        <f t="array" ref="AC32">IFERROR(INDEX('Bank Schedule'!AD:AD, SMALL(IF('Bank Schedule'!$K$2:$K$817="Vacant", ROW('Bank Schedule'!$K$2:$K$817)), ROW(29:29))), "")</f>
        <v/>
      </c>
      <c r="AD32" s="11">
        <f t="array" ref="AD32">IFERROR(INDEX('Bank Schedule'!AE:AE, SMALL(IF('Bank Schedule'!$K$2:$K$817="Vacant", ROW('Bank Schedule'!$K$2:$K$817)), ROW(29:29))), "")</f>
        <v/>
      </c>
      <c r="AE32" s="11">
        <f t="array" ref="AE32">IFERROR(INDEX('Bank Schedule'!AF:AF, SMALL(IF('Bank Schedule'!$K$2:$K$817="Vacant", ROW('Bank Schedule'!$K$2:$K$817)), ROW(29:29))), "")</f>
        <v/>
      </c>
      <c r="AF32" s="11">
        <f t="array" ref="AF32">IFERROR(INDEX('Bank Schedule'!AG:AG, SMALL(IF('Bank Schedule'!$K$2:$K$817="Vacant", ROW('Bank Schedule'!$K$2:$K$817)), ROW(29:29))), "")</f>
        <v/>
      </c>
      <c r="AG32" s="4" t="n"/>
    </row>
    <row r="33" ht="28.5" customHeight="1">
      <c r="A33" s="2">
        <f t="array" ref="A33">IFERROR(INDEX('Bank Schedule'!A:A, SMALL(IF('Bank Schedule'!$K$2:$K$817="Vacant", ROW('Bank Schedule'!$K$2:$K$817)), ROW(30:30))), "")</f>
        <v/>
      </c>
      <c r="B33" s="11">
        <f t="array" ref="B33">IFERROR(INDEX('Bank Schedule'!B:B, SMALL(IF('Bank Schedule'!$K$2:$K$817="Vacant", ROW('Bank Schedule'!$K$2:$K$817)), ROW(30:30))), "")</f>
        <v/>
      </c>
      <c r="C33" s="11">
        <f t="array" ref="C33">IFERROR(INDEX('Bank Schedule'!C:C, SMALL(IF('Bank Schedule'!$K$2:$K$817="Vacant", ROW('Bank Schedule'!$K$2:$K$817)), ROW(30:30))), "")</f>
        <v/>
      </c>
      <c r="D33" s="11">
        <f t="array" ref="D33">IFERROR(INDEX('Bank Schedule'!D:D, SMALL(IF('Bank Schedule'!$K$2:$K$817="Vacant", ROW('Bank Schedule'!$K$2:$K$817)), ROW(30:30))), "")</f>
        <v/>
      </c>
      <c r="E33" s="25">
        <f t="array" ref="E33">IFERROR(INDEX('Bank Schedule'!E:E, SMALL(IF('Bank Schedule'!$K$2:$K$817="Vacant", ROW('Bank Schedule'!$K$2:$K$817)), ROW(30:30))), "")</f>
        <v/>
      </c>
      <c r="F33" s="25">
        <f t="array" ref="F33">IFERROR(INDEX('Bank Schedule'!F:F, SMALL(IF('Bank Schedule'!$K$2:$K$817="Vacant", ROW('Bank Schedule'!$K$2:$K$817)), ROW(30:30))), "")</f>
        <v/>
      </c>
      <c r="G33" s="25">
        <f t="array" ref="G33">IFERROR(INDEX('Bank Schedule'!G:G, SMALL(IF('Bank Schedule'!$K$2:$K$817="Vacant", ROW('Bank Schedule'!$K$2:$K$817)), ROW(30:30))), "")</f>
        <v/>
      </c>
      <c r="H33" s="53">
        <f t="array" ref="H33">IFERROR(INDEX('Bank Schedule'!H:H, SMALL(IF('Bank Schedule'!$K$2:$K$817="Vacant", ROW('Bank Schedule'!$K$2:$K$817)), ROW(30:30))), "")</f>
        <v/>
      </c>
      <c r="I33" s="53">
        <f t="array" ref="I33">IFERROR(INDEX('Bank Schedule'!I:I, SMALL(IF('Bank Schedule'!$K$2:$K$817="Vacant", ROW('Bank Schedule'!$K$2:$K$817)), ROW(30:30))), "")</f>
        <v/>
      </c>
      <c r="J33" s="11">
        <f t="array" ref="J33">IFERROR(INDEX('Bank Schedule'!K:K, SMALL(IF('Bank Schedule'!$K$2:$K$817="Vacant", ROW('Bank Schedule'!$K$2:$K$817)), ROW(30:30))), "")</f>
        <v/>
      </c>
      <c r="K33" s="11">
        <f t="array" ref="K33">IFERROR(INDEX('Bank Schedule'!L:L, SMALL(IF('Bank Schedule'!$K$2:$K$817="Vacant", ROW('Bank Schedule'!$K$2:$K$817)), ROW(30:30))), "")</f>
        <v/>
      </c>
      <c r="L33" s="11">
        <f t="array" ref="L33">IFERROR(INDEX('Bank Schedule'!M:M, SMALL(IF('Bank Schedule'!$K$2:$K$817="Vacant", ROW('Bank Schedule'!$K$2:$K$817)), ROW(30:30))), "")</f>
        <v/>
      </c>
      <c r="M33" s="106">
        <f t="array" ref="M33">IFERROR(INDEX('Bank Schedule'!N:N, SMALL(IF('Bank Schedule'!$K$2:$K$817="Vacant", ROW('Bank Schedule'!$K$2:$K$817)), ROW(30:30))), "")</f>
        <v/>
      </c>
      <c r="N33" s="11">
        <f t="array" ref="N33">IFERROR(INDEX('Bank Schedule'!O:O, SMALL(IF('Bank Schedule'!$K$2:$K$817="Vacant", ROW('Bank Schedule'!$K$2:$K$817)), ROW(30:30))), "")</f>
        <v/>
      </c>
      <c r="O33" s="11">
        <f t="array" ref="O33">IFERROR(INDEX('Bank Schedule'!P:P, SMALL(IF('Bank Schedule'!$K$2:$K$817="Vacant", ROW('Bank Schedule'!$K$2:$K$817)), ROW(30:30))), "")</f>
        <v/>
      </c>
      <c r="P33" s="11">
        <f t="array" ref="P33">IFERROR(INDEX('Bank Schedule'!Q:Q, SMALL(IF('Bank Schedule'!$K$2:$K$817="Vacant", ROW('Bank Schedule'!$K$2:$K$817)), ROW(30:30))), "")</f>
        <v/>
      </c>
      <c r="Q33" s="11">
        <f t="array" ref="Q33">IFERROR(INDEX('Bank Schedule'!R:R, SMALL(IF('Bank Schedule'!$K$2:$K$817="Vacant", ROW('Bank Schedule'!$K$2:$K$817)), ROW(30:30))), "")</f>
        <v/>
      </c>
      <c r="R33" s="11">
        <f t="array" ref="R33">IFERROR(INDEX('Bank Schedule'!S:S, SMALL(IF('Bank Schedule'!$K$2:$K$817="Vacant", ROW('Bank Schedule'!$K$2:$K$817)), ROW(30:30))), "")</f>
        <v/>
      </c>
      <c r="S33" s="301">
        <f t="array" ref="S33">IFERROR(INDEX('Bank Schedule'!T:T, SMALL(IF('Bank Schedule'!$K$2:$K$817="Vacant", ROW('Bank Schedule'!$K$2:$K$817)), ROW(30:30))), "")</f>
        <v/>
      </c>
      <c r="T33" s="301">
        <f t="array" ref="T33">IFERROR(INDEX('Bank Schedule'!U:U, SMALL(IF('Bank Schedule'!$K$2:$K$817="Vacant", ROW('Bank Schedule'!$K$2:$K$817)), ROW(30:30))), "")</f>
        <v/>
      </c>
      <c r="U33" s="301">
        <f t="array" ref="U33">IFERROR(INDEX('Bank Schedule'!V:V, SMALL(IF('Bank Schedule'!$K$2:$K$817="Vacant", ROW('Bank Schedule'!$K$2:$K$817)), ROW(30:30))), "")</f>
        <v/>
      </c>
      <c r="V33" s="301">
        <f t="array" ref="V33">IFERROR(INDEX('Bank Schedule'!W:W, SMALL(IF('Bank Schedule'!$K$2:$K$817="Vacant", ROW('Bank Schedule'!$K$2:$K$817)), ROW(30:30))), "")</f>
        <v/>
      </c>
      <c r="W33" s="300">
        <f t="array" ref="W33">IFERROR(INDEX('Bank Schedule'!X:X, SMALL(IF('Bank Schedule'!$K$2:$K$817="Vacant", ROW('Bank Schedule'!$K$2:$K$817)), ROW(30:30))), "")</f>
        <v/>
      </c>
      <c r="X33" s="11">
        <f t="array" ref="X33">IFERROR(INDEX('Bank Schedule'!Y:Y, SMALL(IF('Bank Schedule'!$K$2:$K$817="Vacant", ROW('Bank Schedule'!$K$2:$K$817)), ROW(30:30))), "")</f>
        <v/>
      </c>
      <c r="Y33" s="11">
        <f t="array" ref="Y33">IFERROR(INDEX('Bank Schedule'!Z:Z, SMALL(IF('Bank Schedule'!$K$2:$K$817="Vacant", ROW('Bank Schedule'!$K$2:$K$817)), ROW(30:30))), "")</f>
        <v/>
      </c>
      <c r="Z33" s="11">
        <f t="array" ref="Z33">IFERROR(INDEX('Bank Schedule'!AA:AA, SMALL(IF('Bank Schedule'!$K$2:$K$817="Vacant", ROW('Bank Schedule'!$K$2:$K$817)), ROW(30:30))), "")</f>
        <v/>
      </c>
      <c r="AA33" s="11">
        <f t="array" ref="AA33">IFERROR(INDEX('Bank Schedule'!AB:AB, SMALL(IF('Bank Schedule'!$K$2:$K$817="Vacant", ROW('Bank Schedule'!$K$2:$K$817)), ROW(30:30))), "")</f>
        <v/>
      </c>
      <c r="AB33" s="25">
        <f t="array" ref="AB33">IFERROR(INDEX('Bank Schedule'!AC:AC, SMALL(IF('Bank Schedule'!$K$2:$K$817="Vacant", ROW('Bank Schedule'!$K$2:$K$817)), ROW(30:30))), "")</f>
        <v/>
      </c>
      <c r="AC33" s="277">
        <f t="array" ref="AC33">IFERROR(INDEX('Bank Schedule'!AD:AD, SMALL(IF('Bank Schedule'!$K$2:$K$817="Vacant", ROW('Bank Schedule'!$K$2:$K$817)), ROW(30:30))), "")</f>
        <v/>
      </c>
      <c r="AD33" s="11">
        <f t="array" ref="AD33">IFERROR(INDEX('Bank Schedule'!AE:AE, SMALL(IF('Bank Schedule'!$K$2:$K$817="Vacant", ROW('Bank Schedule'!$K$2:$K$817)), ROW(30:30))), "")</f>
        <v/>
      </c>
      <c r="AE33" s="11">
        <f t="array" ref="AE33">IFERROR(INDEX('Bank Schedule'!AF:AF, SMALL(IF('Bank Schedule'!$K$2:$K$817="Vacant", ROW('Bank Schedule'!$K$2:$K$817)), ROW(30:30))), "")</f>
        <v/>
      </c>
      <c r="AF33" s="11">
        <f t="array" ref="AF33">IFERROR(INDEX('Bank Schedule'!AG:AG, SMALL(IF('Bank Schedule'!$K$2:$K$817="Vacant", ROW('Bank Schedule'!$K$2:$K$817)), ROW(30:30))), "")</f>
        <v/>
      </c>
      <c r="AG33" s="4" t="n"/>
    </row>
    <row r="34" ht="28.5" customHeight="1">
      <c r="A34" s="2">
        <f t="array" ref="A34">IFERROR(INDEX('Bank Schedule'!A:A, SMALL(IF('Bank Schedule'!$K$2:$K$817="Vacant", ROW('Bank Schedule'!$K$2:$K$817)), ROW(31:31))), "")</f>
        <v/>
      </c>
      <c r="B34" s="11">
        <f t="array" ref="B34">IFERROR(INDEX('Bank Schedule'!B:B, SMALL(IF('Bank Schedule'!$K$2:$K$817="Vacant", ROW('Bank Schedule'!$K$2:$K$817)), ROW(31:31))), "")</f>
        <v/>
      </c>
      <c r="C34" s="11">
        <f t="array" ref="C34">IFERROR(INDEX('Bank Schedule'!C:C, SMALL(IF('Bank Schedule'!$K$2:$K$817="Vacant", ROW('Bank Schedule'!$K$2:$K$817)), ROW(31:31))), "")</f>
        <v/>
      </c>
      <c r="D34" s="11">
        <f t="array" ref="D34">IFERROR(INDEX('Bank Schedule'!D:D, SMALL(IF('Bank Schedule'!$K$2:$K$817="Vacant", ROW('Bank Schedule'!$K$2:$K$817)), ROW(31:31))), "")</f>
        <v/>
      </c>
      <c r="E34" s="25">
        <f t="array" ref="E34">IFERROR(INDEX('Bank Schedule'!E:E, SMALL(IF('Bank Schedule'!$K$2:$K$817="Vacant", ROW('Bank Schedule'!$K$2:$K$817)), ROW(31:31))), "")</f>
        <v/>
      </c>
      <c r="F34" s="25">
        <f t="array" ref="F34">IFERROR(INDEX('Bank Schedule'!F:F, SMALL(IF('Bank Schedule'!$K$2:$K$817="Vacant", ROW('Bank Schedule'!$K$2:$K$817)), ROW(31:31))), "")</f>
        <v/>
      </c>
      <c r="G34" s="25">
        <f t="array" ref="G34">IFERROR(INDEX('Bank Schedule'!G:G, SMALL(IF('Bank Schedule'!$K$2:$K$817="Vacant", ROW('Bank Schedule'!$K$2:$K$817)), ROW(31:31))), "")</f>
        <v/>
      </c>
      <c r="H34" s="53">
        <f t="array" ref="H34">IFERROR(INDEX('Bank Schedule'!H:H, SMALL(IF('Bank Schedule'!$K$2:$K$817="Vacant", ROW('Bank Schedule'!$K$2:$K$817)), ROW(31:31))), "")</f>
        <v/>
      </c>
      <c r="I34" s="53">
        <f t="array" ref="I34">IFERROR(INDEX('Bank Schedule'!I:I, SMALL(IF('Bank Schedule'!$K$2:$K$817="Vacant", ROW('Bank Schedule'!$K$2:$K$817)), ROW(31:31))), "")</f>
        <v/>
      </c>
      <c r="J34" s="11">
        <f t="array" ref="J34">IFERROR(INDEX('Bank Schedule'!K:K, SMALL(IF('Bank Schedule'!$K$2:$K$817="Vacant", ROW('Bank Schedule'!$K$2:$K$817)), ROW(31:31))), "")</f>
        <v/>
      </c>
      <c r="K34" s="11">
        <f t="array" ref="K34">IFERROR(INDEX('Bank Schedule'!L:L, SMALL(IF('Bank Schedule'!$K$2:$K$817="Vacant", ROW('Bank Schedule'!$K$2:$K$817)), ROW(31:31))), "")</f>
        <v/>
      </c>
      <c r="L34" s="11">
        <f t="array" ref="L34">IFERROR(INDEX('Bank Schedule'!M:M, SMALL(IF('Bank Schedule'!$K$2:$K$817="Vacant", ROW('Bank Schedule'!$K$2:$K$817)), ROW(31:31))), "")</f>
        <v/>
      </c>
      <c r="M34" s="106">
        <f t="array" ref="M34">IFERROR(INDEX('Bank Schedule'!N:N, SMALL(IF('Bank Schedule'!$K$2:$K$817="Vacant", ROW('Bank Schedule'!$K$2:$K$817)), ROW(31:31))), "")</f>
        <v/>
      </c>
      <c r="N34" s="11">
        <f t="array" ref="N34">IFERROR(INDEX('Bank Schedule'!O:O, SMALL(IF('Bank Schedule'!$K$2:$K$817="Vacant", ROW('Bank Schedule'!$K$2:$K$817)), ROW(31:31))), "")</f>
        <v/>
      </c>
      <c r="O34" s="11">
        <f t="array" ref="O34">IFERROR(INDEX('Bank Schedule'!P:P, SMALL(IF('Bank Schedule'!$K$2:$K$817="Vacant", ROW('Bank Schedule'!$K$2:$K$817)), ROW(31:31))), "")</f>
        <v/>
      </c>
      <c r="P34" s="11">
        <f t="array" ref="P34">IFERROR(INDEX('Bank Schedule'!Q:Q, SMALL(IF('Bank Schedule'!$K$2:$K$817="Vacant", ROW('Bank Schedule'!$K$2:$K$817)), ROW(31:31))), "")</f>
        <v/>
      </c>
      <c r="Q34" s="11">
        <f t="array" ref="Q34">IFERROR(INDEX('Bank Schedule'!R:R, SMALL(IF('Bank Schedule'!$K$2:$K$817="Vacant", ROW('Bank Schedule'!$K$2:$K$817)), ROW(31:31))), "")</f>
        <v/>
      </c>
      <c r="R34" s="11">
        <f t="array" ref="R34">IFERROR(INDEX('Bank Schedule'!S:S, SMALL(IF('Bank Schedule'!$K$2:$K$817="Vacant", ROW('Bank Schedule'!$K$2:$K$817)), ROW(31:31))), "")</f>
        <v/>
      </c>
      <c r="S34" s="301">
        <f t="array" ref="S34">IFERROR(INDEX('Bank Schedule'!T:T, SMALL(IF('Bank Schedule'!$K$2:$K$817="Vacant", ROW('Bank Schedule'!$K$2:$K$817)), ROW(31:31))), "")</f>
        <v/>
      </c>
      <c r="T34" s="301">
        <f t="array" ref="T34">IFERROR(INDEX('Bank Schedule'!U:U, SMALL(IF('Bank Schedule'!$K$2:$K$817="Vacant", ROW('Bank Schedule'!$K$2:$K$817)), ROW(31:31))), "")</f>
        <v/>
      </c>
      <c r="U34" s="301">
        <f t="array" ref="U34">IFERROR(INDEX('Bank Schedule'!V:V, SMALL(IF('Bank Schedule'!$K$2:$K$817="Vacant", ROW('Bank Schedule'!$K$2:$K$817)), ROW(31:31))), "")</f>
        <v/>
      </c>
      <c r="V34" s="301">
        <f t="array" ref="V34">IFERROR(INDEX('Bank Schedule'!W:W, SMALL(IF('Bank Schedule'!$K$2:$K$817="Vacant", ROW('Bank Schedule'!$K$2:$K$817)), ROW(31:31))), "")</f>
        <v/>
      </c>
      <c r="W34" s="300">
        <f t="array" ref="W34">IFERROR(INDEX('Bank Schedule'!X:X, SMALL(IF('Bank Schedule'!$K$2:$K$817="Vacant", ROW('Bank Schedule'!$K$2:$K$817)), ROW(31:31))), "")</f>
        <v/>
      </c>
      <c r="X34" s="11">
        <f t="array" ref="X34">IFERROR(INDEX('Bank Schedule'!Y:Y, SMALL(IF('Bank Schedule'!$K$2:$K$817="Vacant", ROW('Bank Schedule'!$K$2:$K$817)), ROW(31:31))), "")</f>
        <v/>
      </c>
      <c r="Y34" s="11">
        <f t="array" ref="Y34">IFERROR(INDEX('Bank Schedule'!Z:Z, SMALL(IF('Bank Schedule'!$K$2:$K$817="Vacant", ROW('Bank Schedule'!$K$2:$K$817)), ROW(31:31))), "")</f>
        <v/>
      </c>
      <c r="Z34" s="11">
        <f t="array" ref="Z34">IFERROR(INDEX('Bank Schedule'!AA:AA, SMALL(IF('Bank Schedule'!$K$2:$K$817="Vacant", ROW('Bank Schedule'!$K$2:$K$817)), ROW(31:31))), "")</f>
        <v/>
      </c>
      <c r="AA34" s="11">
        <f t="array" ref="AA34">IFERROR(INDEX('Bank Schedule'!AB:AB, SMALL(IF('Bank Schedule'!$K$2:$K$817="Vacant", ROW('Bank Schedule'!$K$2:$K$817)), ROW(31:31))), "")</f>
        <v/>
      </c>
      <c r="AB34" s="25">
        <f t="array" ref="AB34">IFERROR(INDEX('Bank Schedule'!AC:AC, SMALL(IF('Bank Schedule'!$K$2:$K$817="Vacant", ROW('Bank Schedule'!$K$2:$K$817)), ROW(31:31))), "")</f>
        <v/>
      </c>
      <c r="AC34" s="277">
        <f t="array" ref="AC34">IFERROR(INDEX('Bank Schedule'!AD:AD, SMALL(IF('Bank Schedule'!$K$2:$K$817="Vacant", ROW('Bank Schedule'!$K$2:$K$817)), ROW(31:31))), "")</f>
        <v/>
      </c>
      <c r="AD34" s="11">
        <f t="array" ref="AD34">IFERROR(INDEX('Bank Schedule'!AE:AE, SMALL(IF('Bank Schedule'!$K$2:$K$817="Vacant", ROW('Bank Schedule'!$K$2:$K$817)), ROW(31:31))), "")</f>
        <v/>
      </c>
      <c r="AE34" s="11">
        <f t="array" ref="AE34">IFERROR(INDEX('Bank Schedule'!AF:AF, SMALL(IF('Bank Schedule'!$K$2:$K$817="Vacant", ROW('Bank Schedule'!$K$2:$K$817)), ROW(31:31))), "")</f>
        <v/>
      </c>
      <c r="AF34" s="11">
        <f t="array" ref="AF34">IFERROR(INDEX('Bank Schedule'!AG:AG, SMALL(IF('Bank Schedule'!$K$2:$K$817="Vacant", ROW('Bank Schedule'!$K$2:$K$817)), ROW(31:31))), "")</f>
        <v/>
      </c>
      <c r="AG34" s="4" t="n"/>
    </row>
    <row r="35" ht="28.5" customHeight="1">
      <c r="A35" s="2">
        <f t="array" ref="A35">IFERROR(INDEX('Bank Schedule'!A:A, SMALL(IF('Bank Schedule'!$K$2:$K$817="Vacant", ROW('Bank Schedule'!$K$2:$K$817)), ROW(32:32))), "")</f>
        <v/>
      </c>
      <c r="B35" s="11">
        <f t="array" ref="B35">IFERROR(INDEX('Bank Schedule'!B:B, SMALL(IF('Bank Schedule'!$K$2:$K$817="Vacant", ROW('Bank Schedule'!$K$2:$K$817)), ROW(32:32))), "")</f>
        <v/>
      </c>
      <c r="C35" s="11">
        <f t="array" ref="C35">IFERROR(INDEX('Bank Schedule'!C:C, SMALL(IF('Bank Schedule'!$K$2:$K$817="Vacant", ROW('Bank Schedule'!$K$2:$K$817)), ROW(32:32))), "")</f>
        <v/>
      </c>
      <c r="D35" s="11">
        <f t="array" ref="D35">IFERROR(INDEX('Bank Schedule'!D:D, SMALL(IF('Bank Schedule'!$K$2:$K$817="Vacant", ROW('Bank Schedule'!$K$2:$K$817)), ROW(32:32))), "")</f>
        <v/>
      </c>
      <c r="E35" s="25">
        <f t="array" ref="E35">IFERROR(INDEX('Bank Schedule'!E:E, SMALL(IF('Bank Schedule'!$K$2:$K$817="Vacant", ROW('Bank Schedule'!$K$2:$K$817)), ROW(32:32))), "")</f>
        <v/>
      </c>
      <c r="F35" s="25">
        <f t="array" ref="F35">IFERROR(INDEX('Bank Schedule'!F:F, SMALL(IF('Bank Schedule'!$K$2:$K$817="Vacant", ROW('Bank Schedule'!$K$2:$K$817)), ROW(32:32))), "")</f>
        <v/>
      </c>
      <c r="G35" s="25">
        <f t="array" ref="G35">IFERROR(INDEX('Bank Schedule'!G:G, SMALL(IF('Bank Schedule'!$K$2:$K$817="Vacant", ROW('Bank Schedule'!$K$2:$K$817)), ROW(32:32))), "")</f>
        <v/>
      </c>
      <c r="H35" s="53">
        <f t="array" ref="H35">IFERROR(INDEX('Bank Schedule'!H:H, SMALL(IF('Bank Schedule'!$K$2:$K$817="Vacant", ROW('Bank Schedule'!$K$2:$K$817)), ROW(32:32))), "")</f>
        <v/>
      </c>
      <c r="I35" s="53">
        <f t="array" ref="I35">IFERROR(INDEX('Bank Schedule'!I:I, SMALL(IF('Bank Schedule'!$K$2:$K$817="Vacant", ROW('Bank Schedule'!$K$2:$K$817)), ROW(32:32))), "")</f>
        <v/>
      </c>
      <c r="J35" s="11">
        <f t="array" ref="J35">IFERROR(INDEX('Bank Schedule'!K:K, SMALL(IF('Bank Schedule'!$K$2:$K$817="Vacant", ROW('Bank Schedule'!$K$2:$K$817)), ROW(32:32))), "")</f>
        <v/>
      </c>
      <c r="K35" s="11">
        <f t="array" ref="K35">IFERROR(INDEX('Bank Schedule'!L:L, SMALL(IF('Bank Schedule'!$K$2:$K$817="Vacant", ROW('Bank Schedule'!$K$2:$K$817)), ROW(32:32))), "")</f>
        <v/>
      </c>
      <c r="L35" s="11">
        <f t="array" ref="L35">IFERROR(INDEX('Bank Schedule'!M:M, SMALL(IF('Bank Schedule'!$K$2:$K$817="Vacant", ROW('Bank Schedule'!$K$2:$K$817)), ROW(32:32))), "")</f>
        <v/>
      </c>
      <c r="M35" s="106">
        <f t="array" ref="M35">IFERROR(INDEX('Bank Schedule'!N:N, SMALL(IF('Bank Schedule'!$K$2:$K$817="Vacant", ROW('Bank Schedule'!$K$2:$K$817)), ROW(32:32))), "")</f>
        <v/>
      </c>
      <c r="N35" s="11">
        <f t="array" ref="N35">IFERROR(INDEX('Bank Schedule'!O:O, SMALL(IF('Bank Schedule'!$K$2:$K$817="Vacant", ROW('Bank Schedule'!$K$2:$K$817)), ROW(32:32))), "")</f>
        <v/>
      </c>
      <c r="O35" s="11">
        <f t="array" ref="O35">IFERROR(INDEX('Bank Schedule'!P:P, SMALL(IF('Bank Schedule'!$K$2:$K$817="Vacant", ROW('Bank Schedule'!$K$2:$K$817)), ROW(32:32))), "")</f>
        <v/>
      </c>
      <c r="P35" s="11">
        <f t="array" ref="P35">IFERROR(INDEX('Bank Schedule'!Q:Q, SMALL(IF('Bank Schedule'!$K$2:$K$817="Vacant", ROW('Bank Schedule'!$K$2:$K$817)), ROW(32:32))), "")</f>
        <v/>
      </c>
      <c r="Q35" s="11">
        <f t="array" ref="Q35">IFERROR(INDEX('Bank Schedule'!R:R, SMALL(IF('Bank Schedule'!$K$2:$K$817="Vacant", ROW('Bank Schedule'!$K$2:$K$817)), ROW(32:32))), "")</f>
        <v/>
      </c>
      <c r="R35" s="11">
        <f t="array" ref="R35">IFERROR(INDEX('Bank Schedule'!S:S, SMALL(IF('Bank Schedule'!$K$2:$K$817="Vacant", ROW('Bank Schedule'!$K$2:$K$817)), ROW(32:32))), "")</f>
        <v/>
      </c>
      <c r="S35" s="301">
        <f t="array" ref="S35">IFERROR(INDEX('Bank Schedule'!T:T, SMALL(IF('Bank Schedule'!$K$2:$K$817="Vacant", ROW('Bank Schedule'!$K$2:$K$817)), ROW(32:32))), "")</f>
        <v/>
      </c>
      <c r="T35" s="301">
        <f t="array" ref="T35">IFERROR(INDEX('Bank Schedule'!U:U, SMALL(IF('Bank Schedule'!$K$2:$K$817="Vacant", ROW('Bank Schedule'!$K$2:$K$817)), ROW(32:32))), "")</f>
        <v/>
      </c>
      <c r="U35" s="301">
        <f t="array" ref="U35">IFERROR(INDEX('Bank Schedule'!V:V, SMALL(IF('Bank Schedule'!$K$2:$K$817="Vacant", ROW('Bank Schedule'!$K$2:$K$817)), ROW(32:32))), "")</f>
        <v/>
      </c>
      <c r="V35" s="301">
        <f t="array" ref="V35">IFERROR(INDEX('Bank Schedule'!W:W, SMALL(IF('Bank Schedule'!$K$2:$K$817="Vacant", ROW('Bank Schedule'!$K$2:$K$817)), ROW(32:32))), "")</f>
        <v/>
      </c>
      <c r="W35" s="300">
        <f t="array" ref="W35">IFERROR(INDEX('Bank Schedule'!X:X, SMALL(IF('Bank Schedule'!$K$2:$K$817="Vacant", ROW('Bank Schedule'!$K$2:$K$817)), ROW(32:32))), "")</f>
        <v/>
      </c>
      <c r="X35" s="11">
        <f t="array" ref="X35">IFERROR(INDEX('Bank Schedule'!Y:Y, SMALL(IF('Bank Schedule'!$K$2:$K$817="Vacant", ROW('Bank Schedule'!$K$2:$K$817)), ROW(32:32))), "")</f>
        <v/>
      </c>
      <c r="Y35" s="11">
        <f t="array" ref="Y35">IFERROR(INDEX('Bank Schedule'!Z:Z, SMALL(IF('Bank Schedule'!$K$2:$K$817="Vacant", ROW('Bank Schedule'!$K$2:$K$817)), ROW(32:32))), "")</f>
        <v/>
      </c>
      <c r="Z35" s="11">
        <f t="array" ref="Z35">IFERROR(INDEX('Bank Schedule'!AA:AA, SMALL(IF('Bank Schedule'!$K$2:$K$817="Vacant", ROW('Bank Schedule'!$K$2:$K$817)), ROW(32:32))), "")</f>
        <v/>
      </c>
      <c r="AA35" s="11">
        <f t="array" ref="AA35">IFERROR(INDEX('Bank Schedule'!AB:AB, SMALL(IF('Bank Schedule'!$K$2:$K$817="Vacant", ROW('Bank Schedule'!$K$2:$K$817)), ROW(32:32))), "")</f>
        <v/>
      </c>
      <c r="AB35" s="25">
        <f t="array" ref="AB35">IFERROR(INDEX('Bank Schedule'!AC:AC, SMALL(IF('Bank Schedule'!$K$2:$K$817="Vacant", ROW('Bank Schedule'!$K$2:$K$817)), ROW(32:32))), "")</f>
        <v/>
      </c>
      <c r="AC35" s="277">
        <f t="array" ref="AC35">IFERROR(INDEX('Bank Schedule'!AD:AD, SMALL(IF('Bank Schedule'!$K$2:$K$817="Vacant", ROW('Bank Schedule'!$K$2:$K$817)), ROW(32:32))), "")</f>
        <v/>
      </c>
      <c r="AD35" s="11">
        <f t="array" ref="AD35">IFERROR(INDEX('Bank Schedule'!AE:AE, SMALL(IF('Bank Schedule'!$K$2:$K$817="Vacant", ROW('Bank Schedule'!$K$2:$K$817)), ROW(32:32))), "")</f>
        <v/>
      </c>
      <c r="AE35" s="11">
        <f t="array" ref="AE35">IFERROR(INDEX('Bank Schedule'!AF:AF, SMALL(IF('Bank Schedule'!$K$2:$K$817="Vacant", ROW('Bank Schedule'!$K$2:$K$817)), ROW(32:32))), "")</f>
        <v/>
      </c>
      <c r="AF35" s="11">
        <f t="array" ref="AF35">IFERROR(INDEX('Bank Schedule'!AG:AG, SMALL(IF('Bank Schedule'!$K$2:$K$817="Vacant", ROW('Bank Schedule'!$K$2:$K$817)), ROW(32:32))), "")</f>
        <v/>
      </c>
      <c r="AG35" s="4" t="n"/>
    </row>
    <row r="36" ht="28.5" customHeight="1">
      <c r="A36" s="2">
        <f t="array" ref="A36">IFERROR(INDEX('Bank Schedule'!A:A, SMALL(IF('Bank Schedule'!$K$2:$K$817="Vacant", ROW('Bank Schedule'!$K$2:$K$817)), ROW(33:33))), "")</f>
        <v/>
      </c>
      <c r="B36" s="11">
        <f t="array" ref="B36">IFERROR(INDEX('Bank Schedule'!B:B, SMALL(IF('Bank Schedule'!$K$2:$K$817="Vacant", ROW('Bank Schedule'!$K$2:$K$817)), ROW(33:33))), "")</f>
        <v/>
      </c>
      <c r="C36" s="11">
        <f t="array" ref="C36">IFERROR(INDEX('Bank Schedule'!C:C, SMALL(IF('Bank Schedule'!$K$2:$K$817="Vacant", ROW('Bank Schedule'!$K$2:$K$817)), ROW(33:33))), "")</f>
        <v/>
      </c>
      <c r="D36" s="11">
        <f t="array" ref="D36">IFERROR(INDEX('Bank Schedule'!D:D, SMALL(IF('Bank Schedule'!$K$2:$K$817="Vacant", ROW('Bank Schedule'!$K$2:$K$817)), ROW(33:33))), "")</f>
        <v/>
      </c>
      <c r="E36" s="25">
        <f t="array" ref="E36">IFERROR(INDEX('Bank Schedule'!E:E, SMALL(IF('Bank Schedule'!$K$2:$K$817="Vacant", ROW('Bank Schedule'!$K$2:$K$817)), ROW(33:33))), "")</f>
        <v/>
      </c>
      <c r="F36" s="25">
        <f t="array" ref="F36">IFERROR(INDEX('Bank Schedule'!F:F, SMALL(IF('Bank Schedule'!$K$2:$K$817="Vacant", ROW('Bank Schedule'!$K$2:$K$817)), ROW(33:33))), "")</f>
        <v/>
      </c>
      <c r="G36" s="25">
        <f t="array" ref="G36">IFERROR(INDEX('Bank Schedule'!G:G, SMALL(IF('Bank Schedule'!$K$2:$K$817="Vacant", ROW('Bank Schedule'!$K$2:$K$817)), ROW(33:33))), "")</f>
        <v/>
      </c>
      <c r="H36" s="53">
        <f t="array" ref="H36">IFERROR(INDEX('Bank Schedule'!H:H, SMALL(IF('Bank Schedule'!$K$2:$K$817="Vacant", ROW('Bank Schedule'!$K$2:$K$817)), ROW(33:33))), "")</f>
        <v/>
      </c>
      <c r="I36" s="53">
        <f t="array" ref="I36">IFERROR(INDEX('Bank Schedule'!I:I, SMALL(IF('Bank Schedule'!$K$2:$K$817="Vacant", ROW('Bank Schedule'!$K$2:$K$817)), ROW(33:33))), "")</f>
        <v/>
      </c>
      <c r="J36" s="11">
        <f t="array" ref="J36">IFERROR(INDEX('Bank Schedule'!K:K, SMALL(IF('Bank Schedule'!$K$2:$K$817="Vacant", ROW('Bank Schedule'!$K$2:$K$817)), ROW(33:33))), "")</f>
        <v/>
      </c>
      <c r="K36" s="11">
        <f t="array" ref="K36">IFERROR(INDEX('Bank Schedule'!L:L, SMALL(IF('Bank Schedule'!$K$2:$K$817="Vacant", ROW('Bank Schedule'!$K$2:$K$817)), ROW(33:33))), "")</f>
        <v/>
      </c>
      <c r="L36" s="11">
        <f t="array" ref="L36">IFERROR(INDEX('Bank Schedule'!M:M, SMALL(IF('Bank Schedule'!$K$2:$K$817="Vacant", ROW('Bank Schedule'!$K$2:$K$817)), ROW(33:33))), "")</f>
        <v/>
      </c>
      <c r="M36" s="106">
        <f t="array" ref="M36">IFERROR(INDEX('Bank Schedule'!N:N, SMALL(IF('Bank Schedule'!$K$2:$K$817="Vacant", ROW('Bank Schedule'!$K$2:$K$817)), ROW(33:33))), "")</f>
        <v/>
      </c>
      <c r="N36" s="11">
        <f t="array" ref="N36">IFERROR(INDEX('Bank Schedule'!O:O, SMALL(IF('Bank Schedule'!$K$2:$K$817="Vacant", ROW('Bank Schedule'!$K$2:$K$817)), ROW(33:33))), "")</f>
        <v/>
      </c>
      <c r="O36" s="11">
        <f t="array" ref="O36">IFERROR(INDEX('Bank Schedule'!P:P, SMALL(IF('Bank Schedule'!$K$2:$K$817="Vacant", ROW('Bank Schedule'!$K$2:$K$817)), ROW(33:33))), "")</f>
        <v/>
      </c>
      <c r="P36" s="11">
        <f t="array" ref="P36">IFERROR(INDEX('Bank Schedule'!Q:Q, SMALL(IF('Bank Schedule'!$K$2:$K$817="Vacant", ROW('Bank Schedule'!$K$2:$K$817)), ROW(33:33))), "")</f>
        <v/>
      </c>
      <c r="Q36" s="11">
        <f t="array" ref="Q36">IFERROR(INDEX('Bank Schedule'!R:R, SMALL(IF('Bank Schedule'!$K$2:$K$817="Vacant", ROW('Bank Schedule'!$K$2:$K$817)), ROW(33:33))), "")</f>
        <v/>
      </c>
      <c r="R36" s="11">
        <f t="array" ref="R36">IFERROR(INDEX('Bank Schedule'!S:S, SMALL(IF('Bank Schedule'!$K$2:$K$817="Vacant", ROW('Bank Schedule'!$K$2:$K$817)), ROW(33:33))), "")</f>
        <v/>
      </c>
      <c r="S36" s="301">
        <f t="array" ref="S36">IFERROR(INDEX('Bank Schedule'!T:T, SMALL(IF('Bank Schedule'!$K$2:$K$817="Vacant", ROW('Bank Schedule'!$K$2:$K$817)), ROW(33:33))), "")</f>
        <v/>
      </c>
      <c r="T36" s="301">
        <f t="array" ref="T36">IFERROR(INDEX('Bank Schedule'!U:U, SMALL(IF('Bank Schedule'!$K$2:$K$817="Vacant", ROW('Bank Schedule'!$K$2:$K$817)), ROW(33:33))), "")</f>
        <v/>
      </c>
      <c r="U36" s="301">
        <f t="array" ref="U36">IFERROR(INDEX('Bank Schedule'!V:V, SMALL(IF('Bank Schedule'!$K$2:$K$817="Vacant", ROW('Bank Schedule'!$K$2:$K$817)), ROW(33:33))), "")</f>
        <v/>
      </c>
      <c r="V36" s="301">
        <f t="array" ref="V36">IFERROR(INDEX('Bank Schedule'!W:W, SMALL(IF('Bank Schedule'!$K$2:$K$817="Vacant", ROW('Bank Schedule'!$K$2:$K$817)), ROW(33:33))), "")</f>
        <v/>
      </c>
      <c r="W36" s="300">
        <f t="array" ref="W36">IFERROR(INDEX('Bank Schedule'!X:X, SMALL(IF('Bank Schedule'!$K$2:$K$817="Vacant", ROW('Bank Schedule'!$K$2:$K$817)), ROW(33:33))), "")</f>
        <v/>
      </c>
      <c r="X36" s="11">
        <f t="array" ref="X36">IFERROR(INDEX('Bank Schedule'!Y:Y, SMALL(IF('Bank Schedule'!$K$2:$K$817="Vacant", ROW('Bank Schedule'!$K$2:$K$817)), ROW(33:33))), "")</f>
        <v/>
      </c>
      <c r="Y36" s="11">
        <f t="array" ref="Y36">IFERROR(INDEX('Bank Schedule'!Z:Z, SMALL(IF('Bank Schedule'!$K$2:$K$817="Vacant", ROW('Bank Schedule'!$K$2:$K$817)), ROW(33:33))), "")</f>
        <v/>
      </c>
      <c r="Z36" s="11">
        <f t="array" ref="Z36">IFERROR(INDEX('Bank Schedule'!AA:AA, SMALL(IF('Bank Schedule'!$K$2:$K$817="Vacant", ROW('Bank Schedule'!$K$2:$K$817)), ROW(33:33))), "")</f>
        <v/>
      </c>
      <c r="AA36" s="11">
        <f t="array" ref="AA36">IFERROR(INDEX('Bank Schedule'!AB:AB, SMALL(IF('Bank Schedule'!$K$2:$K$817="Vacant", ROW('Bank Schedule'!$K$2:$K$817)), ROW(33:33))), "")</f>
        <v/>
      </c>
      <c r="AB36" s="25">
        <f t="array" ref="AB36">IFERROR(INDEX('Bank Schedule'!AC:AC, SMALL(IF('Bank Schedule'!$K$2:$K$817="Vacant", ROW('Bank Schedule'!$K$2:$K$817)), ROW(33:33))), "")</f>
        <v/>
      </c>
      <c r="AC36" s="277">
        <f t="array" ref="AC36">IFERROR(INDEX('Bank Schedule'!AD:AD, SMALL(IF('Bank Schedule'!$K$2:$K$817="Vacant", ROW('Bank Schedule'!$K$2:$K$817)), ROW(33:33))), "")</f>
        <v/>
      </c>
      <c r="AD36" s="11">
        <f t="array" ref="AD36">IFERROR(INDEX('Bank Schedule'!AE:AE, SMALL(IF('Bank Schedule'!$K$2:$K$817="Vacant", ROW('Bank Schedule'!$K$2:$K$817)), ROW(33:33))), "")</f>
        <v/>
      </c>
      <c r="AE36" s="11">
        <f t="array" ref="AE36">IFERROR(INDEX('Bank Schedule'!AF:AF, SMALL(IF('Bank Schedule'!$K$2:$K$817="Vacant", ROW('Bank Schedule'!$K$2:$K$817)), ROW(33:33))), "")</f>
        <v/>
      </c>
      <c r="AF36" s="11">
        <f t="array" ref="AF36">IFERROR(INDEX('Bank Schedule'!AG:AG, SMALL(IF('Bank Schedule'!$K$2:$K$817="Vacant", ROW('Bank Schedule'!$K$2:$K$817)), ROW(33:33))), "")</f>
        <v/>
      </c>
      <c r="AG36" s="4" t="n"/>
    </row>
    <row r="37" ht="28.5" customHeight="1">
      <c r="A37" s="2">
        <f t="array" ref="A37">IFERROR(INDEX('Bank Schedule'!A:A, SMALL(IF('Bank Schedule'!$K$2:$K$817="Vacant", ROW('Bank Schedule'!$K$2:$K$817)), ROW(34:34))), "")</f>
        <v/>
      </c>
      <c r="B37" s="11">
        <f t="array" ref="B37">IFERROR(INDEX('Bank Schedule'!B:B, SMALL(IF('Bank Schedule'!$K$2:$K$817="Vacant", ROW('Bank Schedule'!$K$2:$K$817)), ROW(34:34))), "")</f>
        <v/>
      </c>
      <c r="C37" s="11">
        <f t="array" ref="C37">IFERROR(INDEX('Bank Schedule'!C:C, SMALL(IF('Bank Schedule'!$K$2:$K$817="Vacant", ROW('Bank Schedule'!$K$2:$K$817)), ROW(34:34))), "")</f>
        <v/>
      </c>
      <c r="D37" s="11">
        <f t="array" ref="D37">IFERROR(INDEX('Bank Schedule'!D:D, SMALL(IF('Bank Schedule'!$K$2:$K$817="Vacant", ROW('Bank Schedule'!$K$2:$K$817)), ROW(34:34))), "")</f>
        <v/>
      </c>
      <c r="E37" s="25">
        <f t="array" ref="E37">IFERROR(INDEX('Bank Schedule'!E:E, SMALL(IF('Bank Schedule'!$K$2:$K$817="Vacant", ROW('Bank Schedule'!$K$2:$K$817)), ROW(34:34))), "")</f>
        <v/>
      </c>
      <c r="F37" s="25">
        <f t="array" ref="F37">IFERROR(INDEX('Bank Schedule'!F:F, SMALL(IF('Bank Schedule'!$K$2:$K$817="Vacant", ROW('Bank Schedule'!$K$2:$K$817)), ROW(34:34))), "")</f>
        <v/>
      </c>
      <c r="G37" s="25">
        <f t="array" ref="G37">IFERROR(INDEX('Bank Schedule'!G:G, SMALL(IF('Bank Schedule'!$K$2:$K$817="Vacant", ROW('Bank Schedule'!$K$2:$K$817)), ROW(34:34))), "")</f>
        <v/>
      </c>
      <c r="H37" s="53">
        <f t="array" ref="H37">IFERROR(INDEX('Bank Schedule'!H:H, SMALL(IF('Bank Schedule'!$K$2:$K$817="Vacant", ROW('Bank Schedule'!$K$2:$K$817)), ROW(34:34))), "")</f>
        <v/>
      </c>
      <c r="I37" s="53">
        <f t="array" ref="I37">IFERROR(INDEX('Bank Schedule'!I:I, SMALL(IF('Bank Schedule'!$K$2:$K$817="Vacant", ROW('Bank Schedule'!$K$2:$K$817)), ROW(34:34))), "")</f>
        <v/>
      </c>
      <c r="J37" s="11">
        <f t="array" ref="J37">IFERROR(INDEX('Bank Schedule'!K:K, SMALL(IF('Bank Schedule'!$K$2:$K$817="Vacant", ROW('Bank Schedule'!$K$2:$K$817)), ROW(34:34))), "")</f>
        <v/>
      </c>
      <c r="K37" s="11">
        <f t="array" ref="K37">IFERROR(INDEX('Bank Schedule'!L:L, SMALL(IF('Bank Schedule'!$K$2:$K$817="Vacant", ROW('Bank Schedule'!$K$2:$K$817)), ROW(34:34))), "")</f>
        <v/>
      </c>
      <c r="L37" s="11">
        <f t="array" ref="L37">IFERROR(INDEX('Bank Schedule'!M:M, SMALL(IF('Bank Schedule'!$K$2:$K$817="Vacant", ROW('Bank Schedule'!$K$2:$K$817)), ROW(34:34))), "")</f>
        <v/>
      </c>
      <c r="M37" s="106">
        <f t="array" ref="M37">IFERROR(INDEX('Bank Schedule'!N:N, SMALL(IF('Bank Schedule'!$K$2:$K$817="Vacant", ROW('Bank Schedule'!$K$2:$K$817)), ROW(34:34))), "")</f>
        <v/>
      </c>
      <c r="N37" s="11">
        <f t="array" ref="N37">IFERROR(INDEX('Bank Schedule'!O:O, SMALL(IF('Bank Schedule'!$K$2:$K$817="Vacant", ROW('Bank Schedule'!$K$2:$K$817)), ROW(34:34))), "")</f>
        <v/>
      </c>
      <c r="O37" s="11">
        <f t="array" ref="O37">IFERROR(INDEX('Bank Schedule'!P:P, SMALL(IF('Bank Schedule'!$K$2:$K$817="Vacant", ROW('Bank Schedule'!$K$2:$K$817)), ROW(34:34))), "")</f>
        <v/>
      </c>
      <c r="P37" s="11">
        <f t="array" ref="P37">IFERROR(INDEX('Bank Schedule'!Q:Q, SMALL(IF('Bank Schedule'!$K$2:$K$817="Vacant", ROW('Bank Schedule'!$K$2:$K$817)), ROW(34:34))), "")</f>
        <v/>
      </c>
      <c r="Q37" s="11">
        <f t="array" ref="Q37">IFERROR(INDEX('Bank Schedule'!R:R, SMALL(IF('Bank Schedule'!$K$2:$K$817="Vacant", ROW('Bank Schedule'!$K$2:$K$817)), ROW(34:34))), "")</f>
        <v/>
      </c>
      <c r="R37" s="11">
        <f t="array" ref="R37">IFERROR(INDEX('Bank Schedule'!S:S, SMALL(IF('Bank Schedule'!$K$2:$K$817="Vacant", ROW('Bank Schedule'!$K$2:$K$817)), ROW(34:34))), "")</f>
        <v/>
      </c>
      <c r="S37" s="301">
        <f t="array" ref="S37">IFERROR(INDEX('Bank Schedule'!T:T, SMALL(IF('Bank Schedule'!$K$2:$K$817="Vacant", ROW('Bank Schedule'!$K$2:$K$817)), ROW(34:34))), "")</f>
        <v/>
      </c>
      <c r="T37" s="301">
        <f t="array" ref="T37">IFERROR(INDEX('Bank Schedule'!U:U, SMALL(IF('Bank Schedule'!$K$2:$K$817="Vacant", ROW('Bank Schedule'!$K$2:$K$817)), ROW(34:34))), "")</f>
        <v/>
      </c>
      <c r="U37" s="301">
        <f t="array" ref="U37">IFERROR(INDEX('Bank Schedule'!V:V, SMALL(IF('Bank Schedule'!$K$2:$K$817="Vacant", ROW('Bank Schedule'!$K$2:$K$817)), ROW(34:34))), "")</f>
        <v/>
      </c>
      <c r="V37" s="301">
        <f t="array" ref="V37">IFERROR(INDEX('Bank Schedule'!W:W, SMALL(IF('Bank Schedule'!$K$2:$K$817="Vacant", ROW('Bank Schedule'!$K$2:$K$817)), ROW(34:34))), "")</f>
        <v/>
      </c>
      <c r="W37" s="300">
        <f t="array" ref="W37">IFERROR(INDEX('Bank Schedule'!X:X, SMALL(IF('Bank Schedule'!$K$2:$K$817="Vacant", ROW('Bank Schedule'!$K$2:$K$817)), ROW(34:34))), "")</f>
        <v/>
      </c>
      <c r="X37" s="11">
        <f t="array" ref="X37">IFERROR(INDEX('Bank Schedule'!Y:Y, SMALL(IF('Bank Schedule'!$K$2:$K$817="Vacant", ROW('Bank Schedule'!$K$2:$K$817)), ROW(34:34))), "")</f>
        <v/>
      </c>
      <c r="Y37" s="11">
        <f t="array" ref="Y37">IFERROR(INDEX('Bank Schedule'!Z:Z, SMALL(IF('Bank Schedule'!$K$2:$K$817="Vacant", ROW('Bank Schedule'!$K$2:$K$817)), ROW(34:34))), "")</f>
        <v/>
      </c>
      <c r="Z37" s="11">
        <f t="array" ref="Z37">IFERROR(INDEX('Bank Schedule'!AA:AA, SMALL(IF('Bank Schedule'!$K$2:$K$817="Vacant", ROW('Bank Schedule'!$K$2:$K$817)), ROW(34:34))), "")</f>
        <v/>
      </c>
      <c r="AA37" s="11">
        <f t="array" ref="AA37">IFERROR(INDEX('Bank Schedule'!AB:AB, SMALL(IF('Bank Schedule'!$K$2:$K$817="Vacant", ROW('Bank Schedule'!$K$2:$K$817)), ROW(34:34))), "")</f>
        <v/>
      </c>
      <c r="AB37" s="25">
        <f t="array" ref="AB37">IFERROR(INDEX('Bank Schedule'!AC:AC, SMALL(IF('Bank Schedule'!$K$2:$K$817="Vacant", ROW('Bank Schedule'!$K$2:$K$817)), ROW(34:34))), "")</f>
        <v/>
      </c>
      <c r="AC37" s="277">
        <f t="array" ref="AC37">IFERROR(INDEX('Bank Schedule'!AD:AD, SMALL(IF('Bank Schedule'!$K$2:$K$817="Vacant", ROW('Bank Schedule'!$K$2:$K$817)), ROW(34:34))), "")</f>
        <v/>
      </c>
      <c r="AD37" s="11">
        <f t="array" ref="AD37">IFERROR(INDEX('Bank Schedule'!AE:AE, SMALL(IF('Bank Schedule'!$K$2:$K$817="Vacant", ROW('Bank Schedule'!$K$2:$K$817)), ROW(34:34))), "")</f>
        <v/>
      </c>
      <c r="AE37" s="11">
        <f t="array" ref="AE37">IFERROR(INDEX('Bank Schedule'!AF:AF, SMALL(IF('Bank Schedule'!$K$2:$K$817="Vacant", ROW('Bank Schedule'!$K$2:$K$817)), ROW(34:34))), "")</f>
        <v/>
      </c>
      <c r="AF37" s="11">
        <f t="array" ref="AF37">IFERROR(INDEX('Bank Schedule'!AG:AG, SMALL(IF('Bank Schedule'!$K$2:$K$817="Vacant", ROW('Bank Schedule'!$K$2:$K$817)), ROW(34:34))), "")</f>
        <v/>
      </c>
      <c r="AG37" s="4" t="n"/>
    </row>
    <row r="38" ht="28.5" customHeight="1">
      <c r="A38" s="2">
        <f t="array" ref="A38">IFERROR(INDEX('Bank Schedule'!A:A, SMALL(IF('Bank Schedule'!$K$2:$K$817="Vacant", ROW('Bank Schedule'!$K$2:$K$817)), ROW(35:35))), "")</f>
        <v/>
      </c>
      <c r="B38" s="11">
        <f t="array" ref="B38">IFERROR(INDEX('Bank Schedule'!B:B, SMALL(IF('Bank Schedule'!$K$2:$K$817="Vacant", ROW('Bank Schedule'!$K$2:$K$817)), ROW(35:35))), "")</f>
        <v/>
      </c>
      <c r="C38" s="11">
        <f t="array" ref="C38">IFERROR(INDEX('Bank Schedule'!C:C, SMALL(IF('Bank Schedule'!$K$2:$K$817="Vacant", ROW('Bank Schedule'!$K$2:$K$817)), ROW(35:35))), "")</f>
        <v/>
      </c>
      <c r="D38" s="11">
        <f t="array" ref="D38">IFERROR(INDEX('Bank Schedule'!D:D, SMALL(IF('Bank Schedule'!$K$2:$K$817="Vacant", ROW('Bank Schedule'!$K$2:$K$817)), ROW(35:35))), "")</f>
        <v/>
      </c>
      <c r="E38" s="25">
        <f t="array" ref="E38">IFERROR(INDEX('Bank Schedule'!E:E, SMALL(IF('Bank Schedule'!$K$2:$K$817="Vacant", ROW('Bank Schedule'!$K$2:$K$817)), ROW(35:35))), "")</f>
        <v/>
      </c>
      <c r="F38" s="25">
        <f t="array" ref="F38">IFERROR(INDEX('Bank Schedule'!F:F, SMALL(IF('Bank Schedule'!$K$2:$K$817="Vacant", ROW('Bank Schedule'!$K$2:$K$817)), ROW(35:35))), "")</f>
        <v/>
      </c>
      <c r="G38" s="25">
        <f t="array" ref="G38">IFERROR(INDEX('Bank Schedule'!G:G, SMALL(IF('Bank Schedule'!$K$2:$K$817="Vacant", ROW('Bank Schedule'!$K$2:$K$817)), ROW(35:35))), "")</f>
        <v/>
      </c>
      <c r="H38" s="53">
        <f t="array" ref="H38">IFERROR(INDEX('Bank Schedule'!H:H, SMALL(IF('Bank Schedule'!$K$2:$K$817="Vacant", ROW('Bank Schedule'!$K$2:$K$817)), ROW(35:35))), "")</f>
        <v/>
      </c>
      <c r="I38" s="53">
        <f t="array" ref="I38">IFERROR(INDEX('Bank Schedule'!I:I, SMALL(IF('Bank Schedule'!$K$2:$K$817="Vacant", ROW('Bank Schedule'!$K$2:$K$817)), ROW(35:35))), "")</f>
        <v/>
      </c>
      <c r="J38" s="11">
        <f t="array" ref="J38">IFERROR(INDEX('Bank Schedule'!K:K, SMALL(IF('Bank Schedule'!$K$2:$K$817="Vacant", ROW('Bank Schedule'!$K$2:$K$817)), ROW(35:35))), "")</f>
        <v/>
      </c>
      <c r="K38" s="11">
        <f t="array" ref="K38">IFERROR(INDEX('Bank Schedule'!L:L, SMALL(IF('Bank Schedule'!$K$2:$K$817="Vacant", ROW('Bank Schedule'!$K$2:$K$817)), ROW(35:35))), "")</f>
        <v/>
      </c>
      <c r="L38" s="11">
        <f t="array" ref="L38">IFERROR(INDEX('Bank Schedule'!M:M, SMALL(IF('Bank Schedule'!$K$2:$K$817="Vacant", ROW('Bank Schedule'!$K$2:$K$817)), ROW(35:35))), "")</f>
        <v/>
      </c>
      <c r="M38" s="106">
        <f t="array" ref="M38">IFERROR(INDEX('Bank Schedule'!N:N, SMALL(IF('Bank Schedule'!$K$2:$K$817="Vacant", ROW('Bank Schedule'!$K$2:$K$817)), ROW(35:35))), "")</f>
        <v/>
      </c>
      <c r="N38" s="11">
        <f t="array" ref="N38">IFERROR(INDEX('Bank Schedule'!O:O, SMALL(IF('Bank Schedule'!$K$2:$K$817="Vacant", ROW('Bank Schedule'!$K$2:$K$817)), ROW(35:35))), "")</f>
        <v/>
      </c>
      <c r="O38" s="11">
        <f t="array" ref="O38">IFERROR(INDEX('Bank Schedule'!P:P, SMALL(IF('Bank Schedule'!$K$2:$K$817="Vacant", ROW('Bank Schedule'!$K$2:$K$817)), ROW(35:35))), "")</f>
        <v/>
      </c>
      <c r="P38" s="11">
        <f t="array" ref="P38">IFERROR(INDEX('Bank Schedule'!Q:Q, SMALL(IF('Bank Schedule'!$K$2:$K$817="Vacant", ROW('Bank Schedule'!$K$2:$K$817)), ROW(35:35))), "")</f>
        <v/>
      </c>
      <c r="Q38" s="11">
        <f t="array" ref="Q38">IFERROR(INDEX('Bank Schedule'!R:R, SMALL(IF('Bank Schedule'!$K$2:$K$817="Vacant", ROW('Bank Schedule'!$K$2:$K$817)), ROW(35:35))), "")</f>
        <v/>
      </c>
      <c r="R38" s="11">
        <f t="array" ref="R38">IFERROR(INDEX('Bank Schedule'!S:S, SMALL(IF('Bank Schedule'!$K$2:$K$817="Vacant", ROW('Bank Schedule'!$K$2:$K$817)), ROW(35:35))), "")</f>
        <v/>
      </c>
      <c r="S38" s="301">
        <f t="array" ref="S38">IFERROR(INDEX('Bank Schedule'!T:T, SMALL(IF('Bank Schedule'!$K$2:$K$817="Vacant", ROW('Bank Schedule'!$K$2:$K$817)), ROW(35:35))), "")</f>
        <v/>
      </c>
      <c r="T38" s="301">
        <f t="array" ref="T38">IFERROR(INDEX('Bank Schedule'!U:U, SMALL(IF('Bank Schedule'!$K$2:$K$817="Vacant", ROW('Bank Schedule'!$K$2:$K$817)), ROW(35:35))), "")</f>
        <v/>
      </c>
      <c r="U38" s="301">
        <f t="array" ref="U38">IFERROR(INDEX('Bank Schedule'!V:V, SMALL(IF('Bank Schedule'!$K$2:$K$817="Vacant", ROW('Bank Schedule'!$K$2:$K$817)), ROW(35:35))), "")</f>
        <v/>
      </c>
      <c r="V38" s="301">
        <f t="array" ref="V38">IFERROR(INDEX('Bank Schedule'!W:W, SMALL(IF('Bank Schedule'!$K$2:$K$817="Vacant", ROW('Bank Schedule'!$K$2:$K$817)), ROW(35:35))), "")</f>
        <v/>
      </c>
      <c r="W38" s="300">
        <f t="array" ref="W38">IFERROR(INDEX('Bank Schedule'!X:X, SMALL(IF('Bank Schedule'!$K$2:$K$817="Vacant", ROW('Bank Schedule'!$K$2:$K$817)), ROW(35:35))), "")</f>
        <v/>
      </c>
      <c r="X38" s="11">
        <f t="array" ref="X38">IFERROR(INDEX('Bank Schedule'!Y:Y, SMALL(IF('Bank Schedule'!$K$2:$K$817="Vacant", ROW('Bank Schedule'!$K$2:$K$817)), ROW(35:35))), "")</f>
        <v/>
      </c>
      <c r="Y38" s="11">
        <f t="array" ref="Y38">IFERROR(INDEX('Bank Schedule'!Z:Z, SMALL(IF('Bank Schedule'!$K$2:$K$817="Vacant", ROW('Bank Schedule'!$K$2:$K$817)), ROW(35:35))), "")</f>
        <v/>
      </c>
      <c r="Z38" s="11">
        <f t="array" ref="Z38">IFERROR(INDEX('Bank Schedule'!AA:AA, SMALL(IF('Bank Schedule'!$K$2:$K$817="Vacant", ROW('Bank Schedule'!$K$2:$K$817)), ROW(35:35))), "")</f>
        <v/>
      </c>
      <c r="AA38" s="11">
        <f t="array" ref="AA38">IFERROR(INDEX('Bank Schedule'!AB:AB, SMALL(IF('Bank Schedule'!$K$2:$K$817="Vacant", ROW('Bank Schedule'!$K$2:$K$817)), ROW(35:35))), "")</f>
        <v/>
      </c>
      <c r="AB38" s="25">
        <f t="array" ref="AB38">IFERROR(INDEX('Bank Schedule'!AC:AC, SMALL(IF('Bank Schedule'!$K$2:$K$817="Vacant", ROW('Bank Schedule'!$K$2:$K$817)), ROW(35:35))), "")</f>
        <v/>
      </c>
      <c r="AC38" s="277">
        <f t="array" ref="AC38">IFERROR(INDEX('Bank Schedule'!AD:AD, SMALL(IF('Bank Schedule'!$K$2:$K$817="Vacant", ROW('Bank Schedule'!$K$2:$K$817)), ROW(35:35))), "")</f>
        <v/>
      </c>
      <c r="AD38" s="11">
        <f t="array" ref="AD38">IFERROR(INDEX('Bank Schedule'!AE:AE, SMALL(IF('Bank Schedule'!$K$2:$K$817="Vacant", ROW('Bank Schedule'!$K$2:$K$817)), ROW(35:35))), "")</f>
        <v/>
      </c>
      <c r="AE38" s="11">
        <f t="array" ref="AE38">IFERROR(INDEX('Bank Schedule'!AF:AF, SMALL(IF('Bank Schedule'!$K$2:$K$817="Vacant", ROW('Bank Schedule'!$K$2:$K$817)), ROW(35:35))), "")</f>
        <v/>
      </c>
      <c r="AF38" s="11">
        <f t="array" ref="AF38">IFERROR(INDEX('Bank Schedule'!AG:AG, SMALL(IF('Bank Schedule'!$K$2:$K$817="Vacant", ROW('Bank Schedule'!$K$2:$K$817)), ROW(35:35))), "")</f>
        <v/>
      </c>
      <c r="AG38" s="4" t="n"/>
    </row>
    <row r="39" ht="28.5" customHeight="1">
      <c r="A39" s="2">
        <f t="array" ref="A39">IFERROR(INDEX('Bank Schedule'!A:A, SMALL(IF('Bank Schedule'!$K$2:$K$817="Vacant", ROW('Bank Schedule'!$K$2:$K$817)), ROW(36:36))), "")</f>
        <v/>
      </c>
      <c r="B39" s="11">
        <f t="array" ref="B39">IFERROR(INDEX('Bank Schedule'!B:B, SMALL(IF('Bank Schedule'!$K$2:$K$817="Vacant", ROW('Bank Schedule'!$K$2:$K$817)), ROW(36:36))), "")</f>
        <v/>
      </c>
      <c r="C39" s="11">
        <f t="array" ref="C39">IFERROR(INDEX('Bank Schedule'!C:C, SMALL(IF('Bank Schedule'!$K$2:$K$817="Vacant", ROW('Bank Schedule'!$K$2:$K$817)), ROW(36:36))), "")</f>
        <v/>
      </c>
      <c r="D39" s="11">
        <f t="array" ref="D39">IFERROR(INDEX('Bank Schedule'!D:D, SMALL(IF('Bank Schedule'!$K$2:$K$817="Vacant", ROW('Bank Schedule'!$K$2:$K$817)), ROW(36:36))), "")</f>
        <v/>
      </c>
      <c r="E39" s="25">
        <f t="array" ref="E39">IFERROR(INDEX('Bank Schedule'!E:E, SMALL(IF('Bank Schedule'!$K$2:$K$817="Vacant", ROW('Bank Schedule'!$K$2:$K$817)), ROW(36:36))), "")</f>
        <v/>
      </c>
      <c r="F39" s="25">
        <f t="array" ref="F39">IFERROR(INDEX('Bank Schedule'!F:F, SMALL(IF('Bank Schedule'!$K$2:$K$817="Vacant", ROW('Bank Schedule'!$K$2:$K$817)), ROW(36:36))), "")</f>
        <v/>
      </c>
      <c r="G39" s="25">
        <f t="array" ref="G39">IFERROR(INDEX('Bank Schedule'!G:G, SMALL(IF('Bank Schedule'!$K$2:$K$817="Vacant", ROW('Bank Schedule'!$K$2:$K$817)), ROW(36:36))), "")</f>
        <v/>
      </c>
      <c r="H39" s="53">
        <f t="array" ref="H39">IFERROR(INDEX('Bank Schedule'!H:H, SMALL(IF('Bank Schedule'!$K$2:$K$817="Vacant", ROW('Bank Schedule'!$K$2:$K$817)), ROW(36:36))), "")</f>
        <v/>
      </c>
      <c r="I39" s="53">
        <f t="array" ref="I39">IFERROR(INDEX('Bank Schedule'!I:I, SMALL(IF('Bank Schedule'!$K$2:$K$817="Vacant", ROW('Bank Schedule'!$K$2:$K$817)), ROW(36:36))), "")</f>
        <v/>
      </c>
      <c r="J39" s="11">
        <f t="array" ref="J39">IFERROR(INDEX('Bank Schedule'!K:K, SMALL(IF('Bank Schedule'!$K$2:$K$817="Vacant", ROW('Bank Schedule'!$K$2:$K$817)), ROW(36:36))), "")</f>
        <v/>
      </c>
      <c r="K39" s="11">
        <f t="array" ref="K39">IFERROR(INDEX('Bank Schedule'!L:L, SMALL(IF('Bank Schedule'!$K$2:$K$817="Vacant", ROW('Bank Schedule'!$K$2:$K$817)), ROW(36:36))), "")</f>
        <v/>
      </c>
      <c r="L39" s="11">
        <f t="array" ref="L39">IFERROR(INDEX('Bank Schedule'!M:M, SMALL(IF('Bank Schedule'!$K$2:$K$817="Vacant", ROW('Bank Schedule'!$K$2:$K$817)), ROW(36:36))), "")</f>
        <v/>
      </c>
      <c r="M39" s="106">
        <f t="array" ref="M39">IFERROR(INDEX('Bank Schedule'!N:N, SMALL(IF('Bank Schedule'!$K$2:$K$817="Vacant", ROW('Bank Schedule'!$K$2:$K$817)), ROW(36:36))), "")</f>
        <v/>
      </c>
      <c r="N39" s="11">
        <f t="array" ref="N39">IFERROR(INDEX('Bank Schedule'!O:O, SMALL(IF('Bank Schedule'!$K$2:$K$817="Vacant", ROW('Bank Schedule'!$K$2:$K$817)), ROW(36:36))), "")</f>
        <v/>
      </c>
      <c r="O39" s="11">
        <f t="array" ref="O39">IFERROR(INDEX('Bank Schedule'!P:P, SMALL(IF('Bank Schedule'!$K$2:$K$817="Vacant", ROW('Bank Schedule'!$K$2:$K$817)), ROW(36:36))), "")</f>
        <v/>
      </c>
      <c r="P39" s="11">
        <f t="array" ref="P39">IFERROR(INDEX('Bank Schedule'!Q:Q, SMALL(IF('Bank Schedule'!$K$2:$K$817="Vacant", ROW('Bank Schedule'!$K$2:$K$817)), ROW(36:36))), "")</f>
        <v/>
      </c>
      <c r="Q39" s="11">
        <f t="array" ref="Q39">IFERROR(INDEX('Bank Schedule'!R:R, SMALL(IF('Bank Schedule'!$K$2:$K$817="Vacant", ROW('Bank Schedule'!$K$2:$K$817)), ROW(36:36))), "")</f>
        <v/>
      </c>
      <c r="R39" s="11">
        <f t="array" ref="R39">IFERROR(INDEX('Bank Schedule'!S:S, SMALL(IF('Bank Schedule'!$K$2:$K$817="Vacant", ROW('Bank Schedule'!$K$2:$K$817)), ROW(36:36))), "")</f>
        <v/>
      </c>
      <c r="S39" s="301">
        <f t="array" ref="S39">IFERROR(INDEX('Bank Schedule'!T:T, SMALL(IF('Bank Schedule'!$K$2:$K$817="Vacant", ROW('Bank Schedule'!$K$2:$K$817)), ROW(36:36))), "")</f>
        <v/>
      </c>
      <c r="T39" s="301">
        <f t="array" ref="T39">IFERROR(INDEX('Bank Schedule'!U:U, SMALL(IF('Bank Schedule'!$K$2:$K$817="Vacant", ROW('Bank Schedule'!$K$2:$K$817)), ROW(36:36))), "")</f>
        <v/>
      </c>
      <c r="U39" s="301">
        <f t="array" ref="U39">IFERROR(INDEX('Bank Schedule'!V:V, SMALL(IF('Bank Schedule'!$K$2:$K$817="Vacant", ROW('Bank Schedule'!$K$2:$K$817)), ROW(36:36))), "")</f>
        <v/>
      </c>
      <c r="V39" s="301">
        <f t="array" ref="V39">IFERROR(INDEX('Bank Schedule'!W:W, SMALL(IF('Bank Schedule'!$K$2:$K$817="Vacant", ROW('Bank Schedule'!$K$2:$K$817)), ROW(36:36))), "")</f>
        <v/>
      </c>
      <c r="W39" s="300">
        <f t="array" ref="W39">IFERROR(INDEX('Bank Schedule'!X:X, SMALL(IF('Bank Schedule'!$K$2:$K$817="Vacant", ROW('Bank Schedule'!$K$2:$K$817)), ROW(36:36))), "")</f>
        <v/>
      </c>
      <c r="X39" s="11">
        <f t="array" ref="X39">IFERROR(INDEX('Bank Schedule'!Y:Y, SMALL(IF('Bank Schedule'!$K$2:$K$817="Vacant", ROW('Bank Schedule'!$K$2:$K$817)), ROW(36:36))), "")</f>
        <v/>
      </c>
      <c r="Y39" s="11">
        <f t="array" ref="Y39">IFERROR(INDEX('Bank Schedule'!Z:Z, SMALL(IF('Bank Schedule'!$K$2:$K$817="Vacant", ROW('Bank Schedule'!$K$2:$K$817)), ROW(36:36))), "")</f>
        <v/>
      </c>
      <c r="Z39" s="11">
        <f t="array" ref="Z39">IFERROR(INDEX('Bank Schedule'!AA:AA, SMALL(IF('Bank Schedule'!$K$2:$K$817="Vacant", ROW('Bank Schedule'!$K$2:$K$817)), ROW(36:36))), "")</f>
        <v/>
      </c>
      <c r="AA39" s="11">
        <f t="array" ref="AA39">IFERROR(INDEX('Bank Schedule'!AB:AB, SMALL(IF('Bank Schedule'!$K$2:$K$817="Vacant", ROW('Bank Schedule'!$K$2:$K$817)), ROW(36:36))), "")</f>
        <v/>
      </c>
      <c r="AB39" s="25">
        <f t="array" ref="AB39">IFERROR(INDEX('Bank Schedule'!AC:AC, SMALL(IF('Bank Schedule'!$K$2:$K$817="Vacant", ROW('Bank Schedule'!$K$2:$K$817)), ROW(36:36))), "")</f>
        <v/>
      </c>
      <c r="AC39" s="277">
        <f t="array" ref="AC39">IFERROR(INDEX('Bank Schedule'!AD:AD, SMALL(IF('Bank Schedule'!$K$2:$K$817="Vacant", ROW('Bank Schedule'!$K$2:$K$817)), ROW(36:36))), "")</f>
        <v/>
      </c>
      <c r="AD39" s="11">
        <f t="array" ref="AD39">IFERROR(INDEX('Bank Schedule'!AE:AE, SMALL(IF('Bank Schedule'!$K$2:$K$817="Vacant", ROW('Bank Schedule'!$K$2:$K$817)), ROW(36:36))), "")</f>
        <v/>
      </c>
      <c r="AE39" s="11">
        <f t="array" ref="AE39">IFERROR(INDEX('Bank Schedule'!AF:AF, SMALL(IF('Bank Schedule'!$K$2:$K$817="Vacant", ROW('Bank Schedule'!$K$2:$K$817)), ROW(36:36))), "")</f>
        <v/>
      </c>
      <c r="AF39" s="11">
        <f t="array" ref="AF39">IFERROR(INDEX('Bank Schedule'!AG:AG, SMALL(IF('Bank Schedule'!$K$2:$K$817="Vacant", ROW('Bank Schedule'!$K$2:$K$817)), ROW(36:36))), "")</f>
        <v/>
      </c>
      <c r="AG39" s="4" t="n"/>
    </row>
    <row r="40" ht="28.5" customHeight="1">
      <c r="A40" s="2">
        <f t="array" ref="A40">IFERROR(INDEX('Bank Schedule'!A:A, SMALL(IF('Bank Schedule'!$K$2:$K$817="Vacant", ROW('Bank Schedule'!$K$2:$K$817)), ROW(37:37))), "")</f>
        <v/>
      </c>
      <c r="B40" s="11">
        <f t="array" ref="B40">IFERROR(INDEX('Bank Schedule'!B:B, SMALL(IF('Bank Schedule'!$K$2:$K$817="Vacant", ROW('Bank Schedule'!$K$2:$K$817)), ROW(37:37))), "")</f>
        <v/>
      </c>
      <c r="C40" s="11">
        <f t="array" ref="C40">IFERROR(INDEX('Bank Schedule'!C:C, SMALL(IF('Bank Schedule'!$K$2:$K$817="Vacant", ROW('Bank Schedule'!$K$2:$K$817)), ROW(37:37))), "")</f>
        <v/>
      </c>
      <c r="D40" s="11">
        <f t="array" ref="D40">IFERROR(INDEX('Bank Schedule'!D:D, SMALL(IF('Bank Schedule'!$K$2:$K$817="Vacant", ROW('Bank Schedule'!$K$2:$K$817)), ROW(37:37))), "")</f>
        <v/>
      </c>
      <c r="E40" s="25">
        <f t="array" ref="E40">IFERROR(INDEX('Bank Schedule'!E:E, SMALL(IF('Bank Schedule'!$K$2:$K$817="Vacant", ROW('Bank Schedule'!$K$2:$K$817)), ROW(37:37))), "")</f>
        <v/>
      </c>
      <c r="F40" s="25">
        <f t="array" ref="F40">IFERROR(INDEX('Bank Schedule'!F:F, SMALL(IF('Bank Schedule'!$K$2:$K$817="Vacant", ROW('Bank Schedule'!$K$2:$K$817)), ROW(37:37))), "")</f>
        <v/>
      </c>
      <c r="G40" s="25">
        <f t="array" ref="G40">IFERROR(INDEX('Bank Schedule'!G:G, SMALL(IF('Bank Schedule'!$K$2:$K$817="Vacant", ROW('Bank Schedule'!$K$2:$K$817)), ROW(37:37))), "")</f>
        <v/>
      </c>
      <c r="H40" s="53">
        <f t="array" ref="H40">IFERROR(INDEX('Bank Schedule'!H:H, SMALL(IF('Bank Schedule'!$K$2:$K$817="Vacant", ROW('Bank Schedule'!$K$2:$K$817)), ROW(37:37))), "")</f>
        <v/>
      </c>
      <c r="I40" s="53">
        <f t="array" ref="I40">IFERROR(INDEX('Bank Schedule'!I:I, SMALL(IF('Bank Schedule'!$K$2:$K$817="Vacant", ROW('Bank Schedule'!$K$2:$K$817)), ROW(37:37))), "")</f>
        <v/>
      </c>
      <c r="J40" s="11">
        <f t="array" ref="J40">IFERROR(INDEX('Bank Schedule'!K:K, SMALL(IF('Bank Schedule'!$K$2:$K$817="Vacant", ROW('Bank Schedule'!$K$2:$K$817)), ROW(37:37))), "")</f>
        <v/>
      </c>
      <c r="K40" s="11">
        <f t="array" ref="K40">IFERROR(INDEX('Bank Schedule'!L:L, SMALL(IF('Bank Schedule'!$K$2:$K$817="Vacant", ROW('Bank Schedule'!$K$2:$K$817)), ROW(37:37))), "")</f>
        <v/>
      </c>
      <c r="L40" s="11">
        <f t="array" ref="L40">IFERROR(INDEX('Bank Schedule'!M:M, SMALL(IF('Bank Schedule'!$K$2:$K$817="Vacant", ROW('Bank Schedule'!$K$2:$K$817)), ROW(37:37))), "")</f>
        <v/>
      </c>
      <c r="M40" s="106">
        <f t="array" ref="M40">IFERROR(INDEX('Bank Schedule'!N:N, SMALL(IF('Bank Schedule'!$K$2:$K$817="Vacant", ROW('Bank Schedule'!$K$2:$K$817)), ROW(37:37))), "")</f>
        <v/>
      </c>
      <c r="N40" s="11">
        <f t="array" ref="N40">IFERROR(INDEX('Bank Schedule'!O:O, SMALL(IF('Bank Schedule'!$K$2:$K$817="Vacant", ROW('Bank Schedule'!$K$2:$K$817)), ROW(37:37))), "")</f>
        <v/>
      </c>
      <c r="O40" s="11">
        <f t="array" ref="O40">IFERROR(INDEX('Bank Schedule'!P:P, SMALL(IF('Bank Schedule'!$K$2:$K$817="Vacant", ROW('Bank Schedule'!$K$2:$K$817)), ROW(37:37))), "")</f>
        <v/>
      </c>
      <c r="P40" s="11">
        <f t="array" ref="P40">IFERROR(INDEX('Bank Schedule'!Q:Q, SMALL(IF('Bank Schedule'!$K$2:$K$817="Vacant", ROW('Bank Schedule'!$K$2:$K$817)), ROW(37:37))), "")</f>
        <v/>
      </c>
      <c r="Q40" s="11">
        <f t="array" ref="Q40">IFERROR(INDEX('Bank Schedule'!R:R, SMALL(IF('Bank Schedule'!$K$2:$K$817="Vacant", ROW('Bank Schedule'!$K$2:$K$817)), ROW(37:37))), "")</f>
        <v/>
      </c>
      <c r="R40" s="11">
        <f t="array" ref="R40">IFERROR(INDEX('Bank Schedule'!S:S, SMALL(IF('Bank Schedule'!$K$2:$K$817="Vacant", ROW('Bank Schedule'!$K$2:$K$817)), ROW(37:37))), "")</f>
        <v/>
      </c>
      <c r="S40" s="301">
        <f t="array" ref="S40">IFERROR(INDEX('Bank Schedule'!T:T, SMALL(IF('Bank Schedule'!$K$2:$K$817="Vacant", ROW('Bank Schedule'!$K$2:$K$817)), ROW(37:37))), "")</f>
        <v/>
      </c>
      <c r="T40" s="301">
        <f t="array" ref="T40">IFERROR(INDEX('Bank Schedule'!U:U, SMALL(IF('Bank Schedule'!$K$2:$K$817="Vacant", ROW('Bank Schedule'!$K$2:$K$817)), ROW(37:37))), "")</f>
        <v/>
      </c>
      <c r="U40" s="301">
        <f t="array" ref="U40">IFERROR(INDEX('Bank Schedule'!V:V, SMALL(IF('Bank Schedule'!$K$2:$K$817="Vacant", ROW('Bank Schedule'!$K$2:$K$817)), ROW(37:37))), "")</f>
        <v/>
      </c>
      <c r="V40" s="301">
        <f t="array" ref="V40">IFERROR(INDEX('Bank Schedule'!W:W, SMALL(IF('Bank Schedule'!$K$2:$K$817="Vacant", ROW('Bank Schedule'!$K$2:$K$817)), ROW(37:37))), "")</f>
        <v/>
      </c>
      <c r="W40" s="300">
        <f t="array" ref="W40">IFERROR(INDEX('Bank Schedule'!X:X, SMALL(IF('Bank Schedule'!$K$2:$K$817="Vacant", ROW('Bank Schedule'!$K$2:$K$817)), ROW(37:37))), "")</f>
        <v/>
      </c>
      <c r="X40" s="11">
        <f t="array" ref="X40">IFERROR(INDEX('Bank Schedule'!Y:Y, SMALL(IF('Bank Schedule'!$K$2:$K$817="Vacant", ROW('Bank Schedule'!$K$2:$K$817)), ROW(37:37))), "")</f>
        <v/>
      </c>
      <c r="Y40" s="11">
        <f t="array" ref="Y40">IFERROR(INDEX('Bank Schedule'!Z:Z, SMALL(IF('Bank Schedule'!$K$2:$K$817="Vacant", ROW('Bank Schedule'!$K$2:$K$817)), ROW(37:37))), "")</f>
        <v/>
      </c>
      <c r="Z40" s="11">
        <f t="array" ref="Z40">IFERROR(INDEX('Bank Schedule'!AA:AA, SMALL(IF('Bank Schedule'!$K$2:$K$817="Vacant", ROW('Bank Schedule'!$K$2:$K$817)), ROW(37:37))), "")</f>
        <v/>
      </c>
      <c r="AA40" s="11">
        <f t="array" ref="AA40">IFERROR(INDEX('Bank Schedule'!AB:AB, SMALL(IF('Bank Schedule'!$K$2:$K$817="Vacant", ROW('Bank Schedule'!$K$2:$K$817)), ROW(37:37))), "")</f>
        <v/>
      </c>
      <c r="AB40" s="25">
        <f t="array" ref="AB40">IFERROR(INDEX('Bank Schedule'!AC:AC, SMALL(IF('Bank Schedule'!$K$2:$K$817="Vacant", ROW('Bank Schedule'!$K$2:$K$817)), ROW(37:37))), "")</f>
        <v/>
      </c>
      <c r="AC40" s="277">
        <f t="array" ref="AC40">IFERROR(INDEX('Bank Schedule'!AD:AD, SMALL(IF('Bank Schedule'!$K$2:$K$817="Vacant", ROW('Bank Schedule'!$K$2:$K$817)), ROW(37:37))), "")</f>
        <v/>
      </c>
      <c r="AD40" s="11">
        <f t="array" ref="AD40">IFERROR(INDEX('Bank Schedule'!AE:AE, SMALL(IF('Bank Schedule'!$K$2:$K$817="Vacant", ROW('Bank Schedule'!$K$2:$K$817)), ROW(37:37))), "")</f>
        <v/>
      </c>
      <c r="AE40" s="11">
        <f t="array" ref="AE40">IFERROR(INDEX('Bank Schedule'!AF:AF, SMALL(IF('Bank Schedule'!$K$2:$K$817="Vacant", ROW('Bank Schedule'!$K$2:$K$817)), ROW(37:37))), "")</f>
        <v/>
      </c>
      <c r="AF40" s="11">
        <f t="array" ref="AF40">IFERROR(INDEX('Bank Schedule'!AG:AG, SMALL(IF('Bank Schedule'!$K$2:$K$817="Vacant", ROW('Bank Schedule'!$K$2:$K$817)), ROW(37:37))), "")</f>
        <v/>
      </c>
      <c r="AG40" s="4" t="n"/>
    </row>
    <row r="41" ht="28.5" customHeight="1">
      <c r="A41" s="2">
        <f t="array" ref="A41">IFERROR(INDEX('Bank Schedule'!A:A, SMALL(IF('Bank Schedule'!$K$2:$K$817="Vacant", ROW('Bank Schedule'!$K$2:$K$817)), ROW(38:38))), "")</f>
        <v/>
      </c>
      <c r="B41" s="11">
        <f t="array" ref="B41">IFERROR(INDEX('Bank Schedule'!B:B, SMALL(IF('Bank Schedule'!$K$2:$K$817="Vacant", ROW('Bank Schedule'!$K$2:$K$817)), ROW(38:38))), "")</f>
        <v/>
      </c>
      <c r="C41" s="11">
        <f t="array" ref="C41">IFERROR(INDEX('Bank Schedule'!C:C, SMALL(IF('Bank Schedule'!$K$2:$K$817="Vacant", ROW('Bank Schedule'!$K$2:$K$817)), ROW(38:38))), "")</f>
        <v/>
      </c>
      <c r="D41" s="11">
        <f t="array" ref="D41">IFERROR(INDEX('Bank Schedule'!D:D, SMALL(IF('Bank Schedule'!$K$2:$K$817="Vacant", ROW('Bank Schedule'!$K$2:$K$817)), ROW(38:38))), "")</f>
        <v/>
      </c>
      <c r="E41" s="25">
        <f t="array" ref="E41">IFERROR(INDEX('Bank Schedule'!E:E, SMALL(IF('Bank Schedule'!$K$2:$K$817="Vacant", ROW('Bank Schedule'!$K$2:$K$817)), ROW(38:38))), "")</f>
        <v/>
      </c>
      <c r="F41" s="25">
        <f t="array" ref="F41">IFERROR(INDEX('Bank Schedule'!F:F, SMALL(IF('Bank Schedule'!$K$2:$K$817="Vacant", ROW('Bank Schedule'!$K$2:$K$817)), ROW(38:38))), "")</f>
        <v/>
      </c>
      <c r="G41" s="25">
        <f t="array" ref="G41">IFERROR(INDEX('Bank Schedule'!G:G, SMALL(IF('Bank Schedule'!$K$2:$K$817="Vacant", ROW('Bank Schedule'!$K$2:$K$817)), ROW(38:38))), "")</f>
        <v/>
      </c>
      <c r="H41" s="53">
        <f t="array" ref="H41">IFERROR(INDEX('Bank Schedule'!H:H, SMALL(IF('Bank Schedule'!$K$2:$K$817="Vacant", ROW('Bank Schedule'!$K$2:$K$817)), ROW(38:38))), "")</f>
        <v/>
      </c>
      <c r="I41" s="53">
        <f t="array" ref="I41">IFERROR(INDEX('Bank Schedule'!I:I, SMALL(IF('Bank Schedule'!$K$2:$K$817="Vacant", ROW('Bank Schedule'!$K$2:$K$817)), ROW(38:38))), "")</f>
        <v/>
      </c>
      <c r="J41" s="11">
        <f t="array" ref="J41">IFERROR(INDEX('Bank Schedule'!K:K, SMALL(IF('Bank Schedule'!$K$2:$K$817="Vacant", ROW('Bank Schedule'!$K$2:$K$817)), ROW(38:38))), "")</f>
        <v/>
      </c>
      <c r="K41" s="11">
        <f t="array" ref="K41">IFERROR(INDEX('Bank Schedule'!L:L, SMALL(IF('Bank Schedule'!$K$2:$K$817="Vacant", ROW('Bank Schedule'!$K$2:$K$817)), ROW(38:38))), "")</f>
        <v/>
      </c>
      <c r="L41" s="11">
        <f t="array" ref="L41">IFERROR(INDEX('Bank Schedule'!M:M, SMALL(IF('Bank Schedule'!$K$2:$K$817="Vacant", ROW('Bank Schedule'!$K$2:$K$817)), ROW(38:38))), "")</f>
        <v/>
      </c>
      <c r="M41" s="106">
        <f t="array" ref="M41">IFERROR(INDEX('Bank Schedule'!N:N, SMALL(IF('Bank Schedule'!$K$2:$K$817="Vacant", ROW('Bank Schedule'!$K$2:$K$817)), ROW(38:38))), "")</f>
        <v/>
      </c>
      <c r="N41" s="11">
        <f t="array" ref="N41">IFERROR(INDEX('Bank Schedule'!O:O, SMALL(IF('Bank Schedule'!$K$2:$K$817="Vacant", ROW('Bank Schedule'!$K$2:$K$817)), ROW(38:38))), "")</f>
        <v/>
      </c>
      <c r="O41" s="11">
        <f t="array" ref="O41">IFERROR(INDEX('Bank Schedule'!P:P, SMALL(IF('Bank Schedule'!$K$2:$K$817="Vacant", ROW('Bank Schedule'!$K$2:$K$817)), ROW(38:38))), "")</f>
        <v/>
      </c>
      <c r="P41" s="11">
        <f t="array" ref="P41">IFERROR(INDEX('Bank Schedule'!Q:Q, SMALL(IF('Bank Schedule'!$K$2:$K$817="Vacant", ROW('Bank Schedule'!$K$2:$K$817)), ROW(38:38))), "")</f>
        <v/>
      </c>
      <c r="Q41" s="11">
        <f t="array" ref="Q41">IFERROR(INDEX('Bank Schedule'!R:R, SMALL(IF('Bank Schedule'!$K$2:$K$817="Vacant", ROW('Bank Schedule'!$K$2:$K$817)), ROW(38:38))), "")</f>
        <v/>
      </c>
      <c r="R41" s="11">
        <f t="array" ref="R41">IFERROR(INDEX('Bank Schedule'!S:S, SMALL(IF('Bank Schedule'!$K$2:$K$817="Vacant", ROW('Bank Schedule'!$K$2:$K$817)), ROW(38:38))), "")</f>
        <v/>
      </c>
      <c r="S41" s="301">
        <f t="array" ref="S41">IFERROR(INDEX('Bank Schedule'!T:T, SMALL(IF('Bank Schedule'!$K$2:$K$817="Vacant", ROW('Bank Schedule'!$K$2:$K$817)), ROW(38:38))), "")</f>
        <v/>
      </c>
      <c r="T41" s="301">
        <f t="array" ref="T41">IFERROR(INDEX('Bank Schedule'!U:U, SMALL(IF('Bank Schedule'!$K$2:$K$817="Vacant", ROW('Bank Schedule'!$K$2:$K$817)), ROW(38:38))), "")</f>
        <v/>
      </c>
      <c r="U41" s="301">
        <f t="array" ref="U41">IFERROR(INDEX('Bank Schedule'!V:V, SMALL(IF('Bank Schedule'!$K$2:$K$817="Vacant", ROW('Bank Schedule'!$K$2:$K$817)), ROW(38:38))), "")</f>
        <v/>
      </c>
      <c r="V41" s="301">
        <f t="array" ref="V41">IFERROR(INDEX('Bank Schedule'!W:W, SMALL(IF('Bank Schedule'!$K$2:$K$817="Vacant", ROW('Bank Schedule'!$K$2:$K$817)), ROW(38:38))), "")</f>
        <v/>
      </c>
      <c r="W41" s="300">
        <f t="array" ref="W41">IFERROR(INDEX('Bank Schedule'!X:X, SMALL(IF('Bank Schedule'!$K$2:$K$817="Vacant", ROW('Bank Schedule'!$K$2:$K$817)), ROW(38:38))), "")</f>
        <v/>
      </c>
      <c r="X41" s="11">
        <f t="array" ref="X41">IFERROR(INDEX('Bank Schedule'!Y:Y, SMALL(IF('Bank Schedule'!$K$2:$K$817="Vacant", ROW('Bank Schedule'!$K$2:$K$817)), ROW(38:38))), "")</f>
        <v/>
      </c>
      <c r="Y41" s="11">
        <f t="array" ref="Y41">IFERROR(INDEX('Bank Schedule'!Z:Z, SMALL(IF('Bank Schedule'!$K$2:$K$817="Vacant", ROW('Bank Schedule'!$K$2:$K$817)), ROW(38:38))), "")</f>
        <v/>
      </c>
      <c r="Z41" s="11">
        <f t="array" ref="Z41">IFERROR(INDEX('Bank Schedule'!AA:AA, SMALL(IF('Bank Schedule'!$K$2:$K$817="Vacant", ROW('Bank Schedule'!$K$2:$K$817)), ROW(38:38))), "")</f>
        <v/>
      </c>
      <c r="AA41" s="11">
        <f t="array" ref="AA41">IFERROR(INDEX('Bank Schedule'!AB:AB, SMALL(IF('Bank Schedule'!$K$2:$K$817="Vacant", ROW('Bank Schedule'!$K$2:$K$817)), ROW(38:38))), "")</f>
        <v/>
      </c>
      <c r="AB41" s="25">
        <f t="array" ref="AB41">IFERROR(INDEX('Bank Schedule'!AC:AC, SMALL(IF('Bank Schedule'!$K$2:$K$817="Vacant", ROW('Bank Schedule'!$K$2:$K$817)), ROW(38:38))), "")</f>
        <v/>
      </c>
      <c r="AC41" s="277">
        <f t="array" ref="AC41">IFERROR(INDEX('Bank Schedule'!AD:AD, SMALL(IF('Bank Schedule'!$K$2:$K$817="Vacant", ROW('Bank Schedule'!$K$2:$K$817)), ROW(38:38))), "")</f>
        <v/>
      </c>
      <c r="AD41" s="11">
        <f t="array" ref="AD41">IFERROR(INDEX('Bank Schedule'!AE:AE, SMALL(IF('Bank Schedule'!$K$2:$K$817="Vacant", ROW('Bank Schedule'!$K$2:$K$817)), ROW(38:38))), "")</f>
        <v/>
      </c>
      <c r="AE41" s="11">
        <f t="array" ref="AE41">IFERROR(INDEX('Bank Schedule'!AF:AF, SMALL(IF('Bank Schedule'!$K$2:$K$817="Vacant", ROW('Bank Schedule'!$K$2:$K$817)), ROW(38:38))), "")</f>
        <v/>
      </c>
      <c r="AF41" s="11">
        <f t="array" ref="AF41">IFERROR(INDEX('Bank Schedule'!AG:AG, SMALL(IF('Bank Schedule'!$K$2:$K$817="Vacant", ROW('Bank Schedule'!$K$2:$K$817)), ROW(38:38))), "")</f>
        <v/>
      </c>
      <c r="AG41" s="4" t="n"/>
    </row>
    <row r="42" ht="28.5" customHeight="1">
      <c r="A42" s="2">
        <f t="array" ref="A42">IFERROR(INDEX('Bank Schedule'!A:A, SMALL(IF('Bank Schedule'!$K$2:$K$817="Vacant", ROW('Bank Schedule'!$K$2:$K$817)), ROW(39:39))), "")</f>
        <v/>
      </c>
      <c r="B42" s="11">
        <f t="array" ref="B42">IFERROR(INDEX('Bank Schedule'!B:B, SMALL(IF('Bank Schedule'!$K$2:$K$817="Vacant", ROW('Bank Schedule'!$K$2:$K$817)), ROW(39:39))), "")</f>
        <v/>
      </c>
      <c r="C42" s="11">
        <f t="array" ref="C42">IFERROR(INDEX('Bank Schedule'!C:C, SMALL(IF('Bank Schedule'!$K$2:$K$817="Vacant", ROW('Bank Schedule'!$K$2:$K$817)), ROW(39:39))), "")</f>
        <v/>
      </c>
      <c r="D42" s="11">
        <f t="array" ref="D42">IFERROR(INDEX('Bank Schedule'!D:D, SMALL(IF('Bank Schedule'!$K$2:$K$817="Vacant", ROW('Bank Schedule'!$K$2:$K$817)), ROW(39:39))), "")</f>
        <v/>
      </c>
      <c r="E42" s="25">
        <f t="array" ref="E42">IFERROR(INDEX('Bank Schedule'!E:E, SMALL(IF('Bank Schedule'!$K$2:$K$817="Vacant", ROW('Bank Schedule'!$K$2:$K$817)), ROW(39:39))), "")</f>
        <v/>
      </c>
      <c r="F42" s="25">
        <f t="array" ref="F42">IFERROR(INDEX('Bank Schedule'!F:F, SMALL(IF('Bank Schedule'!$K$2:$K$817="Vacant", ROW('Bank Schedule'!$K$2:$K$817)), ROW(39:39))), "")</f>
        <v/>
      </c>
      <c r="G42" s="25">
        <f t="array" ref="G42">IFERROR(INDEX('Bank Schedule'!G:G, SMALL(IF('Bank Schedule'!$K$2:$K$817="Vacant", ROW('Bank Schedule'!$K$2:$K$817)), ROW(39:39))), "")</f>
        <v/>
      </c>
      <c r="H42" s="53">
        <f t="array" ref="H42">IFERROR(INDEX('Bank Schedule'!H:H, SMALL(IF('Bank Schedule'!$K$2:$K$817="Vacant", ROW('Bank Schedule'!$K$2:$K$817)), ROW(39:39))), "")</f>
        <v/>
      </c>
      <c r="I42" s="53">
        <f t="array" ref="I42">IFERROR(INDEX('Bank Schedule'!I:I, SMALL(IF('Bank Schedule'!$K$2:$K$817="Vacant", ROW('Bank Schedule'!$K$2:$K$817)), ROW(39:39))), "")</f>
        <v/>
      </c>
      <c r="J42" s="11">
        <f t="array" ref="J42">IFERROR(INDEX('Bank Schedule'!K:K, SMALL(IF('Bank Schedule'!$K$2:$K$817="Vacant", ROW('Bank Schedule'!$K$2:$K$817)), ROW(39:39))), "")</f>
        <v/>
      </c>
      <c r="K42" s="11">
        <f t="array" ref="K42">IFERROR(INDEX('Bank Schedule'!L:L, SMALL(IF('Bank Schedule'!$K$2:$K$817="Vacant", ROW('Bank Schedule'!$K$2:$K$817)), ROW(39:39))), "")</f>
        <v/>
      </c>
      <c r="L42" s="11">
        <f t="array" ref="L42">IFERROR(INDEX('Bank Schedule'!M:M, SMALL(IF('Bank Schedule'!$K$2:$K$817="Vacant", ROW('Bank Schedule'!$K$2:$K$817)), ROW(39:39))), "")</f>
        <v/>
      </c>
      <c r="M42" s="106">
        <f t="array" ref="M42">IFERROR(INDEX('Bank Schedule'!N:N, SMALL(IF('Bank Schedule'!$K$2:$K$817="Vacant", ROW('Bank Schedule'!$K$2:$K$817)), ROW(39:39))), "")</f>
        <v/>
      </c>
      <c r="N42" s="11">
        <f t="array" ref="N42">IFERROR(INDEX('Bank Schedule'!O:O, SMALL(IF('Bank Schedule'!$K$2:$K$817="Vacant", ROW('Bank Schedule'!$K$2:$K$817)), ROW(39:39))), "")</f>
        <v/>
      </c>
      <c r="O42" s="11">
        <f t="array" ref="O42">IFERROR(INDEX('Bank Schedule'!P:P, SMALL(IF('Bank Schedule'!$K$2:$K$817="Vacant", ROW('Bank Schedule'!$K$2:$K$817)), ROW(39:39))), "")</f>
        <v/>
      </c>
      <c r="P42" s="11">
        <f t="array" ref="P42">IFERROR(INDEX('Bank Schedule'!Q:Q, SMALL(IF('Bank Schedule'!$K$2:$K$817="Vacant", ROW('Bank Schedule'!$K$2:$K$817)), ROW(39:39))), "")</f>
        <v/>
      </c>
      <c r="Q42" s="11">
        <f t="array" ref="Q42">IFERROR(INDEX('Bank Schedule'!R:R, SMALL(IF('Bank Schedule'!$K$2:$K$817="Vacant", ROW('Bank Schedule'!$K$2:$K$817)), ROW(39:39))), "")</f>
        <v/>
      </c>
      <c r="R42" s="11">
        <f t="array" ref="R42">IFERROR(INDEX('Bank Schedule'!S:S, SMALL(IF('Bank Schedule'!$K$2:$K$817="Vacant", ROW('Bank Schedule'!$K$2:$K$817)), ROW(39:39))), "")</f>
        <v/>
      </c>
      <c r="S42" s="301">
        <f t="array" ref="S42">IFERROR(INDEX('Bank Schedule'!T:T, SMALL(IF('Bank Schedule'!$K$2:$K$817="Vacant", ROW('Bank Schedule'!$K$2:$K$817)), ROW(39:39))), "")</f>
        <v/>
      </c>
      <c r="T42" s="301">
        <f t="array" ref="T42">IFERROR(INDEX('Bank Schedule'!U:U, SMALL(IF('Bank Schedule'!$K$2:$K$817="Vacant", ROW('Bank Schedule'!$K$2:$K$817)), ROW(39:39))), "")</f>
        <v/>
      </c>
      <c r="U42" s="301">
        <f t="array" ref="U42">IFERROR(INDEX('Bank Schedule'!V:V, SMALL(IF('Bank Schedule'!$K$2:$K$817="Vacant", ROW('Bank Schedule'!$K$2:$K$817)), ROW(39:39))), "")</f>
        <v/>
      </c>
      <c r="V42" s="301">
        <f t="array" ref="V42">IFERROR(INDEX('Bank Schedule'!W:W, SMALL(IF('Bank Schedule'!$K$2:$K$817="Vacant", ROW('Bank Schedule'!$K$2:$K$817)), ROW(39:39))), "")</f>
        <v/>
      </c>
      <c r="W42" s="300">
        <f t="array" ref="W42">IFERROR(INDEX('Bank Schedule'!X:X, SMALL(IF('Bank Schedule'!$K$2:$K$817="Vacant", ROW('Bank Schedule'!$K$2:$K$817)), ROW(39:39))), "")</f>
        <v/>
      </c>
      <c r="X42" s="11">
        <f t="array" ref="X42">IFERROR(INDEX('Bank Schedule'!Y:Y, SMALL(IF('Bank Schedule'!$K$2:$K$817="Vacant", ROW('Bank Schedule'!$K$2:$K$817)), ROW(39:39))), "")</f>
        <v/>
      </c>
      <c r="Y42" s="11">
        <f t="array" ref="Y42">IFERROR(INDEX('Bank Schedule'!Z:Z, SMALL(IF('Bank Schedule'!$K$2:$K$817="Vacant", ROW('Bank Schedule'!$K$2:$K$817)), ROW(39:39))), "")</f>
        <v/>
      </c>
      <c r="Z42" s="11">
        <f t="array" ref="Z42">IFERROR(INDEX('Bank Schedule'!AA:AA, SMALL(IF('Bank Schedule'!$K$2:$K$817="Vacant", ROW('Bank Schedule'!$K$2:$K$817)), ROW(39:39))), "")</f>
        <v/>
      </c>
      <c r="AA42" s="11">
        <f t="array" ref="AA42">IFERROR(INDEX('Bank Schedule'!AB:AB, SMALL(IF('Bank Schedule'!$K$2:$K$817="Vacant", ROW('Bank Schedule'!$K$2:$K$817)), ROW(39:39))), "")</f>
        <v/>
      </c>
      <c r="AB42" s="25">
        <f t="array" ref="AB42">IFERROR(INDEX('Bank Schedule'!AC:AC, SMALL(IF('Bank Schedule'!$K$2:$K$817="Vacant", ROW('Bank Schedule'!$K$2:$K$817)), ROW(39:39))), "")</f>
        <v/>
      </c>
      <c r="AC42" s="277">
        <f t="array" ref="AC42">IFERROR(INDEX('Bank Schedule'!AD:AD, SMALL(IF('Bank Schedule'!$K$2:$K$817="Vacant", ROW('Bank Schedule'!$K$2:$K$817)), ROW(39:39))), "")</f>
        <v/>
      </c>
      <c r="AD42" s="11">
        <f t="array" ref="AD42">IFERROR(INDEX('Bank Schedule'!AE:AE, SMALL(IF('Bank Schedule'!$K$2:$K$817="Vacant", ROW('Bank Schedule'!$K$2:$K$817)), ROW(39:39))), "")</f>
        <v/>
      </c>
      <c r="AE42" s="11">
        <f t="array" ref="AE42">IFERROR(INDEX('Bank Schedule'!AF:AF, SMALL(IF('Bank Schedule'!$K$2:$K$817="Vacant", ROW('Bank Schedule'!$K$2:$K$817)), ROW(39:39))), "")</f>
        <v/>
      </c>
      <c r="AF42" s="11">
        <f t="array" ref="AF42">IFERROR(INDEX('Bank Schedule'!AG:AG, SMALL(IF('Bank Schedule'!$K$2:$K$817="Vacant", ROW('Bank Schedule'!$K$2:$K$817)), ROW(39:39))), "")</f>
        <v/>
      </c>
      <c r="AG42" s="4" t="n"/>
    </row>
    <row r="43" ht="28.5" customHeight="1">
      <c r="A43" s="2">
        <f t="array" ref="A43">IFERROR(INDEX('Bank Schedule'!A:A, SMALL(IF('Bank Schedule'!$K$2:$K$817="Vacant", ROW('Bank Schedule'!$K$2:$K$817)), ROW(40:40))), "")</f>
        <v/>
      </c>
      <c r="B43" s="11">
        <f t="array" ref="B43">IFERROR(INDEX('Bank Schedule'!B:B, SMALL(IF('Bank Schedule'!$K$2:$K$817="Vacant", ROW('Bank Schedule'!$K$2:$K$817)), ROW(40:40))), "")</f>
        <v/>
      </c>
      <c r="C43" s="11">
        <f t="array" ref="C43">IFERROR(INDEX('Bank Schedule'!C:C, SMALL(IF('Bank Schedule'!$K$2:$K$817="Vacant", ROW('Bank Schedule'!$K$2:$K$817)), ROW(40:40))), "")</f>
        <v/>
      </c>
      <c r="D43" s="11">
        <f t="array" ref="D43">IFERROR(INDEX('Bank Schedule'!D:D, SMALL(IF('Bank Schedule'!$K$2:$K$817="Vacant", ROW('Bank Schedule'!$K$2:$K$817)), ROW(40:40))), "")</f>
        <v/>
      </c>
      <c r="E43" s="25">
        <f t="array" ref="E43">IFERROR(INDEX('Bank Schedule'!E:E, SMALL(IF('Bank Schedule'!$K$2:$K$817="Vacant", ROW('Bank Schedule'!$K$2:$K$817)), ROW(40:40))), "")</f>
        <v/>
      </c>
      <c r="F43" s="25">
        <f t="array" ref="F43">IFERROR(INDEX('Bank Schedule'!F:F, SMALL(IF('Bank Schedule'!$K$2:$K$817="Vacant", ROW('Bank Schedule'!$K$2:$K$817)), ROW(40:40))), "")</f>
        <v/>
      </c>
      <c r="G43" s="25">
        <f t="array" ref="G43">IFERROR(INDEX('Bank Schedule'!G:G, SMALL(IF('Bank Schedule'!$K$2:$K$817="Vacant", ROW('Bank Schedule'!$K$2:$K$817)), ROW(40:40))), "")</f>
        <v/>
      </c>
      <c r="H43" s="53">
        <f t="array" ref="H43">IFERROR(INDEX('Bank Schedule'!H:H, SMALL(IF('Bank Schedule'!$K$2:$K$817="Vacant", ROW('Bank Schedule'!$K$2:$K$817)), ROW(40:40))), "")</f>
        <v/>
      </c>
      <c r="I43" s="53">
        <f t="array" ref="I43">IFERROR(INDEX('Bank Schedule'!I:I, SMALL(IF('Bank Schedule'!$K$2:$K$817="Vacant", ROW('Bank Schedule'!$K$2:$K$817)), ROW(40:40))), "")</f>
        <v/>
      </c>
      <c r="J43" s="11">
        <f t="array" ref="J43">IFERROR(INDEX('Bank Schedule'!K:K, SMALL(IF('Bank Schedule'!$K$2:$K$817="Vacant", ROW('Bank Schedule'!$K$2:$K$817)), ROW(40:40))), "")</f>
        <v/>
      </c>
      <c r="K43" s="11">
        <f t="array" ref="K43">IFERROR(INDEX('Bank Schedule'!L:L, SMALL(IF('Bank Schedule'!$K$2:$K$817="Vacant", ROW('Bank Schedule'!$K$2:$K$817)), ROW(40:40))), "")</f>
        <v/>
      </c>
      <c r="L43" s="11">
        <f t="array" ref="L43">IFERROR(INDEX('Bank Schedule'!M:M, SMALL(IF('Bank Schedule'!$K$2:$K$817="Vacant", ROW('Bank Schedule'!$K$2:$K$817)), ROW(40:40))), "")</f>
        <v/>
      </c>
      <c r="M43" s="106">
        <f t="array" ref="M43">IFERROR(INDEX('Bank Schedule'!N:N, SMALL(IF('Bank Schedule'!$K$2:$K$817="Vacant", ROW('Bank Schedule'!$K$2:$K$817)), ROW(40:40))), "")</f>
        <v/>
      </c>
      <c r="N43" s="11">
        <f t="array" ref="N43">IFERROR(INDEX('Bank Schedule'!O:O, SMALL(IF('Bank Schedule'!$K$2:$K$817="Vacant", ROW('Bank Schedule'!$K$2:$K$817)), ROW(40:40))), "")</f>
        <v/>
      </c>
      <c r="O43" s="11">
        <f t="array" ref="O43">IFERROR(INDEX('Bank Schedule'!P:P, SMALL(IF('Bank Schedule'!$K$2:$K$817="Vacant", ROW('Bank Schedule'!$K$2:$K$817)), ROW(40:40))), "")</f>
        <v/>
      </c>
      <c r="P43" s="11">
        <f t="array" ref="P43">IFERROR(INDEX('Bank Schedule'!Q:Q, SMALL(IF('Bank Schedule'!$K$2:$K$817="Vacant", ROW('Bank Schedule'!$K$2:$K$817)), ROW(40:40))), "")</f>
        <v/>
      </c>
      <c r="Q43" s="11">
        <f t="array" ref="Q43">IFERROR(INDEX('Bank Schedule'!R:R, SMALL(IF('Bank Schedule'!$K$2:$K$817="Vacant", ROW('Bank Schedule'!$K$2:$K$817)), ROW(40:40))), "")</f>
        <v/>
      </c>
      <c r="R43" s="11">
        <f t="array" ref="R43">IFERROR(INDEX('Bank Schedule'!S:S, SMALL(IF('Bank Schedule'!$K$2:$K$817="Vacant", ROW('Bank Schedule'!$K$2:$K$817)), ROW(40:40))), "")</f>
        <v/>
      </c>
      <c r="S43" s="301">
        <f t="array" ref="S43">IFERROR(INDEX('Bank Schedule'!T:T, SMALL(IF('Bank Schedule'!$K$2:$K$817="Vacant", ROW('Bank Schedule'!$K$2:$K$817)), ROW(40:40))), "")</f>
        <v/>
      </c>
      <c r="T43" s="301">
        <f t="array" ref="T43">IFERROR(INDEX('Bank Schedule'!U:U, SMALL(IF('Bank Schedule'!$K$2:$K$817="Vacant", ROW('Bank Schedule'!$K$2:$K$817)), ROW(40:40))), "")</f>
        <v/>
      </c>
      <c r="U43" s="301">
        <f t="array" ref="U43">IFERROR(INDEX('Bank Schedule'!V:V, SMALL(IF('Bank Schedule'!$K$2:$K$817="Vacant", ROW('Bank Schedule'!$K$2:$K$817)), ROW(40:40))), "")</f>
        <v/>
      </c>
      <c r="V43" s="301">
        <f t="array" ref="V43">IFERROR(INDEX('Bank Schedule'!W:W, SMALL(IF('Bank Schedule'!$K$2:$K$817="Vacant", ROW('Bank Schedule'!$K$2:$K$817)), ROW(40:40))), "")</f>
        <v/>
      </c>
      <c r="W43" s="300">
        <f t="array" ref="W43">IFERROR(INDEX('Bank Schedule'!X:X, SMALL(IF('Bank Schedule'!$K$2:$K$817="Vacant", ROW('Bank Schedule'!$K$2:$K$817)), ROW(40:40))), "")</f>
        <v/>
      </c>
      <c r="X43" s="11">
        <f t="array" ref="X43">IFERROR(INDEX('Bank Schedule'!Y:Y, SMALL(IF('Bank Schedule'!$K$2:$K$817="Vacant", ROW('Bank Schedule'!$K$2:$K$817)), ROW(40:40))), "")</f>
        <v/>
      </c>
      <c r="Y43" s="11">
        <f t="array" ref="Y43">IFERROR(INDEX('Bank Schedule'!Z:Z, SMALL(IF('Bank Schedule'!$K$2:$K$817="Vacant", ROW('Bank Schedule'!$K$2:$K$817)), ROW(40:40))), "")</f>
        <v/>
      </c>
      <c r="Z43" s="11">
        <f t="array" ref="Z43">IFERROR(INDEX('Bank Schedule'!AA:AA, SMALL(IF('Bank Schedule'!$K$2:$K$817="Vacant", ROW('Bank Schedule'!$K$2:$K$817)), ROW(40:40))), "")</f>
        <v/>
      </c>
      <c r="AA43" s="11">
        <f t="array" ref="AA43">IFERROR(INDEX('Bank Schedule'!AB:AB, SMALL(IF('Bank Schedule'!$K$2:$K$817="Vacant", ROW('Bank Schedule'!$K$2:$K$817)), ROW(40:40))), "")</f>
        <v/>
      </c>
      <c r="AB43" s="25">
        <f t="array" ref="AB43">IFERROR(INDEX('Bank Schedule'!AC:AC, SMALL(IF('Bank Schedule'!$K$2:$K$817="Vacant", ROW('Bank Schedule'!$K$2:$K$817)), ROW(40:40))), "")</f>
        <v/>
      </c>
      <c r="AC43" s="277">
        <f t="array" ref="AC43">IFERROR(INDEX('Bank Schedule'!AD:AD, SMALL(IF('Bank Schedule'!$K$2:$K$817="Vacant", ROW('Bank Schedule'!$K$2:$K$817)), ROW(40:40))), "")</f>
        <v/>
      </c>
      <c r="AD43" s="11">
        <f t="array" ref="AD43">IFERROR(INDEX('Bank Schedule'!AE:AE, SMALL(IF('Bank Schedule'!$K$2:$K$817="Vacant", ROW('Bank Schedule'!$K$2:$K$817)), ROW(40:40))), "")</f>
        <v/>
      </c>
      <c r="AE43" s="11">
        <f t="array" ref="AE43">IFERROR(INDEX('Bank Schedule'!AF:AF, SMALL(IF('Bank Schedule'!$K$2:$K$817="Vacant", ROW('Bank Schedule'!$K$2:$K$817)), ROW(40:40))), "")</f>
        <v/>
      </c>
      <c r="AF43" s="11">
        <f t="array" ref="AF43">IFERROR(INDEX('Bank Schedule'!AG:AG, SMALL(IF('Bank Schedule'!$K$2:$K$817="Vacant", ROW('Bank Schedule'!$K$2:$K$817)), ROW(40:40))), "")</f>
        <v/>
      </c>
      <c r="AG43" s="4" t="n"/>
    </row>
    <row r="44" ht="28.5" customHeight="1">
      <c r="A44" s="2">
        <f t="array" ref="A44">IFERROR(INDEX('Bank Schedule'!A:A, SMALL(IF('Bank Schedule'!$K$2:$K$817="Vacant", ROW('Bank Schedule'!$K$2:$K$817)), ROW(41:41))), "")</f>
        <v/>
      </c>
      <c r="B44" s="11">
        <f t="array" ref="B44">IFERROR(INDEX('Bank Schedule'!B:B, SMALL(IF('Bank Schedule'!$K$2:$K$817="Vacant", ROW('Bank Schedule'!$K$2:$K$817)), ROW(41:41))), "")</f>
        <v/>
      </c>
      <c r="C44" s="11">
        <f t="array" ref="C44">IFERROR(INDEX('Bank Schedule'!C:C, SMALL(IF('Bank Schedule'!$K$2:$K$817="Vacant", ROW('Bank Schedule'!$K$2:$K$817)), ROW(41:41))), "")</f>
        <v/>
      </c>
      <c r="D44" s="11">
        <f t="array" ref="D44">IFERROR(INDEX('Bank Schedule'!D:D, SMALL(IF('Bank Schedule'!$K$2:$K$817="Vacant", ROW('Bank Schedule'!$K$2:$K$817)), ROW(41:41))), "")</f>
        <v/>
      </c>
      <c r="E44" s="25">
        <f t="array" ref="E44">IFERROR(INDEX('Bank Schedule'!E:E, SMALL(IF('Bank Schedule'!$K$2:$K$817="Vacant", ROW('Bank Schedule'!$K$2:$K$817)), ROW(41:41))), "")</f>
        <v/>
      </c>
      <c r="F44" s="25">
        <f t="array" ref="F44">IFERROR(INDEX('Bank Schedule'!F:F, SMALL(IF('Bank Schedule'!$K$2:$K$817="Vacant", ROW('Bank Schedule'!$K$2:$K$817)), ROW(41:41))), "")</f>
        <v/>
      </c>
      <c r="G44" s="25">
        <f t="array" ref="G44">IFERROR(INDEX('Bank Schedule'!G:G, SMALL(IF('Bank Schedule'!$K$2:$K$817="Vacant", ROW('Bank Schedule'!$K$2:$K$817)), ROW(41:41))), "")</f>
        <v/>
      </c>
      <c r="H44" s="53">
        <f t="array" ref="H44">IFERROR(INDEX('Bank Schedule'!H:H, SMALL(IF('Bank Schedule'!$K$2:$K$817="Vacant", ROW('Bank Schedule'!$K$2:$K$817)), ROW(41:41))), "")</f>
        <v/>
      </c>
      <c r="I44" s="53">
        <f t="array" ref="I44">IFERROR(INDEX('Bank Schedule'!I:I, SMALL(IF('Bank Schedule'!$K$2:$K$817="Vacant", ROW('Bank Schedule'!$K$2:$K$817)), ROW(41:41))), "")</f>
        <v/>
      </c>
      <c r="J44" s="11">
        <f t="array" ref="J44">IFERROR(INDEX('Bank Schedule'!K:K, SMALL(IF('Bank Schedule'!$K$2:$K$817="Vacant", ROW('Bank Schedule'!$K$2:$K$817)), ROW(41:41))), "")</f>
        <v/>
      </c>
      <c r="K44" s="11">
        <f t="array" ref="K44">IFERROR(INDEX('Bank Schedule'!L:L, SMALL(IF('Bank Schedule'!$K$2:$K$817="Vacant", ROW('Bank Schedule'!$K$2:$K$817)), ROW(41:41))), "")</f>
        <v/>
      </c>
      <c r="L44" s="11">
        <f t="array" ref="L44">IFERROR(INDEX('Bank Schedule'!M:M, SMALL(IF('Bank Schedule'!$K$2:$K$817="Vacant", ROW('Bank Schedule'!$K$2:$K$817)), ROW(41:41))), "")</f>
        <v/>
      </c>
      <c r="M44" s="106">
        <f t="array" ref="M44">IFERROR(INDEX('Bank Schedule'!N:N, SMALL(IF('Bank Schedule'!$K$2:$K$817="Vacant", ROW('Bank Schedule'!$K$2:$K$817)), ROW(41:41))), "")</f>
        <v/>
      </c>
      <c r="N44" s="11">
        <f t="array" ref="N44">IFERROR(INDEX('Bank Schedule'!O:O, SMALL(IF('Bank Schedule'!$K$2:$K$817="Vacant", ROW('Bank Schedule'!$K$2:$K$817)), ROW(41:41))), "")</f>
        <v/>
      </c>
      <c r="O44" s="11">
        <f t="array" ref="O44">IFERROR(INDEX('Bank Schedule'!P:P, SMALL(IF('Bank Schedule'!$K$2:$K$817="Vacant", ROW('Bank Schedule'!$K$2:$K$817)), ROW(41:41))), "")</f>
        <v/>
      </c>
      <c r="P44" s="11">
        <f t="array" ref="P44">IFERROR(INDEX('Bank Schedule'!Q:Q, SMALL(IF('Bank Schedule'!$K$2:$K$817="Vacant", ROW('Bank Schedule'!$K$2:$K$817)), ROW(41:41))), "")</f>
        <v/>
      </c>
      <c r="Q44" s="11">
        <f t="array" ref="Q44">IFERROR(INDEX('Bank Schedule'!R:R, SMALL(IF('Bank Schedule'!$K$2:$K$817="Vacant", ROW('Bank Schedule'!$K$2:$K$817)), ROW(41:41))), "")</f>
        <v/>
      </c>
      <c r="R44" s="11">
        <f t="array" ref="R44">IFERROR(INDEX('Bank Schedule'!S:S, SMALL(IF('Bank Schedule'!$K$2:$K$817="Vacant", ROW('Bank Schedule'!$K$2:$K$817)), ROW(41:41))), "")</f>
        <v/>
      </c>
      <c r="S44" s="301">
        <f t="array" ref="S44">IFERROR(INDEX('Bank Schedule'!T:T, SMALL(IF('Bank Schedule'!$K$2:$K$817="Vacant", ROW('Bank Schedule'!$K$2:$K$817)), ROW(41:41))), "")</f>
        <v/>
      </c>
      <c r="T44" s="301">
        <f t="array" ref="T44">IFERROR(INDEX('Bank Schedule'!U:U, SMALL(IF('Bank Schedule'!$K$2:$K$817="Vacant", ROW('Bank Schedule'!$K$2:$K$817)), ROW(41:41))), "")</f>
        <v/>
      </c>
      <c r="U44" s="301">
        <f t="array" ref="U44">IFERROR(INDEX('Bank Schedule'!V:V, SMALL(IF('Bank Schedule'!$K$2:$K$817="Vacant", ROW('Bank Schedule'!$K$2:$K$817)), ROW(41:41))), "")</f>
        <v/>
      </c>
      <c r="V44" s="301">
        <f t="array" ref="V44">IFERROR(INDEX('Bank Schedule'!W:W, SMALL(IF('Bank Schedule'!$K$2:$K$817="Vacant", ROW('Bank Schedule'!$K$2:$K$817)), ROW(41:41))), "")</f>
        <v/>
      </c>
      <c r="W44" s="300">
        <f t="array" ref="W44">IFERROR(INDEX('Bank Schedule'!X:X, SMALL(IF('Bank Schedule'!$K$2:$K$817="Vacant", ROW('Bank Schedule'!$K$2:$K$817)), ROW(41:41))), "")</f>
        <v/>
      </c>
      <c r="X44" s="11">
        <f t="array" ref="X44">IFERROR(INDEX('Bank Schedule'!Y:Y, SMALL(IF('Bank Schedule'!$K$2:$K$817="Vacant", ROW('Bank Schedule'!$K$2:$K$817)), ROW(41:41))), "")</f>
        <v/>
      </c>
      <c r="Y44" s="11">
        <f t="array" ref="Y44">IFERROR(INDEX('Bank Schedule'!Z:Z, SMALL(IF('Bank Schedule'!$K$2:$K$817="Vacant", ROW('Bank Schedule'!$K$2:$K$817)), ROW(41:41))), "")</f>
        <v/>
      </c>
      <c r="Z44" s="11">
        <f t="array" ref="Z44">IFERROR(INDEX('Bank Schedule'!AA:AA, SMALL(IF('Bank Schedule'!$K$2:$K$817="Vacant", ROW('Bank Schedule'!$K$2:$K$817)), ROW(41:41))), "")</f>
        <v/>
      </c>
      <c r="AA44" s="11">
        <f t="array" ref="AA44">IFERROR(INDEX('Bank Schedule'!AB:AB, SMALL(IF('Bank Schedule'!$K$2:$K$817="Vacant", ROW('Bank Schedule'!$K$2:$K$817)), ROW(41:41))), "")</f>
        <v/>
      </c>
      <c r="AB44" s="25">
        <f t="array" ref="AB44">IFERROR(INDEX('Bank Schedule'!AC:AC, SMALL(IF('Bank Schedule'!$K$2:$K$817="Vacant", ROW('Bank Schedule'!$K$2:$K$817)), ROW(41:41))), "")</f>
        <v/>
      </c>
      <c r="AC44" s="277">
        <f t="array" ref="AC44">IFERROR(INDEX('Bank Schedule'!AD:AD, SMALL(IF('Bank Schedule'!$K$2:$K$817="Vacant", ROW('Bank Schedule'!$K$2:$K$817)), ROW(41:41))), "")</f>
        <v/>
      </c>
      <c r="AD44" s="11">
        <f t="array" ref="AD44">IFERROR(INDEX('Bank Schedule'!AE:AE, SMALL(IF('Bank Schedule'!$K$2:$K$817="Vacant", ROW('Bank Schedule'!$K$2:$K$817)), ROW(41:41))), "")</f>
        <v/>
      </c>
      <c r="AE44" s="11">
        <f t="array" ref="AE44">IFERROR(INDEX('Bank Schedule'!AF:AF, SMALL(IF('Bank Schedule'!$K$2:$K$817="Vacant", ROW('Bank Schedule'!$K$2:$K$817)), ROW(41:41))), "")</f>
        <v/>
      </c>
      <c r="AF44" s="11">
        <f t="array" ref="AF44">IFERROR(INDEX('Bank Schedule'!AG:AG, SMALL(IF('Bank Schedule'!$K$2:$K$817="Vacant", ROW('Bank Schedule'!$K$2:$K$817)), ROW(41:41))), "")</f>
        <v/>
      </c>
      <c r="AG44" s="4" t="n"/>
    </row>
    <row r="45" ht="28.5" customHeight="1">
      <c r="A45" s="2">
        <f t="array" ref="A45">IFERROR(INDEX('Bank Schedule'!A:A, SMALL(IF('Bank Schedule'!$K$2:$K$817="Vacant", ROW('Bank Schedule'!$K$2:$K$817)), ROW(42:42))), "")</f>
        <v/>
      </c>
      <c r="B45" s="11">
        <f t="array" ref="B45">IFERROR(INDEX('Bank Schedule'!B:B, SMALL(IF('Bank Schedule'!$K$2:$K$817="Vacant", ROW('Bank Schedule'!$K$2:$K$817)), ROW(42:42))), "")</f>
        <v/>
      </c>
      <c r="C45" s="11">
        <f t="array" ref="C45">IFERROR(INDEX('Bank Schedule'!C:C, SMALL(IF('Bank Schedule'!$K$2:$K$817="Vacant", ROW('Bank Schedule'!$K$2:$K$817)), ROW(42:42))), "")</f>
        <v/>
      </c>
      <c r="D45" s="11">
        <f t="array" ref="D45">IFERROR(INDEX('Bank Schedule'!D:D, SMALL(IF('Bank Schedule'!$K$2:$K$817="Vacant", ROW('Bank Schedule'!$K$2:$K$817)), ROW(42:42))), "")</f>
        <v/>
      </c>
      <c r="E45" s="25">
        <f t="array" ref="E45">IFERROR(INDEX('Bank Schedule'!E:E, SMALL(IF('Bank Schedule'!$K$2:$K$817="Vacant", ROW('Bank Schedule'!$K$2:$K$817)), ROW(42:42))), "")</f>
        <v/>
      </c>
      <c r="F45" s="25">
        <f t="array" ref="F45">IFERROR(INDEX('Bank Schedule'!F:F, SMALL(IF('Bank Schedule'!$K$2:$K$817="Vacant", ROW('Bank Schedule'!$K$2:$K$817)), ROW(42:42))), "")</f>
        <v/>
      </c>
      <c r="G45" s="25">
        <f t="array" ref="G45">IFERROR(INDEX('Bank Schedule'!G:G, SMALL(IF('Bank Schedule'!$K$2:$K$817="Vacant", ROW('Bank Schedule'!$K$2:$K$817)), ROW(42:42))), "")</f>
        <v/>
      </c>
      <c r="H45" s="53">
        <f t="array" ref="H45">IFERROR(INDEX('Bank Schedule'!H:H, SMALL(IF('Bank Schedule'!$K$2:$K$817="Vacant", ROW('Bank Schedule'!$K$2:$K$817)), ROW(42:42))), "")</f>
        <v/>
      </c>
      <c r="I45" s="53">
        <f t="array" ref="I45">IFERROR(INDEX('Bank Schedule'!I:I, SMALL(IF('Bank Schedule'!$K$2:$K$817="Vacant", ROW('Bank Schedule'!$K$2:$K$817)), ROW(42:42))), "")</f>
        <v/>
      </c>
      <c r="J45" s="11">
        <f t="array" ref="J45">IFERROR(INDEX('Bank Schedule'!K:K, SMALL(IF('Bank Schedule'!$K$2:$K$817="Vacant", ROW('Bank Schedule'!$K$2:$K$817)), ROW(42:42))), "")</f>
        <v/>
      </c>
      <c r="K45" s="11">
        <f t="array" ref="K45">IFERROR(INDEX('Bank Schedule'!L:L, SMALL(IF('Bank Schedule'!$K$2:$K$817="Vacant", ROW('Bank Schedule'!$K$2:$K$817)), ROW(42:42))), "")</f>
        <v/>
      </c>
      <c r="L45" s="11">
        <f t="array" ref="L45">IFERROR(INDEX('Bank Schedule'!M:M, SMALL(IF('Bank Schedule'!$K$2:$K$817="Vacant", ROW('Bank Schedule'!$K$2:$K$817)), ROW(42:42))), "")</f>
        <v/>
      </c>
      <c r="M45" s="106">
        <f t="array" ref="M45">IFERROR(INDEX('Bank Schedule'!N:N, SMALL(IF('Bank Schedule'!$K$2:$K$817="Vacant", ROW('Bank Schedule'!$K$2:$K$817)), ROW(42:42))), "")</f>
        <v/>
      </c>
      <c r="N45" s="11">
        <f t="array" ref="N45">IFERROR(INDEX('Bank Schedule'!O:O, SMALL(IF('Bank Schedule'!$K$2:$K$817="Vacant", ROW('Bank Schedule'!$K$2:$K$817)), ROW(42:42))), "")</f>
        <v/>
      </c>
      <c r="O45" s="11">
        <f t="array" ref="O45">IFERROR(INDEX('Bank Schedule'!P:P, SMALL(IF('Bank Schedule'!$K$2:$K$817="Vacant", ROW('Bank Schedule'!$K$2:$K$817)), ROW(42:42))), "")</f>
        <v/>
      </c>
      <c r="P45" s="11">
        <f t="array" ref="P45">IFERROR(INDEX('Bank Schedule'!Q:Q, SMALL(IF('Bank Schedule'!$K$2:$K$817="Vacant", ROW('Bank Schedule'!$K$2:$K$817)), ROW(42:42))), "")</f>
        <v/>
      </c>
      <c r="Q45" s="11">
        <f t="array" ref="Q45">IFERROR(INDEX('Bank Schedule'!R:R, SMALL(IF('Bank Schedule'!$K$2:$K$817="Vacant", ROW('Bank Schedule'!$K$2:$K$817)), ROW(42:42))), "")</f>
        <v/>
      </c>
      <c r="R45" s="11">
        <f t="array" ref="R45">IFERROR(INDEX('Bank Schedule'!S:S, SMALL(IF('Bank Schedule'!$K$2:$K$817="Vacant", ROW('Bank Schedule'!$K$2:$K$817)), ROW(42:42))), "")</f>
        <v/>
      </c>
      <c r="S45" s="301">
        <f t="array" ref="S45">IFERROR(INDEX('Bank Schedule'!T:T, SMALL(IF('Bank Schedule'!$K$2:$K$817="Vacant", ROW('Bank Schedule'!$K$2:$K$817)), ROW(42:42))), "")</f>
        <v/>
      </c>
      <c r="T45" s="301">
        <f t="array" ref="T45">IFERROR(INDEX('Bank Schedule'!U:U, SMALL(IF('Bank Schedule'!$K$2:$K$817="Vacant", ROW('Bank Schedule'!$K$2:$K$817)), ROW(42:42))), "")</f>
        <v/>
      </c>
      <c r="U45" s="301">
        <f t="array" ref="U45">IFERROR(INDEX('Bank Schedule'!V:V, SMALL(IF('Bank Schedule'!$K$2:$K$817="Vacant", ROW('Bank Schedule'!$K$2:$K$817)), ROW(42:42))), "")</f>
        <v/>
      </c>
      <c r="V45" s="301">
        <f t="array" ref="V45">IFERROR(INDEX('Bank Schedule'!W:W, SMALL(IF('Bank Schedule'!$K$2:$K$817="Vacant", ROW('Bank Schedule'!$K$2:$K$817)), ROW(42:42))), "")</f>
        <v/>
      </c>
      <c r="W45" s="300">
        <f t="array" ref="W45">IFERROR(INDEX('Bank Schedule'!X:X, SMALL(IF('Bank Schedule'!$K$2:$K$817="Vacant", ROW('Bank Schedule'!$K$2:$K$817)), ROW(42:42))), "")</f>
        <v/>
      </c>
      <c r="X45" s="11">
        <f t="array" ref="X45">IFERROR(INDEX('Bank Schedule'!Y:Y, SMALL(IF('Bank Schedule'!$K$2:$K$817="Vacant", ROW('Bank Schedule'!$K$2:$K$817)), ROW(42:42))), "")</f>
        <v/>
      </c>
      <c r="Y45" s="11">
        <f t="array" ref="Y45">IFERROR(INDEX('Bank Schedule'!Z:Z, SMALL(IF('Bank Schedule'!$K$2:$K$817="Vacant", ROW('Bank Schedule'!$K$2:$K$817)), ROW(42:42))), "")</f>
        <v/>
      </c>
      <c r="Z45" s="11">
        <f t="array" ref="Z45">IFERROR(INDEX('Bank Schedule'!AA:AA, SMALL(IF('Bank Schedule'!$K$2:$K$817="Vacant", ROW('Bank Schedule'!$K$2:$K$817)), ROW(42:42))), "")</f>
        <v/>
      </c>
      <c r="AA45" s="11">
        <f t="array" ref="AA45">IFERROR(INDEX('Bank Schedule'!AB:AB, SMALL(IF('Bank Schedule'!$K$2:$K$817="Vacant", ROW('Bank Schedule'!$K$2:$K$817)), ROW(42:42))), "")</f>
        <v/>
      </c>
      <c r="AB45" s="25">
        <f t="array" ref="AB45">IFERROR(INDEX('Bank Schedule'!AC:AC, SMALL(IF('Bank Schedule'!$K$2:$K$817="Vacant", ROW('Bank Schedule'!$K$2:$K$817)), ROW(42:42))), "")</f>
        <v/>
      </c>
      <c r="AC45" s="277">
        <f t="array" ref="AC45">IFERROR(INDEX('Bank Schedule'!AD:AD, SMALL(IF('Bank Schedule'!$K$2:$K$817="Vacant", ROW('Bank Schedule'!$K$2:$K$817)), ROW(42:42))), "")</f>
        <v/>
      </c>
      <c r="AD45" s="11">
        <f t="array" ref="AD45">IFERROR(INDEX('Bank Schedule'!AE:AE, SMALL(IF('Bank Schedule'!$K$2:$K$817="Vacant", ROW('Bank Schedule'!$K$2:$K$817)), ROW(42:42))), "")</f>
        <v/>
      </c>
      <c r="AE45" s="11">
        <f t="array" ref="AE45">IFERROR(INDEX('Bank Schedule'!AF:AF, SMALL(IF('Bank Schedule'!$K$2:$K$817="Vacant", ROW('Bank Schedule'!$K$2:$K$817)), ROW(42:42))), "")</f>
        <v/>
      </c>
      <c r="AF45" s="11">
        <f t="array" ref="AF45">IFERROR(INDEX('Bank Schedule'!AG:AG, SMALL(IF('Bank Schedule'!$K$2:$K$817="Vacant", ROW('Bank Schedule'!$K$2:$K$817)), ROW(42:42))), "")</f>
        <v/>
      </c>
      <c r="AG45" s="4" t="n"/>
    </row>
    <row r="46" ht="28.5" customHeight="1">
      <c r="A46" s="2">
        <f t="array" ref="A46">IFERROR(INDEX('Bank Schedule'!A:A, SMALL(IF('Bank Schedule'!$K$2:$K$817="Vacant", ROW('Bank Schedule'!$K$2:$K$817)), ROW(43:43))), "")</f>
        <v/>
      </c>
      <c r="B46" s="11">
        <f t="array" ref="B46">IFERROR(INDEX('Bank Schedule'!B:B, SMALL(IF('Bank Schedule'!$K$2:$K$817="Vacant", ROW('Bank Schedule'!$K$2:$K$817)), ROW(43:43))), "")</f>
        <v/>
      </c>
      <c r="C46" s="11">
        <f t="array" ref="C46">IFERROR(INDEX('Bank Schedule'!C:C, SMALL(IF('Bank Schedule'!$K$2:$K$817="Vacant", ROW('Bank Schedule'!$K$2:$K$817)), ROW(43:43))), "")</f>
        <v/>
      </c>
      <c r="D46" s="11">
        <f t="array" ref="D46">IFERROR(INDEX('Bank Schedule'!D:D, SMALL(IF('Bank Schedule'!$K$2:$K$817="Vacant", ROW('Bank Schedule'!$K$2:$K$817)), ROW(43:43))), "")</f>
        <v/>
      </c>
      <c r="E46" s="25">
        <f t="array" ref="E46">IFERROR(INDEX('Bank Schedule'!E:E, SMALL(IF('Bank Schedule'!$K$2:$K$817="Vacant", ROW('Bank Schedule'!$K$2:$K$817)), ROW(43:43))), "")</f>
        <v/>
      </c>
      <c r="F46" s="25">
        <f t="array" ref="F46">IFERROR(INDEX('Bank Schedule'!F:F, SMALL(IF('Bank Schedule'!$K$2:$K$817="Vacant", ROW('Bank Schedule'!$K$2:$K$817)), ROW(43:43))), "")</f>
        <v/>
      </c>
      <c r="G46" s="25">
        <f t="array" ref="G46">IFERROR(INDEX('Bank Schedule'!G:G, SMALL(IF('Bank Schedule'!$K$2:$K$817="Vacant", ROW('Bank Schedule'!$K$2:$K$817)), ROW(43:43))), "")</f>
        <v/>
      </c>
      <c r="H46" s="53">
        <f t="array" ref="H46">IFERROR(INDEX('Bank Schedule'!H:H, SMALL(IF('Bank Schedule'!$K$2:$K$817="Vacant", ROW('Bank Schedule'!$K$2:$K$817)), ROW(43:43))), "")</f>
        <v/>
      </c>
      <c r="I46" s="53">
        <f t="array" ref="I46">IFERROR(INDEX('Bank Schedule'!I:I, SMALL(IF('Bank Schedule'!$K$2:$K$817="Vacant", ROW('Bank Schedule'!$K$2:$K$817)), ROW(43:43))), "")</f>
        <v/>
      </c>
      <c r="J46" s="11">
        <f t="array" ref="J46">IFERROR(INDEX('Bank Schedule'!K:K, SMALL(IF('Bank Schedule'!$K$2:$K$817="Vacant", ROW('Bank Schedule'!$K$2:$K$817)), ROW(43:43))), "")</f>
        <v/>
      </c>
      <c r="K46" s="11">
        <f t="array" ref="K46">IFERROR(INDEX('Bank Schedule'!L:L, SMALL(IF('Bank Schedule'!$K$2:$K$817="Vacant", ROW('Bank Schedule'!$K$2:$K$817)), ROW(43:43))), "")</f>
        <v/>
      </c>
      <c r="L46" s="11">
        <f t="array" ref="L46">IFERROR(INDEX('Bank Schedule'!M:M, SMALL(IF('Bank Schedule'!$K$2:$K$817="Vacant", ROW('Bank Schedule'!$K$2:$K$817)), ROW(43:43))), "")</f>
        <v/>
      </c>
      <c r="M46" s="106">
        <f t="array" ref="M46">IFERROR(INDEX('Bank Schedule'!N:N, SMALL(IF('Bank Schedule'!$K$2:$K$817="Vacant", ROW('Bank Schedule'!$K$2:$K$817)), ROW(43:43))), "")</f>
        <v/>
      </c>
      <c r="N46" s="11">
        <f t="array" ref="N46">IFERROR(INDEX('Bank Schedule'!O:O, SMALL(IF('Bank Schedule'!$K$2:$K$817="Vacant", ROW('Bank Schedule'!$K$2:$K$817)), ROW(43:43))), "")</f>
        <v/>
      </c>
      <c r="O46" s="11">
        <f t="array" ref="O46">IFERROR(INDEX('Bank Schedule'!P:P, SMALL(IF('Bank Schedule'!$K$2:$K$817="Vacant", ROW('Bank Schedule'!$K$2:$K$817)), ROW(43:43))), "")</f>
        <v/>
      </c>
      <c r="P46" s="11">
        <f t="array" ref="P46">IFERROR(INDEX('Bank Schedule'!Q:Q, SMALL(IF('Bank Schedule'!$K$2:$K$817="Vacant", ROW('Bank Schedule'!$K$2:$K$817)), ROW(43:43))), "")</f>
        <v/>
      </c>
      <c r="Q46" s="11">
        <f t="array" ref="Q46">IFERROR(INDEX('Bank Schedule'!R:R, SMALL(IF('Bank Schedule'!$K$2:$K$817="Vacant", ROW('Bank Schedule'!$K$2:$K$817)), ROW(43:43))), "")</f>
        <v/>
      </c>
      <c r="R46" s="11">
        <f t="array" ref="R46">IFERROR(INDEX('Bank Schedule'!S:S, SMALL(IF('Bank Schedule'!$K$2:$K$817="Vacant", ROW('Bank Schedule'!$K$2:$K$817)), ROW(43:43))), "")</f>
        <v/>
      </c>
      <c r="S46" s="301">
        <f t="array" ref="S46">IFERROR(INDEX('Bank Schedule'!T:T, SMALL(IF('Bank Schedule'!$K$2:$K$817="Vacant", ROW('Bank Schedule'!$K$2:$K$817)), ROW(43:43))), "")</f>
        <v/>
      </c>
      <c r="T46" s="301">
        <f t="array" ref="T46">IFERROR(INDEX('Bank Schedule'!U:U, SMALL(IF('Bank Schedule'!$K$2:$K$817="Vacant", ROW('Bank Schedule'!$K$2:$K$817)), ROW(43:43))), "")</f>
        <v/>
      </c>
      <c r="U46" s="301">
        <f t="array" ref="U46">IFERROR(INDEX('Bank Schedule'!V:V, SMALL(IF('Bank Schedule'!$K$2:$K$817="Vacant", ROW('Bank Schedule'!$K$2:$K$817)), ROW(43:43))), "")</f>
        <v/>
      </c>
      <c r="V46" s="301">
        <f t="array" ref="V46">IFERROR(INDEX('Bank Schedule'!W:W, SMALL(IF('Bank Schedule'!$K$2:$K$817="Vacant", ROW('Bank Schedule'!$K$2:$K$817)), ROW(43:43))), "")</f>
        <v/>
      </c>
      <c r="W46" s="300">
        <f t="array" ref="W46">IFERROR(INDEX('Bank Schedule'!X:X, SMALL(IF('Bank Schedule'!$K$2:$K$817="Vacant", ROW('Bank Schedule'!$K$2:$K$817)), ROW(43:43))), "")</f>
        <v/>
      </c>
      <c r="X46" s="11">
        <f t="array" ref="X46">IFERROR(INDEX('Bank Schedule'!Y:Y, SMALL(IF('Bank Schedule'!$K$2:$K$817="Vacant", ROW('Bank Schedule'!$K$2:$K$817)), ROW(43:43))), "")</f>
        <v/>
      </c>
      <c r="Y46" s="11">
        <f t="array" ref="Y46">IFERROR(INDEX('Bank Schedule'!Z:Z, SMALL(IF('Bank Schedule'!$K$2:$K$817="Vacant", ROW('Bank Schedule'!$K$2:$K$817)), ROW(43:43))), "")</f>
        <v/>
      </c>
      <c r="Z46" s="11">
        <f t="array" ref="Z46">IFERROR(INDEX('Bank Schedule'!AA:AA, SMALL(IF('Bank Schedule'!$K$2:$K$817="Vacant", ROW('Bank Schedule'!$K$2:$K$817)), ROW(43:43))), "")</f>
        <v/>
      </c>
      <c r="AA46" s="11">
        <f t="array" ref="AA46">IFERROR(INDEX('Bank Schedule'!AB:AB, SMALL(IF('Bank Schedule'!$K$2:$K$817="Vacant", ROW('Bank Schedule'!$K$2:$K$817)), ROW(43:43))), "")</f>
        <v/>
      </c>
      <c r="AB46" s="25">
        <f t="array" ref="AB46">IFERROR(INDEX('Bank Schedule'!AC:AC, SMALL(IF('Bank Schedule'!$K$2:$K$817="Vacant", ROW('Bank Schedule'!$K$2:$K$817)), ROW(43:43))), "")</f>
        <v/>
      </c>
      <c r="AC46" s="277">
        <f t="array" ref="AC46">IFERROR(INDEX('Bank Schedule'!AD:AD, SMALL(IF('Bank Schedule'!$K$2:$K$817="Vacant", ROW('Bank Schedule'!$K$2:$K$817)), ROW(43:43))), "")</f>
        <v/>
      </c>
      <c r="AD46" s="11">
        <f t="array" ref="AD46">IFERROR(INDEX('Bank Schedule'!AE:AE, SMALL(IF('Bank Schedule'!$K$2:$K$817="Vacant", ROW('Bank Schedule'!$K$2:$K$817)), ROW(43:43))), "")</f>
        <v/>
      </c>
      <c r="AE46" s="11">
        <f t="array" ref="AE46">IFERROR(INDEX('Bank Schedule'!AF:AF, SMALL(IF('Bank Schedule'!$K$2:$K$817="Vacant", ROW('Bank Schedule'!$K$2:$K$817)), ROW(43:43))), "")</f>
        <v/>
      </c>
      <c r="AF46" s="11">
        <f t="array" ref="AF46">IFERROR(INDEX('Bank Schedule'!AG:AG, SMALL(IF('Bank Schedule'!$K$2:$K$817="Vacant", ROW('Bank Schedule'!$K$2:$K$817)), ROW(43:43))), "")</f>
        <v/>
      </c>
      <c r="AG46" s="4" t="n"/>
    </row>
    <row r="47" ht="28.5" customHeight="1">
      <c r="A47" s="2">
        <f t="array" ref="A47">IFERROR(INDEX('Bank Schedule'!A:A, SMALL(IF('Bank Schedule'!$K$2:$K$817="Vacant", ROW('Bank Schedule'!$K$2:$K$817)), ROW(44:44))), "")</f>
        <v/>
      </c>
      <c r="B47" s="11">
        <f t="array" ref="B47">IFERROR(INDEX('Bank Schedule'!B:B, SMALL(IF('Bank Schedule'!$K$2:$K$817="Vacant", ROW('Bank Schedule'!$K$2:$K$817)), ROW(44:44))), "")</f>
        <v/>
      </c>
      <c r="C47" s="11">
        <f t="array" ref="C47">IFERROR(INDEX('Bank Schedule'!C:C, SMALL(IF('Bank Schedule'!$K$2:$K$817="Vacant", ROW('Bank Schedule'!$K$2:$K$817)), ROW(44:44))), "")</f>
        <v/>
      </c>
      <c r="D47" s="11">
        <f t="array" ref="D47">IFERROR(INDEX('Bank Schedule'!D:D, SMALL(IF('Bank Schedule'!$K$2:$K$817="Vacant", ROW('Bank Schedule'!$K$2:$K$817)), ROW(44:44))), "")</f>
        <v/>
      </c>
      <c r="E47" s="25">
        <f t="array" ref="E47">IFERROR(INDEX('Bank Schedule'!E:E, SMALL(IF('Bank Schedule'!$K$2:$K$817="Vacant", ROW('Bank Schedule'!$K$2:$K$817)), ROW(44:44))), "")</f>
        <v/>
      </c>
      <c r="F47" s="25">
        <f t="array" ref="F47">IFERROR(INDEX('Bank Schedule'!F:F, SMALL(IF('Bank Schedule'!$K$2:$K$817="Vacant", ROW('Bank Schedule'!$K$2:$K$817)), ROW(44:44))), "")</f>
        <v/>
      </c>
      <c r="G47" s="25">
        <f t="array" ref="G47">IFERROR(INDEX('Bank Schedule'!G:G, SMALL(IF('Bank Schedule'!$K$2:$K$817="Vacant", ROW('Bank Schedule'!$K$2:$K$817)), ROW(44:44))), "")</f>
        <v/>
      </c>
      <c r="H47" s="53">
        <f t="array" ref="H47">IFERROR(INDEX('Bank Schedule'!H:H, SMALL(IF('Bank Schedule'!$K$2:$K$817="Vacant", ROW('Bank Schedule'!$K$2:$K$817)), ROW(44:44))), "")</f>
        <v/>
      </c>
      <c r="I47" s="53">
        <f t="array" ref="I47">IFERROR(INDEX('Bank Schedule'!I:I, SMALL(IF('Bank Schedule'!$K$2:$K$817="Vacant", ROW('Bank Schedule'!$K$2:$K$817)), ROW(44:44))), "")</f>
        <v/>
      </c>
      <c r="J47" s="11">
        <f t="array" ref="J47">IFERROR(INDEX('Bank Schedule'!K:K, SMALL(IF('Bank Schedule'!$K$2:$K$817="Vacant", ROW('Bank Schedule'!$K$2:$K$817)), ROW(44:44))), "")</f>
        <v/>
      </c>
      <c r="K47" s="11">
        <f t="array" ref="K47">IFERROR(INDEX('Bank Schedule'!L:L, SMALL(IF('Bank Schedule'!$K$2:$K$817="Vacant", ROW('Bank Schedule'!$K$2:$K$817)), ROW(44:44))), "")</f>
        <v/>
      </c>
      <c r="L47" s="11">
        <f t="array" ref="L47">IFERROR(INDEX('Bank Schedule'!M:M, SMALL(IF('Bank Schedule'!$K$2:$K$817="Vacant", ROW('Bank Schedule'!$K$2:$K$817)), ROW(44:44))), "")</f>
        <v/>
      </c>
      <c r="M47" s="106">
        <f t="array" ref="M47">IFERROR(INDEX('Bank Schedule'!N:N, SMALL(IF('Bank Schedule'!$K$2:$K$817="Vacant", ROW('Bank Schedule'!$K$2:$K$817)), ROW(44:44))), "")</f>
        <v/>
      </c>
      <c r="N47" s="11">
        <f t="array" ref="N47">IFERROR(INDEX('Bank Schedule'!O:O, SMALL(IF('Bank Schedule'!$K$2:$K$817="Vacant", ROW('Bank Schedule'!$K$2:$K$817)), ROW(44:44))), "")</f>
        <v/>
      </c>
      <c r="O47" s="11">
        <f t="array" ref="O47">IFERROR(INDEX('Bank Schedule'!P:P, SMALL(IF('Bank Schedule'!$K$2:$K$817="Vacant", ROW('Bank Schedule'!$K$2:$K$817)), ROW(44:44))), "")</f>
        <v/>
      </c>
      <c r="P47" s="11">
        <f t="array" ref="P47">IFERROR(INDEX('Bank Schedule'!Q:Q, SMALL(IF('Bank Schedule'!$K$2:$K$817="Vacant", ROW('Bank Schedule'!$K$2:$K$817)), ROW(44:44))), "")</f>
        <v/>
      </c>
      <c r="Q47" s="11">
        <f t="array" ref="Q47">IFERROR(INDEX('Bank Schedule'!R:R, SMALL(IF('Bank Schedule'!$K$2:$K$817="Vacant", ROW('Bank Schedule'!$K$2:$K$817)), ROW(44:44))), "")</f>
        <v/>
      </c>
      <c r="R47" s="11">
        <f t="array" ref="R47">IFERROR(INDEX('Bank Schedule'!S:S, SMALL(IF('Bank Schedule'!$K$2:$K$817="Vacant", ROW('Bank Schedule'!$K$2:$K$817)), ROW(44:44))), "")</f>
        <v/>
      </c>
      <c r="S47" s="301">
        <f t="array" ref="S47">IFERROR(INDEX('Bank Schedule'!T:T, SMALL(IF('Bank Schedule'!$K$2:$K$817="Vacant", ROW('Bank Schedule'!$K$2:$K$817)), ROW(44:44))), "")</f>
        <v/>
      </c>
      <c r="T47" s="301">
        <f t="array" ref="T47">IFERROR(INDEX('Bank Schedule'!U:U, SMALL(IF('Bank Schedule'!$K$2:$K$817="Vacant", ROW('Bank Schedule'!$K$2:$K$817)), ROW(44:44))), "")</f>
        <v/>
      </c>
      <c r="U47" s="301">
        <f t="array" ref="U47">IFERROR(INDEX('Bank Schedule'!V:V, SMALL(IF('Bank Schedule'!$K$2:$K$817="Vacant", ROW('Bank Schedule'!$K$2:$K$817)), ROW(44:44))), "")</f>
        <v/>
      </c>
      <c r="V47" s="301">
        <f t="array" ref="V47">IFERROR(INDEX('Bank Schedule'!W:W, SMALL(IF('Bank Schedule'!$K$2:$K$817="Vacant", ROW('Bank Schedule'!$K$2:$K$817)), ROW(44:44))), "")</f>
        <v/>
      </c>
      <c r="W47" s="300">
        <f t="array" ref="W47">IFERROR(INDEX('Bank Schedule'!X:X, SMALL(IF('Bank Schedule'!$K$2:$K$817="Vacant", ROW('Bank Schedule'!$K$2:$K$817)), ROW(44:44))), "")</f>
        <v/>
      </c>
      <c r="X47" s="11">
        <f t="array" ref="X47">IFERROR(INDEX('Bank Schedule'!Y:Y, SMALL(IF('Bank Schedule'!$K$2:$K$817="Vacant", ROW('Bank Schedule'!$K$2:$K$817)), ROW(44:44))), "")</f>
        <v/>
      </c>
      <c r="Y47" s="11">
        <f t="array" ref="Y47">IFERROR(INDEX('Bank Schedule'!Z:Z, SMALL(IF('Bank Schedule'!$K$2:$K$817="Vacant", ROW('Bank Schedule'!$K$2:$K$817)), ROW(44:44))), "")</f>
        <v/>
      </c>
      <c r="Z47" s="11">
        <f t="array" ref="Z47">IFERROR(INDEX('Bank Schedule'!AA:AA, SMALL(IF('Bank Schedule'!$K$2:$K$817="Vacant", ROW('Bank Schedule'!$K$2:$K$817)), ROW(44:44))), "")</f>
        <v/>
      </c>
      <c r="AA47" s="11">
        <f t="array" ref="AA47">IFERROR(INDEX('Bank Schedule'!AB:AB, SMALL(IF('Bank Schedule'!$K$2:$K$817="Vacant", ROW('Bank Schedule'!$K$2:$K$817)), ROW(44:44))), "")</f>
        <v/>
      </c>
      <c r="AB47" s="25">
        <f t="array" ref="AB47">IFERROR(INDEX('Bank Schedule'!AC:AC, SMALL(IF('Bank Schedule'!$K$2:$K$817="Vacant", ROW('Bank Schedule'!$K$2:$K$817)), ROW(44:44))), "")</f>
        <v/>
      </c>
      <c r="AC47" s="277">
        <f t="array" ref="AC47">IFERROR(INDEX('Bank Schedule'!AD:AD, SMALL(IF('Bank Schedule'!$K$2:$K$817="Vacant", ROW('Bank Schedule'!$K$2:$K$817)), ROW(44:44))), "")</f>
        <v/>
      </c>
      <c r="AD47" s="11">
        <f t="array" ref="AD47">IFERROR(INDEX('Bank Schedule'!AE:AE, SMALL(IF('Bank Schedule'!$K$2:$K$817="Vacant", ROW('Bank Schedule'!$K$2:$K$817)), ROW(44:44))), "")</f>
        <v/>
      </c>
      <c r="AE47" s="11">
        <f t="array" ref="AE47">IFERROR(INDEX('Bank Schedule'!AF:AF, SMALL(IF('Bank Schedule'!$K$2:$K$817="Vacant", ROW('Bank Schedule'!$K$2:$K$817)), ROW(44:44))), "")</f>
        <v/>
      </c>
      <c r="AF47" s="11">
        <f t="array" ref="AF47">IFERROR(INDEX('Bank Schedule'!AG:AG, SMALL(IF('Bank Schedule'!$K$2:$K$817="Vacant", ROW('Bank Schedule'!$K$2:$K$817)), ROW(44:44))), "")</f>
        <v/>
      </c>
      <c r="AG47" s="4" t="n"/>
    </row>
    <row r="48" ht="28.5" customHeight="1">
      <c r="A48" s="2">
        <f t="array" ref="A48">IFERROR(INDEX('Bank Schedule'!A:A, SMALL(IF('Bank Schedule'!$K$2:$K$817="Vacant", ROW('Bank Schedule'!$K$2:$K$817)), ROW(45:45))), "")</f>
        <v/>
      </c>
      <c r="B48" s="11">
        <f t="array" ref="B48">IFERROR(INDEX('Bank Schedule'!B:B, SMALL(IF('Bank Schedule'!$K$2:$K$817="Vacant", ROW('Bank Schedule'!$K$2:$K$817)), ROW(45:45))), "")</f>
        <v/>
      </c>
      <c r="C48" s="11">
        <f t="array" ref="C48">IFERROR(INDEX('Bank Schedule'!C:C, SMALL(IF('Bank Schedule'!$K$2:$K$817="Vacant", ROW('Bank Schedule'!$K$2:$K$817)), ROW(45:45))), "")</f>
        <v/>
      </c>
      <c r="D48" s="11">
        <f t="array" ref="D48">IFERROR(INDEX('Bank Schedule'!D:D, SMALL(IF('Bank Schedule'!$K$2:$K$817="Vacant", ROW('Bank Schedule'!$K$2:$K$817)), ROW(45:45))), "")</f>
        <v/>
      </c>
      <c r="E48" s="25">
        <f t="array" ref="E48">IFERROR(INDEX('Bank Schedule'!E:E, SMALL(IF('Bank Schedule'!$K$2:$K$817="Vacant", ROW('Bank Schedule'!$K$2:$K$817)), ROW(45:45))), "")</f>
        <v/>
      </c>
      <c r="F48" s="25">
        <f t="array" ref="F48">IFERROR(INDEX('Bank Schedule'!F:F, SMALL(IF('Bank Schedule'!$K$2:$K$817="Vacant", ROW('Bank Schedule'!$K$2:$K$817)), ROW(45:45))), "")</f>
        <v/>
      </c>
      <c r="G48" s="25">
        <f t="array" ref="G48">IFERROR(INDEX('Bank Schedule'!G:G, SMALL(IF('Bank Schedule'!$K$2:$K$817="Vacant", ROW('Bank Schedule'!$K$2:$K$817)), ROW(45:45))), "")</f>
        <v/>
      </c>
      <c r="H48" s="53">
        <f t="array" ref="H48">IFERROR(INDEX('Bank Schedule'!H:H, SMALL(IF('Bank Schedule'!$K$2:$K$817="Vacant", ROW('Bank Schedule'!$K$2:$K$817)), ROW(45:45))), "")</f>
        <v/>
      </c>
      <c r="I48" s="53">
        <f t="array" ref="I48">IFERROR(INDEX('Bank Schedule'!I:I, SMALL(IF('Bank Schedule'!$K$2:$K$817="Vacant", ROW('Bank Schedule'!$K$2:$K$817)), ROW(45:45))), "")</f>
        <v/>
      </c>
      <c r="J48" s="11">
        <f t="array" ref="J48">IFERROR(INDEX('Bank Schedule'!K:K, SMALL(IF('Bank Schedule'!$K$2:$K$817="Vacant", ROW('Bank Schedule'!$K$2:$K$817)), ROW(45:45))), "")</f>
        <v/>
      </c>
      <c r="K48" s="11">
        <f t="array" ref="K48">IFERROR(INDEX('Bank Schedule'!L:L, SMALL(IF('Bank Schedule'!$K$2:$K$817="Vacant", ROW('Bank Schedule'!$K$2:$K$817)), ROW(45:45))), "")</f>
        <v/>
      </c>
      <c r="L48" s="11">
        <f t="array" ref="L48">IFERROR(INDEX('Bank Schedule'!M:M, SMALL(IF('Bank Schedule'!$K$2:$K$817="Vacant", ROW('Bank Schedule'!$K$2:$K$817)), ROW(45:45))), "")</f>
        <v/>
      </c>
      <c r="M48" s="106">
        <f t="array" ref="M48">IFERROR(INDEX('Bank Schedule'!N:N, SMALL(IF('Bank Schedule'!$K$2:$K$817="Vacant", ROW('Bank Schedule'!$K$2:$K$817)), ROW(45:45))), "")</f>
        <v/>
      </c>
      <c r="N48" s="11">
        <f t="array" ref="N48">IFERROR(INDEX('Bank Schedule'!O:O, SMALL(IF('Bank Schedule'!$K$2:$K$817="Vacant", ROW('Bank Schedule'!$K$2:$K$817)), ROW(45:45))), "")</f>
        <v/>
      </c>
      <c r="O48" s="11">
        <f t="array" ref="O48">IFERROR(INDEX('Bank Schedule'!P:P, SMALL(IF('Bank Schedule'!$K$2:$K$817="Vacant", ROW('Bank Schedule'!$K$2:$K$817)), ROW(45:45))), "")</f>
        <v/>
      </c>
      <c r="P48" s="11">
        <f t="array" ref="P48">IFERROR(INDEX('Bank Schedule'!Q:Q, SMALL(IF('Bank Schedule'!$K$2:$K$817="Vacant", ROW('Bank Schedule'!$K$2:$K$817)), ROW(45:45))), "")</f>
        <v/>
      </c>
      <c r="Q48" s="11">
        <f t="array" ref="Q48">IFERROR(INDEX('Bank Schedule'!R:R, SMALL(IF('Bank Schedule'!$K$2:$K$817="Vacant", ROW('Bank Schedule'!$K$2:$K$817)), ROW(45:45))), "")</f>
        <v/>
      </c>
      <c r="R48" s="11">
        <f t="array" ref="R48">IFERROR(INDEX('Bank Schedule'!S:S, SMALL(IF('Bank Schedule'!$K$2:$K$817="Vacant", ROW('Bank Schedule'!$K$2:$K$817)), ROW(45:45))), "")</f>
        <v/>
      </c>
      <c r="S48" s="301">
        <f t="array" ref="S48">IFERROR(INDEX('Bank Schedule'!T:T, SMALL(IF('Bank Schedule'!$K$2:$K$817="Vacant", ROW('Bank Schedule'!$K$2:$K$817)), ROW(45:45))), "")</f>
        <v/>
      </c>
      <c r="T48" s="301">
        <f t="array" ref="T48">IFERROR(INDEX('Bank Schedule'!U:U, SMALL(IF('Bank Schedule'!$K$2:$K$817="Vacant", ROW('Bank Schedule'!$K$2:$K$817)), ROW(45:45))), "")</f>
        <v/>
      </c>
      <c r="U48" s="301">
        <f t="array" ref="U48">IFERROR(INDEX('Bank Schedule'!V:V, SMALL(IF('Bank Schedule'!$K$2:$K$817="Vacant", ROW('Bank Schedule'!$K$2:$K$817)), ROW(45:45))), "")</f>
        <v/>
      </c>
      <c r="V48" s="301">
        <f t="array" ref="V48">IFERROR(INDEX('Bank Schedule'!W:W, SMALL(IF('Bank Schedule'!$K$2:$K$817="Vacant", ROW('Bank Schedule'!$K$2:$K$817)), ROW(45:45))), "")</f>
        <v/>
      </c>
      <c r="W48" s="300">
        <f t="array" ref="W48">IFERROR(INDEX('Bank Schedule'!X:X, SMALL(IF('Bank Schedule'!$K$2:$K$817="Vacant", ROW('Bank Schedule'!$K$2:$K$817)), ROW(45:45))), "")</f>
        <v/>
      </c>
      <c r="X48" s="11">
        <f t="array" ref="X48">IFERROR(INDEX('Bank Schedule'!Y:Y, SMALL(IF('Bank Schedule'!$K$2:$K$817="Vacant", ROW('Bank Schedule'!$K$2:$K$817)), ROW(45:45))), "")</f>
        <v/>
      </c>
      <c r="Y48" s="11">
        <f t="array" ref="Y48">IFERROR(INDEX('Bank Schedule'!Z:Z, SMALL(IF('Bank Schedule'!$K$2:$K$817="Vacant", ROW('Bank Schedule'!$K$2:$K$817)), ROW(45:45))), "")</f>
        <v/>
      </c>
      <c r="Z48" s="11">
        <f t="array" ref="Z48">IFERROR(INDEX('Bank Schedule'!AA:AA, SMALL(IF('Bank Schedule'!$K$2:$K$817="Vacant", ROW('Bank Schedule'!$K$2:$K$817)), ROW(45:45))), "")</f>
        <v/>
      </c>
      <c r="AA48" s="11">
        <f t="array" ref="AA48">IFERROR(INDEX('Bank Schedule'!AB:AB, SMALL(IF('Bank Schedule'!$K$2:$K$817="Vacant", ROW('Bank Schedule'!$K$2:$K$817)), ROW(45:45))), "")</f>
        <v/>
      </c>
      <c r="AB48" s="25">
        <f t="array" ref="AB48">IFERROR(INDEX('Bank Schedule'!AC:AC, SMALL(IF('Bank Schedule'!$K$2:$K$817="Vacant", ROW('Bank Schedule'!$K$2:$K$817)), ROW(45:45))), "")</f>
        <v/>
      </c>
      <c r="AC48" s="277">
        <f t="array" ref="AC48">IFERROR(INDEX('Bank Schedule'!AD:AD, SMALL(IF('Bank Schedule'!$K$2:$K$817="Vacant", ROW('Bank Schedule'!$K$2:$K$817)), ROW(45:45))), "")</f>
        <v/>
      </c>
      <c r="AD48" s="11">
        <f t="array" ref="AD48">IFERROR(INDEX('Bank Schedule'!AE:AE, SMALL(IF('Bank Schedule'!$K$2:$K$817="Vacant", ROW('Bank Schedule'!$K$2:$K$817)), ROW(45:45))), "")</f>
        <v/>
      </c>
      <c r="AE48" s="11">
        <f t="array" ref="AE48">IFERROR(INDEX('Bank Schedule'!AF:AF, SMALL(IF('Bank Schedule'!$K$2:$K$817="Vacant", ROW('Bank Schedule'!$K$2:$K$817)), ROW(45:45))), "")</f>
        <v/>
      </c>
      <c r="AF48" s="11">
        <f t="array" ref="AF48">IFERROR(INDEX('Bank Schedule'!AG:AG, SMALL(IF('Bank Schedule'!$K$2:$K$817="Vacant", ROW('Bank Schedule'!$K$2:$K$817)), ROW(45:45))), "")</f>
        <v/>
      </c>
      <c r="AG48" s="4" t="n"/>
    </row>
    <row r="49" ht="28.5" customHeight="1">
      <c r="A49" s="2">
        <f t="array" ref="A49">IFERROR(INDEX('Bank Schedule'!A:A, SMALL(IF('Bank Schedule'!$K$2:$K$817="Vacant", ROW('Bank Schedule'!$K$2:$K$817)), ROW(46:46))), "")</f>
        <v/>
      </c>
      <c r="B49" s="11">
        <f t="array" ref="B49">IFERROR(INDEX('Bank Schedule'!B:B, SMALL(IF('Bank Schedule'!$K$2:$K$817="Vacant", ROW('Bank Schedule'!$K$2:$K$817)), ROW(46:46))), "")</f>
        <v/>
      </c>
      <c r="C49" s="11">
        <f t="array" ref="C49">IFERROR(INDEX('Bank Schedule'!C:C, SMALL(IF('Bank Schedule'!$K$2:$K$817="Vacant", ROW('Bank Schedule'!$K$2:$K$817)), ROW(46:46))), "")</f>
        <v/>
      </c>
      <c r="D49" s="11">
        <f t="array" ref="D49">IFERROR(INDEX('Bank Schedule'!D:D, SMALL(IF('Bank Schedule'!$K$2:$K$817="Vacant", ROW('Bank Schedule'!$K$2:$K$817)), ROW(46:46))), "")</f>
        <v/>
      </c>
      <c r="E49" s="25">
        <f t="array" ref="E49">IFERROR(INDEX('Bank Schedule'!E:E, SMALL(IF('Bank Schedule'!$K$2:$K$817="Vacant", ROW('Bank Schedule'!$K$2:$K$817)), ROW(46:46))), "")</f>
        <v/>
      </c>
      <c r="F49" s="25">
        <f t="array" ref="F49">IFERROR(INDEX('Bank Schedule'!F:F, SMALL(IF('Bank Schedule'!$K$2:$K$817="Vacant", ROW('Bank Schedule'!$K$2:$K$817)), ROW(46:46))), "")</f>
        <v/>
      </c>
      <c r="G49" s="25">
        <f t="array" ref="G49">IFERROR(INDEX('Bank Schedule'!G:G, SMALL(IF('Bank Schedule'!$K$2:$K$817="Vacant", ROW('Bank Schedule'!$K$2:$K$817)), ROW(46:46))), "")</f>
        <v/>
      </c>
      <c r="H49" s="53">
        <f t="array" ref="H49">IFERROR(INDEX('Bank Schedule'!H:H, SMALL(IF('Bank Schedule'!$K$2:$K$817="Vacant", ROW('Bank Schedule'!$K$2:$K$817)), ROW(46:46))), "")</f>
        <v/>
      </c>
      <c r="I49" s="53">
        <f t="array" ref="I49">IFERROR(INDEX('Bank Schedule'!I:I, SMALL(IF('Bank Schedule'!$K$2:$K$817="Vacant", ROW('Bank Schedule'!$K$2:$K$817)), ROW(46:46))), "")</f>
        <v/>
      </c>
      <c r="J49" s="11">
        <f t="array" ref="J49">IFERROR(INDEX('Bank Schedule'!K:K, SMALL(IF('Bank Schedule'!$K$2:$K$817="Vacant", ROW('Bank Schedule'!$K$2:$K$817)), ROW(46:46))), "")</f>
        <v/>
      </c>
      <c r="K49" s="11">
        <f t="array" ref="K49">IFERROR(INDEX('Bank Schedule'!L:L, SMALL(IF('Bank Schedule'!$K$2:$K$817="Vacant", ROW('Bank Schedule'!$K$2:$K$817)), ROW(46:46))), "")</f>
        <v/>
      </c>
      <c r="L49" s="11">
        <f t="array" ref="L49">IFERROR(INDEX('Bank Schedule'!M:M, SMALL(IF('Bank Schedule'!$K$2:$K$817="Vacant", ROW('Bank Schedule'!$K$2:$K$817)), ROW(46:46))), "")</f>
        <v/>
      </c>
      <c r="M49" s="106">
        <f t="array" ref="M49">IFERROR(INDEX('Bank Schedule'!N:N, SMALL(IF('Bank Schedule'!$K$2:$K$817="Vacant", ROW('Bank Schedule'!$K$2:$K$817)), ROW(46:46))), "")</f>
        <v/>
      </c>
      <c r="N49" s="11">
        <f t="array" ref="N49">IFERROR(INDEX('Bank Schedule'!O:O, SMALL(IF('Bank Schedule'!$K$2:$K$817="Vacant", ROW('Bank Schedule'!$K$2:$K$817)), ROW(46:46))), "")</f>
        <v/>
      </c>
      <c r="O49" s="11">
        <f t="array" ref="O49">IFERROR(INDEX('Bank Schedule'!P:P, SMALL(IF('Bank Schedule'!$K$2:$K$817="Vacant", ROW('Bank Schedule'!$K$2:$K$817)), ROW(46:46))), "")</f>
        <v/>
      </c>
      <c r="P49" s="11">
        <f t="array" ref="P49">IFERROR(INDEX('Bank Schedule'!Q:Q, SMALL(IF('Bank Schedule'!$K$2:$K$817="Vacant", ROW('Bank Schedule'!$K$2:$K$817)), ROW(46:46))), "")</f>
        <v/>
      </c>
      <c r="Q49" s="11">
        <f t="array" ref="Q49">IFERROR(INDEX('Bank Schedule'!R:R, SMALL(IF('Bank Schedule'!$K$2:$K$817="Vacant", ROW('Bank Schedule'!$K$2:$K$817)), ROW(46:46))), "")</f>
        <v/>
      </c>
      <c r="R49" s="11">
        <f t="array" ref="R49">IFERROR(INDEX('Bank Schedule'!S:S, SMALL(IF('Bank Schedule'!$K$2:$K$817="Vacant", ROW('Bank Schedule'!$K$2:$K$817)), ROW(46:46))), "")</f>
        <v/>
      </c>
      <c r="S49" s="301">
        <f t="array" ref="S49">IFERROR(INDEX('Bank Schedule'!T:T, SMALL(IF('Bank Schedule'!$K$2:$K$817="Vacant", ROW('Bank Schedule'!$K$2:$K$817)), ROW(46:46))), "")</f>
        <v/>
      </c>
      <c r="T49" s="301">
        <f t="array" ref="T49">IFERROR(INDEX('Bank Schedule'!U:U, SMALL(IF('Bank Schedule'!$K$2:$K$817="Vacant", ROW('Bank Schedule'!$K$2:$K$817)), ROW(46:46))), "")</f>
        <v/>
      </c>
      <c r="U49" s="301">
        <f t="array" ref="U49">IFERROR(INDEX('Bank Schedule'!V:V, SMALL(IF('Bank Schedule'!$K$2:$K$817="Vacant", ROW('Bank Schedule'!$K$2:$K$817)), ROW(46:46))), "")</f>
        <v/>
      </c>
      <c r="V49" s="301">
        <f t="array" ref="V49">IFERROR(INDEX('Bank Schedule'!W:W, SMALL(IF('Bank Schedule'!$K$2:$K$817="Vacant", ROW('Bank Schedule'!$K$2:$K$817)), ROW(46:46))), "")</f>
        <v/>
      </c>
      <c r="W49" s="300">
        <f t="array" ref="W49">IFERROR(INDEX('Bank Schedule'!X:X, SMALL(IF('Bank Schedule'!$K$2:$K$817="Vacant", ROW('Bank Schedule'!$K$2:$K$817)), ROW(46:46))), "")</f>
        <v/>
      </c>
      <c r="X49" s="11">
        <f t="array" ref="X49">IFERROR(INDEX('Bank Schedule'!Y:Y, SMALL(IF('Bank Schedule'!$K$2:$K$817="Vacant", ROW('Bank Schedule'!$K$2:$K$817)), ROW(46:46))), "")</f>
        <v/>
      </c>
      <c r="Y49" s="11">
        <f t="array" ref="Y49">IFERROR(INDEX('Bank Schedule'!Z:Z, SMALL(IF('Bank Schedule'!$K$2:$K$817="Vacant", ROW('Bank Schedule'!$K$2:$K$817)), ROW(46:46))), "")</f>
        <v/>
      </c>
      <c r="Z49" s="11">
        <f t="array" ref="Z49">IFERROR(INDEX('Bank Schedule'!AA:AA, SMALL(IF('Bank Schedule'!$K$2:$K$817="Vacant", ROW('Bank Schedule'!$K$2:$K$817)), ROW(46:46))), "")</f>
        <v/>
      </c>
      <c r="AA49" s="11">
        <f t="array" ref="AA49">IFERROR(INDEX('Bank Schedule'!AB:AB, SMALL(IF('Bank Schedule'!$K$2:$K$817="Vacant", ROW('Bank Schedule'!$K$2:$K$817)), ROW(46:46))), "")</f>
        <v/>
      </c>
      <c r="AB49" s="25">
        <f t="array" ref="AB49">IFERROR(INDEX('Bank Schedule'!AC:AC, SMALL(IF('Bank Schedule'!$K$2:$K$817="Vacant", ROW('Bank Schedule'!$K$2:$K$817)), ROW(46:46))), "")</f>
        <v/>
      </c>
      <c r="AC49" s="277">
        <f t="array" ref="AC49">IFERROR(INDEX('Bank Schedule'!AD:AD, SMALL(IF('Bank Schedule'!$K$2:$K$817="Vacant", ROW('Bank Schedule'!$K$2:$K$817)), ROW(46:46))), "")</f>
        <v/>
      </c>
      <c r="AD49" s="11">
        <f t="array" ref="AD49">IFERROR(INDEX('Bank Schedule'!AE:AE, SMALL(IF('Bank Schedule'!$K$2:$K$817="Vacant", ROW('Bank Schedule'!$K$2:$K$817)), ROW(46:46))), "")</f>
        <v/>
      </c>
      <c r="AE49" s="11">
        <f t="array" ref="AE49">IFERROR(INDEX('Bank Schedule'!AF:AF, SMALL(IF('Bank Schedule'!$K$2:$K$817="Vacant", ROW('Bank Schedule'!$K$2:$K$817)), ROW(46:46))), "")</f>
        <v/>
      </c>
      <c r="AF49" s="11">
        <f t="array" ref="AF49">IFERROR(INDEX('Bank Schedule'!AG:AG, SMALL(IF('Bank Schedule'!$K$2:$K$817="Vacant", ROW('Bank Schedule'!$K$2:$K$817)), ROW(46:46))), "")</f>
        <v/>
      </c>
      <c r="AG49" s="4" t="n"/>
    </row>
    <row r="50" ht="28.5" customHeight="1">
      <c r="A50" s="2">
        <f t="array" ref="A50">IFERROR(INDEX('Bank Schedule'!A:A, SMALL(IF('Bank Schedule'!$K$2:$K$817="Vacant", ROW('Bank Schedule'!$K$2:$K$817)), ROW(47:47))), "")</f>
        <v/>
      </c>
      <c r="B50" s="11">
        <f t="array" ref="B50">IFERROR(INDEX('Bank Schedule'!B:B, SMALL(IF('Bank Schedule'!$K$2:$K$817="Vacant", ROW('Bank Schedule'!$K$2:$K$817)), ROW(47:47))), "")</f>
        <v/>
      </c>
      <c r="C50" s="11">
        <f t="array" ref="C50">IFERROR(INDEX('Bank Schedule'!C:C, SMALL(IF('Bank Schedule'!$K$2:$K$817="Vacant", ROW('Bank Schedule'!$K$2:$K$817)), ROW(47:47))), "")</f>
        <v/>
      </c>
      <c r="D50" s="11">
        <f t="array" ref="D50">IFERROR(INDEX('Bank Schedule'!D:D, SMALL(IF('Bank Schedule'!$K$2:$K$817="Vacant", ROW('Bank Schedule'!$K$2:$K$817)), ROW(47:47))), "")</f>
        <v/>
      </c>
      <c r="E50" s="25">
        <f t="array" ref="E50">IFERROR(INDEX('Bank Schedule'!E:E, SMALL(IF('Bank Schedule'!$K$2:$K$817="Vacant", ROW('Bank Schedule'!$K$2:$K$817)), ROW(47:47))), "")</f>
        <v/>
      </c>
      <c r="F50" s="25">
        <f t="array" ref="F50">IFERROR(INDEX('Bank Schedule'!F:F, SMALL(IF('Bank Schedule'!$K$2:$K$817="Vacant", ROW('Bank Schedule'!$K$2:$K$817)), ROW(47:47))), "")</f>
        <v/>
      </c>
      <c r="G50" s="25">
        <f t="array" ref="G50">IFERROR(INDEX('Bank Schedule'!G:G, SMALL(IF('Bank Schedule'!$K$2:$K$817="Vacant", ROW('Bank Schedule'!$K$2:$K$817)), ROW(47:47))), "")</f>
        <v/>
      </c>
      <c r="H50" s="53">
        <f t="array" ref="H50">IFERROR(INDEX('Bank Schedule'!H:H, SMALL(IF('Bank Schedule'!$K$2:$K$817="Vacant", ROW('Bank Schedule'!$K$2:$K$817)), ROW(47:47))), "")</f>
        <v/>
      </c>
      <c r="I50" s="53">
        <f t="array" ref="I50">IFERROR(INDEX('Bank Schedule'!I:I, SMALL(IF('Bank Schedule'!$K$2:$K$817="Vacant", ROW('Bank Schedule'!$K$2:$K$817)), ROW(47:47))), "")</f>
        <v/>
      </c>
      <c r="J50" s="11">
        <f t="array" ref="J50">IFERROR(INDEX('Bank Schedule'!K:K, SMALL(IF('Bank Schedule'!$K$2:$K$817="Vacant", ROW('Bank Schedule'!$K$2:$K$817)), ROW(47:47))), "")</f>
        <v/>
      </c>
      <c r="K50" s="11">
        <f t="array" ref="K50">IFERROR(INDEX('Bank Schedule'!L:L, SMALL(IF('Bank Schedule'!$K$2:$K$817="Vacant", ROW('Bank Schedule'!$K$2:$K$817)), ROW(47:47))), "")</f>
        <v/>
      </c>
      <c r="L50" s="11">
        <f t="array" ref="L50">IFERROR(INDEX('Bank Schedule'!M:M, SMALL(IF('Bank Schedule'!$K$2:$K$817="Vacant", ROW('Bank Schedule'!$K$2:$K$817)), ROW(47:47))), "")</f>
        <v/>
      </c>
      <c r="M50" s="106">
        <f t="array" ref="M50">IFERROR(INDEX('Bank Schedule'!N:N, SMALL(IF('Bank Schedule'!$K$2:$K$817="Vacant", ROW('Bank Schedule'!$K$2:$K$817)), ROW(47:47))), "")</f>
        <v/>
      </c>
      <c r="N50" s="11">
        <f t="array" ref="N50">IFERROR(INDEX('Bank Schedule'!O:O, SMALL(IF('Bank Schedule'!$K$2:$K$817="Vacant", ROW('Bank Schedule'!$K$2:$K$817)), ROW(47:47))), "")</f>
        <v/>
      </c>
      <c r="O50" s="11">
        <f t="array" ref="O50">IFERROR(INDEX('Bank Schedule'!P:P, SMALL(IF('Bank Schedule'!$K$2:$K$817="Vacant", ROW('Bank Schedule'!$K$2:$K$817)), ROW(47:47))), "")</f>
        <v/>
      </c>
      <c r="P50" s="11">
        <f t="array" ref="P50">IFERROR(INDEX('Bank Schedule'!Q:Q, SMALL(IF('Bank Schedule'!$K$2:$K$817="Vacant", ROW('Bank Schedule'!$K$2:$K$817)), ROW(47:47))), "")</f>
        <v/>
      </c>
      <c r="Q50" s="11">
        <f t="array" ref="Q50">IFERROR(INDEX('Bank Schedule'!R:R, SMALL(IF('Bank Schedule'!$K$2:$K$817="Vacant", ROW('Bank Schedule'!$K$2:$K$817)), ROW(47:47))), "")</f>
        <v/>
      </c>
      <c r="R50" s="11">
        <f t="array" ref="R50">IFERROR(INDEX('Bank Schedule'!S:S, SMALL(IF('Bank Schedule'!$K$2:$K$817="Vacant", ROW('Bank Schedule'!$K$2:$K$817)), ROW(47:47))), "")</f>
        <v/>
      </c>
      <c r="S50" s="301">
        <f t="array" ref="S50">IFERROR(INDEX('Bank Schedule'!T:T, SMALL(IF('Bank Schedule'!$K$2:$K$817="Vacant", ROW('Bank Schedule'!$K$2:$K$817)), ROW(47:47))), "")</f>
        <v/>
      </c>
      <c r="T50" s="301">
        <f t="array" ref="T50">IFERROR(INDEX('Bank Schedule'!U:U, SMALL(IF('Bank Schedule'!$K$2:$K$817="Vacant", ROW('Bank Schedule'!$K$2:$K$817)), ROW(47:47))), "")</f>
        <v/>
      </c>
      <c r="U50" s="301">
        <f t="array" ref="U50">IFERROR(INDEX('Bank Schedule'!V:V, SMALL(IF('Bank Schedule'!$K$2:$K$817="Vacant", ROW('Bank Schedule'!$K$2:$K$817)), ROW(47:47))), "")</f>
        <v/>
      </c>
      <c r="V50" s="301">
        <f t="array" ref="V50">IFERROR(INDEX('Bank Schedule'!W:W, SMALL(IF('Bank Schedule'!$K$2:$K$817="Vacant", ROW('Bank Schedule'!$K$2:$K$817)), ROW(47:47))), "")</f>
        <v/>
      </c>
      <c r="W50" s="300">
        <f t="array" ref="W50">IFERROR(INDEX('Bank Schedule'!X:X, SMALL(IF('Bank Schedule'!$K$2:$K$817="Vacant", ROW('Bank Schedule'!$K$2:$K$817)), ROW(47:47))), "")</f>
        <v/>
      </c>
      <c r="X50" s="11">
        <f t="array" ref="X50">IFERROR(INDEX('Bank Schedule'!Y:Y, SMALL(IF('Bank Schedule'!$K$2:$K$817="Vacant", ROW('Bank Schedule'!$K$2:$K$817)), ROW(47:47))), "")</f>
        <v/>
      </c>
      <c r="Y50" s="11">
        <f t="array" ref="Y50">IFERROR(INDEX('Bank Schedule'!Z:Z, SMALL(IF('Bank Schedule'!$K$2:$K$817="Vacant", ROW('Bank Schedule'!$K$2:$K$817)), ROW(47:47))), "")</f>
        <v/>
      </c>
      <c r="Z50" s="11">
        <f t="array" ref="Z50">IFERROR(INDEX('Bank Schedule'!AA:AA, SMALL(IF('Bank Schedule'!$K$2:$K$817="Vacant", ROW('Bank Schedule'!$K$2:$K$817)), ROW(47:47))), "")</f>
        <v/>
      </c>
      <c r="AA50" s="11">
        <f t="array" ref="AA50">IFERROR(INDEX('Bank Schedule'!AB:AB, SMALL(IF('Bank Schedule'!$K$2:$K$817="Vacant", ROW('Bank Schedule'!$K$2:$K$817)), ROW(47:47))), "")</f>
        <v/>
      </c>
      <c r="AB50" s="25">
        <f t="array" ref="AB50">IFERROR(INDEX('Bank Schedule'!AC:AC, SMALL(IF('Bank Schedule'!$K$2:$K$817="Vacant", ROW('Bank Schedule'!$K$2:$K$817)), ROW(47:47))), "")</f>
        <v/>
      </c>
      <c r="AC50" s="277">
        <f t="array" ref="AC50">IFERROR(INDEX('Bank Schedule'!AD:AD, SMALL(IF('Bank Schedule'!$K$2:$K$817="Vacant", ROW('Bank Schedule'!$K$2:$K$817)), ROW(47:47))), "")</f>
        <v/>
      </c>
      <c r="AD50" s="11">
        <f t="array" ref="AD50">IFERROR(INDEX('Bank Schedule'!AE:AE, SMALL(IF('Bank Schedule'!$K$2:$K$817="Vacant", ROW('Bank Schedule'!$K$2:$K$817)), ROW(47:47))), "")</f>
        <v/>
      </c>
      <c r="AE50" s="11">
        <f t="array" ref="AE50">IFERROR(INDEX('Bank Schedule'!AF:AF, SMALL(IF('Bank Schedule'!$K$2:$K$817="Vacant", ROW('Bank Schedule'!$K$2:$K$817)), ROW(47:47))), "")</f>
        <v/>
      </c>
      <c r="AF50" s="11">
        <f t="array" ref="AF50">IFERROR(INDEX('Bank Schedule'!AG:AG, SMALL(IF('Bank Schedule'!$K$2:$K$817="Vacant", ROW('Bank Schedule'!$K$2:$K$817)), ROW(47:47))), "")</f>
        <v/>
      </c>
      <c r="AG50" s="4" t="n"/>
    </row>
    <row r="51" ht="28.5" customHeight="1">
      <c r="A51" s="2">
        <f t="array" ref="A51">IFERROR(INDEX('Bank Schedule'!A:A, SMALL(IF('Bank Schedule'!$K$2:$K$817="Vacant", ROW('Bank Schedule'!$K$2:$K$817)), ROW(48:48))), "")</f>
        <v/>
      </c>
      <c r="B51" s="11">
        <f t="array" ref="B51">IFERROR(INDEX('Bank Schedule'!B:B, SMALL(IF('Bank Schedule'!$K$2:$K$817="Vacant", ROW('Bank Schedule'!$K$2:$K$817)), ROW(48:48))), "")</f>
        <v/>
      </c>
      <c r="C51" s="11">
        <f t="array" ref="C51">IFERROR(INDEX('Bank Schedule'!C:C, SMALL(IF('Bank Schedule'!$K$2:$K$817="Vacant", ROW('Bank Schedule'!$K$2:$K$817)), ROW(48:48))), "")</f>
        <v/>
      </c>
      <c r="D51" s="11">
        <f t="array" ref="D51">IFERROR(INDEX('Bank Schedule'!D:D, SMALL(IF('Bank Schedule'!$K$2:$K$817="Vacant", ROW('Bank Schedule'!$K$2:$K$817)), ROW(48:48))), "")</f>
        <v/>
      </c>
      <c r="E51" s="25">
        <f t="array" ref="E51">IFERROR(INDEX('Bank Schedule'!E:E, SMALL(IF('Bank Schedule'!$K$2:$K$817="Vacant", ROW('Bank Schedule'!$K$2:$K$817)), ROW(48:48))), "")</f>
        <v/>
      </c>
      <c r="F51" s="25">
        <f t="array" ref="F51">IFERROR(INDEX('Bank Schedule'!F:F, SMALL(IF('Bank Schedule'!$K$2:$K$817="Vacant", ROW('Bank Schedule'!$K$2:$K$817)), ROW(48:48))), "")</f>
        <v/>
      </c>
      <c r="G51" s="25">
        <f t="array" ref="G51">IFERROR(INDEX('Bank Schedule'!G:G, SMALL(IF('Bank Schedule'!$K$2:$K$817="Vacant", ROW('Bank Schedule'!$K$2:$K$817)), ROW(48:48))), "")</f>
        <v/>
      </c>
      <c r="H51" s="53">
        <f t="array" ref="H51">IFERROR(INDEX('Bank Schedule'!H:H, SMALL(IF('Bank Schedule'!$K$2:$K$817="Vacant", ROW('Bank Schedule'!$K$2:$K$817)), ROW(48:48))), "")</f>
        <v/>
      </c>
      <c r="I51" s="53">
        <f t="array" ref="I51">IFERROR(INDEX('Bank Schedule'!I:I, SMALL(IF('Bank Schedule'!$K$2:$K$817="Vacant", ROW('Bank Schedule'!$K$2:$K$817)), ROW(48:48))), "")</f>
        <v/>
      </c>
      <c r="J51" s="11">
        <f t="array" ref="J51">IFERROR(INDEX('Bank Schedule'!K:K, SMALL(IF('Bank Schedule'!$K$2:$K$817="Vacant", ROW('Bank Schedule'!$K$2:$K$817)), ROW(48:48))), "")</f>
        <v/>
      </c>
      <c r="K51" s="11">
        <f t="array" ref="K51">IFERROR(INDEX('Bank Schedule'!L:L, SMALL(IF('Bank Schedule'!$K$2:$K$817="Vacant", ROW('Bank Schedule'!$K$2:$K$817)), ROW(48:48))), "")</f>
        <v/>
      </c>
      <c r="L51" s="11">
        <f t="array" ref="L51">IFERROR(INDEX('Bank Schedule'!M:M, SMALL(IF('Bank Schedule'!$K$2:$K$817="Vacant", ROW('Bank Schedule'!$K$2:$K$817)), ROW(48:48))), "")</f>
        <v/>
      </c>
      <c r="M51" s="106">
        <f t="array" ref="M51">IFERROR(INDEX('Bank Schedule'!N:N, SMALL(IF('Bank Schedule'!$K$2:$K$817="Vacant", ROW('Bank Schedule'!$K$2:$K$817)), ROW(48:48))), "")</f>
        <v/>
      </c>
      <c r="N51" s="11">
        <f t="array" ref="N51">IFERROR(INDEX('Bank Schedule'!O:O, SMALL(IF('Bank Schedule'!$K$2:$K$817="Vacant", ROW('Bank Schedule'!$K$2:$K$817)), ROW(48:48))), "")</f>
        <v/>
      </c>
      <c r="O51" s="11">
        <f t="array" ref="O51">IFERROR(INDEX('Bank Schedule'!P:P, SMALL(IF('Bank Schedule'!$K$2:$K$817="Vacant", ROW('Bank Schedule'!$K$2:$K$817)), ROW(48:48))), "")</f>
        <v/>
      </c>
      <c r="P51" s="11">
        <f t="array" ref="P51">IFERROR(INDEX('Bank Schedule'!Q:Q, SMALL(IF('Bank Schedule'!$K$2:$K$817="Vacant", ROW('Bank Schedule'!$K$2:$K$817)), ROW(48:48))), "")</f>
        <v/>
      </c>
      <c r="Q51" s="11">
        <f t="array" ref="Q51">IFERROR(INDEX('Bank Schedule'!R:R, SMALL(IF('Bank Schedule'!$K$2:$K$817="Vacant", ROW('Bank Schedule'!$K$2:$K$817)), ROW(48:48))), "")</f>
        <v/>
      </c>
      <c r="R51" s="11">
        <f t="array" ref="R51">IFERROR(INDEX('Bank Schedule'!S:S, SMALL(IF('Bank Schedule'!$K$2:$K$817="Vacant", ROW('Bank Schedule'!$K$2:$K$817)), ROW(48:48))), "")</f>
        <v/>
      </c>
      <c r="S51" s="301">
        <f t="array" ref="S51">IFERROR(INDEX('Bank Schedule'!T:T, SMALL(IF('Bank Schedule'!$K$2:$K$817="Vacant", ROW('Bank Schedule'!$K$2:$K$817)), ROW(48:48))), "")</f>
        <v/>
      </c>
      <c r="T51" s="301">
        <f t="array" ref="T51">IFERROR(INDEX('Bank Schedule'!U:U, SMALL(IF('Bank Schedule'!$K$2:$K$817="Vacant", ROW('Bank Schedule'!$K$2:$K$817)), ROW(48:48))), "")</f>
        <v/>
      </c>
      <c r="U51" s="301">
        <f t="array" ref="U51">IFERROR(INDEX('Bank Schedule'!V:V, SMALL(IF('Bank Schedule'!$K$2:$K$817="Vacant", ROW('Bank Schedule'!$K$2:$K$817)), ROW(48:48))), "")</f>
        <v/>
      </c>
      <c r="V51" s="301">
        <f t="array" ref="V51">IFERROR(INDEX('Bank Schedule'!W:W, SMALL(IF('Bank Schedule'!$K$2:$K$817="Vacant", ROW('Bank Schedule'!$K$2:$K$817)), ROW(48:48))), "")</f>
        <v/>
      </c>
      <c r="W51" s="300">
        <f t="array" ref="W51">IFERROR(INDEX('Bank Schedule'!X:X, SMALL(IF('Bank Schedule'!$K$2:$K$817="Vacant", ROW('Bank Schedule'!$K$2:$K$817)), ROW(48:48))), "")</f>
        <v/>
      </c>
      <c r="X51" s="11">
        <f t="array" ref="X51">IFERROR(INDEX('Bank Schedule'!Y:Y, SMALL(IF('Bank Schedule'!$K$2:$K$817="Vacant", ROW('Bank Schedule'!$K$2:$K$817)), ROW(48:48))), "")</f>
        <v/>
      </c>
      <c r="Y51" s="11">
        <f t="array" ref="Y51">IFERROR(INDEX('Bank Schedule'!Z:Z, SMALL(IF('Bank Schedule'!$K$2:$K$817="Vacant", ROW('Bank Schedule'!$K$2:$K$817)), ROW(48:48))), "")</f>
        <v/>
      </c>
      <c r="Z51" s="11">
        <f t="array" ref="Z51">IFERROR(INDEX('Bank Schedule'!AA:AA, SMALL(IF('Bank Schedule'!$K$2:$K$817="Vacant", ROW('Bank Schedule'!$K$2:$K$817)), ROW(48:48))), "")</f>
        <v/>
      </c>
      <c r="AA51" s="11">
        <f t="array" ref="AA51">IFERROR(INDEX('Bank Schedule'!AB:AB, SMALL(IF('Bank Schedule'!$K$2:$K$817="Vacant", ROW('Bank Schedule'!$K$2:$K$817)), ROW(48:48))), "")</f>
        <v/>
      </c>
      <c r="AB51" s="25">
        <f t="array" ref="AB51">IFERROR(INDEX('Bank Schedule'!AC:AC, SMALL(IF('Bank Schedule'!$K$2:$K$817="Vacant", ROW('Bank Schedule'!$K$2:$K$817)), ROW(48:48))), "")</f>
        <v/>
      </c>
      <c r="AC51" s="277">
        <f t="array" ref="AC51">IFERROR(INDEX('Bank Schedule'!AD:AD, SMALL(IF('Bank Schedule'!$K$2:$K$817="Vacant", ROW('Bank Schedule'!$K$2:$K$817)), ROW(48:48))), "")</f>
        <v/>
      </c>
      <c r="AD51" s="11">
        <f t="array" ref="AD51">IFERROR(INDEX('Bank Schedule'!AE:AE, SMALL(IF('Bank Schedule'!$K$2:$K$817="Vacant", ROW('Bank Schedule'!$K$2:$K$817)), ROW(48:48))), "")</f>
        <v/>
      </c>
      <c r="AE51" s="11">
        <f t="array" ref="AE51">IFERROR(INDEX('Bank Schedule'!AF:AF, SMALL(IF('Bank Schedule'!$K$2:$K$817="Vacant", ROW('Bank Schedule'!$K$2:$K$817)), ROW(48:48))), "")</f>
        <v/>
      </c>
      <c r="AF51" s="11">
        <f t="array" ref="AF51">IFERROR(INDEX('Bank Schedule'!AG:AG, SMALL(IF('Bank Schedule'!$K$2:$K$817="Vacant", ROW('Bank Schedule'!$K$2:$K$817)), ROW(48:48))), "")</f>
        <v/>
      </c>
      <c r="AG51" s="4" t="n"/>
    </row>
    <row r="52" ht="28.5" customHeight="1">
      <c r="A52" s="2">
        <f t="array" ref="A52">IFERROR(INDEX('Bank Schedule'!A:A, SMALL(IF('Bank Schedule'!$K$2:$K$817="Vacant", ROW('Bank Schedule'!$K$2:$K$817)), ROW(49:49))), "")</f>
        <v/>
      </c>
      <c r="B52" s="11">
        <f t="array" ref="B52">IFERROR(INDEX('Bank Schedule'!B:B, SMALL(IF('Bank Schedule'!$K$2:$K$817="Vacant", ROW('Bank Schedule'!$K$2:$K$817)), ROW(49:49))), "")</f>
        <v/>
      </c>
      <c r="C52" s="11">
        <f t="array" ref="C52">IFERROR(INDEX('Bank Schedule'!C:C, SMALL(IF('Bank Schedule'!$K$2:$K$817="Vacant", ROW('Bank Schedule'!$K$2:$K$817)), ROW(49:49))), "")</f>
        <v/>
      </c>
      <c r="D52" s="11">
        <f t="array" ref="D52">IFERROR(INDEX('Bank Schedule'!D:D, SMALL(IF('Bank Schedule'!$K$2:$K$817="Vacant", ROW('Bank Schedule'!$K$2:$K$817)), ROW(49:49))), "")</f>
        <v/>
      </c>
      <c r="E52" s="25">
        <f t="array" ref="E52">IFERROR(INDEX('Bank Schedule'!E:E, SMALL(IF('Bank Schedule'!$K$2:$K$817="Vacant", ROW('Bank Schedule'!$K$2:$K$817)), ROW(49:49))), "")</f>
        <v/>
      </c>
      <c r="F52" s="25">
        <f t="array" ref="F52">IFERROR(INDEX('Bank Schedule'!F:F, SMALL(IF('Bank Schedule'!$K$2:$K$817="Vacant", ROW('Bank Schedule'!$K$2:$K$817)), ROW(49:49))), "")</f>
        <v/>
      </c>
      <c r="G52" s="25">
        <f t="array" ref="G52">IFERROR(INDEX('Bank Schedule'!G:G, SMALL(IF('Bank Schedule'!$K$2:$K$817="Vacant", ROW('Bank Schedule'!$K$2:$K$817)), ROW(49:49))), "")</f>
        <v/>
      </c>
      <c r="H52" s="53">
        <f t="array" ref="H52">IFERROR(INDEX('Bank Schedule'!H:H, SMALL(IF('Bank Schedule'!$K$2:$K$817="Vacant", ROW('Bank Schedule'!$K$2:$K$817)), ROW(49:49))), "")</f>
        <v/>
      </c>
      <c r="I52" s="53">
        <f t="array" ref="I52">IFERROR(INDEX('Bank Schedule'!I:I, SMALL(IF('Bank Schedule'!$K$2:$K$817="Vacant", ROW('Bank Schedule'!$K$2:$K$817)), ROW(49:49))), "")</f>
        <v/>
      </c>
      <c r="J52" s="11">
        <f t="array" ref="J52">IFERROR(INDEX('Bank Schedule'!K:K, SMALL(IF('Bank Schedule'!$K$2:$K$817="Vacant", ROW('Bank Schedule'!$K$2:$K$817)), ROW(49:49))), "")</f>
        <v/>
      </c>
      <c r="K52" s="11">
        <f t="array" ref="K52">IFERROR(INDEX('Bank Schedule'!L:L, SMALL(IF('Bank Schedule'!$K$2:$K$817="Vacant", ROW('Bank Schedule'!$K$2:$K$817)), ROW(49:49))), "")</f>
        <v/>
      </c>
      <c r="L52" s="11">
        <f t="array" ref="L52">IFERROR(INDEX('Bank Schedule'!M:M, SMALL(IF('Bank Schedule'!$K$2:$K$817="Vacant", ROW('Bank Schedule'!$K$2:$K$817)), ROW(49:49))), "")</f>
        <v/>
      </c>
      <c r="M52" s="106">
        <f t="array" ref="M52">IFERROR(INDEX('Bank Schedule'!N:N, SMALL(IF('Bank Schedule'!$K$2:$K$817="Vacant", ROW('Bank Schedule'!$K$2:$K$817)), ROW(49:49))), "")</f>
        <v/>
      </c>
      <c r="N52" s="11">
        <f t="array" ref="N52">IFERROR(INDEX('Bank Schedule'!O:O, SMALL(IF('Bank Schedule'!$K$2:$K$817="Vacant", ROW('Bank Schedule'!$K$2:$K$817)), ROW(49:49))), "")</f>
        <v/>
      </c>
      <c r="O52" s="11">
        <f t="array" ref="O52">IFERROR(INDEX('Bank Schedule'!P:P, SMALL(IF('Bank Schedule'!$K$2:$K$817="Vacant", ROW('Bank Schedule'!$K$2:$K$817)), ROW(49:49))), "")</f>
        <v/>
      </c>
      <c r="P52" s="11">
        <f t="array" ref="P52">IFERROR(INDEX('Bank Schedule'!Q:Q, SMALL(IF('Bank Schedule'!$K$2:$K$817="Vacant", ROW('Bank Schedule'!$K$2:$K$817)), ROW(49:49))), "")</f>
        <v/>
      </c>
      <c r="Q52" s="11">
        <f t="array" ref="Q52">IFERROR(INDEX('Bank Schedule'!R:R, SMALL(IF('Bank Schedule'!$K$2:$K$817="Vacant", ROW('Bank Schedule'!$K$2:$K$817)), ROW(49:49))), "")</f>
        <v/>
      </c>
      <c r="R52" s="11">
        <f t="array" ref="R52">IFERROR(INDEX('Bank Schedule'!S:S, SMALL(IF('Bank Schedule'!$K$2:$K$817="Vacant", ROW('Bank Schedule'!$K$2:$K$817)), ROW(49:49))), "")</f>
        <v/>
      </c>
      <c r="S52" s="301">
        <f t="array" ref="S52">IFERROR(INDEX('Bank Schedule'!T:T, SMALL(IF('Bank Schedule'!$K$2:$K$817="Vacant", ROW('Bank Schedule'!$K$2:$K$817)), ROW(49:49))), "")</f>
        <v/>
      </c>
      <c r="T52" s="301">
        <f t="array" ref="T52">IFERROR(INDEX('Bank Schedule'!U:U, SMALL(IF('Bank Schedule'!$K$2:$K$817="Vacant", ROW('Bank Schedule'!$K$2:$K$817)), ROW(49:49))), "")</f>
        <v/>
      </c>
      <c r="U52" s="301">
        <f t="array" ref="U52">IFERROR(INDEX('Bank Schedule'!V:V, SMALL(IF('Bank Schedule'!$K$2:$K$817="Vacant", ROW('Bank Schedule'!$K$2:$K$817)), ROW(49:49))), "")</f>
        <v/>
      </c>
      <c r="V52" s="301">
        <f t="array" ref="V52">IFERROR(INDEX('Bank Schedule'!W:W, SMALL(IF('Bank Schedule'!$K$2:$K$817="Vacant", ROW('Bank Schedule'!$K$2:$K$817)), ROW(49:49))), "")</f>
        <v/>
      </c>
      <c r="W52" s="300">
        <f t="array" ref="W52">IFERROR(INDEX('Bank Schedule'!X:X, SMALL(IF('Bank Schedule'!$K$2:$K$817="Vacant", ROW('Bank Schedule'!$K$2:$K$817)), ROW(49:49))), "")</f>
        <v/>
      </c>
      <c r="X52" s="11">
        <f t="array" ref="X52">IFERROR(INDEX('Bank Schedule'!Y:Y, SMALL(IF('Bank Schedule'!$K$2:$K$817="Vacant", ROW('Bank Schedule'!$K$2:$K$817)), ROW(49:49))), "")</f>
        <v/>
      </c>
      <c r="Y52" s="11">
        <f t="array" ref="Y52">IFERROR(INDEX('Bank Schedule'!Z:Z, SMALL(IF('Bank Schedule'!$K$2:$K$817="Vacant", ROW('Bank Schedule'!$K$2:$K$817)), ROW(49:49))), "")</f>
        <v/>
      </c>
      <c r="Z52" s="11">
        <f t="array" ref="Z52">IFERROR(INDEX('Bank Schedule'!AA:AA, SMALL(IF('Bank Schedule'!$K$2:$K$817="Vacant", ROW('Bank Schedule'!$K$2:$K$817)), ROW(49:49))), "")</f>
        <v/>
      </c>
      <c r="AA52" s="11">
        <f t="array" ref="AA52">IFERROR(INDEX('Bank Schedule'!AB:AB, SMALL(IF('Bank Schedule'!$K$2:$K$817="Vacant", ROW('Bank Schedule'!$K$2:$K$817)), ROW(49:49))), "")</f>
        <v/>
      </c>
      <c r="AB52" s="25">
        <f t="array" ref="AB52">IFERROR(INDEX('Bank Schedule'!AC:AC, SMALL(IF('Bank Schedule'!$K$2:$K$817="Vacant", ROW('Bank Schedule'!$K$2:$K$817)), ROW(49:49))), "")</f>
        <v/>
      </c>
      <c r="AC52" s="277">
        <f t="array" ref="AC52">IFERROR(INDEX('Bank Schedule'!AD:AD, SMALL(IF('Bank Schedule'!$K$2:$K$817="Vacant", ROW('Bank Schedule'!$K$2:$K$817)), ROW(49:49))), "")</f>
        <v/>
      </c>
      <c r="AD52" s="11">
        <f t="array" ref="AD52">IFERROR(INDEX('Bank Schedule'!AE:AE, SMALL(IF('Bank Schedule'!$K$2:$K$817="Vacant", ROW('Bank Schedule'!$K$2:$K$817)), ROW(49:49))), "")</f>
        <v/>
      </c>
      <c r="AE52" s="11">
        <f t="array" ref="AE52">IFERROR(INDEX('Bank Schedule'!AF:AF, SMALL(IF('Bank Schedule'!$K$2:$K$817="Vacant", ROW('Bank Schedule'!$K$2:$K$817)), ROW(49:49))), "")</f>
        <v/>
      </c>
      <c r="AF52" s="11">
        <f t="array" ref="AF52">IFERROR(INDEX('Bank Schedule'!AG:AG, SMALL(IF('Bank Schedule'!$K$2:$K$817="Vacant", ROW('Bank Schedule'!$K$2:$K$817)), ROW(49:49))), "")</f>
        <v/>
      </c>
      <c r="AG52" s="4" t="n"/>
    </row>
    <row r="53" ht="28.5" customHeight="1">
      <c r="A53" s="2">
        <f t="array" ref="A53">IFERROR(INDEX('Bank Schedule'!A:A, SMALL(IF('Bank Schedule'!$K$2:$K$817="Vacant", ROW('Bank Schedule'!$K$2:$K$817)), ROW(50:50))), "")</f>
        <v/>
      </c>
      <c r="B53" s="11">
        <f t="array" ref="B53">IFERROR(INDEX('Bank Schedule'!B:B, SMALL(IF('Bank Schedule'!$K$2:$K$817="Vacant", ROW('Bank Schedule'!$K$2:$K$817)), ROW(50:50))), "")</f>
        <v/>
      </c>
      <c r="C53" s="11">
        <f t="array" ref="C53">IFERROR(INDEX('Bank Schedule'!C:C, SMALL(IF('Bank Schedule'!$K$2:$K$817="Vacant", ROW('Bank Schedule'!$K$2:$K$817)), ROW(50:50))), "")</f>
        <v/>
      </c>
      <c r="D53" s="11">
        <f t="array" ref="D53">IFERROR(INDEX('Bank Schedule'!D:D, SMALL(IF('Bank Schedule'!$K$2:$K$817="Vacant", ROW('Bank Schedule'!$K$2:$K$817)), ROW(50:50))), "")</f>
        <v/>
      </c>
      <c r="E53" s="25">
        <f t="array" ref="E53">IFERROR(INDEX('Bank Schedule'!E:E, SMALL(IF('Bank Schedule'!$K$2:$K$817="Vacant", ROW('Bank Schedule'!$K$2:$K$817)), ROW(50:50))), "")</f>
        <v/>
      </c>
      <c r="F53" s="25">
        <f t="array" ref="F53">IFERROR(INDEX('Bank Schedule'!F:F, SMALL(IF('Bank Schedule'!$K$2:$K$817="Vacant", ROW('Bank Schedule'!$K$2:$K$817)), ROW(50:50))), "")</f>
        <v/>
      </c>
      <c r="G53" s="25">
        <f t="array" ref="G53">IFERROR(INDEX('Bank Schedule'!G:G, SMALL(IF('Bank Schedule'!$K$2:$K$817="Vacant", ROW('Bank Schedule'!$K$2:$K$817)), ROW(50:50))), "")</f>
        <v/>
      </c>
      <c r="H53" s="53">
        <f t="array" ref="H53">IFERROR(INDEX('Bank Schedule'!H:H, SMALL(IF('Bank Schedule'!$K$2:$K$817="Vacant", ROW('Bank Schedule'!$K$2:$K$817)), ROW(50:50))), "")</f>
        <v/>
      </c>
      <c r="I53" s="53">
        <f t="array" ref="I53">IFERROR(INDEX('Bank Schedule'!I:I, SMALL(IF('Bank Schedule'!$K$2:$K$817="Vacant", ROW('Bank Schedule'!$K$2:$K$817)), ROW(50:50))), "")</f>
        <v/>
      </c>
      <c r="J53" s="11">
        <f t="array" ref="J53">IFERROR(INDEX('Bank Schedule'!K:K, SMALL(IF('Bank Schedule'!$K$2:$K$817="Vacant", ROW('Bank Schedule'!$K$2:$K$817)), ROW(50:50))), "")</f>
        <v/>
      </c>
      <c r="K53" s="11">
        <f t="array" ref="K53">IFERROR(INDEX('Bank Schedule'!L:L, SMALL(IF('Bank Schedule'!$K$2:$K$817="Vacant", ROW('Bank Schedule'!$K$2:$K$817)), ROW(50:50))), "")</f>
        <v/>
      </c>
      <c r="L53" s="11">
        <f t="array" ref="L53">IFERROR(INDEX('Bank Schedule'!M:M, SMALL(IF('Bank Schedule'!$K$2:$K$817="Vacant", ROW('Bank Schedule'!$K$2:$K$817)), ROW(50:50))), "")</f>
        <v/>
      </c>
      <c r="M53" s="106">
        <f t="array" ref="M53">IFERROR(INDEX('Bank Schedule'!N:N, SMALL(IF('Bank Schedule'!$K$2:$K$817="Vacant", ROW('Bank Schedule'!$K$2:$K$817)), ROW(50:50))), "")</f>
        <v/>
      </c>
      <c r="N53" s="11">
        <f t="array" ref="N53">IFERROR(INDEX('Bank Schedule'!O:O, SMALL(IF('Bank Schedule'!$K$2:$K$817="Vacant", ROW('Bank Schedule'!$K$2:$K$817)), ROW(50:50))), "")</f>
        <v/>
      </c>
      <c r="O53" s="11">
        <f t="array" ref="O53">IFERROR(INDEX('Bank Schedule'!P:P, SMALL(IF('Bank Schedule'!$K$2:$K$817="Vacant", ROW('Bank Schedule'!$K$2:$K$817)), ROW(50:50))), "")</f>
        <v/>
      </c>
      <c r="P53" s="11">
        <f t="array" ref="P53">IFERROR(INDEX('Bank Schedule'!Q:Q, SMALL(IF('Bank Schedule'!$K$2:$K$817="Vacant", ROW('Bank Schedule'!$K$2:$K$817)), ROW(50:50))), "")</f>
        <v/>
      </c>
      <c r="Q53" s="11">
        <f t="array" ref="Q53">IFERROR(INDEX('Bank Schedule'!R:R, SMALL(IF('Bank Schedule'!$K$2:$K$817="Vacant", ROW('Bank Schedule'!$K$2:$K$817)), ROW(50:50))), "")</f>
        <v/>
      </c>
      <c r="R53" s="11">
        <f t="array" ref="R53">IFERROR(INDEX('Bank Schedule'!S:S, SMALL(IF('Bank Schedule'!$K$2:$K$817="Vacant", ROW('Bank Schedule'!$K$2:$K$817)), ROW(50:50))), "")</f>
        <v/>
      </c>
      <c r="S53" s="301">
        <f t="array" ref="S53">IFERROR(INDEX('Bank Schedule'!T:T, SMALL(IF('Bank Schedule'!$K$2:$K$817="Vacant", ROW('Bank Schedule'!$K$2:$K$817)), ROW(50:50))), "")</f>
        <v/>
      </c>
      <c r="T53" s="301">
        <f t="array" ref="T53">IFERROR(INDEX('Bank Schedule'!U:U, SMALL(IF('Bank Schedule'!$K$2:$K$817="Vacant", ROW('Bank Schedule'!$K$2:$K$817)), ROW(50:50))), "")</f>
        <v/>
      </c>
      <c r="U53" s="301">
        <f t="array" ref="U53">IFERROR(INDEX('Bank Schedule'!V:V, SMALL(IF('Bank Schedule'!$K$2:$K$817="Vacant", ROW('Bank Schedule'!$K$2:$K$817)), ROW(50:50))), "")</f>
        <v/>
      </c>
      <c r="V53" s="301">
        <f t="array" ref="V53">IFERROR(INDEX('Bank Schedule'!W:W, SMALL(IF('Bank Schedule'!$K$2:$K$817="Vacant", ROW('Bank Schedule'!$K$2:$K$817)), ROW(50:50))), "")</f>
        <v/>
      </c>
      <c r="W53" s="300">
        <f t="array" ref="W53">IFERROR(INDEX('Bank Schedule'!X:X, SMALL(IF('Bank Schedule'!$K$2:$K$817="Vacant", ROW('Bank Schedule'!$K$2:$K$817)), ROW(50:50))), "")</f>
        <v/>
      </c>
      <c r="X53" s="11">
        <f t="array" ref="X53">IFERROR(INDEX('Bank Schedule'!Y:Y, SMALL(IF('Bank Schedule'!$K$2:$K$817="Vacant", ROW('Bank Schedule'!$K$2:$K$817)), ROW(50:50))), "")</f>
        <v/>
      </c>
      <c r="Y53" s="11">
        <f t="array" ref="Y53">IFERROR(INDEX('Bank Schedule'!Z:Z, SMALL(IF('Bank Schedule'!$K$2:$K$817="Vacant", ROW('Bank Schedule'!$K$2:$K$817)), ROW(50:50))), "")</f>
        <v/>
      </c>
      <c r="Z53" s="11">
        <f t="array" ref="Z53">IFERROR(INDEX('Bank Schedule'!AA:AA, SMALL(IF('Bank Schedule'!$K$2:$K$817="Vacant", ROW('Bank Schedule'!$K$2:$K$817)), ROW(50:50))), "")</f>
        <v/>
      </c>
      <c r="AA53" s="11">
        <f t="array" ref="AA53">IFERROR(INDEX('Bank Schedule'!AB:AB, SMALL(IF('Bank Schedule'!$K$2:$K$817="Vacant", ROW('Bank Schedule'!$K$2:$K$817)), ROW(50:50))), "")</f>
        <v/>
      </c>
      <c r="AB53" s="25">
        <f t="array" ref="AB53">IFERROR(INDEX('Bank Schedule'!AC:AC, SMALL(IF('Bank Schedule'!$K$2:$K$817="Vacant", ROW('Bank Schedule'!$K$2:$K$817)), ROW(50:50))), "")</f>
        <v/>
      </c>
      <c r="AC53" s="277">
        <f t="array" ref="AC53">IFERROR(INDEX('Bank Schedule'!AD:AD, SMALL(IF('Bank Schedule'!$K$2:$K$817="Vacant", ROW('Bank Schedule'!$K$2:$K$817)), ROW(50:50))), "")</f>
        <v/>
      </c>
      <c r="AD53" s="11">
        <f t="array" ref="AD53">IFERROR(INDEX('Bank Schedule'!AE:AE, SMALL(IF('Bank Schedule'!$K$2:$K$817="Vacant", ROW('Bank Schedule'!$K$2:$K$817)), ROW(50:50))), "")</f>
        <v/>
      </c>
      <c r="AE53" s="11">
        <f t="array" ref="AE53">IFERROR(INDEX('Bank Schedule'!AF:AF, SMALL(IF('Bank Schedule'!$K$2:$K$817="Vacant", ROW('Bank Schedule'!$K$2:$K$817)), ROW(50:50))), "")</f>
        <v/>
      </c>
      <c r="AF53" s="11">
        <f t="array" ref="AF53">IFERROR(INDEX('Bank Schedule'!AG:AG, SMALL(IF('Bank Schedule'!$K$2:$K$817="Vacant", ROW('Bank Schedule'!$K$2:$K$817)), ROW(50:50))), "")</f>
        <v/>
      </c>
      <c r="AG53" s="4" t="n"/>
    </row>
    <row r="54" ht="28.5" customHeight="1">
      <c r="A54" s="2">
        <f t="array" ref="A54">IFERROR(INDEX('Bank Schedule'!A:A, SMALL(IF('Bank Schedule'!$K$2:$K$817="Vacant", ROW('Bank Schedule'!$K$2:$K$817)), ROW(51:51))), "")</f>
        <v/>
      </c>
      <c r="B54" s="11">
        <f t="array" ref="B54">IFERROR(INDEX('Bank Schedule'!B:B, SMALL(IF('Bank Schedule'!$K$2:$K$817="Vacant", ROW('Bank Schedule'!$K$2:$K$817)), ROW(51:51))), "")</f>
        <v/>
      </c>
      <c r="C54" s="11">
        <f t="array" ref="C54">IFERROR(INDEX('Bank Schedule'!C:C, SMALL(IF('Bank Schedule'!$K$2:$K$817="Vacant", ROW('Bank Schedule'!$K$2:$K$817)), ROW(51:51))), "")</f>
        <v/>
      </c>
      <c r="D54" s="11">
        <f t="array" ref="D54">IFERROR(INDEX('Bank Schedule'!D:D, SMALL(IF('Bank Schedule'!$K$2:$K$817="Vacant", ROW('Bank Schedule'!$K$2:$K$817)), ROW(51:51))), "")</f>
        <v/>
      </c>
      <c r="E54" s="25">
        <f t="array" ref="E54">IFERROR(INDEX('Bank Schedule'!E:E, SMALL(IF('Bank Schedule'!$K$2:$K$817="Vacant", ROW('Bank Schedule'!$K$2:$K$817)), ROW(51:51))), "")</f>
        <v/>
      </c>
      <c r="F54" s="25">
        <f t="array" ref="F54">IFERROR(INDEX('Bank Schedule'!F:F, SMALL(IF('Bank Schedule'!$K$2:$K$817="Vacant", ROW('Bank Schedule'!$K$2:$K$817)), ROW(51:51))), "")</f>
        <v/>
      </c>
      <c r="G54" s="25">
        <f t="array" ref="G54">IFERROR(INDEX('Bank Schedule'!G:G, SMALL(IF('Bank Schedule'!$K$2:$K$817="Vacant", ROW('Bank Schedule'!$K$2:$K$817)), ROW(51:51))), "")</f>
        <v/>
      </c>
      <c r="H54" s="53">
        <f t="array" ref="H54">IFERROR(INDEX('Bank Schedule'!H:H, SMALL(IF('Bank Schedule'!$K$2:$K$817="Vacant", ROW('Bank Schedule'!$K$2:$K$817)), ROW(51:51))), "")</f>
        <v/>
      </c>
      <c r="I54" s="53">
        <f t="array" ref="I54">IFERROR(INDEX('Bank Schedule'!I:I, SMALL(IF('Bank Schedule'!$K$2:$K$817="Vacant", ROW('Bank Schedule'!$K$2:$K$817)), ROW(51:51))), "")</f>
        <v/>
      </c>
      <c r="J54" s="11">
        <f t="array" ref="J54">IFERROR(INDEX('Bank Schedule'!K:K, SMALL(IF('Bank Schedule'!$K$2:$K$817="Vacant", ROW('Bank Schedule'!$K$2:$K$817)), ROW(51:51))), "")</f>
        <v/>
      </c>
      <c r="K54" s="11">
        <f t="array" ref="K54">IFERROR(INDEX('Bank Schedule'!L:L, SMALL(IF('Bank Schedule'!$K$2:$K$817="Vacant", ROW('Bank Schedule'!$K$2:$K$817)), ROW(51:51))), "")</f>
        <v/>
      </c>
      <c r="L54" s="11">
        <f t="array" ref="L54">IFERROR(INDEX('Bank Schedule'!M:M, SMALL(IF('Bank Schedule'!$K$2:$K$817="Vacant", ROW('Bank Schedule'!$K$2:$K$817)), ROW(51:51))), "")</f>
        <v/>
      </c>
      <c r="M54" s="106">
        <f t="array" ref="M54">IFERROR(INDEX('Bank Schedule'!N:N, SMALL(IF('Bank Schedule'!$K$2:$K$817="Vacant", ROW('Bank Schedule'!$K$2:$K$817)), ROW(51:51))), "")</f>
        <v/>
      </c>
      <c r="N54" s="11">
        <f t="array" ref="N54">IFERROR(INDEX('Bank Schedule'!O:O, SMALL(IF('Bank Schedule'!$K$2:$K$817="Vacant", ROW('Bank Schedule'!$K$2:$K$817)), ROW(51:51))), "")</f>
        <v/>
      </c>
      <c r="O54" s="11">
        <f t="array" ref="O54">IFERROR(INDEX('Bank Schedule'!P:P, SMALL(IF('Bank Schedule'!$K$2:$K$817="Vacant", ROW('Bank Schedule'!$K$2:$K$817)), ROW(51:51))), "")</f>
        <v/>
      </c>
      <c r="P54" s="11">
        <f t="array" ref="P54">IFERROR(INDEX('Bank Schedule'!Q:Q, SMALL(IF('Bank Schedule'!$K$2:$K$817="Vacant", ROW('Bank Schedule'!$K$2:$K$817)), ROW(51:51))), "")</f>
        <v/>
      </c>
      <c r="Q54" s="11">
        <f t="array" ref="Q54">IFERROR(INDEX('Bank Schedule'!R:R, SMALL(IF('Bank Schedule'!$K$2:$K$817="Vacant", ROW('Bank Schedule'!$K$2:$K$817)), ROW(51:51))), "")</f>
        <v/>
      </c>
      <c r="R54" s="11">
        <f t="array" ref="R54">IFERROR(INDEX('Bank Schedule'!S:S, SMALL(IF('Bank Schedule'!$K$2:$K$817="Vacant", ROW('Bank Schedule'!$K$2:$K$817)), ROW(51:51))), "")</f>
        <v/>
      </c>
      <c r="S54" s="301">
        <f t="array" ref="S54">IFERROR(INDEX('Bank Schedule'!T:T, SMALL(IF('Bank Schedule'!$K$2:$K$817="Vacant", ROW('Bank Schedule'!$K$2:$K$817)), ROW(51:51))), "")</f>
        <v/>
      </c>
      <c r="T54" s="301">
        <f t="array" ref="T54">IFERROR(INDEX('Bank Schedule'!U:U, SMALL(IF('Bank Schedule'!$K$2:$K$817="Vacant", ROW('Bank Schedule'!$K$2:$K$817)), ROW(51:51))), "")</f>
        <v/>
      </c>
      <c r="U54" s="301">
        <f t="array" ref="U54">IFERROR(INDEX('Bank Schedule'!V:V, SMALL(IF('Bank Schedule'!$K$2:$K$817="Vacant", ROW('Bank Schedule'!$K$2:$K$817)), ROW(51:51))), "")</f>
        <v/>
      </c>
      <c r="V54" s="301">
        <f t="array" ref="V54">IFERROR(INDEX('Bank Schedule'!W:W, SMALL(IF('Bank Schedule'!$K$2:$K$817="Vacant", ROW('Bank Schedule'!$K$2:$K$817)), ROW(51:51))), "")</f>
        <v/>
      </c>
      <c r="W54" s="300">
        <f t="array" ref="W54">IFERROR(INDEX('Bank Schedule'!X:X, SMALL(IF('Bank Schedule'!$K$2:$K$817="Vacant", ROW('Bank Schedule'!$K$2:$K$817)), ROW(51:51))), "")</f>
        <v/>
      </c>
      <c r="X54" s="11">
        <f t="array" ref="X54">IFERROR(INDEX('Bank Schedule'!Y:Y, SMALL(IF('Bank Schedule'!$K$2:$K$817="Vacant", ROW('Bank Schedule'!$K$2:$K$817)), ROW(51:51))), "")</f>
        <v/>
      </c>
      <c r="Y54" s="11">
        <f t="array" ref="Y54">IFERROR(INDEX('Bank Schedule'!Z:Z, SMALL(IF('Bank Schedule'!$K$2:$K$817="Vacant", ROW('Bank Schedule'!$K$2:$K$817)), ROW(51:51))), "")</f>
        <v/>
      </c>
      <c r="Z54" s="11">
        <f t="array" ref="Z54">IFERROR(INDEX('Bank Schedule'!AA:AA, SMALL(IF('Bank Schedule'!$K$2:$K$817="Vacant", ROW('Bank Schedule'!$K$2:$K$817)), ROW(51:51))), "")</f>
        <v/>
      </c>
      <c r="AA54" s="11">
        <f t="array" ref="AA54">IFERROR(INDEX('Bank Schedule'!AB:AB, SMALL(IF('Bank Schedule'!$K$2:$K$817="Vacant", ROW('Bank Schedule'!$K$2:$K$817)), ROW(51:51))), "")</f>
        <v/>
      </c>
      <c r="AB54" s="25">
        <f t="array" ref="AB54">IFERROR(INDEX('Bank Schedule'!AC:AC, SMALL(IF('Bank Schedule'!$K$2:$K$817="Vacant", ROW('Bank Schedule'!$K$2:$K$817)), ROW(51:51))), "")</f>
        <v/>
      </c>
      <c r="AC54" s="277">
        <f t="array" ref="AC54">IFERROR(INDEX('Bank Schedule'!AD:AD, SMALL(IF('Bank Schedule'!$K$2:$K$817="Vacant", ROW('Bank Schedule'!$K$2:$K$817)), ROW(51:51))), "")</f>
        <v/>
      </c>
      <c r="AD54" s="11">
        <f t="array" ref="AD54">IFERROR(INDEX('Bank Schedule'!AE:AE, SMALL(IF('Bank Schedule'!$K$2:$K$817="Vacant", ROW('Bank Schedule'!$K$2:$K$817)), ROW(51:51))), "")</f>
        <v/>
      </c>
      <c r="AE54" s="11">
        <f t="array" ref="AE54">IFERROR(INDEX('Bank Schedule'!AF:AF, SMALL(IF('Bank Schedule'!$K$2:$K$817="Vacant", ROW('Bank Schedule'!$K$2:$K$817)), ROW(51:51))), "")</f>
        <v/>
      </c>
      <c r="AF54" s="11">
        <f t="array" ref="AF54">IFERROR(INDEX('Bank Schedule'!AG:AG, SMALL(IF('Bank Schedule'!$K$2:$K$817="Vacant", ROW('Bank Schedule'!$K$2:$K$817)), ROW(51:51))), "")</f>
        <v/>
      </c>
      <c r="AG54" s="4" t="n"/>
    </row>
    <row r="55" ht="28.5" customHeight="1">
      <c r="A55" s="2">
        <f t="array" ref="A55">IFERROR(INDEX('Bank Schedule'!A:A, SMALL(IF('Bank Schedule'!$K$2:$K$817="Vacant", ROW('Bank Schedule'!$K$2:$K$817)), ROW(52:52))), "")</f>
        <v/>
      </c>
      <c r="B55" s="11">
        <f t="array" ref="B55">IFERROR(INDEX('Bank Schedule'!B:B, SMALL(IF('Bank Schedule'!$K$2:$K$817="Vacant", ROW('Bank Schedule'!$K$2:$K$817)), ROW(52:52))), "")</f>
        <v/>
      </c>
      <c r="C55" s="11">
        <f t="array" ref="C55">IFERROR(INDEX('Bank Schedule'!C:C, SMALL(IF('Bank Schedule'!$K$2:$K$817="Vacant", ROW('Bank Schedule'!$K$2:$K$817)), ROW(52:52))), "")</f>
        <v/>
      </c>
      <c r="D55" s="11">
        <f t="array" ref="D55">IFERROR(INDEX('Bank Schedule'!D:D, SMALL(IF('Bank Schedule'!$K$2:$K$817="Vacant", ROW('Bank Schedule'!$K$2:$K$817)), ROW(52:52))), "")</f>
        <v/>
      </c>
      <c r="E55" s="25">
        <f t="array" ref="E55">IFERROR(INDEX('Bank Schedule'!E:E, SMALL(IF('Bank Schedule'!$K$2:$K$817="Vacant", ROW('Bank Schedule'!$K$2:$K$817)), ROW(52:52))), "")</f>
        <v/>
      </c>
      <c r="F55" s="25">
        <f t="array" ref="F55">IFERROR(INDEX('Bank Schedule'!F:F, SMALL(IF('Bank Schedule'!$K$2:$K$817="Vacant", ROW('Bank Schedule'!$K$2:$K$817)), ROW(52:52))), "")</f>
        <v/>
      </c>
      <c r="G55" s="25">
        <f t="array" ref="G55">IFERROR(INDEX('Bank Schedule'!G:G, SMALL(IF('Bank Schedule'!$K$2:$K$817="Vacant", ROW('Bank Schedule'!$K$2:$K$817)), ROW(52:52))), "")</f>
        <v/>
      </c>
      <c r="H55" s="53">
        <f t="array" ref="H55">IFERROR(INDEX('Bank Schedule'!H:H, SMALL(IF('Bank Schedule'!$K$2:$K$817="Vacant", ROW('Bank Schedule'!$K$2:$K$817)), ROW(52:52))), "")</f>
        <v/>
      </c>
      <c r="I55" s="53">
        <f t="array" ref="I55">IFERROR(INDEX('Bank Schedule'!I:I, SMALL(IF('Bank Schedule'!$K$2:$K$817="Vacant", ROW('Bank Schedule'!$K$2:$K$817)), ROW(52:52))), "")</f>
        <v/>
      </c>
      <c r="J55" s="11">
        <f t="array" ref="J55">IFERROR(INDEX('Bank Schedule'!K:K, SMALL(IF('Bank Schedule'!$K$2:$K$817="Vacant", ROW('Bank Schedule'!$K$2:$K$817)), ROW(52:52))), "")</f>
        <v/>
      </c>
      <c r="K55" s="11">
        <f t="array" ref="K55">IFERROR(INDEX('Bank Schedule'!L:L, SMALL(IF('Bank Schedule'!$K$2:$K$817="Vacant", ROW('Bank Schedule'!$K$2:$K$817)), ROW(52:52))), "")</f>
        <v/>
      </c>
      <c r="L55" s="11">
        <f t="array" ref="L55">IFERROR(INDEX('Bank Schedule'!M:M, SMALL(IF('Bank Schedule'!$K$2:$K$817="Vacant", ROW('Bank Schedule'!$K$2:$K$817)), ROW(52:52))), "")</f>
        <v/>
      </c>
      <c r="M55" s="106">
        <f t="array" ref="M55">IFERROR(INDEX('Bank Schedule'!N:N, SMALL(IF('Bank Schedule'!$K$2:$K$817="Vacant", ROW('Bank Schedule'!$K$2:$K$817)), ROW(52:52))), "")</f>
        <v/>
      </c>
      <c r="N55" s="11">
        <f t="array" ref="N55">IFERROR(INDEX('Bank Schedule'!O:O, SMALL(IF('Bank Schedule'!$K$2:$K$817="Vacant", ROW('Bank Schedule'!$K$2:$K$817)), ROW(52:52))), "")</f>
        <v/>
      </c>
      <c r="O55" s="11">
        <f t="array" ref="O55">IFERROR(INDEX('Bank Schedule'!P:P, SMALL(IF('Bank Schedule'!$K$2:$K$817="Vacant", ROW('Bank Schedule'!$K$2:$K$817)), ROW(52:52))), "")</f>
        <v/>
      </c>
      <c r="P55" s="11">
        <f t="array" ref="P55">IFERROR(INDEX('Bank Schedule'!Q:Q, SMALL(IF('Bank Schedule'!$K$2:$K$817="Vacant", ROW('Bank Schedule'!$K$2:$K$817)), ROW(52:52))), "")</f>
        <v/>
      </c>
      <c r="Q55" s="11">
        <f t="array" ref="Q55">IFERROR(INDEX('Bank Schedule'!R:R, SMALL(IF('Bank Schedule'!$K$2:$K$817="Vacant", ROW('Bank Schedule'!$K$2:$K$817)), ROW(52:52))), "")</f>
        <v/>
      </c>
      <c r="R55" s="11">
        <f t="array" ref="R55">IFERROR(INDEX('Bank Schedule'!S:S, SMALL(IF('Bank Schedule'!$K$2:$K$817="Vacant", ROW('Bank Schedule'!$K$2:$K$817)), ROW(52:52))), "")</f>
        <v/>
      </c>
      <c r="S55" s="301">
        <f t="array" ref="S55">IFERROR(INDEX('Bank Schedule'!T:T, SMALL(IF('Bank Schedule'!$K$2:$K$817="Vacant", ROW('Bank Schedule'!$K$2:$K$817)), ROW(52:52))), "")</f>
        <v/>
      </c>
      <c r="T55" s="301">
        <f t="array" ref="T55">IFERROR(INDEX('Bank Schedule'!U:U, SMALL(IF('Bank Schedule'!$K$2:$K$817="Vacant", ROW('Bank Schedule'!$K$2:$K$817)), ROW(52:52))), "")</f>
        <v/>
      </c>
      <c r="U55" s="301">
        <f t="array" ref="U55">IFERROR(INDEX('Bank Schedule'!V:V, SMALL(IF('Bank Schedule'!$K$2:$K$817="Vacant", ROW('Bank Schedule'!$K$2:$K$817)), ROW(52:52))), "")</f>
        <v/>
      </c>
      <c r="V55" s="301">
        <f t="array" ref="V55">IFERROR(INDEX('Bank Schedule'!W:W, SMALL(IF('Bank Schedule'!$K$2:$K$817="Vacant", ROW('Bank Schedule'!$K$2:$K$817)), ROW(52:52))), "")</f>
        <v/>
      </c>
      <c r="W55" s="300">
        <f t="array" ref="W55">IFERROR(INDEX('Bank Schedule'!X:X, SMALL(IF('Bank Schedule'!$K$2:$K$817="Vacant", ROW('Bank Schedule'!$K$2:$K$817)), ROW(52:52))), "")</f>
        <v/>
      </c>
      <c r="X55" s="11">
        <f t="array" ref="X55">IFERROR(INDEX('Bank Schedule'!Y:Y, SMALL(IF('Bank Schedule'!$K$2:$K$817="Vacant", ROW('Bank Schedule'!$K$2:$K$817)), ROW(52:52))), "")</f>
        <v/>
      </c>
      <c r="Y55" s="11">
        <f t="array" ref="Y55">IFERROR(INDEX('Bank Schedule'!Z:Z, SMALL(IF('Bank Schedule'!$K$2:$K$817="Vacant", ROW('Bank Schedule'!$K$2:$K$817)), ROW(52:52))), "")</f>
        <v/>
      </c>
      <c r="Z55" s="11">
        <f t="array" ref="Z55">IFERROR(INDEX('Bank Schedule'!AA:AA, SMALL(IF('Bank Schedule'!$K$2:$K$817="Vacant", ROW('Bank Schedule'!$K$2:$K$817)), ROW(52:52))), "")</f>
        <v/>
      </c>
      <c r="AA55" s="11">
        <f t="array" ref="AA55">IFERROR(INDEX('Bank Schedule'!AB:AB, SMALL(IF('Bank Schedule'!$K$2:$K$817="Vacant", ROW('Bank Schedule'!$K$2:$K$817)), ROW(52:52))), "")</f>
        <v/>
      </c>
      <c r="AB55" s="25">
        <f t="array" ref="AB55">IFERROR(INDEX('Bank Schedule'!AC:AC, SMALL(IF('Bank Schedule'!$K$2:$K$817="Vacant", ROW('Bank Schedule'!$K$2:$K$817)), ROW(52:52))), "")</f>
        <v/>
      </c>
      <c r="AC55" s="277">
        <f t="array" ref="AC55">IFERROR(INDEX('Bank Schedule'!AD:AD, SMALL(IF('Bank Schedule'!$K$2:$K$817="Vacant", ROW('Bank Schedule'!$K$2:$K$817)), ROW(52:52))), "")</f>
        <v/>
      </c>
      <c r="AD55" s="11">
        <f t="array" ref="AD55">IFERROR(INDEX('Bank Schedule'!AE:AE, SMALL(IF('Bank Schedule'!$K$2:$K$817="Vacant", ROW('Bank Schedule'!$K$2:$K$817)), ROW(52:52))), "")</f>
        <v/>
      </c>
      <c r="AE55" s="11">
        <f t="array" ref="AE55">IFERROR(INDEX('Bank Schedule'!AF:AF, SMALL(IF('Bank Schedule'!$K$2:$K$817="Vacant", ROW('Bank Schedule'!$K$2:$K$817)), ROW(52:52))), "")</f>
        <v/>
      </c>
      <c r="AF55" s="11">
        <f t="array" ref="AF55">IFERROR(INDEX('Bank Schedule'!AG:AG, SMALL(IF('Bank Schedule'!$K$2:$K$817="Vacant", ROW('Bank Schedule'!$K$2:$K$817)), ROW(52:52))), "")</f>
        <v/>
      </c>
      <c r="AG55" s="4" t="n"/>
    </row>
    <row r="56" ht="28.5" customHeight="1">
      <c r="A56" s="2">
        <f t="array" ref="A56">IFERROR(INDEX('Bank Schedule'!A:A, SMALL(IF('Bank Schedule'!$K$2:$K$817="Vacant", ROW('Bank Schedule'!$K$2:$K$817)), ROW(53:53))), "")</f>
        <v/>
      </c>
      <c r="B56" s="11">
        <f t="array" ref="B56">IFERROR(INDEX('Bank Schedule'!B:B, SMALL(IF('Bank Schedule'!$K$2:$K$817="Vacant", ROW('Bank Schedule'!$K$2:$K$817)), ROW(53:53))), "")</f>
        <v/>
      </c>
      <c r="C56" s="11">
        <f t="array" ref="C56">IFERROR(INDEX('Bank Schedule'!C:C, SMALL(IF('Bank Schedule'!$K$2:$K$817="Vacant", ROW('Bank Schedule'!$K$2:$K$817)), ROW(53:53))), "")</f>
        <v/>
      </c>
      <c r="D56" s="11">
        <f t="array" ref="D56">IFERROR(INDEX('Bank Schedule'!D:D, SMALL(IF('Bank Schedule'!$K$2:$K$817="Vacant", ROW('Bank Schedule'!$K$2:$K$817)), ROW(53:53))), "")</f>
        <v/>
      </c>
      <c r="E56" s="25">
        <f t="array" ref="E56">IFERROR(INDEX('Bank Schedule'!E:E, SMALL(IF('Bank Schedule'!$K$2:$K$817="Vacant", ROW('Bank Schedule'!$K$2:$K$817)), ROW(53:53))), "")</f>
        <v/>
      </c>
      <c r="F56" s="25">
        <f t="array" ref="F56">IFERROR(INDEX('Bank Schedule'!F:F, SMALL(IF('Bank Schedule'!$K$2:$K$817="Vacant", ROW('Bank Schedule'!$K$2:$K$817)), ROW(53:53))), "")</f>
        <v/>
      </c>
      <c r="G56" s="25">
        <f t="array" ref="G56">IFERROR(INDEX('Bank Schedule'!G:G, SMALL(IF('Bank Schedule'!$K$2:$K$817="Vacant", ROW('Bank Schedule'!$K$2:$K$817)), ROW(53:53))), "")</f>
        <v/>
      </c>
      <c r="H56" s="53">
        <f t="array" ref="H56">IFERROR(INDEX('Bank Schedule'!H:H, SMALL(IF('Bank Schedule'!$K$2:$K$817="Vacant", ROW('Bank Schedule'!$K$2:$K$817)), ROW(53:53))), "")</f>
        <v/>
      </c>
      <c r="I56" s="53">
        <f t="array" ref="I56">IFERROR(INDEX('Bank Schedule'!I:I, SMALL(IF('Bank Schedule'!$K$2:$K$817="Vacant", ROW('Bank Schedule'!$K$2:$K$817)), ROW(53:53))), "")</f>
        <v/>
      </c>
      <c r="J56" s="11">
        <f t="array" ref="J56">IFERROR(INDEX('Bank Schedule'!K:K, SMALL(IF('Bank Schedule'!$K$2:$K$817="Vacant", ROW('Bank Schedule'!$K$2:$K$817)), ROW(53:53))), "")</f>
        <v/>
      </c>
      <c r="K56" s="11">
        <f t="array" ref="K56">IFERROR(INDEX('Bank Schedule'!L:L, SMALL(IF('Bank Schedule'!$K$2:$K$817="Vacant", ROW('Bank Schedule'!$K$2:$K$817)), ROW(53:53))), "")</f>
        <v/>
      </c>
      <c r="L56" s="11">
        <f t="array" ref="L56">IFERROR(INDEX('Bank Schedule'!M:M, SMALL(IF('Bank Schedule'!$K$2:$K$817="Vacant", ROW('Bank Schedule'!$K$2:$K$817)), ROW(53:53))), "")</f>
        <v/>
      </c>
      <c r="M56" s="106">
        <f t="array" ref="M56">IFERROR(INDEX('Bank Schedule'!N:N, SMALL(IF('Bank Schedule'!$K$2:$K$817="Vacant", ROW('Bank Schedule'!$K$2:$K$817)), ROW(53:53))), "")</f>
        <v/>
      </c>
      <c r="N56" s="11">
        <f t="array" ref="N56">IFERROR(INDEX('Bank Schedule'!O:O, SMALL(IF('Bank Schedule'!$K$2:$K$817="Vacant", ROW('Bank Schedule'!$K$2:$K$817)), ROW(53:53))), "")</f>
        <v/>
      </c>
      <c r="O56" s="11">
        <f t="array" ref="O56">IFERROR(INDEX('Bank Schedule'!P:P, SMALL(IF('Bank Schedule'!$K$2:$K$817="Vacant", ROW('Bank Schedule'!$K$2:$K$817)), ROW(53:53))), "")</f>
        <v/>
      </c>
      <c r="P56" s="11">
        <f t="array" ref="P56">IFERROR(INDEX('Bank Schedule'!Q:Q, SMALL(IF('Bank Schedule'!$K$2:$K$817="Vacant", ROW('Bank Schedule'!$K$2:$K$817)), ROW(53:53))), "")</f>
        <v/>
      </c>
      <c r="Q56" s="11">
        <f t="array" ref="Q56">IFERROR(INDEX('Bank Schedule'!R:R, SMALL(IF('Bank Schedule'!$K$2:$K$817="Vacant", ROW('Bank Schedule'!$K$2:$K$817)), ROW(53:53))), "")</f>
        <v/>
      </c>
      <c r="R56" s="11">
        <f t="array" ref="R56">IFERROR(INDEX('Bank Schedule'!S:S, SMALL(IF('Bank Schedule'!$K$2:$K$817="Vacant", ROW('Bank Schedule'!$K$2:$K$817)), ROW(53:53))), "")</f>
        <v/>
      </c>
      <c r="S56" s="301">
        <f t="array" ref="S56">IFERROR(INDEX('Bank Schedule'!T:T, SMALL(IF('Bank Schedule'!$K$2:$K$817="Vacant", ROW('Bank Schedule'!$K$2:$K$817)), ROW(53:53))), "")</f>
        <v/>
      </c>
      <c r="T56" s="301">
        <f t="array" ref="T56">IFERROR(INDEX('Bank Schedule'!U:U, SMALL(IF('Bank Schedule'!$K$2:$K$817="Vacant", ROW('Bank Schedule'!$K$2:$K$817)), ROW(53:53))), "")</f>
        <v/>
      </c>
      <c r="U56" s="301">
        <f t="array" ref="U56">IFERROR(INDEX('Bank Schedule'!V:V, SMALL(IF('Bank Schedule'!$K$2:$K$817="Vacant", ROW('Bank Schedule'!$K$2:$K$817)), ROW(53:53))), "")</f>
        <v/>
      </c>
      <c r="V56" s="301">
        <f t="array" ref="V56">IFERROR(INDEX('Bank Schedule'!W:W, SMALL(IF('Bank Schedule'!$K$2:$K$817="Vacant", ROW('Bank Schedule'!$K$2:$K$817)), ROW(53:53))), "")</f>
        <v/>
      </c>
      <c r="W56" s="300">
        <f t="array" ref="W56">IFERROR(INDEX('Bank Schedule'!X:X, SMALL(IF('Bank Schedule'!$K$2:$K$817="Vacant", ROW('Bank Schedule'!$K$2:$K$817)), ROW(53:53))), "")</f>
        <v/>
      </c>
      <c r="X56" s="11">
        <f t="array" ref="X56">IFERROR(INDEX('Bank Schedule'!Y:Y, SMALL(IF('Bank Schedule'!$K$2:$K$817="Vacant", ROW('Bank Schedule'!$K$2:$K$817)), ROW(53:53))), "")</f>
        <v/>
      </c>
      <c r="Y56" s="11">
        <f t="array" ref="Y56">IFERROR(INDEX('Bank Schedule'!Z:Z, SMALL(IF('Bank Schedule'!$K$2:$K$817="Vacant", ROW('Bank Schedule'!$K$2:$K$817)), ROW(53:53))), "")</f>
        <v/>
      </c>
      <c r="Z56" s="11">
        <f t="array" ref="Z56">IFERROR(INDEX('Bank Schedule'!AA:AA, SMALL(IF('Bank Schedule'!$K$2:$K$817="Vacant", ROW('Bank Schedule'!$K$2:$K$817)), ROW(53:53))), "")</f>
        <v/>
      </c>
      <c r="AA56" s="11">
        <f t="array" ref="AA56">IFERROR(INDEX('Bank Schedule'!AB:AB, SMALL(IF('Bank Schedule'!$K$2:$K$817="Vacant", ROW('Bank Schedule'!$K$2:$K$817)), ROW(53:53))), "")</f>
        <v/>
      </c>
      <c r="AB56" s="25">
        <f t="array" ref="AB56">IFERROR(INDEX('Bank Schedule'!AC:AC, SMALL(IF('Bank Schedule'!$K$2:$K$817="Vacant", ROW('Bank Schedule'!$K$2:$K$817)), ROW(53:53))), "")</f>
        <v/>
      </c>
      <c r="AC56" s="277">
        <f t="array" ref="AC56">IFERROR(INDEX('Bank Schedule'!AD:AD, SMALL(IF('Bank Schedule'!$K$2:$K$817="Vacant", ROW('Bank Schedule'!$K$2:$K$817)), ROW(53:53))), "")</f>
        <v/>
      </c>
      <c r="AD56" s="11">
        <f t="array" ref="AD56">IFERROR(INDEX('Bank Schedule'!AE:AE, SMALL(IF('Bank Schedule'!$K$2:$K$817="Vacant", ROW('Bank Schedule'!$K$2:$K$817)), ROW(53:53))), "")</f>
        <v/>
      </c>
      <c r="AE56" s="11">
        <f t="array" ref="AE56">IFERROR(INDEX('Bank Schedule'!AF:AF, SMALL(IF('Bank Schedule'!$K$2:$K$817="Vacant", ROW('Bank Schedule'!$K$2:$K$817)), ROW(53:53))), "")</f>
        <v/>
      </c>
      <c r="AF56" s="11">
        <f t="array" ref="AF56">IFERROR(INDEX('Bank Schedule'!AG:AG, SMALL(IF('Bank Schedule'!$K$2:$K$817="Vacant", ROW('Bank Schedule'!$K$2:$K$817)), ROW(53:53))), "")</f>
        <v/>
      </c>
      <c r="AG56" s="4" t="n"/>
    </row>
    <row r="57" ht="28.5" customHeight="1">
      <c r="A57" s="2">
        <f t="array" ref="A57">IFERROR(INDEX('Bank Schedule'!A:A, SMALL(IF('Bank Schedule'!$K$2:$K$817="Vacant", ROW('Bank Schedule'!$K$2:$K$817)), ROW(54:54))), "")</f>
        <v/>
      </c>
      <c r="B57" s="11">
        <f t="array" ref="B57">IFERROR(INDEX('Bank Schedule'!B:B, SMALL(IF('Bank Schedule'!$K$2:$K$817="Vacant", ROW('Bank Schedule'!$K$2:$K$817)), ROW(54:54))), "")</f>
        <v/>
      </c>
      <c r="C57" s="11">
        <f t="array" ref="C57">IFERROR(INDEX('Bank Schedule'!C:C, SMALL(IF('Bank Schedule'!$K$2:$K$817="Vacant", ROW('Bank Schedule'!$K$2:$K$817)), ROW(54:54))), "")</f>
        <v/>
      </c>
      <c r="D57" s="11">
        <f t="array" ref="D57">IFERROR(INDEX('Bank Schedule'!D:D, SMALL(IF('Bank Schedule'!$K$2:$K$817="Vacant", ROW('Bank Schedule'!$K$2:$K$817)), ROW(54:54))), "")</f>
        <v/>
      </c>
      <c r="E57" s="25">
        <f t="array" ref="E57">IFERROR(INDEX('Bank Schedule'!E:E, SMALL(IF('Bank Schedule'!$K$2:$K$817="Vacant", ROW('Bank Schedule'!$K$2:$K$817)), ROW(54:54))), "")</f>
        <v/>
      </c>
      <c r="F57" s="25">
        <f t="array" ref="F57">IFERROR(INDEX('Bank Schedule'!F:F, SMALL(IF('Bank Schedule'!$K$2:$K$817="Vacant", ROW('Bank Schedule'!$K$2:$K$817)), ROW(54:54))), "")</f>
        <v/>
      </c>
      <c r="G57" s="25">
        <f t="array" ref="G57">IFERROR(INDEX('Bank Schedule'!G:G, SMALL(IF('Bank Schedule'!$K$2:$K$817="Vacant", ROW('Bank Schedule'!$K$2:$K$817)), ROW(54:54))), "")</f>
        <v/>
      </c>
      <c r="H57" s="53">
        <f t="array" ref="H57">IFERROR(INDEX('Bank Schedule'!H:H, SMALL(IF('Bank Schedule'!$K$2:$K$817="Vacant", ROW('Bank Schedule'!$K$2:$K$817)), ROW(54:54))), "")</f>
        <v/>
      </c>
      <c r="I57" s="53">
        <f t="array" ref="I57">IFERROR(INDEX('Bank Schedule'!I:I, SMALL(IF('Bank Schedule'!$K$2:$K$817="Vacant", ROW('Bank Schedule'!$K$2:$K$817)), ROW(54:54))), "")</f>
        <v/>
      </c>
      <c r="J57" s="11">
        <f t="array" ref="J57">IFERROR(INDEX('Bank Schedule'!K:K, SMALL(IF('Bank Schedule'!$K$2:$K$817="Vacant", ROW('Bank Schedule'!$K$2:$K$817)), ROW(54:54))), "")</f>
        <v/>
      </c>
      <c r="K57" s="11">
        <f t="array" ref="K57">IFERROR(INDEX('Bank Schedule'!L:L, SMALL(IF('Bank Schedule'!$K$2:$K$817="Vacant", ROW('Bank Schedule'!$K$2:$K$817)), ROW(54:54))), "")</f>
        <v/>
      </c>
      <c r="L57" s="11">
        <f t="array" ref="L57">IFERROR(INDEX('Bank Schedule'!M:M, SMALL(IF('Bank Schedule'!$K$2:$K$817="Vacant", ROW('Bank Schedule'!$K$2:$K$817)), ROW(54:54))), "")</f>
        <v/>
      </c>
      <c r="M57" s="106">
        <f t="array" ref="M57">IFERROR(INDEX('Bank Schedule'!N:N, SMALL(IF('Bank Schedule'!$K$2:$K$817="Vacant", ROW('Bank Schedule'!$K$2:$K$817)), ROW(54:54))), "")</f>
        <v/>
      </c>
      <c r="N57" s="11">
        <f t="array" ref="N57">IFERROR(INDEX('Bank Schedule'!O:O, SMALL(IF('Bank Schedule'!$K$2:$K$817="Vacant", ROW('Bank Schedule'!$K$2:$K$817)), ROW(54:54))), "")</f>
        <v/>
      </c>
      <c r="O57" s="11">
        <f t="array" ref="O57">IFERROR(INDEX('Bank Schedule'!P:P, SMALL(IF('Bank Schedule'!$K$2:$K$817="Vacant", ROW('Bank Schedule'!$K$2:$K$817)), ROW(54:54))), "")</f>
        <v/>
      </c>
      <c r="P57" s="11">
        <f t="array" ref="P57">IFERROR(INDEX('Bank Schedule'!Q:Q, SMALL(IF('Bank Schedule'!$K$2:$K$817="Vacant", ROW('Bank Schedule'!$K$2:$K$817)), ROW(54:54))), "")</f>
        <v/>
      </c>
      <c r="Q57" s="11">
        <f t="array" ref="Q57">IFERROR(INDEX('Bank Schedule'!R:R, SMALL(IF('Bank Schedule'!$K$2:$K$817="Vacant", ROW('Bank Schedule'!$K$2:$K$817)), ROW(54:54))), "")</f>
        <v/>
      </c>
      <c r="R57" s="11">
        <f t="array" ref="R57">IFERROR(INDEX('Bank Schedule'!S:S, SMALL(IF('Bank Schedule'!$K$2:$K$817="Vacant", ROW('Bank Schedule'!$K$2:$K$817)), ROW(54:54))), "")</f>
        <v/>
      </c>
      <c r="S57" s="301">
        <f t="array" ref="S57">IFERROR(INDEX('Bank Schedule'!T:T, SMALL(IF('Bank Schedule'!$K$2:$K$817="Vacant", ROW('Bank Schedule'!$K$2:$K$817)), ROW(54:54))), "")</f>
        <v/>
      </c>
      <c r="T57" s="301">
        <f t="array" ref="T57">IFERROR(INDEX('Bank Schedule'!U:U, SMALL(IF('Bank Schedule'!$K$2:$K$817="Vacant", ROW('Bank Schedule'!$K$2:$K$817)), ROW(54:54))), "")</f>
        <v/>
      </c>
      <c r="U57" s="301">
        <f t="array" ref="U57">IFERROR(INDEX('Bank Schedule'!V:V, SMALL(IF('Bank Schedule'!$K$2:$K$817="Vacant", ROW('Bank Schedule'!$K$2:$K$817)), ROW(54:54))), "")</f>
        <v/>
      </c>
      <c r="V57" s="301">
        <f t="array" ref="V57">IFERROR(INDEX('Bank Schedule'!W:W, SMALL(IF('Bank Schedule'!$K$2:$K$817="Vacant", ROW('Bank Schedule'!$K$2:$K$817)), ROW(54:54))), "")</f>
        <v/>
      </c>
      <c r="W57" s="300">
        <f t="array" ref="W57">IFERROR(INDEX('Bank Schedule'!X:X, SMALL(IF('Bank Schedule'!$K$2:$K$817="Vacant", ROW('Bank Schedule'!$K$2:$K$817)), ROW(54:54))), "")</f>
        <v/>
      </c>
      <c r="X57" s="11">
        <f t="array" ref="X57">IFERROR(INDEX('Bank Schedule'!Y:Y, SMALL(IF('Bank Schedule'!$K$2:$K$817="Vacant", ROW('Bank Schedule'!$K$2:$K$817)), ROW(54:54))), "")</f>
        <v/>
      </c>
      <c r="Y57" s="11">
        <f t="array" ref="Y57">IFERROR(INDEX('Bank Schedule'!Z:Z, SMALL(IF('Bank Schedule'!$K$2:$K$817="Vacant", ROW('Bank Schedule'!$K$2:$K$817)), ROW(54:54))), "")</f>
        <v/>
      </c>
      <c r="Z57" s="11">
        <f t="array" ref="Z57">IFERROR(INDEX('Bank Schedule'!AA:AA, SMALL(IF('Bank Schedule'!$K$2:$K$817="Vacant", ROW('Bank Schedule'!$K$2:$K$817)), ROW(54:54))), "")</f>
        <v/>
      </c>
      <c r="AA57" s="11">
        <f t="array" ref="AA57">IFERROR(INDEX('Bank Schedule'!AB:AB, SMALL(IF('Bank Schedule'!$K$2:$K$817="Vacant", ROW('Bank Schedule'!$K$2:$K$817)), ROW(54:54))), "")</f>
        <v/>
      </c>
      <c r="AB57" s="25">
        <f t="array" ref="AB57">IFERROR(INDEX('Bank Schedule'!AC:AC, SMALL(IF('Bank Schedule'!$K$2:$K$817="Vacant", ROW('Bank Schedule'!$K$2:$K$817)), ROW(54:54))), "")</f>
        <v/>
      </c>
      <c r="AC57" s="277">
        <f t="array" ref="AC57">IFERROR(INDEX('Bank Schedule'!AD:AD, SMALL(IF('Bank Schedule'!$K$2:$K$817="Vacant", ROW('Bank Schedule'!$K$2:$K$817)), ROW(54:54))), "")</f>
        <v/>
      </c>
      <c r="AD57" s="11">
        <f t="array" ref="AD57">IFERROR(INDEX('Bank Schedule'!AE:AE, SMALL(IF('Bank Schedule'!$K$2:$K$817="Vacant", ROW('Bank Schedule'!$K$2:$K$817)), ROW(54:54))), "")</f>
        <v/>
      </c>
      <c r="AE57" s="11">
        <f t="array" ref="AE57">IFERROR(INDEX('Bank Schedule'!AF:AF, SMALL(IF('Bank Schedule'!$K$2:$K$817="Vacant", ROW('Bank Schedule'!$K$2:$K$817)), ROW(54:54))), "")</f>
        <v/>
      </c>
      <c r="AF57" s="11">
        <f t="array" ref="AF57">IFERROR(INDEX('Bank Schedule'!AG:AG, SMALL(IF('Bank Schedule'!$K$2:$K$817="Vacant", ROW('Bank Schedule'!$K$2:$K$817)), ROW(54:54))), "")</f>
        <v/>
      </c>
      <c r="AG57" s="4" t="n"/>
    </row>
    <row r="58" ht="28.5" customHeight="1">
      <c r="A58" s="2">
        <f t="array" ref="A58">IFERROR(INDEX('Bank Schedule'!A:A, SMALL(IF('Bank Schedule'!$K$2:$K$817="Vacant", ROW('Bank Schedule'!$K$2:$K$817)), ROW(55:55))), "")</f>
        <v/>
      </c>
      <c r="B58" s="11">
        <f t="array" ref="B58">IFERROR(INDEX('Bank Schedule'!B:B, SMALL(IF('Bank Schedule'!$K$2:$K$817="Vacant", ROW('Bank Schedule'!$K$2:$K$817)), ROW(55:55))), "")</f>
        <v/>
      </c>
      <c r="C58" s="11">
        <f t="array" ref="C58">IFERROR(INDEX('Bank Schedule'!C:C, SMALL(IF('Bank Schedule'!$K$2:$K$817="Vacant", ROW('Bank Schedule'!$K$2:$K$817)), ROW(55:55))), "")</f>
        <v/>
      </c>
      <c r="D58" s="11">
        <f t="array" ref="D58">IFERROR(INDEX('Bank Schedule'!D:D, SMALL(IF('Bank Schedule'!$K$2:$K$817="Vacant", ROW('Bank Schedule'!$K$2:$K$817)), ROW(55:55))), "")</f>
        <v/>
      </c>
      <c r="E58" s="25">
        <f t="array" ref="E58">IFERROR(INDEX('Bank Schedule'!E:E, SMALL(IF('Bank Schedule'!$K$2:$K$817="Vacant", ROW('Bank Schedule'!$K$2:$K$817)), ROW(55:55))), "")</f>
        <v/>
      </c>
      <c r="F58" s="25">
        <f t="array" ref="F58">IFERROR(INDEX('Bank Schedule'!F:F, SMALL(IF('Bank Schedule'!$K$2:$K$817="Vacant", ROW('Bank Schedule'!$K$2:$K$817)), ROW(55:55))), "")</f>
        <v/>
      </c>
      <c r="G58" s="25">
        <f t="array" ref="G58">IFERROR(INDEX('Bank Schedule'!G:G, SMALL(IF('Bank Schedule'!$K$2:$K$817="Vacant", ROW('Bank Schedule'!$K$2:$K$817)), ROW(55:55))), "")</f>
        <v/>
      </c>
      <c r="H58" s="53">
        <f t="array" ref="H58">IFERROR(INDEX('Bank Schedule'!H:H, SMALL(IF('Bank Schedule'!$K$2:$K$817="Vacant", ROW('Bank Schedule'!$K$2:$K$817)), ROW(55:55))), "")</f>
        <v/>
      </c>
      <c r="I58" s="53">
        <f t="array" ref="I58">IFERROR(INDEX('Bank Schedule'!I:I, SMALL(IF('Bank Schedule'!$K$2:$K$817="Vacant", ROW('Bank Schedule'!$K$2:$K$817)), ROW(55:55))), "")</f>
        <v/>
      </c>
      <c r="J58" s="11">
        <f t="array" ref="J58">IFERROR(INDEX('Bank Schedule'!K:K, SMALL(IF('Bank Schedule'!$K$2:$K$817="Vacant", ROW('Bank Schedule'!$K$2:$K$817)), ROW(55:55))), "")</f>
        <v/>
      </c>
      <c r="K58" s="11">
        <f t="array" ref="K58">IFERROR(INDEX('Bank Schedule'!L:L, SMALL(IF('Bank Schedule'!$K$2:$K$817="Vacant", ROW('Bank Schedule'!$K$2:$K$817)), ROW(55:55))), "")</f>
        <v/>
      </c>
      <c r="L58" s="11">
        <f t="array" ref="L58">IFERROR(INDEX('Bank Schedule'!M:M, SMALL(IF('Bank Schedule'!$K$2:$K$817="Vacant", ROW('Bank Schedule'!$K$2:$K$817)), ROW(55:55))), "")</f>
        <v/>
      </c>
      <c r="M58" s="106">
        <f t="array" ref="M58">IFERROR(INDEX('Bank Schedule'!N:N, SMALL(IF('Bank Schedule'!$K$2:$K$817="Vacant", ROW('Bank Schedule'!$K$2:$K$817)), ROW(55:55))), "")</f>
        <v/>
      </c>
      <c r="N58" s="11">
        <f t="array" ref="N58">IFERROR(INDEX('Bank Schedule'!O:O, SMALL(IF('Bank Schedule'!$K$2:$K$817="Vacant", ROW('Bank Schedule'!$K$2:$K$817)), ROW(55:55))), "")</f>
        <v/>
      </c>
      <c r="O58" s="11">
        <f t="array" ref="O58">IFERROR(INDEX('Bank Schedule'!P:P, SMALL(IF('Bank Schedule'!$K$2:$K$817="Vacant", ROW('Bank Schedule'!$K$2:$K$817)), ROW(55:55))), "")</f>
        <v/>
      </c>
      <c r="P58" s="11">
        <f t="array" ref="P58">IFERROR(INDEX('Bank Schedule'!Q:Q, SMALL(IF('Bank Schedule'!$K$2:$K$817="Vacant", ROW('Bank Schedule'!$K$2:$K$817)), ROW(55:55))), "")</f>
        <v/>
      </c>
      <c r="Q58" s="11">
        <f t="array" ref="Q58">IFERROR(INDEX('Bank Schedule'!R:R, SMALL(IF('Bank Schedule'!$K$2:$K$817="Vacant", ROW('Bank Schedule'!$K$2:$K$817)), ROW(55:55))), "")</f>
        <v/>
      </c>
      <c r="R58" s="11">
        <f t="array" ref="R58">IFERROR(INDEX('Bank Schedule'!S:S, SMALL(IF('Bank Schedule'!$K$2:$K$817="Vacant", ROW('Bank Schedule'!$K$2:$K$817)), ROW(55:55))), "")</f>
        <v/>
      </c>
      <c r="S58" s="301">
        <f t="array" ref="S58">IFERROR(INDEX('Bank Schedule'!T:T, SMALL(IF('Bank Schedule'!$K$2:$K$817="Vacant", ROW('Bank Schedule'!$K$2:$K$817)), ROW(55:55))), "")</f>
        <v/>
      </c>
      <c r="T58" s="301">
        <f t="array" ref="T58">IFERROR(INDEX('Bank Schedule'!U:U, SMALL(IF('Bank Schedule'!$K$2:$K$817="Vacant", ROW('Bank Schedule'!$K$2:$K$817)), ROW(55:55))), "")</f>
        <v/>
      </c>
      <c r="U58" s="301">
        <f t="array" ref="U58">IFERROR(INDEX('Bank Schedule'!V:V, SMALL(IF('Bank Schedule'!$K$2:$K$817="Vacant", ROW('Bank Schedule'!$K$2:$K$817)), ROW(55:55))), "")</f>
        <v/>
      </c>
      <c r="V58" s="301">
        <f t="array" ref="V58">IFERROR(INDEX('Bank Schedule'!W:W, SMALL(IF('Bank Schedule'!$K$2:$K$817="Vacant", ROW('Bank Schedule'!$K$2:$K$817)), ROW(55:55))), "")</f>
        <v/>
      </c>
      <c r="W58" s="300">
        <f t="array" ref="W58">IFERROR(INDEX('Bank Schedule'!X:X, SMALL(IF('Bank Schedule'!$K$2:$K$817="Vacant", ROW('Bank Schedule'!$K$2:$K$817)), ROW(55:55))), "")</f>
        <v/>
      </c>
      <c r="X58" s="11">
        <f t="array" ref="X58">IFERROR(INDEX('Bank Schedule'!Y:Y, SMALL(IF('Bank Schedule'!$K$2:$K$817="Vacant", ROW('Bank Schedule'!$K$2:$K$817)), ROW(55:55))), "")</f>
        <v/>
      </c>
      <c r="Y58" s="11">
        <f t="array" ref="Y58">IFERROR(INDEX('Bank Schedule'!Z:Z, SMALL(IF('Bank Schedule'!$K$2:$K$817="Vacant", ROW('Bank Schedule'!$K$2:$K$817)), ROW(55:55))), "")</f>
        <v/>
      </c>
      <c r="Z58" s="11">
        <f t="array" ref="Z58">IFERROR(INDEX('Bank Schedule'!AA:AA, SMALL(IF('Bank Schedule'!$K$2:$K$817="Vacant", ROW('Bank Schedule'!$K$2:$K$817)), ROW(55:55))), "")</f>
        <v/>
      </c>
      <c r="AA58" s="11">
        <f t="array" ref="AA58">IFERROR(INDEX('Bank Schedule'!AB:AB, SMALL(IF('Bank Schedule'!$K$2:$K$817="Vacant", ROW('Bank Schedule'!$K$2:$K$817)), ROW(55:55))), "")</f>
        <v/>
      </c>
      <c r="AB58" s="25">
        <f t="array" ref="AB58">IFERROR(INDEX('Bank Schedule'!AC:AC, SMALL(IF('Bank Schedule'!$K$2:$K$817="Vacant", ROW('Bank Schedule'!$K$2:$K$817)), ROW(55:55))), "")</f>
        <v/>
      </c>
      <c r="AC58" s="277">
        <f t="array" ref="AC58">IFERROR(INDEX('Bank Schedule'!AD:AD, SMALL(IF('Bank Schedule'!$K$2:$K$817="Vacant", ROW('Bank Schedule'!$K$2:$K$817)), ROW(55:55))), "")</f>
        <v/>
      </c>
      <c r="AD58" s="11">
        <f t="array" ref="AD58">IFERROR(INDEX('Bank Schedule'!AE:AE, SMALL(IF('Bank Schedule'!$K$2:$K$817="Vacant", ROW('Bank Schedule'!$K$2:$K$817)), ROW(55:55))), "")</f>
        <v/>
      </c>
      <c r="AE58" s="11">
        <f t="array" ref="AE58">IFERROR(INDEX('Bank Schedule'!AF:AF, SMALL(IF('Bank Schedule'!$K$2:$K$817="Vacant", ROW('Bank Schedule'!$K$2:$K$817)), ROW(55:55))), "")</f>
        <v/>
      </c>
      <c r="AF58" s="11">
        <f t="array" ref="AF58">IFERROR(INDEX('Bank Schedule'!AG:AG, SMALL(IF('Bank Schedule'!$K$2:$K$817="Vacant", ROW('Bank Schedule'!$K$2:$K$817)), ROW(55:55))), "")</f>
        <v/>
      </c>
      <c r="AG58" s="4" t="n"/>
    </row>
    <row r="59" ht="28.5" customHeight="1">
      <c r="A59" s="2">
        <f t="array" ref="A59">IFERROR(INDEX('Bank Schedule'!A:A, SMALL(IF('Bank Schedule'!$K$2:$K$817="Vacant", ROW('Bank Schedule'!$K$2:$K$817)), ROW(56:56))), "")</f>
        <v/>
      </c>
      <c r="B59" s="11">
        <f t="array" ref="B59">IFERROR(INDEX('Bank Schedule'!B:B, SMALL(IF('Bank Schedule'!$K$2:$K$817="Vacant", ROW('Bank Schedule'!$K$2:$K$817)), ROW(56:56))), "")</f>
        <v/>
      </c>
      <c r="C59" s="11">
        <f t="array" ref="C59">IFERROR(INDEX('Bank Schedule'!C:C, SMALL(IF('Bank Schedule'!$K$2:$K$817="Vacant", ROW('Bank Schedule'!$K$2:$K$817)), ROW(56:56))), "")</f>
        <v/>
      </c>
      <c r="D59" s="11">
        <f t="array" ref="D59">IFERROR(INDEX('Bank Schedule'!D:D, SMALL(IF('Bank Schedule'!$K$2:$K$817="Vacant", ROW('Bank Schedule'!$K$2:$K$817)), ROW(56:56))), "")</f>
        <v/>
      </c>
      <c r="E59" s="25">
        <f t="array" ref="E59">IFERROR(INDEX('Bank Schedule'!E:E, SMALL(IF('Bank Schedule'!$K$2:$K$817="Vacant", ROW('Bank Schedule'!$K$2:$K$817)), ROW(56:56))), "")</f>
        <v/>
      </c>
      <c r="F59" s="25">
        <f t="array" ref="F59">IFERROR(INDEX('Bank Schedule'!F:F, SMALL(IF('Bank Schedule'!$K$2:$K$817="Vacant", ROW('Bank Schedule'!$K$2:$K$817)), ROW(56:56))), "")</f>
        <v/>
      </c>
      <c r="G59" s="25">
        <f t="array" ref="G59">IFERROR(INDEX('Bank Schedule'!G:G, SMALL(IF('Bank Schedule'!$K$2:$K$817="Vacant", ROW('Bank Schedule'!$K$2:$K$817)), ROW(56:56))), "")</f>
        <v/>
      </c>
      <c r="H59" s="53">
        <f t="array" ref="H59">IFERROR(INDEX('Bank Schedule'!H:H, SMALL(IF('Bank Schedule'!$K$2:$K$817="Vacant", ROW('Bank Schedule'!$K$2:$K$817)), ROW(56:56))), "")</f>
        <v/>
      </c>
      <c r="I59" s="53">
        <f t="array" ref="I59">IFERROR(INDEX('Bank Schedule'!I:I, SMALL(IF('Bank Schedule'!$K$2:$K$817="Vacant", ROW('Bank Schedule'!$K$2:$K$817)), ROW(56:56))), "")</f>
        <v/>
      </c>
      <c r="J59" s="11">
        <f t="array" ref="J59">IFERROR(INDEX('Bank Schedule'!K:K, SMALL(IF('Bank Schedule'!$K$2:$K$817="Vacant", ROW('Bank Schedule'!$K$2:$K$817)), ROW(56:56))), "")</f>
        <v/>
      </c>
      <c r="K59" s="11">
        <f t="array" ref="K59">IFERROR(INDEX('Bank Schedule'!L:L, SMALL(IF('Bank Schedule'!$K$2:$K$817="Vacant", ROW('Bank Schedule'!$K$2:$K$817)), ROW(56:56))), "")</f>
        <v/>
      </c>
      <c r="L59" s="11">
        <f t="array" ref="L59">IFERROR(INDEX('Bank Schedule'!M:M, SMALL(IF('Bank Schedule'!$K$2:$K$817="Vacant", ROW('Bank Schedule'!$K$2:$K$817)), ROW(56:56))), "")</f>
        <v/>
      </c>
      <c r="M59" s="106">
        <f t="array" ref="M59">IFERROR(INDEX('Bank Schedule'!N:N, SMALL(IF('Bank Schedule'!$K$2:$K$817="Vacant", ROW('Bank Schedule'!$K$2:$K$817)), ROW(56:56))), "")</f>
        <v/>
      </c>
      <c r="N59" s="11">
        <f t="array" ref="N59">IFERROR(INDEX('Bank Schedule'!O:O, SMALL(IF('Bank Schedule'!$K$2:$K$817="Vacant", ROW('Bank Schedule'!$K$2:$K$817)), ROW(56:56))), "")</f>
        <v/>
      </c>
      <c r="O59" s="11">
        <f t="array" ref="O59">IFERROR(INDEX('Bank Schedule'!P:P, SMALL(IF('Bank Schedule'!$K$2:$K$817="Vacant", ROW('Bank Schedule'!$K$2:$K$817)), ROW(56:56))), "")</f>
        <v/>
      </c>
      <c r="P59" s="11">
        <f t="array" ref="P59">IFERROR(INDEX('Bank Schedule'!Q:Q, SMALL(IF('Bank Schedule'!$K$2:$K$817="Vacant", ROW('Bank Schedule'!$K$2:$K$817)), ROW(56:56))), "")</f>
        <v/>
      </c>
      <c r="Q59" s="11">
        <f t="array" ref="Q59">IFERROR(INDEX('Bank Schedule'!R:R, SMALL(IF('Bank Schedule'!$K$2:$K$817="Vacant", ROW('Bank Schedule'!$K$2:$K$817)), ROW(56:56))), "")</f>
        <v/>
      </c>
      <c r="R59" s="11">
        <f t="array" ref="R59">IFERROR(INDEX('Bank Schedule'!S:S, SMALL(IF('Bank Schedule'!$K$2:$K$817="Vacant", ROW('Bank Schedule'!$K$2:$K$817)), ROW(56:56))), "")</f>
        <v/>
      </c>
      <c r="S59" s="301">
        <f t="array" ref="S59">IFERROR(INDEX('Bank Schedule'!T:T, SMALL(IF('Bank Schedule'!$K$2:$K$817="Vacant", ROW('Bank Schedule'!$K$2:$K$817)), ROW(56:56))), "")</f>
        <v/>
      </c>
      <c r="T59" s="301">
        <f t="array" ref="T59">IFERROR(INDEX('Bank Schedule'!U:U, SMALL(IF('Bank Schedule'!$K$2:$K$817="Vacant", ROW('Bank Schedule'!$K$2:$K$817)), ROW(56:56))), "")</f>
        <v/>
      </c>
      <c r="U59" s="301">
        <f t="array" ref="U59">IFERROR(INDEX('Bank Schedule'!V:V, SMALL(IF('Bank Schedule'!$K$2:$K$817="Vacant", ROW('Bank Schedule'!$K$2:$K$817)), ROW(56:56))), "")</f>
        <v/>
      </c>
      <c r="V59" s="301">
        <f t="array" ref="V59">IFERROR(INDEX('Bank Schedule'!W:W, SMALL(IF('Bank Schedule'!$K$2:$K$817="Vacant", ROW('Bank Schedule'!$K$2:$K$817)), ROW(56:56))), "")</f>
        <v/>
      </c>
      <c r="W59" s="300">
        <f t="array" ref="W59">IFERROR(INDEX('Bank Schedule'!X:X, SMALL(IF('Bank Schedule'!$K$2:$K$817="Vacant", ROW('Bank Schedule'!$K$2:$K$817)), ROW(56:56))), "")</f>
        <v/>
      </c>
      <c r="X59" s="11">
        <f t="array" ref="X59">IFERROR(INDEX('Bank Schedule'!Y:Y, SMALL(IF('Bank Schedule'!$K$2:$K$817="Vacant", ROW('Bank Schedule'!$K$2:$K$817)), ROW(56:56))), "")</f>
        <v/>
      </c>
      <c r="Y59" s="11">
        <f t="array" ref="Y59">IFERROR(INDEX('Bank Schedule'!Z:Z, SMALL(IF('Bank Schedule'!$K$2:$K$817="Vacant", ROW('Bank Schedule'!$K$2:$K$817)), ROW(56:56))), "")</f>
        <v/>
      </c>
      <c r="Z59" s="11">
        <f t="array" ref="Z59">IFERROR(INDEX('Bank Schedule'!AA:AA, SMALL(IF('Bank Schedule'!$K$2:$K$817="Vacant", ROW('Bank Schedule'!$K$2:$K$817)), ROW(56:56))), "")</f>
        <v/>
      </c>
      <c r="AA59" s="11">
        <f t="array" ref="AA59">IFERROR(INDEX('Bank Schedule'!AB:AB, SMALL(IF('Bank Schedule'!$K$2:$K$817="Vacant", ROW('Bank Schedule'!$K$2:$K$817)), ROW(56:56))), "")</f>
        <v/>
      </c>
      <c r="AB59" s="25">
        <f t="array" ref="AB59">IFERROR(INDEX('Bank Schedule'!AC:AC, SMALL(IF('Bank Schedule'!$K$2:$K$817="Vacant", ROW('Bank Schedule'!$K$2:$K$817)), ROW(56:56))), "")</f>
        <v/>
      </c>
      <c r="AC59" s="277">
        <f t="array" ref="AC59">IFERROR(INDEX('Bank Schedule'!AD:AD, SMALL(IF('Bank Schedule'!$K$2:$K$817="Vacant", ROW('Bank Schedule'!$K$2:$K$817)), ROW(56:56))), "")</f>
        <v/>
      </c>
      <c r="AD59" s="11">
        <f t="array" ref="AD59">IFERROR(INDEX('Bank Schedule'!AE:AE, SMALL(IF('Bank Schedule'!$K$2:$K$817="Vacant", ROW('Bank Schedule'!$K$2:$K$817)), ROW(56:56))), "")</f>
        <v/>
      </c>
      <c r="AE59" s="11">
        <f t="array" ref="AE59">IFERROR(INDEX('Bank Schedule'!AF:AF, SMALL(IF('Bank Schedule'!$K$2:$K$817="Vacant", ROW('Bank Schedule'!$K$2:$K$817)), ROW(56:56))), "")</f>
        <v/>
      </c>
      <c r="AF59" s="11">
        <f t="array" ref="AF59">IFERROR(INDEX('Bank Schedule'!AG:AG, SMALL(IF('Bank Schedule'!$K$2:$K$817="Vacant", ROW('Bank Schedule'!$K$2:$K$817)), ROW(56:56))), "")</f>
        <v/>
      </c>
      <c r="AG59" s="4" t="n"/>
    </row>
    <row r="60" ht="28.5" customHeight="1">
      <c r="A60" s="2">
        <f t="array" ref="A60">IFERROR(INDEX('Bank Schedule'!A:A, SMALL(IF('Bank Schedule'!$K$2:$K$817="Vacant", ROW('Bank Schedule'!$K$2:$K$817)), ROW(57:57))), "")</f>
        <v/>
      </c>
      <c r="B60" s="11">
        <f t="array" ref="B60">IFERROR(INDEX('Bank Schedule'!B:B, SMALL(IF('Bank Schedule'!$K$2:$K$817="Vacant", ROW('Bank Schedule'!$K$2:$K$817)), ROW(57:57))), "")</f>
        <v/>
      </c>
      <c r="C60" s="11">
        <f t="array" ref="C60">IFERROR(INDEX('Bank Schedule'!C:C, SMALL(IF('Bank Schedule'!$K$2:$K$817="Vacant", ROW('Bank Schedule'!$K$2:$K$817)), ROW(57:57))), "")</f>
        <v/>
      </c>
      <c r="D60" s="11">
        <f t="array" ref="D60">IFERROR(INDEX('Bank Schedule'!D:D, SMALL(IF('Bank Schedule'!$K$2:$K$817="Vacant", ROW('Bank Schedule'!$K$2:$K$817)), ROW(57:57))), "")</f>
        <v/>
      </c>
      <c r="E60" s="25">
        <f t="array" ref="E60">IFERROR(INDEX('Bank Schedule'!E:E, SMALL(IF('Bank Schedule'!$K$2:$K$817="Vacant", ROW('Bank Schedule'!$K$2:$K$817)), ROW(57:57))), "")</f>
        <v/>
      </c>
      <c r="F60" s="25">
        <f t="array" ref="F60">IFERROR(INDEX('Bank Schedule'!F:F, SMALL(IF('Bank Schedule'!$K$2:$K$817="Vacant", ROW('Bank Schedule'!$K$2:$K$817)), ROW(57:57))), "")</f>
        <v/>
      </c>
      <c r="G60" s="25">
        <f t="array" ref="G60">IFERROR(INDEX('Bank Schedule'!G:G, SMALL(IF('Bank Schedule'!$K$2:$K$817="Vacant", ROW('Bank Schedule'!$K$2:$K$817)), ROW(57:57))), "")</f>
        <v/>
      </c>
      <c r="H60" s="53">
        <f t="array" ref="H60">IFERROR(INDEX('Bank Schedule'!H:H, SMALL(IF('Bank Schedule'!$K$2:$K$817="Vacant", ROW('Bank Schedule'!$K$2:$K$817)), ROW(57:57))), "")</f>
        <v/>
      </c>
      <c r="I60" s="53">
        <f t="array" ref="I60">IFERROR(INDEX('Bank Schedule'!I:I, SMALL(IF('Bank Schedule'!$K$2:$K$817="Vacant", ROW('Bank Schedule'!$K$2:$K$817)), ROW(57:57))), "")</f>
        <v/>
      </c>
      <c r="J60" s="11">
        <f t="array" ref="J60">IFERROR(INDEX('Bank Schedule'!K:K, SMALL(IF('Bank Schedule'!$K$2:$K$817="Vacant", ROW('Bank Schedule'!$K$2:$K$817)), ROW(57:57))), "")</f>
        <v/>
      </c>
      <c r="K60" s="11">
        <f t="array" ref="K60">IFERROR(INDEX('Bank Schedule'!L:L, SMALL(IF('Bank Schedule'!$K$2:$K$817="Vacant", ROW('Bank Schedule'!$K$2:$K$817)), ROW(57:57))), "")</f>
        <v/>
      </c>
      <c r="L60" s="11">
        <f t="array" ref="L60">IFERROR(INDEX('Bank Schedule'!M:M, SMALL(IF('Bank Schedule'!$K$2:$K$817="Vacant", ROW('Bank Schedule'!$K$2:$K$817)), ROW(57:57))), "")</f>
        <v/>
      </c>
      <c r="M60" s="106">
        <f t="array" ref="M60">IFERROR(INDEX('Bank Schedule'!N:N, SMALL(IF('Bank Schedule'!$K$2:$K$817="Vacant", ROW('Bank Schedule'!$K$2:$K$817)), ROW(57:57))), "")</f>
        <v/>
      </c>
      <c r="N60" s="11">
        <f t="array" ref="N60">IFERROR(INDEX('Bank Schedule'!O:O, SMALL(IF('Bank Schedule'!$K$2:$K$817="Vacant", ROW('Bank Schedule'!$K$2:$K$817)), ROW(57:57))), "")</f>
        <v/>
      </c>
      <c r="O60" s="11">
        <f t="array" ref="O60">IFERROR(INDEX('Bank Schedule'!P:P, SMALL(IF('Bank Schedule'!$K$2:$K$817="Vacant", ROW('Bank Schedule'!$K$2:$K$817)), ROW(57:57))), "")</f>
        <v/>
      </c>
      <c r="P60" s="11">
        <f t="array" ref="P60">IFERROR(INDEX('Bank Schedule'!Q:Q, SMALL(IF('Bank Schedule'!$K$2:$K$817="Vacant", ROW('Bank Schedule'!$K$2:$K$817)), ROW(57:57))), "")</f>
        <v/>
      </c>
      <c r="Q60" s="11">
        <f t="array" ref="Q60">IFERROR(INDEX('Bank Schedule'!R:R, SMALL(IF('Bank Schedule'!$K$2:$K$817="Vacant", ROW('Bank Schedule'!$K$2:$K$817)), ROW(57:57))), "")</f>
        <v/>
      </c>
      <c r="R60" s="11">
        <f t="array" ref="R60">IFERROR(INDEX('Bank Schedule'!S:S, SMALL(IF('Bank Schedule'!$K$2:$K$817="Vacant", ROW('Bank Schedule'!$K$2:$K$817)), ROW(57:57))), "")</f>
        <v/>
      </c>
      <c r="S60" s="301">
        <f t="array" ref="S60">IFERROR(INDEX('Bank Schedule'!T:T, SMALL(IF('Bank Schedule'!$K$2:$K$817="Vacant", ROW('Bank Schedule'!$K$2:$K$817)), ROW(57:57))), "")</f>
        <v/>
      </c>
      <c r="T60" s="301">
        <f t="array" ref="T60">IFERROR(INDEX('Bank Schedule'!U:U, SMALL(IF('Bank Schedule'!$K$2:$K$817="Vacant", ROW('Bank Schedule'!$K$2:$K$817)), ROW(57:57))), "")</f>
        <v/>
      </c>
      <c r="U60" s="301">
        <f t="array" ref="U60">IFERROR(INDEX('Bank Schedule'!V:V, SMALL(IF('Bank Schedule'!$K$2:$K$817="Vacant", ROW('Bank Schedule'!$K$2:$K$817)), ROW(57:57))), "")</f>
        <v/>
      </c>
      <c r="V60" s="301">
        <f t="array" ref="V60">IFERROR(INDEX('Bank Schedule'!W:W, SMALL(IF('Bank Schedule'!$K$2:$K$817="Vacant", ROW('Bank Schedule'!$K$2:$K$817)), ROW(57:57))), "")</f>
        <v/>
      </c>
      <c r="W60" s="300">
        <f t="array" ref="W60">IFERROR(INDEX('Bank Schedule'!X:X, SMALL(IF('Bank Schedule'!$K$2:$K$817="Vacant", ROW('Bank Schedule'!$K$2:$K$817)), ROW(57:57))), "")</f>
        <v/>
      </c>
      <c r="X60" s="11">
        <f t="array" ref="X60">IFERROR(INDEX('Bank Schedule'!Y:Y, SMALL(IF('Bank Schedule'!$K$2:$K$817="Vacant", ROW('Bank Schedule'!$K$2:$K$817)), ROW(57:57))), "")</f>
        <v/>
      </c>
      <c r="Y60" s="11">
        <f t="array" ref="Y60">IFERROR(INDEX('Bank Schedule'!Z:Z, SMALL(IF('Bank Schedule'!$K$2:$K$817="Vacant", ROW('Bank Schedule'!$K$2:$K$817)), ROW(57:57))), "")</f>
        <v/>
      </c>
      <c r="Z60" s="11">
        <f t="array" ref="Z60">IFERROR(INDEX('Bank Schedule'!AA:AA, SMALL(IF('Bank Schedule'!$K$2:$K$817="Vacant", ROW('Bank Schedule'!$K$2:$K$817)), ROW(57:57))), "")</f>
        <v/>
      </c>
      <c r="AA60" s="11">
        <f t="array" ref="AA60">IFERROR(INDEX('Bank Schedule'!AB:AB, SMALL(IF('Bank Schedule'!$K$2:$K$817="Vacant", ROW('Bank Schedule'!$K$2:$K$817)), ROW(57:57))), "")</f>
        <v/>
      </c>
      <c r="AB60" s="25">
        <f t="array" ref="AB60">IFERROR(INDEX('Bank Schedule'!AC:AC, SMALL(IF('Bank Schedule'!$K$2:$K$817="Vacant", ROW('Bank Schedule'!$K$2:$K$817)), ROW(57:57))), "")</f>
        <v/>
      </c>
      <c r="AC60" s="277">
        <f t="array" ref="AC60">IFERROR(INDEX('Bank Schedule'!AD:AD, SMALL(IF('Bank Schedule'!$K$2:$K$817="Vacant", ROW('Bank Schedule'!$K$2:$K$817)), ROW(57:57))), "")</f>
        <v/>
      </c>
      <c r="AD60" s="11">
        <f t="array" ref="AD60">IFERROR(INDEX('Bank Schedule'!AE:AE, SMALL(IF('Bank Schedule'!$K$2:$K$817="Vacant", ROW('Bank Schedule'!$K$2:$K$817)), ROW(57:57))), "")</f>
        <v/>
      </c>
      <c r="AE60" s="11">
        <f t="array" ref="AE60">IFERROR(INDEX('Bank Schedule'!AF:AF, SMALL(IF('Bank Schedule'!$K$2:$K$817="Vacant", ROW('Bank Schedule'!$K$2:$K$817)), ROW(57:57))), "")</f>
        <v/>
      </c>
      <c r="AF60" s="11">
        <f t="array" ref="AF60">IFERROR(INDEX('Bank Schedule'!AG:AG, SMALL(IF('Bank Schedule'!$K$2:$K$817="Vacant", ROW('Bank Schedule'!$K$2:$K$817)), ROW(57:57))), "")</f>
        <v/>
      </c>
      <c r="AG60" s="4" t="n"/>
    </row>
    <row r="61" ht="28.5" customHeight="1">
      <c r="A61" s="2">
        <f t="array" ref="A61">IFERROR(INDEX('Bank Schedule'!A:A, SMALL(IF('Bank Schedule'!$K$2:$K$817="Vacant", ROW('Bank Schedule'!$K$2:$K$817)), ROW(58:58))), "")</f>
        <v/>
      </c>
      <c r="B61" s="11">
        <f t="array" ref="B61">IFERROR(INDEX('Bank Schedule'!B:B, SMALL(IF('Bank Schedule'!$K$2:$K$817="Vacant", ROW('Bank Schedule'!$K$2:$K$817)), ROW(58:58))), "")</f>
        <v/>
      </c>
      <c r="C61" s="11">
        <f t="array" ref="C61">IFERROR(INDEX('Bank Schedule'!C:C, SMALL(IF('Bank Schedule'!$K$2:$K$817="Vacant", ROW('Bank Schedule'!$K$2:$K$817)), ROW(58:58))), "")</f>
        <v/>
      </c>
      <c r="D61" s="11">
        <f t="array" ref="D61">IFERROR(INDEX('Bank Schedule'!D:D, SMALL(IF('Bank Schedule'!$K$2:$K$817="Vacant", ROW('Bank Schedule'!$K$2:$K$817)), ROW(58:58))), "")</f>
        <v/>
      </c>
      <c r="E61" s="25">
        <f t="array" ref="E61">IFERROR(INDEX('Bank Schedule'!E:E, SMALL(IF('Bank Schedule'!$K$2:$K$817="Vacant", ROW('Bank Schedule'!$K$2:$K$817)), ROW(58:58))), "")</f>
        <v/>
      </c>
      <c r="F61" s="25">
        <f t="array" ref="F61">IFERROR(INDEX('Bank Schedule'!F:F, SMALL(IF('Bank Schedule'!$K$2:$K$817="Vacant", ROW('Bank Schedule'!$K$2:$K$817)), ROW(58:58))), "")</f>
        <v/>
      </c>
      <c r="G61" s="25">
        <f t="array" ref="G61">IFERROR(INDEX('Bank Schedule'!G:G, SMALL(IF('Bank Schedule'!$K$2:$K$817="Vacant", ROW('Bank Schedule'!$K$2:$K$817)), ROW(58:58))), "")</f>
        <v/>
      </c>
      <c r="H61" s="53">
        <f t="array" ref="H61">IFERROR(INDEX('Bank Schedule'!H:H, SMALL(IF('Bank Schedule'!$K$2:$K$817="Vacant", ROW('Bank Schedule'!$K$2:$K$817)), ROW(58:58))), "")</f>
        <v/>
      </c>
      <c r="I61" s="53">
        <f t="array" ref="I61">IFERROR(INDEX('Bank Schedule'!I:I, SMALL(IF('Bank Schedule'!$K$2:$K$817="Vacant", ROW('Bank Schedule'!$K$2:$K$817)), ROW(58:58))), "")</f>
        <v/>
      </c>
      <c r="J61" s="11">
        <f t="array" ref="J61">IFERROR(INDEX('Bank Schedule'!K:K, SMALL(IF('Bank Schedule'!$K$2:$K$817="Vacant", ROW('Bank Schedule'!$K$2:$K$817)), ROW(58:58))), "")</f>
        <v/>
      </c>
      <c r="K61" s="11">
        <f t="array" ref="K61">IFERROR(INDEX('Bank Schedule'!L:L, SMALL(IF('Bank Schedule'!$K$2:$K$817="Vacant", ROW('Bank Schedule'!$K$2:$K$817)), ROW(58:58))), "")</f>
        <v/>
      </c>
      <c r="L61" s="11">
        <f t="array" ref="L61">IFERROR(INDEX('Bank Schedule'!M:M, SMALL(IF('Bank Schedule'!$K$2:$K$817="Vacant", ROW('Bank Schedule'!$K$2:$K$817)), ROW(58:58))), "")</f>
        <v/>
      </c>
      <c r="M61" s="106">
        <f t="array" ref="M61">IFERROR(INDEX('Bank Schedule'!N:N, SMALL(IF('Bank Schedule'!$K$2:$K$817="Vacant", ROW('Bank Schedule'!$K$2:$K$817)), ROW(58:58))), "")</f>
        <v/>
      </c>
      <c r="N61" s="11">
        <f t="array" ref="N61">IFERROR(INDEX('Bank Schedule'!O:O, SMALL(IF('Bank Schedule'!$K$2:$K$817="Vacant", ROW('Bank Schedule'!$K$2:$K$817)), ROW(58:58))), "")</f>
        <v/>
      </c>
      <c r="O61" s="11">
        <f t="array" ref="O61">IFERROR(INDEX('Bank Schedule'!P:P, SMALL(IF('Bank Schedule'!$K$2:$K$817="Vacant", ROW('Bank Schedule'!$K$2:$K$817)), ROW(58:58))), "")</f>
        <v/>
      </c>
      <c r="P61" s="11">
        <f t="array" ref="P61">IFERROR(INDEX('Bank Schedule'!Q:Q, SMALL(IF('Bank Schedule'!$K$2:$K$817="Vacant", ROW('Bank Schedule'!$K$2:$K$817)), ROW(58:58))), "")</f>
        <v/>
      </c>
      <c r="Q61" s="11">
        <f t="array" ref="Q61">IFERROR(INDEX('Bank Schedule'!R:R, SMALL(IF('Bank Schedule'!$K$2:$K$817="Vacant", ROW('Bank Schedule'!$K$2:$K$817)), ROW(58:58))), "")</f>
        <v/>
      </c>
      <c r="R61" s="11">
        <f t="array" ref="R61">IFERROR(INDEX('Bank Schedule'!S:S, SMALL(IF('Bank Schedule'!$K$2:$K$817="Vacant", ROW('Bank Schedule'!$K$2:$K$817)), ROW(58:58))), "")</f>
        <v/>
      </c>
      <c r="S61" s="301">
        <f t="array" ref="S61">IFERROR(INDEX('Bank Schedule'!T:T, SMALL(IF('Bank Schedule'!$K$2:$K$817="Vacant", ROW('Bank Schedule'!$K$2:$K$817)), ROW(58:58))), "")</f>
        <v/>
      </c>
      <c r="T61" s="301">
        <f t="array" ref="T61">IFERROR(INDEX('Bank Schedule'!U:U, SMALL(IF('Bank Schedule'!$K$2:$K$817="Vacant", ROW('Bank Schedule'!$K$2:$K$817)), ROW(58:58))), "")</f>
        <v/>
      </c>
      <c r="U61" s="301">
        <f t="array" ref="U61">IFERROR(INDEX('Bank Schedule'!V:V, SMALL(IF('Bank Schedule'!$K$2:$K$817="Vacant", ROW('Bank Schedule'!$K$2:$K$817)), ROW(58:58))), "")</f>
        <v/>
      </c>
      <c r="V61" s="301">
        <f t="array" ref="V61">IFERROR(INDEX('Bank Schedule'!W:W, SMALL(IF('Bank Schedule'!$K$2:$K$817="Vacant", ROW('Bank Schedule'!$K$2:$K$817)), ROW(58:58))), "")</f>
        <v/>
      </c>
      <c r="W61" s="300">
        <f t="array" ref="W61">IFERROR(INDEX('Bank Schedule'!X:X, SMALL(IF('Bank Schedule'!$K$2:$K$817="Vacant", ROW('Bank Schedule'!$K$2:$K$817)), ROW(58:58))), "")</f>
        <v/>
      </c>
      <c r="X61" s="11">
        <f t="array" ref="X61">IFERROR(INDEX('Bank Schedule'!Y:Y, SMALL(IF('Bank Schedule'!$K$2:$K$817="Vacant", ROW('Bank Schedule'!$K$2:$K$817)), ROW(58:58))), "")</f>
        <v/>
      </c>
      <c r="Y61" s="11">
        <f t="array" ref="Y61">IFERROR(INDEX('Bank Schedule'!Z:Z, SMALL(IF('Bank Schedule'!$K$2:$K$817="Vacant", ROW('Bank Schedule'!$K$2:$K$817)), ROW(58:58))), "")</f>
        <v/>
      </c>
      <c r="Z61" s="11">
        <f t="array" ref="Z61">IFERROR(INDEX('Bank Schedule'!AA:AA, SMALL(IF('Bank Schedule'!$K$2:$K$817="Vacant", ROW('Bank Schedule'!$K$2:$K$817)), ROW(58:58))), "")</f>
        <v/>
      </c>
      <c r="AA61" s="11">
        <f t="array" ref="AA61">IFERROR(INDEX('Bank Schedule'!AB:AB, SMALL(IF('Bank Schedule'!$K$2:$K$817="Vacant", ROW('Bank Schedule'!$K$2:$K$817)), ROW(58:58))), "")</f>
        <v/>
      </c>
      <c r="AB61" s="25">
        <f t="array" ref="AB61">IFERROR(INDEX('Bank Schedule'!AC:AC, SMALL(IF('Bank Schedule'!$K$2:$K$817="Vacant", ROW('Bank Schedule'!$K$2:$K$817)), ROW(58:58))), "")</f>
        <v/>
      </c>
      <c r="AC61" s="277">
        <f t="array" ref="AC61">IFERROR(INDEX('Bank Schedule'!AD:AD, SMALL(IF('Bank Schedule'!$K$2:$K$817="Vacant", ROW('Bank Schedule'!$K$2:$K$817)), ROW(58:58))), "")</f>
        <v/>
      </c>
      <c r="AD61" s="11">
        <f t="array" ref="AD61">IFERROR(INDEX('Bank Schedule'!AE:AE, SMALL(IF('Bank Schedule'!$K$2:$K$817="Vacant", ROW('Bank Schedule'!$K$2:$K$817)), ROW(58:58))), "")</f>
        <v/>
      </c>
      <c r="AE61" s="11">
        <f t="array" ref="AE61">IFERROR(INDEX('Bank Schedule'!AF:AF, SMALL(IF('Bank Schedule'!$K$2:$K$817="Vacant", ROW('Bank Schedule'!$K$2:$K$817)), ROW(58:58))), "")</f>
        <v/>
      </c>
      <c r="AF61" s="11">
        <f t="array" ref="AF61">IFERROR(INDEX('Bank Schedule'!AG:AG, SMALL(IF('Bank Schedule'!$K$2:$K$817="Vacant", ROW('Bank Schedule'!$K$2:$K$817)), ROW(58:58))), "")</f>
        <v/>
      </c>
      <c r="AG61" s="4" t="n"/>
    </row>
    <row r="62" ht="28.5" customHeight="1">
      <c r="A62" s="2">
        <f t="array" ref="A62">IFERROR(INDEX('Bank Schedule'!A:A, SMALL(IF('Bank Schedule'!$K$2:$K$817="Vacant", ROW('Bank Schedule'!$K$2:$K$817)), ROW(59:59))), "")</f>
        <v/>
      </c>
      <c r="B62" s="11">
        <f t="array" ref="B62">IFERROR(INDEX('Bank Schedule'!B:B, SMALL(IF('Bank Schedule'!$K$2:$K$817="Vacant", ROW('Bank Schedule'!$K$2:$K$817)), ROW(59:59))), "")</f>
        <v/>
      </c>
      <c r="C62" s="11">
        <f t="array" ref="C62">IFERROR(INDEX('Bank Schedule'!C:C, SMALL(IF('Bank Schedule'!$K$2:$K$817="Vacant", ROW('Bank Schedule'!$K$2:$K$817)), ROW(59:59))), "")</f>
        <v/>
      </c>
      <c r="D62" s="11">
        <f t="array" ref="D62">IFERROR(INDEX('Bank Schedule'!D:D, SMALL(IF('Bank Schedule'!$K$2:$K$817="Vacant", ROW('Bank Schedule'!$K$2:$K$817)), ROW(59:59))), "")</f>
        <v/>
      </c>
      <c r="E62" s="25">
        <f t="array" ref="E62">IFERROR(INDEX('Bank Schedule'!E:E, SMALL(IF('Bank Schedule'!$K$2:$K$817="Vacant", ROW('Bank Schedule'!$K$2:$K$817)), ROW(59:59))), "")</f>
        <v/>
      </c>
      <c r="F62" s="25">
        <f t="array" ref="F62">IFERROR(INDEX('Bank Schedule'!F:F, SMALL(IF('Bank Schedule'!$K$2:$K$817="Vacant", ROW('Bank Schedule'!$K$2:$K$817)), ROW(59:59))), "")</f>
        <v/>
      </c>
      <c r="G62" s="25">
        <f t="array" ref="G62">IFERROR(INDEX('Bank Schedule'!G:G, SMALL(IF('Bank Schedule'!$K$2:$K$817="Vacant", ROW('Bank Schedule'!$K$2:$K$817)), ROW(59:59))), "")</f>
        <v/>
      </c>
      <c r="H62" s="53">
        <f t="array" ref="H62">IFERROR(INDEX('Bank Schedule'!H:H, SMALL(IF('Bank Schedule'!$K$2:$K$817="Vacant", ROW('Bank Schedule'!$K$2:$K$817)), ROW(59:59))), "")</f>
        <v/>
      </c>
      <c r="I62" s="53">
        <f t="array" ref="I62">IFERROR(INDEX('Bank Schedule'!I:I, SMALL(IF('Bank Schedule'!$K$2:$K$817="Vacant", ROW('Bank Schedule'!$K$2:$K$817)), ROW(59:59))), "")</f>
        <v/>
      </c>
      <c r="J62" s="11">
        <f t="array" ref="J62">IFERROR(INDEX('Bank Schedule'!K:K, SMALL(IF('Bank Schedule'!$K$2:$K$817="Vacant", ROW('Bank Schedule'!$K$2:$K$817)), ROW(59:59))), "")</f>
        <v/>
      </c>
      <c r="K62" s="11">
        <f t="array" ref="K62">IFERROR(INDEX('Bank Schedule'!L:L, SMALL(IF('Bank Schedule'!$K$2:$K$817="Vacant", ROW('Bank Schedule'!$K$2:$K$817)), ROW(59:59))), "")</f>
        <v/>
      </c>
      <c r="L62" s="11">
        <f t="array" ref="L62">IFERROR(INDEX('Bank Schedule'!M:M, SMALL(IF('Bank Schedule'!$K$2:$K$817="Vacant", ROW('Bank Schedule'!$K$2:$K$817)), ROW(59:59))), "")</f>
        <v/>
      </c>
      <c r="M62" s="106">
        <f t="array" ref="M62">IFERROR(INDEX('Bank Schedule'!N:N, SMALL(IF('Bank Schedule'!$K$2:$K$817="Vacant", ROW('Bank Schedule'!$K$2:$K$817)), ROW(59:59))), "")</f>
        <v/>
      </c>
      <c r="N62" s="11">
        <f t="array" ref="N62">IFERROR(INDEX('Bank Schedule'!O:O, SMALL(IF('Bank Schedule'!$K$2:$K$817="Vacant", ROW('Bank Schedule'!$K$2:$K$817)), ROW(59:59))), "")</f>
        <v/>
      </c>
      <c r="O62" s="11">
        <f t="array" ref="O62">IFERROR(INDEX('Bank Schedule'!P:P, SMALL(IF('Bank Schedule'!$K$2:$K$817="Vacant", ROW('Bank Schedule'!$K$2:$K$817)), ROW(59:59))), "")</f>
        <v/>
      </c>
      <c r="P62" s="11">
        <f t="array" ref="P62">IFERROR(INDEX('Bank Schedule'!Q:Q, SMALL(IF('Bank Schedule'!$K$2:$K$817="Vacant", ROW('Bank Schedule'!$K$2:$K$817)), ROW(59:59))), "")</f>
        <v/>
      </c>
      <c r="Q62" s="11">
        <f t="array" ref="Q62">IFERROR(INDEX('Bank Schedule'!R:R, SMALL(IF('Bank Schedule'!$K$2:$K$817="Vacant", ROW('Bank Schedule'!$K$2:$K$817)), ROW(59:59))), "")</f>
        <v/>
      </c>
      <c r="R62" s="11">
        <f t="array" ref="R62">IFERROR(INDEX('Bank Schedule'!S:S, SMALL(IF('Bank Schedule'!$K$2:$K$817="Vacant", ROW('Bank Schedule'!$K$2:$K$817)), ROW(59:59))), "")</f>
        <v/>
      </c>
      <c r="S62" s="301">
        <f t="array" ref="S62">IFERROR(INDEX('Bank Schedule'!T:T, SMALL(IF('Bank Schedule'!$K$2:$K$817="Vacant", ROW('Bank Schedule'!$K$2:$K$817)), ROW(59:59))), "")</f>
        <v/>
      </c>
      <c r="T62" s="301">
        <f t="array" ref="T62">IFERROR(INDEX('Bank Schedule'!U:U, SMALL(IF('Bank Schedule'!$K$2:$K$817="Vacant", ROW('Bank Schedule'!$K$2:$K$817)), ROW(59:59))), "")</f>
        <v/>
      </c>
      <c r="U62" s="301">
        <f t="array" ref="U62">IFERROR(INDEX('Bank Schedule'!V:V, SMALL(IF('Bank Schedule'!$K$2:$K$817="Vacant", ROW('Bank Schedule'!$K$2:$K$817)), ROW(59:59))), "")</f>
        <v/>
      </c>
      <c r="V62" s="301">
        <f t="array" ref="V62">IFERROR(INDEX('Bank Schedule'!W:W, SMALL(IF('Bank Schedule'!$K$2:$K$817="Vacant", ROW('Bank Schedule'!$K$2:$K$817)), ROW(59:59))), "")</f>
        <v/>
      </c>
      <c r="W62" s="300">
        <f t="array" ref="W62">IFERROR(INDEX('Bank Schedule'!X:X, SMALL(IF('Bank Schedule'!$K$2:$K$817="Vacant", ROW('Bank Schedule'!$K$2:$K$817)), ROW(59:59))), "")</f>
        <v/>
      </c>
      <c r="X62" s="11">
        <f t="array" ref="X62">IFERROR(INDEX('Bank Schedule'!Y:Y, SMALL(IF('Bank Schedule'!$K$2:$K$817="Vacant", ROW('Bank Schedule'!$K$2:$K$817)), ROW(59:59))), "")</f>
        <v/>
      </c>
      <c r="Y62" s="11">
        <f t="array" ref="Y62">IFERROR(INDEX('Bank Schedule'!Z:Z, SMALL(IF('Bank Schedule'!$K$2:$K$817="Vacant", ROW('Bank Schedule'!$K$2:$K$817)), ROW(59:59))), "")</f>
        <v/>
      </c>
      <c r="Z62" s="11">
        <f t="array" ref="Z62">IFERROR(INDEX('Bank Schedule'!AA:AA, SMALL(IF('Bank Schedule'!$K$2:$K$817="Vacant", ROW('Bank Schedule'!$K$2:$K$817)), ROW(59:59))), "")</f>
        <v/>
      </c>
      <c r="AA62" s="11">
        <f t="array" ref="AA62">IFERROR(INDEX('Bank Schedule'!AB:AB, SMALL(IF('Bank Schedule'!$K$2:$K$817="Vacant", ROW('Bank Schedule'!$K$2:$K$817)), ROW(59:59))), "")</f>
        <v/>
      </c>
      <c r="AB62" s="25">
        <f t="array" ref="AB62">IFERROR(INDEX('Bank Schedule'!AC:AC, SMALL(IF('Bank Schedule'!$K$2:$K$817="Vacant", ROW('Bank Schedule'!$K$2:$K$817)), ROW(59:59))), "")</f>
        <v/>
      </c>
      <c r="AC62" s="277">
        <f t="array" ref="AC62">IFERROR(INDEX('Bank Schedule'!AD:AD, SMALL(IF('Bank Schedule'!$K$2:$K$817="Vacant", ROW('Bank Schedule'!$K$2:$K$817)), ROW(59:59))), "")</f>
        <v/>
      </c>
      <c r="AD62" s="11">
        <f t="array" ref="AD62">IFERROR(INDEX('Bank Schedule'!AE:AE, SMALL(IF('Bank Schedule'!$K$2:$K$817="Vacant", ROW('Bank Schedule'!$K$2:$K$817)), ROW(59:59))), "")</f>
        <v/>
      </c>
      <c r="AE62" s="11">
        <f t="array" ref="AE62">IFERROR(INDEX('Bank Schedule'!AF:AF, SMALL(IF('Bank Schedule'!$K$2:$K$817="Vacant", ROW('Bank Schedule'!$K$2:$K$817)), ROW(59:59))), "")</f>
        <v/>
      </c>
      <c r="AF62" s="11">
        <f t="array" ref="AF62">IFERROR(INDEX('Bank Schedule'!AG:AG, SMALL(IF('Bank Schedule'!$K$2:$K$817="Vacant", ROW('Bank Schedule'!$K$2:$K$817)), ROW(59:59))), "")</f>
        <v/>
      </c>
      <c r="AG62" s="4" t="n"/>
    </row>
    <row r="63" ht="28.5" customHeight="1">
      <c r="A63" s="2">
        <f t="array" ref="A63">IFERROR(INDEX('Bank Schedule'!A:A, SMALL(IF('Bank Schedule'!$K$2:$K$817="Vacant", ROW('Bank Schedule'!$K$2:$K$817)), ROW(60:60))), "")</f>
        <v/>
      </c>
      <c r="B63" s="11">
        <f t="array" ref="B63">IFERROR(INDEX('Bank Schedule'!B:B, SMALL(IF('Bank Schedule'!$K$2:$K$817="Vacant", ROW('Bank Schedule'!$K$2:$K$817)), ROW(60:60))), "")</f>
        <v/>
      </c>
      <c r="C63" s="11">
        <f t="array" ref="C63">IFERROR(INDEX('Bank Schedule'!C:C, SMALL(IF('Bank Schedule'!$K$2:$K$817="Vacant", ROW('Bank Schedule'!$K$2:$K$817)), ROW(60:60))), "")</f>
        <v/>
      </c>
      <c r="D63" s="11">
        <f t="array" ref="D63">IFERROR(INDEX('Bank Schedule'!D:D, SMALL(IF('Bank Schedule'!$K$2:$K$817="Vacant", ROW('Bank Schedule'!$K$2:$K$817)), ROW(60:60))), "")</f>
        <v/>
      </c>
      <c r="E63" s="25">
        <f t="array" ref="E63">IFERROR(INDEX('Bank Schedule'!E:E, SMALL(IF('Bank Schedule'!$K$2:$K$817="Vacant", ROW('Bank Schedule'!$K$2:$K$817)), ROW(60:60))), "")</f>
        <v/>
      </c>
      <c r="F63" s="25">
        <f t="array" ref="F63">IFERROR(INDEX('Bank Schedule'!F:F, SMALL(IF('Bank Schedule'!$K$2:$K$817="Vacant", ROW('Bank Schedule'!$K$2:$K$817)), ROW(60:60))), "")</f>
        <v/>
      </c>
      <c r="G63" s="25">
        <f t="array" ref="G63">IFERROR(INDEX('Bank Schedule'!G:G, SMALL(IF('Bank Schedule'!$K$2:$K$817="Vacant", ROW('Bank Schedule'!$K$2:$K$817)), ROW(60:60))), "")</f>
        <v/>
      </c>
      <c r="H63" s="53">
        <f t="array" ref="H63">IFERROR(INDEX('Bank Schedule'!H:H, SMALL(IF('Bank Schedule'!$K$2:$K$817="Vacant", ROW('Bank Schedule'!$K$2:$K$817)), ROW(60:60))), "")</f>
        <v/>
      </c>
      <c r="I63" s="53">
        <f t="array" ref="I63">IFERROR(INDEX('Bank Schedule'!I:I, SMALL(IF('Bank Schedule'!$K$2:$K$817="Vacant", ROW('Bank Schedule'!$K$2:$K$817)), ROW(60:60))), "")</f>
        <v/>
      </c>
      <c r="J63" s="11">
        <f t="array" ref="J63">IFERROR(INDEX('Bank Schedule'!K:K, SMALL(IF('Bank Schedule'!$K$2:$K$817="Vacant", ROW('Bank Schedule'!$K$2:$K$817)), ROW(60:60))), "")</f>
        <v/>
      </c>
      <c r="K63" s="11">
        <f t="array" ref="K63">IFERROR(INDEX('Bank Schedule'!L:L, SMALL(IF('Bank Schedule'!$K$2:$K$817="Vacant", ROW('Bank Schedule'!$K$2:$K$817)), ROW(60:60))), "")</f>
        <v/>
      </c>
      <c r="L63" s="11">
        <f t="array" ref="L63">IFERROR(INDEX('Bank Schedule'!M:M, SMALL(IF('Bank Schedule'!$K$2:$K$817="Vacant", ROW('Bank Schedule'!$K$2:$K$817)), ROW(60:60))), "")</f>
        <v/>
      </c>
      <c r="M63" s="106">
        <f t="array" ref="M63">IFERROR(INDEX('Bank Schedule'!N:N, SMALL(IF('Bank Schedule'!$K$2:$K$817="Vacant", ROW('Bank Schedule'!$K$2:$K$817)), ROW(60:60))), "")</f>
        <v/>
      </c>
      <c r="N63" s="11">
        <f t="array" ref="N63">IFERROR(INDEX('Bank Schedule'!O:O, SMALL(IF('Bank Schedule'!$K$2:$K$817="Vacant", ROW('Bank Schedule'!$K$2:$K$817)), ROW(60:60))), "")</f>
        <v/>
      </c>
      <c r="O63" s="11">
        <f t="array" ref="O63">IFERROR(INDEX('Bank Schedule'!P:P, SMALL(IF('Bank Schedule'!$K$2:$K$817="Vacant", ROW('Bank Schedule'!$K$2:$K$817)), ROW(60:60))), "")</f>
        <v/>
      </c>
      <c r="P63" s="11">
        <f t="array" ref="P63">IFERROR(INDEX('Bank Schedule'!Q:Q, SMALL(IF('Bank Schedule'!$K$2:$K$817="Vacant", ROW('Bank Schedule'!$K$2:$K$817)), ROW(60:60))), "")</f>
        <v/>
      </c>
      <c r="Q63" s="11">
        <f t="array" ref="Q63">IFERROR(INDEX('Bank Schedule'!R:R, SMALL(IF('Bank Schedule'!$K$2:$K$817="Vacant", ROW('Bank Schedule'!$K$2:$K$817)), ROW(60:60))), "")</f>
        <v/>
      </c>
      <c r="R63" s="11">
        <f t="array" ref="R63">IFERROR(INDEX('Bank Schedule'!S:S, SMALL(IF('Bank Schedule'!$K$2:$K$817="Vacant", ROW('Bank Schedule'!$K$2:$K$817)), ROW(60:60))), "")</f>
        <v/>
      </c>
      <c r="S63" s="301">
        <f t="array" ref="S63">IFERROR(INDEX('Bank Schedule'!T:T, SMALL(IF('Bank Schedule'!$K$2:$K$817="Vacant", ROW('Bank Schedule'!$K$2:$K$817)), ROW(60:60))), "")</f>
        <v/>
      </c>
      <c r="T63" s="301">
        <f t="array" ref="T63">IFERROR(INDEX('Bank Schedule'!U:U, SMALL(IF('Bank Schedule'!$K$2:$K$817="Vacant", ROW('Bank Schedule'!$K$2:$K$817)), ROW(60:60))), "")</f>
        <v/>
      </c>
      <c r="U63" s="301">
        <f t="array" ref="U63">IFERROR(INDEX('Bank Schedule'!V:V, SMALL(IF('Bank Schedule'!$K$2:$K$817="Vacant", ROW('Bank Schedule'!$K$2:$K$817)), ROW(60:60))), "")</f>
        <v/>
      </c>
      <c r="V63" s="301">
        <f t="array" ref="V63">IFERROR(INDEX('Bank Schedule'!W:W, SMALL(IF('Bank Schedule'!$K$2:$K$817="Vacant", ROW('Bank Schedule'!$K$2:$K$817)), ROW(60:60))), "")</f>
        <v/>
      </c>
      <c r="W63" s="300">
        <f t="array" ref="W63">IFERROR(INDEX('Bank Schedule'!X:X, SMALL(IF('Bank Schedule'!$K$2:$K$817="Vacant", ROW('Bank Schedule'!$K$2:$K$817)), ROW(60:60))), "")</f>
        <v/>
      </c>
      <c r="X63" s="11">
        <f t="array" ref="X63">IFERROR(INDEX('Bank Schedule'!Y:Y, SMALL(IF('Bank Schedule'!$K$2:$K$817="Vacant", ROW('Bank Schedule'!$K$2:$K$817)), ROW(60:60))), "")</f>
        <v/>
      </c>
      <c r="Y63" s="11">
        <f t="array" ref="Y63">IFERROR(INDEX('Bank Schedule'!Z:Z, SMALL(IF('Bank Schedule'!$K$2:$K$817="Vacant", ROW('Bank Schedule'!$K$2:$K$817)), ROW(60:60))), "")</f>
        <v/>
      </c>
      <c r="Z63" s="11">
        <f t="array" ref="Z63">IFERROR(INDEX('Bank Schedule'!AA:AA, SMALL(IF('Bank Schedule'!$K$2:$K$817="Vacant", ROW('Bank Schedule'!$K$2:$K$817)), ROW(60:60))), "")</f>
        <v/>
      </c>
      <c r="AA63" s="11">
        <f t="array" ref="AA63">IFERROR(INDEX('Bank Schedule'!AB:AB, SMALL(IF('Bank Schedule'!$K$2:$K$817="Vacant", ROW('Bank Schedule'!$K$2:$K$817)), ROW(60:60))), "")</f>
        <v/>
      </c>
      <c r="AB63" s="25">
        <f t="array" ref="AB63">IFERROR(INDEX('Bank Schedule'!AC:AC, SMALL(IF('Bank Schedule'!$K$2:$K$817="Vacant", ROW('Bank Schedule'!$K$2:$K$817)), ROW(60:60))), "")</f>
        <v/>
      </c>
      <c r="AC63" s="277">
        <f t="array" ref="AC63">IFERROR(INDEX('Bank Schedule'!AD:AD, SMALL(IF('Bank Schedule'!$K$2:$K$817="Vacant", ROW('Bank Schedule'!$K$2:$K$817)), ROW(60:60))), "")</f>
        <v/>
      </c>
      <c r="AD63" s="11">
        <f t="array" ref="AD63">IFERROR(INDEX('Bank Schedule'!AE:AE, SMALL(IF('Bank Schedule'!$K$2:$K$817="Vacant", ROW('Bank Schedule'!$K$2:$K$817)), ROW(60:60))), "")</f>
        <v/>
      </c>
      <c r="AE63" s="11">
        <f t="array" ref="AE63">IFERROR(INDEX('Bank Schedule'!AF:AF, SMALL(IF('Bank Schedule'!$K$2:$K$817="Vacant", ROW('Bank Schedule'!$K$2:$K$817)), ROW(60:60))), "")</f>
        <v/>
      </c>
      <c r="AF63" s="11">
        <f t="array" ref="AF63">IFERROR(INDEX('Bank Schedule'!AG:AG, SMALL(IF('Bank Schedule'!$K$2:$K$817="Vacant", ROW('Bank Schedule'!$K$2:$K$817)), ROW(60:60))), "")</f>
        <v/>
      </c>
      <c r="AG63" s="4" t="n"/>
    </row>
    <row r="64" ht="28.5" customHeight="1">
      <c r="A64" s="2">
        <f t="array" ref="A64">IFERROR(INDEX('Bank Schedule'!A:A, SMALL(IF('Bank Schedule'!$K$2:$K$817="Vacant", ROW('Bank Schedule'!$K$2:$K$817)), ROW(61:61))), "")</f>
        <v/>
      </c>
      <c r="B64" s="11">
        <f t="array" ref="B64">IFERROR(INDEX('Bank Schedule'!B:B, SMALL(IF('Bank Schedule'!$K$2:$K$817="Vacant", ROW('Bank Schedule'!$K$2:$K$817)), ROW(61:61))), "")</f>
        <v/>
      </c>
      <c r="C64" s="11">
        <f t="array" ref="C64">IFERROR(INDEX('Bank Schedule'!C:C, SMALL(IF('Bank Schedule'!$K$2:$K$817="Vacant", ROW('Bank Schedule'!$K$2:$K$817)), ROW(61:61))), "")</f>
        <v/>
      </c>
      <c r="D64" s="11">
        <f t="array" ref="D64">IFERROR(INDEX('Bank Schedule'!D:D, SMALL(IF('Bank Schedule'!$K$2:$K$817="Vacant", ROW('Bank Schedule'!$K$2:$K$817)), ROW(61:61))), "")</f>
        <v/>
      </c>
      <c r="E64" s="25">
        <f t="array" ref="E64">IFERROR(INDEX('Bank Schedule'!E:E, SMALL(IF('Bank Schedule'!$K$2:$K$817="Vacant", ROW('Bank Schedule'!$K$2:$K$817)), ROW(61:61))), "")</f>
        <v/>
      </c>
      <c r="F64" s="25">
        <f t="array" ref="F64">IFERROR(INDEX('Bank Schedule'!F:F, SMALL(IF('Bank Schedule'!$K$2:$K$817="Vacant", ROW('Bank Schedule'!$K$2:$K$817)), ROW(61:61))), "")</f>
        <v/>
      </c>
      <c r="G64" s="25">
        <f t="array" ref="G64">IFERROR(INDEX('Bank Schedule'!G:G, SMALL(IF('Bank Schedule'!$K$2:$K$817="Vacant", ROW('Bank Schedule'!$K$2:$K$817)), ROW(61:61))), "")</f>
        <v/>
      </c>
      <c r="H64" s="53">
        <f t="array" ref="H64">IFERROR(INDEX('Bank Schedule'!H:H, SMALL(IF('Bank Schedule'!$K$2:$K$817="Vacant", ROW('Bank Schedule'!$K$2:$K$817)), ROW(61:61))), "")</f>
        <v/>
      </c>
      <c r="I64" s="53">
        <f t="array" ref="I64">IFERROR(INDEX('Bank Schedule'!I:I, SMALL(IF('Bank Schedule'!$K$2:$K$817="Vacant", ROW('Bank Schedule'!$K$2:$K$817)), ROW(61:61))), "")</f>
        <v/>
      </c>
      <c r="J64" s="11">
        <f t="array" ref="J64">IFERROR(INDEX('Bank Schedule'!K:K, SMALL(IF('Bank Schedule'!$K$2:$K$817="Vacant", ROW('Bank Schedule'!$K$2:$K$817)), ROW(61:61))), "")</f>
        <v/>
      </c>
      <c r="K64" s="11">
        <f t="array" ref="K64">IFERROR(INDEX('Bank Schedule'!L:L, SMALL(IF('Bank Schedule'!$K$2:$K$817="Vacant", ROW('Bank Schedule'!$K$2:$K$817)), ROW(61:61))), "")</f>
        <v/>
      </c>
      <c r="L64" s="11">
        <f t="array" ref="L64">IFERROR(INDEX('Bank Schedule'!M:M, SMALL(IF('Bank Schedule'!$K$2:$K$817="Vacant", ROW('Bank Schedule'!$K$2:$K$817)), ROW(61:61))), "")</f>
        <v/>
      </c>
      <c r="M64" s="106">
        <f t="array" ref="M64">IFERROR(INDEX('Bank Schedule'!N:N, SMALL(IF('Bank Schedule'!$K$2:$K$817="Vacant", ROW('Bank Schedule'!$K$2:$K$817)), ROW(61:61))), "")</f>
        <v/>
      </c>
      <c r="N64" s="11">
        <f t="array" ref="N64">IFERROR(INDEX('Bank Schedule'!O:O, SMALL(IF('Bank Schedule'!$K$2:$K$817="Vacant", ROW('Bank Schedule'!$K$2:$K$817)), ROW(61:61))), "")</f>
        <v/>
      </c>
      <c r="O64" s="11">
        <f t="array" ref="O64">IFERROR(INDEX('Bank Schedule'!P:P, SMALL(IF('Bank Schedule'!$K$2:$K$817="Vacant", ROW('Bank Schedule'!$K$2:$K$817)), ROW(61:61))), "")</f>
        <v/>
      </c>
      <c r="P64" s="11">
        <f t="array" ref="P64">IFERROR(INDEX('Bank Schedule'!Q:Q, SMALL(IF('Bank Schedule'!$K$2:$K$817="Vacant", ROW('Bank Schedule'!$K$2:$K$817)), ROW(61:61))), "")</f>
        <v/>
      </c>
      <c r="Q64" s="11">
        <f t="array" ref="Q64">IFERROR(INDEX('Bank Schedule'!R:R, SMALL(IF('Bank Schedule'!$K$2:$K$817="Vacant", ROW('Bank Schedule'!$K$2:$K$817)), ROW(61:61))), "")</f>
        <v/>
      </c>
      <c r="R64" s="11">
        <f t="array" ref="R64">IFERROR(INDEX('Bank Schedule'!S:S, SMALL(IF('Bank Schedule'!$K$2:$K$817="Vacant", ROW('Bank Schedule'!$K$2:$K$817)), ROW(61:61))), "")</f>
        <v/>
      </c>
      <c r="S64" s="301">
        <f t="array" ref="S64">IFERROR(INDEX('Bank Schedule'!T:T, SMALL(IF('Bank Schedule'!$K$2:$K$817="Vacant", ROW('Bank Schedule'!$K$2:$K$817)), ROW(61:61))), "")</f>
        <v/>
      </c>
      <c r="T64" s="301">
        <f t="array" ref="T64">IFERROR(INDEX('Bank Schedule'!U:U, SMALL(IF('Bank Schedule'!$K$2:$K$817="Vacant", ROW('Bank Schedule'!$K$2:$K$817)), ROW(61:61))), "")</f>
        <v/>
      </c>
      <c r="U64" s="301">
        <f t="array" ref="U64">IFERROR(INDEX('Bank Schedule'!V:V, SMALL(IF('Bank Schedule'!$K$2:$K$817="Vacant", ROW('Bank Schedule'!$K$2:$K$817)), ROW(61:61))), "")</f>
        <v/>
      </c>
      <c r="V64" s="301">
        <f t="array" ref="V64">IFERROR(INDEX('Bank Schedule'!W:W, SMALL(IF('Bank Schedule'!$K$2:$K$817="Vacant", ROW('Bank Schedule'!$K$2:$K$817)), ROW(61:61))), "")</f>
        <v/>
      </c>
      <c r="W64" s="300">
        <f t="array" ref="W64">IFERROR(INDEX('Bank Schedule'!X:X, SMALL(IF('Bank Schedule'!$K$2:$K$817="Vacant", ROW('Bank Schedule'!$K$2:$K$817)), ROW(61:61))), "")</f>
        <v/>
      </c>
      <c r="X64" s="11">
        <f t="array" ref="X64">IFERROR(INDEX('Bank Schedule'!Y:Y, SMALL(IF('Bank Schedule'!$K$2:$K$817="Vacant", ROW('Bank Schedule'!$K$2:$K$817)), ROW(61:61))), "")</f>
        <v/>
      </c>
      <c r="Y64" s="11">
        <f t="array" ref="Y64">IFERROR(INDEX('Bank Schedule'!Z:Z, SMALL(IF('Bank Schedule'!$K$2:$K$817="Vacant", ROW('Bank Schedule'!$K$2:$K$817)), ROW(61:61))), "")</f>
        <v/>
      </c>
      <c r="Z64" s="11">
        <f t="array" ref="Z64">IFERROR(INDEX('Bank Schedule'!AA:AA, SMALL(IF('Bank Schedule'!$K$2:$K$817="Vacant", ROW('Bank Schedule'!$K$2:$K$817)), ROW(61:61))), "")</f>
        <v/>
      </c>
      <c r="AA64" s="11">
        <f t="array" ref="AA64">IFERROR(INDEX('Bank Schedule'!AB:AB, SMALL(IF('Bank Schedule'!$K$2:$K$817="Vacant", ROW('Bank Schedule'!$K$2:$K$817)), ROW(61:61))), "")</f>
        <v/>
      </c>
      <c r="AB64" s="25">
        <f t="array" ref="AB64">IFERROR(INDEX('Bank Schedule'!AC:AC, SMALL(IF('Bank Schedule'!$K$2:$K$817="Vacant", ROW('Bank Schedule'!$K$2:$K$817)), ROW(61:61))), "")</f>
        <v/>
      </c>
      <c r="AC64" s="277">
        <f t="array" ref="AC64">IFERROR(INDEX('Bank Schedule'!AD:AD, SMALL(IF('Bank Schedule'!$K$2:$K$817="Vacant", ROW('Bank Schedule'!$K$2:$K$817)), ROW(61:61))), "")</f>
        <v/>
      </c>
      <c r="AD64" s="11">
        <f t="array" ref="AD64">IFERROR(INDEX('Bank Schedule'!AE:AE, SMALL(IF('Bank Schedule'!$K$2:$K$817="Vacant", ROW('Bank Schedule'!$K$2:$K$817)), ROW(61:61))), "")</f>
        <v/>
      </c>
      <c r="AE64" s="11">
        <f t="array" ref="AE64">IFERROR(INDEX('Bank Schedule'!AF:AF, SMALL(IF('Bank Schedule'!$K$2:$K$817="Vacant", ROW('Bank Schedule'!$K$2:$K$817)), ROW(61:61))), "")</f>
        <v/>
      </c>
      <c r="AF64" s="11">
        <f t="array" ref="AF64">IFERROR(INDEX('Bank Schedule'!AG:AG, SMALL(IF('Bank Schedule'!$K$2:$K$817="Vacant", ROW('Bank Schedule'!$K$2:$K$817)), ROW(61:61))), "")</f>
        <v/>
      </c>
      <c r="AG64" s="4" t="n"/>
    </row>
    <row r="65" ht="28.5" customHeight="1">
      <c r="A65" s="2">
        <f t="array" ref="A65">IFERROR(INDEX('Bank Schedule'!A:A, SMALL(IF('Bank Schedule'!$K$2:$K$817="Vacant", ROW('Bank Schedule'!$K$2:$K$817)), ROW(62:62))), "")</f>
        <v/>
      </c>
      <c r="B65" s="11">
        <f t="array" ref="B65">IFERROR(INDEX('Bank Schedule'!B:B, SMALL(IF('Bank Schedule'!$K$2:$K$817="Vacant", ROW('Bank Schedule'!$K$2:$K$817)), ROW(62:62))), "")</f>
        <v/>
      </c>
      <c r="C65" s="11">
        <f t="array" ref="C65">IFERROR(INDEX('Bank Schedule'!C:C, SMALL(IF('Bank Schedule'!$K$2:$K$817="Vacant", ROW('Bank Schedule'!$K$2:$K$817)), ROW(62:62))), "")</f>
        <v/>
      </c>
      <c r="D65" s="11">
        <f t="array" ref="D65">IFERROR(INDEX('Bank Schedule'!D:D, SMALL(IF('Bank Schedule'!$K$2:$K$817="Vacant", ROW('Bank Schedule'!$K$2:$K$817)), ROW(62:62))), "")</f>
        <v/>
      </c>
      <c r="E65" s="25">
        <f t="array" ref="E65">IFERROR(INDEX('Bank Schedule'!E:E, SMALL(IF('Bank Schedule'!$K$2:$K$817="Vacant", ROW('Bank Schedule'!$K$2:$K$817)), ROW(62:62))), "")</f>
        <v/>
      </c>
      <c r="F65" s="25">
        <f t="array" ref="F65">IFERROR(INDEX('Bank Schedule'!F:F, SMALL(IF('Bank Schedule'!$K$2:$K$817="Vacant", ROW('Bank Schedule'!$K$2:$K$817)), ROW(62:62))), "")</f>
        <v/>
      </c>
      <c r="G65" s="25">
        <f t="array" ref="G65">IFERROR(INDEX('Bank Schedule'!G:G, SMALL(IF('Bank Schedule'!$K$2:$K$817="Vacant", ROW('Bank Schedule'!$K$2:$K$817)), ROW(62:62))), "")</f>
        <v/>
      </c>
      <c r="H65" s="53">
        <f t="array" ref="H65">IFERROR(INDEX('Bank Schedule'!H:H, SMALL(IF('Bank Schedule'!$K$2:$K$817="Vacant", ROW('Bank Schedule'!$K$2:$K$817)), ROW(62:62))), "")</f>
        <v/>
      </c>
      <c r="I65" s="53">
        <f t="array" ref="I65">IFERROR(INDEX('Bank Schedule'!I:I, SMALL(IF('Bank Schedule'!$K$2:$K$817="Vacant", ROW('Bank Schedule'!$K$2:$K$817)), ROW(62:62))), "")</f>
        <v/>
      </c>
      <c r="J65" s="11">
        <f t="array" ref="J65">IFERROR(INDEX('Bank Schedule'!K:K, SMALL(IF('Bank Schedule'!$K$2:$K$817="Vacant", ROW('Bank Schedule'!$K$2:$K$817)), ROW(62:62))), "")</f>
        <v/>
      </c>
      <c r="K65" s="11">
        <f t="array" ref="K65">IFERROR(INDEX('Bank Schedule'!L:L, SMALL(IF('Bank Schedule'!$K$2:$K$817="Vacant", ROW('Bank Schedule'!$K$2:$K$817)), ROW(62:62))), "")</f>
        <v/>
      </c>
      <c r="L65" s="11">
        <f t="array" ref="L65">IFERROR(INDEX('Bank Schedule'!M:M, SMALL(IF('Bank Schedule'!$K$2:$K$817="Vacant", ROW('Bank Schedule'!$K$2:$K$817)), ROW(62:62))), "")</f>
        <v/>
      </c>
      <c r="M65" s="106">
        <f t="array" ref="M65">IFERROR(INDEX('Bank Schedule'!N:N, SMALL(IF('Bank Schedule'!$K$2:$K$817="Vacant", ROW('Bank Schedule'!$K$2:$K$817)), ROW(62:62))), "")</f>
        <v/>
      </c>
      <c r="N65" s="11">
        <f t="array" ref="N65">IFERROR(INDEX('Bank Schedule'!O:O, SMALL(IF('Bank Schedule'!$K$2:$K$817="Vacant", ROW('Bank Schedule'!$K$2:$K$817)), ROW(62:62))), "")</f>
        <v/>
      </c>
      <c r="O65" s="11">
        <f t="array" ref="O65">IFERROR(INDEX('Bank Schedule'!P:P, SMALL(IF('Bank Schedule'!$K$2:$K$817="Vacant", ROW('Bank Schedule'!$K$2:$K$817)), ROW(62:62))), "")</f>
        <v/>
      </c>
      <c r="P65" s="11">
        <f t="array" ref="P65">IFERROR(INDEX('Bank Schedule'!Q:Q, SMALL(IF('Bank Schedule'!$K$2:$K$817="Vacant", ROW('Bank Schedule'!$K$2:$K$817)), ROW(62:62))), "")</f>
        <v/>
      </c>
      <c r="Q65" s="11">
        <f t="array" ref="Q65">IFERROR(INDEX('Bank Schedule'!R:R, SMALL(IF('Bank Schedule'!$K$2:$K$817="Vacant", ROW('Bank Schedule'!$K$2:$K$817)), ROW(62:62))), "")</f>
        <v/>
      </c>
      <c r="R65" s="11">
        <f t="array" ref="R65">IFERROR(INDEX('Bank Schedule'!S:S, SMALL(IF('Bank Schedule'!$K$2:$K$817="Vacant", ROW('Bank Schedule'!$K$2:$K$817)), ROW(62:62))), "")</f>
        <v/>
      </c>
      <c r="S65" s="301">
        <f t="array" ref="S65">IFERROR(INDEX('Bank Schedule'!T:T, SMALL(IF('Bank Schedule'!$K$2:$K$817="Vacant", ROW('Bank Schedule'!$K$2:$K$817)), ROW(62:62))), "")</f>
        <v/>
      </c>
      <c r="T65" s="301">
        <f t="array" ref="T65">IFERROR(INDEX('Bank Schedule'!U:U, SMALL(IF('Bank Schedule'!$K$2:$K$817="Vacant", ROW('Bank Schedule'!$K$2:$K$817)), ROW(62:62))), "")</f>
        <v/>
      </c>
      <c r="U65" s="301">
        <f t="array" ref="U65">IFERROR(INDEX('Bank Schedule'!V:V, SMALL(IF('Bank Schedule'!$K$2:$K$817="Vacant", ROW('Bank Schedule'!$K$2:$K$817)), ROW(62:62))), "")</f>
        <v/>
      </c>
      <c r="V65" s="301">
        <f t="array" ref="V65">IFERROR(INDEX('Bank Schedule'!W:W, SMALL(IF('Bank Schedule'!$K$2:$K$817="Vacant", ROW('Bank Schedule'!$K$2:$K$817)), ROW(62:62))), "")</f>
        <v/>
      </c>
      <c r="W65" s="300">
        <f t="array" ref="W65">IFERROR(INDEX('Bank Schedule'!X:X, SMALL(IF('Bank Schedule'!$K$2:$K$817="Vacant", ROW('Bank Schedule'!$K$2:$K$817)), ROW(62:62))), "")</f>
        <v/>
      </c>
      <c r="X65" s="11">
        <f t="array" ref="X65">IFERROR(INDEX('Bank Schedule'!Y:Y, SMALL(IF('Bank Schedule'!$K$2:$K$817="Vacant", ROW('Bank Schedule'!$K$2:$K$817)), ROW(62:62))), "")</f>
        <v/>
      </c>
      <c r="Y65" s="11">
        <f t="array" ref="Y65">IFERROR(INDEX('Bank Schedule'!Z:Z, SMALL(IF('Bank Schedule'!$K$2:$K$817="Vacant", ROW('Bank Schedule'!$K$2:$K$817)), ROW(62:62))), "")</f>
        <v/>
      </c>
      <c r="Z65" s="11">
        <f t="array" ref="Z65">IFERROR(INDEX('Bank Schedule'!AA:AA, SMALL(IF('Bank Schedule'!$K$2:$K$817="Vacant", ROW('Bank Schedule'!$K$2:$K$817)), ROW(62:62))), "")</f>
        <v/>
      </c>
      <c r="AA65" s="11">
        <f t="array" ref="AA65">IFERROR(INDEX('Bank Schedule'!AB:AB, SMALL(IF('Bank Schedule'!$K$2:$K$817="Vacant", ROW('Bank Schedule'!$K$2:$K$817)), ROW(62:62))), "")</f>
        <v/>
      </c>
      <c r="AB65" s="25">
        <f t="array" ref="AB65">IFERROR(INDEX('Bank Schedule'!AC:AC, SMALL(IF('Bank Schedule'!$K$2:$K$817="Vacant", ROW('Bank Schedule'!$K$2:$K$817)), ROW(62:62))), "")</f>
        <v/>
      </c>
      <c r="AC65" s="277">
        <f t="array" ref="AC65">IFERROR(INDEX('Bank Schedule'!AD:AD, SMALL(IF('Bank Schedule'!$K$2:$K$817="Vacant", ROW('Bank Schedule'!$K$2:$K$817)), ROW(62:62))), "")</f>
        <v/>
      </c>
      <c r="AD65" s="11">
        <f t="array" ref="AD65">IFERROR(INDEX('Bank Schedule'!AE:AE, SMALL(IF('Bank Schedule'!$K$2:$K$817="Vacant", ROW('Bank Schedule'!$K$2:$K$817)), ROW(62:62))), "")</f>
        <v/>
      </c>
      <c r="AE65" s="11">
        <f t="array" ref="AE65">IFERROR(INDEX('Bank Schedule'!AF:AF, SMALL(IF('Bank Schedule'!$K$2:$K$817="Vacant", ROW('Bank Schedule'!$K$2:$K$817)), ROW(62:62))), "")</f>
        <v/>
      </c>
      <c r="AF65" s="11">
        <f t="array" ref="AF65">IFERROR(INDEX('Bank Schedule'!AG:AG, SMALL(IF('Bank Schedule'!$K$2:$K$817="Vacant", ROW('Bank Schedule'!$K$2:$K$817)), ROW(62:62))), "")</f>
        <v/>
      </c>
      <c r="AG65" s="4" t="n"/>
    </row>
    <row r="66" ht="28.5" customHeight="1">
      <c r="A66" s="2">
        <f t="array" ref="A66">IFERROR(INDEX('Bank Schedule'!A:A, SMALL(IF('Bank Schedule'!$K$2:$K$817="Vacant", ROW('Bank Schedule'!$K$2:$K$817)), ROW(63:63))), "")</f>
        <v/>
      </c>
      <c r="B66" s="11">
        <f t="array" ref="B66">IFERROR(INDEX('Bank Schedule'!B:B, SMALL(IF('Bank Schedule'!$K$2:$K$817="Vacant", ROW('Bank Schedule'!$K$2:$K$817)), ROW(63:63))), "")</f>
        <v/>
      </c>
      <c r="C66" s="11">
        <f t="array" ref="C66">IFERROR(INDEX('Bank Schedule'!C:C, SMALL(IF('Bank Schedule'!$K$2:$K$817="Vacant", ROW('Bank Schedule'!$K$2:$K$817)), ROW(63:63))), "")</f>
        <v/>
      </c>
      <c r="D66" s="11">
        <f t="array" ref="D66">IFERROR(INDEX('Bank Schedule'!D:D, SMALL(IF('Bank Schedule'!$K$2:$K$817="Vacant", ROW('Bank Schedule'!$K$2:$K$817)), ROW(63:63))), "")</f>
        <v/>
      </c>
      <c r="E66" s="25">
        <f t="array" ref="E66">IFERROR(INDEX('Bank Schedule'!E:E, SMALL(IF('Bank Schedule'!$K$2:$K$817="Vacant", ROW('Bank Schedule'!$K$2:$K$817)), ROW(63:63))), "")</f>
        <v/>
      </c>
      <c r="F66" s="25">
        <f t="array" ref="F66">IFERROR(INDEX('Bank Schedule'!F:F, SMALL(IF('Bank Schedule'!$K$2:$K$817="Vacant", ROW('Bank Schedule'!$K$2:$K$817)), ROW(63:63))), "")</f>
        <v/>
      </c>
      <c r="G66" s="25">
        <f t="array" ref="G66">IFERROR(INDEX('Bank Schedule'!G:G, SMALL(IF('Bank Schedule'!$K$2:$K$817="Vacant", ROW('Bank Schedule'!$K$2:$K$817)), ROW(63:63))), "")</f>
        <v/>
      </c>
      <c r="H66" s="53">
        <f t="array" ref="H66">IFERROR(INDEX('Bank Schedule'!H:H, SMALL(IF('Bank Schedule'!$K$2:$K$817="Vacant", ROW('Bank Schedule'!$K$2:$K$817)), ROW(63:63))), "")</f>
        <v/>
      </c>
      <c r="I66" s="53">
        <f t="array" ref="I66">IFERROR(INDEX('Bank Schedule'!I:I, SMALL(IF('Bank Schedule'!$K$2:$K$817="Vacant", ROW('Bank Schedule'!$K$2:$K$817)), ROW(63:63))), "")</f>
        <v/>
      </c>
      <c r="J66" s="11">
        <f t="array" ref="J66">IFERROR(INDEX('Bank Schedule'!K:K, SMALL(IF('Bank Schedule'!$K$2:$K$817="Vacant", ROW('Bank Schedule'!$K$2:$K$817)), ROW(63:63))), "")</f>
        <v/>
      </c>
      <c r="K66" s="11">
        <f t="array" ref="K66">IFERROR(INDEX('Bank Schedule'!L:L, SMALL(IF('Bank Schedule'!$K$2:$K$817="Vacant", ROW('Bank Schedule'!$K$2:$K$817)), ROW(63:63))), "")</f>
        <v/>
      </c>
      <c r="L66" s="11">
        <f t="array" ref="L66">IFERROR(INDEX('Bank Schedule'!M:M, SMALL(IF('Bank Schedule'!$K$2:$K$817="Vacant", ROW('Bank Schedule'!$K$2:$K$817)), ROW(63:63))), "")</f>
        <v/>
      </c>
      <c r="M66" s="106">
        <f t="array" ref="M66">IFERROR(INDEX('Bank Schedule'!N:N, SMALL(IF('Bank Schedule'!$K$2:$K$817="Vacant", ROW('Bank Schedule'!$K$2:$K$817)), ROW(63:63))), "")</f>
        <v/>
      </c>
      <c r="N66" s="11">
        <f t="array" ref="N66">IFERROR(INDEX('Bank Schedule'!O:O, SMALL(IF('Bank Schedule'!$K$2:$K$817="Vacant", ROW('Bank Schedule'!$K$2:$K$817)), ROW(63:63))), "")</f>
        <v/>
      </c>
      <c r="O66" s="11">
        <f t="array" ref="O66">IFERROR(INDEX('Bank Schedule'!P:P, SMALL(IF('Bank Schedule'!$K$2:$K$817="Vacant", ROW('Bank Schedule'!$K$2:$K$817)), ROW(63:63))), "")</f>
        <v/>
      </c>
      <c r="P66" s="11">
        <f t="array" ref="P66">IFERROR(INDEX('Bank Schedule'!Q:Q, SMALL(IF('Bank Schedule'!$K$2:$K$817="Vacant", ROW('Bank Schedule'!$K$2:$K$817)), ROW(63:63))), "")</f>
        <v/>
      </c>
      <c r="Q66" s="11">
        <f t="array" ref="Q66">IFERROR(INDEX('Bank Schedule'!R:R, SMALL(IF('Bank Schedule'!$K$2:$K$817="Vacant", ROW('Bank Schedule'!$K$2:$K$817)), ROW(63:63))), "")</f>
        <v/>
      </c>
      <c r="R66" s="11">
        <f t="array" ref="R66">IFERROR(INDEX('Bank Schedule'!S:S, SMALL(IF('Bank Schedule'!$K$2:$K$817="Vacant", ROW('Bank Schedule'!$K$2:$K$817)), ROW(63:63))), "")</f>
        <v/>
      </c>
      <c r="S66" s="301">
        <f t="array" ref="S66">IFERROR(INDEX('Bank Schedule'!T:T, SMALL(IF('Bank Schedule'!$K$2:$K$817="Vacant", ROW('Bank Schedule'!$K$2:$K$817)), ROW(63:63))), "")</f>
        <v/>
      </c>
      <c r="T66" s="301">
        <f t="array" ref="T66">IFERROR(INDEX('Bank Schedule'!U:U, SMALL(IF('Bank Schedule'!$K$2:$K$817="Vacant", ROW('Bank Schedule'!$K$2:$K$817)), ROW(63:63))), "")</f>
        <v/>
      </c>
      <c r="U66" s="301">
        <f t="array" ref="U66">IFERROR(INDEX('Bank Schedule'!V:V, SMALL(IF('Bank Schedule'!$K$2:$K$817="Vacant", ROW('Bank Schedule'!$K$2:$K$817)), ROW(63:63))), "")</f>
        <v/>
      </c>
      <c r="V66" s="301">
        <f t="array" ref="V66">IFERROR(INDEX('Bank Schedule'!W:W, SMALL(IF('Bank Schedule'!$K$2:$K$817="Vacant", ROW('Bank Schedule'!$K$2:$K$817)), ROW(63:63))), "")</f>
        <v/>
      </c>
      <c r="W66" s="300">
        <f t="array" ref="W66">IFERROR(INDEX('Bank Schedule'!X:X, SMALL(IF('Bank Schedule'!$K$2:$K$817="Vacant", ROW('Bank Schedule'!$K$2:$K$817)), ROW(63:63))), "")</f>
        <v/>
      </c>
      <c r="X66" s="11">
        <f t="array" ref="X66">IFERROR(INDEX('Bank Schedule'!Y:Y, SMALL(IF('Bank Schedule'!$K$2:$K$817="Vacant", ROW('Bank Schedule'!$K$2:$K$817)), ROW(63:63))), "")</f>
        <v/>
      </c>
      <c r="Y66" s="11">
        <f t="array" ref="Y66">IFERROR(INDEX('Bank Schedule'!Z:Z, SMALL(IF('Bank Schedule'!$K$2:$K$817="Vacant", ROW('Bank Schedule'!$K$2:$K$817)), ROW(63:63))), "")</f>
        <v/>
      </c>
      <c r="Z66" s="11">
        <f t="array" ref="Z66">IFERROR(INDEX('Bank Schedule'!AA:AA, SMALL(IF('Bank Schedule'!$K$2:$K$817="Vacant", ROW('Bank Schedule'!$K$2:$K$817)), ROW(63:63))), "")</f>
        <v/>
      </c>
      <c r="AA66" s="11">
        <f t="array" ref="AA66">IFERROR(INDEX('Bank Schedule'!AB:AB, SMALL(IF('Bank Schedule'!$K$2:$K$817="Vacant", ROW('Bank Schedule'!$K$2:$K$817)), ROW(63:63))), "")</f>
        <v/>
      </c>
      <c r="AB66" s="25">
        <f t="array" ref="AB66">IFERROR(INDEX('Bank Schedule'!AC:AC, SMALL(IF('Bank Schedule'!$K$2:$K$817="Vacant", ROW('Bank Schedule'!$K$2:$K$817)), ROW(63:63))), "")</f>
        <v/>
      </c>
      <c r="AC66" s="277">
        <f t="array" ref="AC66">IFERROR(INDEX('Bank Schedule'!AD:AD, SMALL(IF('Bank Schedule'!$K$2:$K$817="Vacant", ROW('Bank Schedule'!$K$2:$K$817)), ROW(63:63))), "")</f>
        <v/>
      </c>
      <c r="AD66" s="11">
        <f t="array" ref="AD66">IFERROR(INDEX('Bank Schedule'!AE:AE, SMALL(IF('Bank Schedule'!$K$2:$K$817="Vacant", ROW('Bank Schedule'!$K$2:$K$817)), ROW(63:63))), "")</f>
        <v/>
      </c>
      <c r="AE66" s="11">
        <f t="array" ref="AE66">IFERROR(INDEX('Bank Schedule'!AF:AF, SMALL(IF('Bank Schedule'!$K$2:$K$817="Vacant", ROW('Bank Schedule'!$K$2:$K$817)), ROW(63:63))), "")</f>
        <v/>
      </c>
      <c r="AF66" s="11">
        <f t="array" ref="AF66">IFERROR(INDEX('Bank Schedule'!AG:AG, SMALL(IF('Bank Schedule'!$K$2:$K$817="Vacant", ROW('Bank Schedule'!$K$2:$K$817)), ROW(63:63))), "")</f>
        <v/>
      </c>
      <c r="AG66" s="4" t="n"/>
    </row>
    <row r="67" ht="28.5" customHeight="1">
      <c r="A67" s="2">
        <f t="array" ref="A67">IFERROR(INDEX('Bank Schedule'!A:A, SMALL(IF('Bank Schedule'!$K$2:$K$817="Vacant", ROW('Bank Schedule'!$K$2:$K$817)), ROW(64:64))), "")</f>
        <v/>
      </c>
      <c r="B67" s="11">
        <f t="array" ref="B67">IFERROR(INDEX('Bank Schedule'!B:B, SMALL(IF('Bank Schedule'!$K$2:$K$817="Vacant", ROW('Bank Schedule'!$K$2:$K$817)), ROW(64:64))), "")</f>
        <v/>
      </c>
      <c r="C67" s="11">
        <f t="array" ref="C67">IFERROR(INDEX('Bank Schedule'!C:C, SMALL(IF('Bank Schedule'!$K$2:$K$817="Vacant", ROW('Bank Schedule'!$K$2:$K$817)), ROW(64:64))), "")</f>
        <v/>
      </c>
      <c r="D67" s="11">
        <f t="array" ref="D67">IFERROR(INDEX('Bank Schedule'!D:D, SMALL(IF('Bank Schedule'!$K$2:$K$817="Vacant", ROW('Bank Schedule'!$K$2:$K$817)), ROW(64:64))), "")</f>
        <v/>
      </c>
      <c r="E67" s="25">
        <f t="array" ref="E67">IFERROR(INDEX('Bank Schedule'!E:E, SMALL(IF('Bank Schedule'!$K$2:$K$817="Vacant", ROW('Bank Schedule'!$K$2:$K$817)), ROW(64:64))), "")</f>
        <v/>
      </c>
      <c r="F67" s="25">
        <f t="array" ref="F67">IFERROR(INDEX('Bank Schedule'!F:F, SMALL(IF('Bank Schedule'!$K$2:$K$817="Vacant", ROW('Bank Schedule'!$K$2:$K$817)), ROW(64:64))), "")</f>
        <v/>
      </c>
      <c r="G67" s="25">
        <f t="array" ref="G67">IFERROR(INDEX('Bank Schedule'!G:G, SMALL(IF('Bank Schedule'!$K$2:$K$817="Vacant", ROW('Bank Schedule'!$K$2:$K$817)), ROW(64:64))), "")</f>
        <v/>
      </c>
      <c r="H67" s="53">
        <f t="array" ref="H67">IFERROR(INDEX('Bank Schedule'!H:H, SMALL(IF('Bank Schedule'!$K$2:$K$817="Vacant", ROW('Bank Schedule'!$K$2:$K$817)), ROW(64:64))), "")</f>
        <v/>
      </c>
      <c r="I67" s="53">
        <f t="array" ref="I67">IFERROR(INDEX('Bank Schedule'!I:I, SMALL(IF('Bank Schedule'!$K$2:$K$817="Vacant", ROW('Bank Schedule'!$K$2:$K$817)), ROW(64:64))), "")</f>
        <v/>
      </c>
      <c r="J67" s="11">
        <f t="array" ref="J67">IFERROR(INDEX('Bank Schedule'!K:K, SMALL(IF('Bank Schedule'!$K$2:$K$817="Vacant", ROW('Bank Schedule'!$K$2:$K$817)), ROW(64:64))), "")</f>
        <v/>
      </c>
      <c r="K67" s="11">
        <f t="array" ref="K67">IFERROR(INDEX('Bank Schedule'!L:L, SMALL(IF('Bank Schedule'!$K$2:$K$817="Vacant", ROW('Bank Schedule'!$K$2:$K$817)), ROW(64:64))), "")</f>
        <v/>
      </c>
      <c r="L67" s="11">
        <f t="array" ref="L67">IFERROR(INDEX('Bank Schedule'!M:M, SMALL(IF('Bank Schedule'!$K$2:$K$817="Vacant", ROW('Bank Schedule'!$K$2:$K$817)), ROW(64:64))), "")</f>
        <v/>
      </c>
      <c r="M67" s="106">
        <f t="array" ref="M67">IFERROR(INDEX('Bank Schedule'!N:N, SMALL(IF('Bank Schedule'!$K$2:$K$817="Vacant", ROW('Bank Schedule'!$K$2:$K$817)), ROW(64:64))), "")</f>
        <v/>
      </c>
      <c r="N67" s="11">
        <f t="array" ref="N67">IFERROR(INDEX('Bank Schedule'!O:O, SMALL(IF('Bank Schedule'!$K$2:$K$817="Vacant", ROW('Bank Schedule'!$K$2:$K$817)), ROW(64:64))), "")</f>
        <v/>
      </c>
      <c r="O67" s="11">
        <f t="array" ref="O67">IFERROR(INDEX('Bank Schedule'!P:P, SMALL(IF('Bank Schedule'!$K$2:$K$817="Vacant", ROW('Bank Schedule'!$K$2:$K$817)), ROW(64:64))), "")</f>
        <v/>
      </c>
      <c r="P67" s="11">
        <f t="array" ref="P67">IFERROR(INDEX('Bank Schedule'!Q:Q, SMALL(IF('Bank Schedule'!$K$2:$K$817="Vacant", ROW('Bank Schedule'!$K$2:$K$817)), ROW(64:64))), "")</f>
        <v/>
      </c>
      <c r="Q67" s="11">
        <f t="array" ref="Q67">IFERROR(INDEX('Bank Schedule'!R:R, SMALL(IF('Bank Schedule'!$K$2:$K$817="Vacant", ROW('Bank Schedule'!$K$2:$K$817)), ROW(64:64))), "")</f>
        <v/>
      </c>
      <c r="R67" s="11">
        <f t="array" ref="R67">IFERROR(INDEX('Bank Schedule'!S:S, SMALL(IF('Bank Schedule'!$K$2:$K$817="Vacant", ROW('Bank Schedule'!$K$2:$K$817)), ROW(64:64))), "")</f>
        <v/>
      </c>
      <c r="S67" s="301">
        <f t="array" ref="S67">IFERROR(INDEX('Bank Schedule'!T:T, SMALL(IF('Bank Schedule'!$K$2:$K$817="Vacant", ROW('Bank Schedule'!$K$2:$K$817)), ROW(64:64))), "")</f>
        <v/>
      </c>
      <c r="T67" s="301">
        <f t="array" ref="T67">IFERROR(INDEX('Bank Schedule'!U:U, SMALL(IF('Bank Schedule'!$K$2:$K$817="Vacant", ROW('Bank Schedule'!$K$2:$K$817)), ROW(64:64))), "")</f>
        <v/>
      </c>
      <c r="U67" s="301">
        <f t="array" ref="U67">IFERROR(INDEX('Bank Schedule'!V:V, SMALL(IF('Bank Schedule'!$K$2:$K$817="Vacant", ROW('Bank Schedule'!$K$2:$K$817)), ROW(64:64))), "")</f>
        <v/>
      </c>
      <c r="V67" s="301">
        <f t="array" ref="V67">IFERROR(INDEX('Bank Schedule'!W:W, SMALL(IF('Bank Schedule'!$K$2:$K$817="Vacant", ROW('Bank Schedule'!$K$2:$K$817)), ROW(64:64))), "")</f>
        <v/>
      </c>
      <c r="W67" s="300">
        <f t="array" ref="W67">IFERROR(INDEX('Bank Schedule'!X:X, SMALL(IF('Bank Schedule'!$K$2:$K$817="Vacant", ROW('Bank Schedule'!$K$2:$K$817)), ROW(64:64))), "")</f>
        <v/>
      </c>
      <c r="X67" s="11">
        <f t="array" ref="X67">IFERROR(INDEX('Bank Schedule'!Y:Y, SMALL(IF('Bank Schedule'!$K$2:$K$817="Vacant", ROW('Bank Schedule'!$K$2:$K$817)), ROW(64:64))), "")</f>
        <v/>
      </c>
      <c r="Y67" s="11">
        <f t="array" ref="Y67">IFERROR(INDEX('Bank Schedule'!Z:Z, SMALL(IF('Bank Schedule'!$K$2:$K$817="Vacant", ROW('Bank Schedule'!$K$2:$K$817)), ROW(64:64))), "")</f>
        <v/>
      </c>
      <c r="Z67" s="11">
        <f t="array" ref="Z67">IFERROR(INDEX('Bank Schedule'!AA:AA, SMALL(IF('Bank Schedule'!$K$2:$K$817="Vacant", ROW('Bank Schedule'!$K$2:$K$817)), ROW(64:64))), "")</f>
        <v/>
      </c>
      <c r="AA67" s="11">
        <f t="array" ref="AA67">IFERROR(INDEX('Bank Schedule'!AB:AB, SMALL(IF('Bank Schedule'!$K$2:$K$817="Vacant", ROW('Bank Schedule'!$K$2:$K$817)), ROW(64:64))), "")</f>
        <v/>
      </c>
      <c r="AB67" s="25">
        <f t="array" ref="AB67">IFERROR(INDEX('Bank Schedule'!AC:AC, SMALL(IF('Bank Schedule'!$K$2:$K$817="Vacant", ROW('Bank Schedule'!$K$2:$K$817)), ROW(64:64))), "")</f>
        <v/>
      </c>
      <c r="AC67" s="277">
        <f t="array" ref="AC67">IFERROR(INDEX('Bank Schedule'!AD:AD, SMALL(IF('Bank Schedule'!$K$2:$K$817="Vacant", ROW('Bank Schedule'!$K$2:$K$817)), ROW(64:64))), "")</f>
        <v/>
      </c>
      <c r="AD67" s="11">
        <f t="array" ref="AD67">IFERROR(INDEX('Bank Schedule'!AE:AE, SMALL(IF('Bank Schedule'!$K$2:$K$817="Vacant", ROW('Bank Schedule'!$K$2:$K$817)), ROW(64:64))), "")</f>
        <v/>
      </c>
      <c r="AE67" s="11">
        <f t="array" ref="AE67">IFERROR(INDEX('Bank Schedule'!AF:AF, SMALL(IF('Bank Schedule'!$K$2:$K$817="Vacant", ROW('Bank Schedule'!$K$2:$K$817)), ROW(64:64))), "")</f>
        <v/>
      </c>
      <c r="AF67" s="11">
        <f t="array" ref="AF67">IFERROR(INDEX('Bank Schedule'!AG:AG, SMALL(IF('Bank Schedule'!$K$2:$K$817="Vacant", ROW('Bank Schedule'!$K$2:$K$817)), ROW(64:64))), "")</f>
        <v/>
      </c>
      <c r="AG67" s="4" t="n"/>
    </row>
    <row r="68" ht="28.5" customHeight="1">
      <c r="A68" s="2">
        <f t="array" ref="A68">IFERROR(INDEX('Bank Schedule'!A:A, SMALL(IF('Bank Schedule'!$K$2:$K$817="Vacant", ROW('Bank Schedule'!$K$2:$K$817)), ROW(65:65))), "")</f>
        <v/>
      </c>
      <c r="B68" s="11">
        <f t="array" ref="B68">IFERROR(INDEX('Bank Schedule'!B:B, SMALL(IF('Bank Schedule'!$K$2:$K$817="Vacant", ROW('Bank Schedule'!$K$2:$K$817)), ROW(65:65))), "")</f>
        <v/>
      </c>
      <c r="C68" s="11">
        <f t="array" ref="C68">IFERROR(INDEX('Bank Schedule'!C:C, SMALL(IF('Bank Schedule'!$K$2:$K$817="Vacant", ROW('Bank Schedule'!$K$2:$K$817)), ROW(65:65))), "")</f>
        <v/>
      </c>
      <c r="D68" s="11">
        <f t="array" ref="D68">IFERROR(INDEX('Bank Schedule'!D:D, SMALL(IF('Bank Schedule'!$K$2:$K$817="Vacant", ROW('Bank Schedule'!$K$2:$K$817)), ROW(65:65))), "")</f>
        <v/>
      </c>
      <c r="E68" s="25">
        <f t="array" ref="E68">IFERROR(INDEX('Bank Schedule'!E:E, SMALL(IF('Bank Schedule'!$K$2:$K$817="Vacant", ROW('Bank Schedule'!$K$2:$K$817)), ROW(65:65))), "")</f>
        <v/>
      </c>
      <c r="F68" s="25">
        <f t="array" ref="F68">IFERROR(INDEX('Bank Schedule'!F:F, SMALL(IF('Bank Schedule'!$K$2:$K$817="Vacant", ROW('Bank Schedule'!$K$2:$K$817)), ROW(65:65))), "")</f>
        <v/>
      </c>
      <c r="G68" s="25">
        <f t="array" ref="G68">IFERROR(INDEX('Bank Schedule'!G:G, SMALL(IF('Bank Schedule'!$K$2:$K$817="Vacant", ROW('Bank Schedule'!$K$2:$K$817)), ROW(65:65))), "")</f>
        <v/>
      </c>
      <c r="H68" s="53">
        <f t="array" ref="H68">IFERROR(INDEX('Bank Schedule'!H:H, SMALL(IF('Bank Schedule'!$K$2:$K$817="Vacant", ROW('Bank Schedule'!$K$2:$K$817)), ROW(65:65))), "")</f>
        <v/>
      </c>
      <c r="I68" s="53">
        <f t="array" ref="I68">IFERROR(INDEX('Bank Schedule'!I:I, SMALL(IF('Bank Schedule'!$K$2:$K$817="Vacant", ROW('Bank Schedule'!$K$2:$K$817)), ROW(65:65))), "")</f>
        <v/>
      </c>
      <c r="J68" s="11">
        <f t="array" ref="J68">IFERROR(INDEX('Bank Schedule'!K:K, SMALL(IF('Bank Schedule'!$K$2:$K$817="Vacant", ROW('Bank Schedule'!$K$2:$K$817)), ROW(65:65))), "")</f>
        <v/>
      </c>
      <c r="K68" s="11">
        <f t="array" ref="K68">IFERROR(INDEX('Bank Schedule'!L:L, SMALL(IF('Bank Schedule'!$K$2:$K$817="Vacant", ROW('Bank Schedule'!$K$2:$K$817)), ROW(65:65))), "")</f>
        <v/>
      </c>
      <c r="L68" s="11">
        <f t="array" ref="L68">IFERROR(INDEX('Bank Schedule'!M:M, SMALL(IF('Bank Schedule'!$K$2:$K$817="Vacant", ROW('Bank Schedule'!$K$2:$K$817)), ROW(65:65))), "")</f>
        <v/>
      </c>
      <c r="M68" s="106">
        <f t="array" ref="M68">IFERROR(INDEX('Bank Schedule'!N:N, SMALL(IF('Bank Schedule'!$K$2:$K$817="Vacant", ROW('Bank Schedule'!$K$2:$K$817)), ROW(65:65))), "")</f>
        <v/>
      </c>
      <c r="N68" s="11">
        <f t="array" ref="N68">IFERROR(INDEX('Bank Schedule'!O:O, SMALL(IF('Bank Schedule'!$K$2:$K$817="Vacant", ROW('Bank Schedule'!$K$2:$K$817)), ROW(65:65))), "")</f>
        <v/>
      </c>
      <c r="O68" s="11">
        <f t="array" ref="O68">IFERROR(INDEX('Bank Schedule'!P:P, SMALL(IF('Bank Schedule'!$K$2:$K$817="Vacant", ROW('Bank Schedule'!$K$2:$K$817)), ROW(65:65))), "")</f>
        <v/>
      </c>
      <c r="P68" s="11">
        <f t="array" ref="P68">IFERROR(INDEX('Bank Schedule'!Q:Q, SMALL(IF('Bank Schedule'!$K$2:$K$817="Vacant", ROW('Bank Schedule'!$K$2:$K$817)), ROW(65:65))), "")</f>
        <v/>
      </c>
      <c r="Q68" s="11">
        <f t="array" ref="Q68">IFERROR(INDEX('Bank Schedule'!R:R, SMALL(IF('Bank Schedule'!$K$2:$K$817="Vacant", ROW('Bank Schedule'!$K$2:$K$817)), ROW(65:65))), "")</f>
        <v/>
      </c>
      <c r="R68" s="11">
        <f t="array" ref="R68">IFERROR(INDEX('Bank Schedule'!S:S, SMALL(IF('Bank Schedule'!$K$2:$K$817="Vacant", ROW('Bank Schedule'!$K$2:$K$817)), ROW(65:65))), "")</f>
        <v/>
      </c>
      <c r="S68" s="301">
        <f t="array" ref="S68">IFERROR(INDEX('Bank Schedule'!T:T, SMALL(IF('Bank Schedule'!$K$2:$K$817="Vacant", ROW('Bank Schedule'!$K$2:$K$817)), ROW(65:65))), "")</f>
        <v/>
      </c>
      <c r="T68" s="301">
        <f t="array" ref="T68">IFERROR(INDEX('Bank Schedule'!U:U, SMALL(IF('Bank Schedule'!$K$2:$K$817="Vacant", ROW('Bank Schedule'!$K$2:$K$817)), ROW(65:65))), "")</f>
        <v/>
      </c>
      <c r="U68" s="301">
        <f t="array" ref="U68">IFERROR(INDEX('Bank Schedule'!V:V, SMALL(IF('Bank Schedule'!$K$2:$K$817="Vacant", ROW('Bank Schedule'!$K$2:$K$817)), ROW(65:65))), "")</f>
        <v/>
      </c>
      <c r="V68" s="301">
        <f t="array" ref="V68">IFERROR(INDEX('Bank Schedule'!W:W, SMALL(IF('Bank Schedule'!$K$2:$K$817="Vacant", ROW('Bank Schedule'!$K$2:$K$817)), ROW(65:65))), "")</f>
        <v/>
      </c>
      <c r="W68" s="300">
        <f t="array" ref="W68">IFERROR(INDEX('Bank Schedule'!X:X, SMALL(IF('Bank Schedule'!$K$2:$K$817="Vacant", ROW('Bank Schedule'!$K$2:$K$817)), ROW(65:65))), "")</f>
        <v/>
      </c>
      <c r="X68" s="11">
        <f t="array" ref="X68">IFERROR(INDEX('Bank Schedule'!Y:Y, SMALL(IF('Bank Schedule'!$K$2:$K$817="Vacant", ROW('Bank Schedule'!$K$2:$K$817)), ROW(65:65))), "")</f>
        <v/>
      </c>
      <c r="Y68" s="11">
        <f t="array" ref="Y68">IFERROR(INDEX('Bank Schedule'!Z:Z, SMALL(IF('Bank Schedule'!$K$2:$K$817="Vacant", ROW('Bank Schedule'!$K$2:$K$817)), ROW(65:65))), "")</f>
        <v/>
      </c>
      <c r="Z68" s="11">
        <f t="array" ref="Z68">IFERROR(INDEX('Bank Schedule'!AA:AA, SMALL(IF('Bank Schedule'!$K$2:$K$817="Vacant", ROW('Bank Schedule'!$K$2:$K$817)), ROW(65:65))), "")</f>
        <v/>
      </c>
      <c r="AA68" s="11">
        <f t="array" ref="AA68">IFERROR(INDEX('Bank Schedule'!AB:AB, SMALL(IF('Bank Schedule'!$K$2:$K$817="Vacant", ROW('Bank Schedule'!$K$2:$K$817)), ROW(65:65))), "")</f>
        <v/>
      </c>
      <c r="AB68" s="25">
        <f t="array" ref="AB68">IFERROR(INDEX('Bank Schedule'!AC:AC, SMALL(IF('Bank Schedule'!$K$2:$K$817="Vacant", ROW('Bank Schedule'!$K$2:$K$817)), ROW(65:65))), "")</f>
        <v/>
      </c>
      <c r="AC68" s="277">
        <f t="array" ref="AC68">IFERROR(INDEX('Bank Schedule'!AD:AD, SMALL(IF('Bank Schedule'!$K$2:$K$817="Vacant", ROW('Bank Schedule'!$K$2:$K$817)), ROW(65:65))), "")</f>
        <v/>
      </c>
      <c r="AD68" s="11">
        <f t="array" ref="AD68">IFERROR(INDEX('Bank Schedule'!AE:AE, SMALL(IF('Bank Schedule'!$K$2:$K$817="Vacant", ROW('Bank Schedule'!$K$2:$K$817)), ROW(65:65))), "")</f>
        <v/>
      </c>
      <c r="AE68" s="11">
        <f t="array" ref="AE68">IFERROR(INDEX('Bank Schedule'!AF:AF, SMALL(IF('Bank Schedule'!$K$2:$K$817="Vacant", ROW('Bank Schedule'!$K$2:$K$817)), ROW(65:65))), "")</f>
        <v/>
      </c>
      <c r="AF68" s="11">
        <f t="array" ref="AF68">IFERROR(INDEX('Bank Schedule'!AG:AG, SMALL(IF('Bank Schedule'!$K$2:$K$817="Vacant", ROW('Bank Schedule'!$K$2:$K$817)), ROW(65:65))), "")</f>
        <v/>
      </c>
      <c r="AG68" s="4" t="n"/>
    </row>
    <row r="69" ht="28.5" customHeight="1">
      <c r="A69" s="2">
        <f t="array" ref="A69">IFERROR(INDEX('Bank Schedule'!A:A, SMALL(IF('Bank Schedule'!$K$2:$K$817="Vacant", ROW('Bank Schedule'!$K$2:$K$817)), ROW(66:66))), "")</f>
        <v/>
      </c>
      <c r="B69" s="11">
        <f t="array" ref="B69">IFERROR(INDEX('Bank Schedule'!B:B, SMALL(IF('Bank Schedule'!$K$2:$K$817="Vacant", ROW('Bank Schedule'!$K$2:$K$817)), ROW(66:66))), "")</f>
        <v/>
      </c>
      <c r="C69" s="11">
        <f t="array" ref="C69">IFERROR(INDEX('Bank Schedule'!C:C, SMALL(IF('Bank Schedule'!$K$2:$K$817="Vacant", ROW('Bank Schedule'!$K$2:$K$817)), ROW(66:66))), "")</f>
        <v/>
      </c>
      <c r="D69" s="11">
        <f t="array" ref="D69">IFERROR(INDEX('Bank Schedule'!D:D, SMALL(IF('Bank Schedule'!$K$2:$K$817="Vacant", ROW('Bank Schedule'!$K$2:$K$817)), ROW(66:66))), "")</f>
        <v/>
      </c>
      <c r="E69" s="25">
        <f t="array" ref="E69">IFERROR(INDEX('Bank Schedule'!E:E, SMALL(IF('Bank Schedule'!$K$2:$K$817="Vacant", ROW('Bank Schedule'!$K$2:$K$817)), ROW(66:66))), "")</f>
        <v/>
      </c>
      <c r="F69" s="25">
        <f t="array" ref="F69">IFERROR(INDEX('Bank Schedule'!F:F, SMALL(IF('Bank Schedule'!$K$2:$K$817="Vacant", ROW('Bank Schedule'!$K$2:$K$817)), ROW(66:66))), "")</f>
        <v/>
      </c>
      <c r="G69" s="25">
        <f t="array" ref="G69">IFERROR(INDEX('Bank Schedule'!G:G, SMALL(IF('Bank Schedule'!$K$2:$K$817="Vacant", ROW('Bank Schedule'!$K$2:$K$817)), ROW(66:66))), "")</f>
        <v/>
      </c>
      <c r="H69" s="53">
        <f t="array" ref="H69">IFERROR(INDEX('Bank Schedule'!H:H, SMALL(IF('Bank Schedule'!$K$2:$K$817="Vacant", ROW('Bank Schedule'!$K$2:$K$817)), ROW(66:66))), "")</f>
        <v/>
      </c>
      <c r="I69" s="53">
        <f t="array" ref="I69">IFERROR(INDEX('Bank Schedule'!I:I, SMALL(IF('Bank Schedule'!$K$2:$K$817="Vacant", ROW('Bank Schedule'!$K$2:$K$817)), ROW(66:66))), "")</f>
        <v/>
      </c>
      <c r="J69" s="11">
        <f t="array" ref="J69">IFERROR(INDEX('Bank Schedule'!K:K, SMALL(IF('Bank Schedule'!$K$2:$K$817="Vacant", ROW('Bank Schedule'!$K$2:$K$817)), ROW(66:66))), "")</f>
        <v/>
      </c>
      <c r="K69" s="11">
        <f t="array" ref="K69">IFERROR(INDEX('Bank Schedule'!L:L, SMALL(IF('Bank Schedule'!$K$2:$K$817="Vacant", ROW('Bank Schedule'!$K$2:$K$817)), ROW(66:66))), "")</f>
        <v/>
      </c>
      <c r="L69" s="11">
        <f t="array" ref="L69">IFERROR(INDEX('Bank Schedule'!M:M, SMALL(IF('Bank Schedule'!$K$2:$K$817="Vacant", ROW('Bank Schedule'!$K$2:$K$817)), ROW(66:66))), "")</f>
        <v/>
      </c>
      <c r="M69" s="106">
        <f t="array" ref="M69">IFERROR(INDEX('Bank Schedule'!N:N, SMALL(IF('Bank Schedule'!$K$2:$K$817="Vacant", ROW('Bank Schedule'!$K$2:$K$817)), ROW(66:66))), "")</f>
        <v/>
      </c>
      <c r="N69" s="11">
        <f t="array" ref="N69">IFERROR(INDEX('Bank Schedule'!O:O, SMALL(IF('Bank Schedule'!$K$2:$K$817="Vacant", ROW('Bank Schedule'!$K$2:$K$817)), ROW(66:66))), "")</f>
        <v/>
      </c>
      <c r="O69" s="11">
        <f t="array" ref="O69">IFERROR(INDEX('Bank Schedule'!P:P, SMALL(IF('Bank Schedule'!$K$2:$K$817="Vacant", ROW('Bank Schedule'!$K$2:$K$817)), ROW(66:66))), "")</f>
        <v/>
      </c>
      <c r="P69" s="11">
        <f t="array" ref="P69">IFERROR(INDEX('Bank Schedule'!Q:Q, SMALL(IF('Bank Schedule'!$K$2:$K$817="Vacant", ROW('Bank Schedule'!$K$2:$K$817)), ROW(66:66))), "")</f>
        <v/>
      </c>
      <c r="Q69" s="11">
        <f t="array" ref="Q69">IFERROR(INDEX('Bank Schedule'!R:R, SMALL(IF('Bank Schedule'!$K$2:$K$817="Vacant", ROW('Bank Schedule'!$K$2:$K$817)), ROW(66:66))), "")</f>
        <v/>
      </c>
      <c r="R69" s="11">
        <f t="array" ref="R69">IFERROR(INDEX('Bank Schedule'!S:S, SMALL(IF('Bank Schedule'!$K$2:$K$817="Vacant", ROW('Bank Schedule'!$K$2:$K$817)), ROW(66:66))), "")</f>
        <v/>
      </c>
      <c r="S69" s="301">
        <f t="array" ref="S69">IFERROR(INDEX('Bank Schedule'!T:T, SMALL(IF('Bank Schedule'!$K$2:$K$817="Vacant", ROW('Bank Schedule'!$K$2:$K$817)), ROW(66:66))), "")</f>
        <v/>
      </c>
      <c r="T69" s="301">
        <f t="array" ref="T69">IFERROR(INDEX('Bank Schedule'!U:U, SMALL(IF('Bank Schedule'!$K$2:$K$817="Vacant", ROW('Bank Schedule'!$K$2:$K$817)), ROW(66:66))), "")</f>
        <v/>
      </c>
      <c r="U69" s="301">
        <f t="array" ref="U69">IFERROR(INDEX('Bank Schedule'!V:V, SMALL(IF('Bank Schedule'!$K$2:$K$817="Vacant", ROW('Bank Schedule'!$K$2:$K$817)), ROW(66:66))), "")</f>
        <v/>
      </c>
      <c r="V69" s="301">
        <f t="array" ref="V69">IFERROR(INDEX('Bank Schedule'!W:W, SMALL(IF('Bank Schedule'!$K$2:$K$817="Vacant", ROW('Bank Schedule'!$K$2:$K$817)), ROW(66:66))), "")</f>
        <v/>
      </c>
      <c r="W69" s="300">
        <f t="array" ref="W69">IFERROR(INDEX('Bank Schedule'!X:X, SMALL(IF('Bank Schedule'!$K$2:$K$817="Vacant", ROW('Bank Schedule'!$K$2:$K$817)), ROW(66:66))), "")</f>
        <v/>
      </c>
      <c r="X69" s="11">
        <f t="array" ref="X69">IFERROR(INDEX('Bank Schedule'!Y:Y, SMALL(IF('Bank Schedule'!$K$2:$K$817="Vacant", ROW('Bank Schedule'!$K$2:$K$817)), ROW(66:66))), "")</f>
        <v/>
      </c>
      <c r="Y69" s="11">
        <f t="array" ref="Y69">IFERROR(INDEX('Bank Schedule'!Z:Z, SMALL(IF('Bank Schedule'!$K$2:$K$817="Vacant", ROW('Bank Schedule'!$K$2:$K$817)), ROW(66:66))), "")</f>
        <v/>
      </c>
      <c r="Z69" s="11">
        <f t="array" ref="Z69">IFERROR(INDEX('Bank Schedule'!AA:AA, SMALL(IF('Bank Schedule'!$K$2:$K$817="Vacant", ROW('Bank Schedule'!$K$2:$K$817)), ROW(66:66))), "")</f>
        <v/>
      </c>
      <c r="AA69" s="11">
        <f t="array" ref="AA69">IFERROR(INDEX('Bank Schedule'!AB:AB, SMALL(IF('Bank Schedule'!$K$2:$K$817="Vacant", ROW('Bank Schedule'!$K$2:$K$817)), ROW(66:66))), "")</f>
        <v/>
      </c>
      <c r="AB69" s="25">
        <f t="array" ref="AB69">IFERROR(INDEX('Bank Schedule'!AC:AC, SMALL(IF('Bank Schedule'!$K$2:$K$817="Vacant", ROW('Bank Schedule'!$K$2:$K$817)), ROW(66:66))), "")</f>
        <v/>
      </c>
      <c r="AC69" s="277">
        <f t="array" ref="AC69">IFERROR(INDEX('Bank Schedule'!AD:AD, SMALL(IF('Bank Schedule'!$K$2:$K$817="Vacant", ROW('Bank Schedule'!$K$2:$K$817)), ROW(66:66))), "")</f>
        <v/>
      </c>
      <c r="AD69" s="11">
        <f t="array" ref="AD69">IFERROR(INDEX('Bank Schedule'!AE:AE, SMALL(IF('Bank Schedule'!$K$2:$K$817="Vacant", ROW('Bank Schedule'!$K$2:$K$817)), ROW(66:66))), "")</f>
        <v/>
      </c>
      <c r="AE69" s="11">
        <f t="array" ref="AE69">IFERROR(INDEX('Bank Schedule'!AF:AF, SMALL(IF('Bank Schedule'!$K$2:$K$817="Vacant", ROW('Bank Schedule'!$K$2:$K$817)), ROW(66:66))), "")</f>
        <v/>
      </c>
      <c r="AF69" s="11">
        <f t="array" ref="AF69">IFERROR(INDEX('Bank Schedule'!AG:AG, SMALL(IF('Bank Schedule'!$K$2:$K$817="Vacant", ROW('Bank Schedule'!$K$2:$K$817)), ROW(66:66))), "")</f>
        <v/>
      </c>
      <c r="AG69" s="4" t="n"/>
    </row>
    <row r="70" ht="28.5" customHeight="1">
      <c r="A70" s="2">
        <f t="array" ref="A70">IFERROR(INDEX('Bank Schedule'!A:A, SMALL(IF('Bank Schedule'!$K$2:$K$817="Vacant", ROW('Bank Schedule'!$K$2:$K$817)), ROW(67:67))), "")</f>
        <v/>
      </c>
      <c r="B70" s="11">
        <f t="array" ref="B70">IFERROR(INDEX('Bank Schedule'!B:B, SMALL(IF('Bank Schedule'!$K$2:$K$817="Vacant", ROW('Bank Schedule'!$K$2:$K$817)), ROW(67:67))), "")</f>
        <v/>
      </c>
      <c r="C70" s="11">
        <f t="array" ref="C70">IFERROR(INDEX('Bank Schedule'!C:C, SMALL(IF('Bank Schedule'!$K$2:$K$817="Vacant", ROW('Bank Schedule'!$K$2:$K$817)), ROW(67:67))), "")</f>
        <v/>
      </c>
      <c r="D70" s="11">
        <f t="array" ref="D70">IFERROR(INDEX('Bank Schedule'!D:D, SMALL(IF('Bank Schedule'!$K$2:$K$817="Vacant", ROW('Bank Schedule'!$K$2:$K$817)), ROW(67:67))), "")</f>
        <v/>
      </c>
      <c r="E70" s="25">
        <f t="array" ref="E70">IFERROR(INDEX('Bank Schedule'!E:E, SMALL(IF('Bank Schedule'!$K$2:$K$817="Vacant", ROW('Bank Schedule'!$K$2:$K$817)), ROW(67:67))), "")</f>
        <v/>
      </c>
      <c r="F70" s="25">
        <f t="array" ref="F70">IFERROR(INDEX('Bank Schedule'!F:F, SMALL(IF('Bank Schedule'!$K$2:$K$817="Vacant", ROW('Bank Schedule'!$K$2:$K$817)), ROW(67:67))), "")</f>
        <v/>
      </c>
      <c r="G70" s="25">
        <f t="array" ref="G70">IFERROR(INDEX('Bank Schedule'!G:G, SMALL(IF('Bank Schedule'!$K$2:$K$817="Vacant", ROW('Bank Schedule'!$K$2:$K$817)), ROW(67:67))), "")</f>
        <v/>
      </c>
      <c r="H70" s="53">
        <f t="array" ref="H70">IFERROR(INDEX('Bank Schedule'!H:H, SMALL(IF('Bank Schedule'!$K$2:$K$817="Vacant", ROW('Bank Schedule'!$K$2:$K$817)), ROW(67:67))), "")</f>
        <v/>
      </c>
      <c r="I70" s="53">
        <f t="array" ref="I70">IFERROR(INDEX('Bank Schedule'!I:I, SMALL(IF('Bank Schedule'!$K$2:$K$817="Vacant", ROW('Bank Schedule'!$K$2:$K$817)), ROW(67:67))), "")</f>
        <v/>
      </c>
      <c r="J70" s="11">
        <f t="array" ref="J70">IFERROR(INDEX('Bank Schedule'!K:K, SMALL(IF('Bank Schedule'!$K$2:$K$817="Vacant", ROW('Bank Schedule'!$K$2:$K$817)), ROW(67:67))), "")</f>
        <v/>
      </c>
      <c r="K70" s="11">
        <f t="array" ref="K70">IFERROR(INDEX('Bank Schedule'!L:L, SMALL(IF('Bank Schedule'!$K$2:$K$817="Vacant", ROW('Bank Schedule'!$K$2:$K$817)), ROW(67:67))), "")</f>
        <v/>
      </c>
      <c r="L70" s="11">
        <f t="array" ref="L70">IFERROR(INDEX('Bank Schedule'!M:M, SMALL(IF('Bank Schedule'!$K$2:$K$817="Vacant", ROW('Bank Schedule'!$K$2:$K$817)), ROW(67:67))), "")</f>
        <v/>
      </c>
      <c r="M70" s="106">
        <f t="array" ref="M70">IFERROR(INDEX('Bank Schedule'!N:N, SMALL(IF('Bank Schedule'!$K$2:$K$817="Vacant", ROW('Bank Schedule'!$K$2:$K$817)), ROW(67:67))), "")</f>
        <v/>
      </c>
      <c r="N70" s="11">
        <f t="array" ref="N70">IFERROR(INDEX('Bank Schedule'!O:O, SMALL(IF('Bank Schedule'!$K$2:$K$817="Vacant", ROW('Bank Schedule'!$K$2:$K$817)), ROW(67:67))), "")</f>
        <v/>
      </c>
      <c r="O70" s="11">
        <f t="array" ref="O70">IFERROR(INDEX('Bank Schedule'!P:P, SMALL(IF('Bank Schedule'!$K$2:$K$817="Vacant", ROW('Bank Schedule'!$K$2:$K$817)), ROW(67:67))), "")</f>
        <v/>
      </c>
      <c r="P70" s="11">
        <f t="array" ref="P70">IFERROR(INDEX('Bank Schedule'!Q:Q, SMALL(IF('Bank Schedule'!$K$2:$K$817="Vacant", ROW('Bank Schedule'!$K$2:$K$817)), ROW(67:67))), "")</f>
        <v/>
      </c>
      <c r="Q70" s="11">
        <f t="array" ref="Q70">IFERROR(INDEX('Bank Schedule'!R:R, SMALL(IF('Bank Schedule'!$K$2:$K$817="Vacant", ROW('Bank Schedule'!$K$2:$K$817)), ROW(67:67))), "")</f>
        <v/>
      </c>
      <c r="R70" s="11">
        <f t="array" ref="R70">IFERROR(INDEX('Bank Schedule'!S:S, SMALL(IF('Bank Schedule'!$K$2:$K$817="Vacant", ROW('Bank Schedule'!$K$2:$K$817)), ROW(67:67))), "")</f>
        <v/>
      </c>
      <c r="S70" s="301">
        <f t="array" ref="S70">IFERROR(INDEX('Bank Schedule'!T:T, SMALL(IF('Bank Schedule'!$K$2:$K$817="Vacant", ROW('Bank Schedule'!$K$2:$K$817)), ROW(67:67))), "")</f>
        <v/>
      </c>
      <c r="T70" s="301">
        <f t="array" ref="T70">IFERROR(INDEX('Bank Schedule'!U:U, SMALL(IF('Bank Schedule'!$K$2:$K$817="Vacant", ROW('Bank Schedule'!$K$2:$K$817)), ROW(67:67))), "")</f>
        <v/>
      </c>
      <c r="U70" s="301">
        <f t="array" ref="U70">IFERROR(INDEX('Bank Schedule'!V:V, SMALL(IF('Bank Schedule'!$K$2:$K$817="Vacant", ROW('Bank Schedule'!$K$2:$K$817)), ROW(67:67))), "")</f>
        <v/>
      </c>
      <c r="V70" s="301">
        <f t="array" ref="V70">IFERROR(INDEX('Bank Schedule'!W:W, SMALL(IF('Bank Schedule'!$K$2:$K$817="Vacant", ROW('Bank Schedule'!$K$2:$K$817)), ROW(67:67))), "")</f>
        <v/>
      </c>
      <c r="W70" s="300">
        <f t="array" ref="W70">IFERROR(INDEX('Bank Schedule'!X:X, SMALL(IF('Bank Schedule'!$K$2:$K$817="Vacant", ROW('Bank Schedule'!$K$2:$K$817)), ROW(67:67))), "")</f>
        <v/>
      </c>
      <c r="X70" s="11">
        <f t="array" ref="X70">IFERROR(INDEX('Bank Schedule'!Y:Y, SMALL(IF('Bank Schedule'!$K$2:$K$817="Vacant", ROW('Bank Schedule'!$K$2:$K$817)), ROW(67:67))), "")</f>
        <v/>
      </c>
      <c r="Y70" s="11">
        <f t="array" ref="Y70">IFERROR(INDEX('Bank Schedule'!Z:Z, SMALL(IF('Bank Schedule'!$K$2:$K$817="Vacant", ROW('Bank Schedule'!$K$2:$K$817)), ROW(67:67))), "")</f>
        <v/>
      </c>
      <c r="Z70" s="11">
        <f t="array" ref="Z70">IFERROR(INDEX('Bank Schedule'!AA:AA, SMALL(IF('Bank Schedule'!$K$2:$K$817="Vacant", ROW('Bank Schedule'!$K$2:$K$817)), ROW(67:67))), "")</f>
        <v/>
      </c>
      <c r="AA70" s="11">
        <f t="array" ref="AA70">IFERROR(INDEX('Bank Schedule'!AB:AB, SMALL(IF('Bank Schedule'!$K$2:$K$817="Vacant", ROW('Bank Schedule'!$K$2:$K$817)), ROW(67:67))), "")</f>
        <v/>
      </c>
      <c r="AB70" s="25">
        <f t="array" ref="AB70">IFERROR(INDEX('Bank Schedule'!AC:AC, SMALL(IF('Bank Schedule'!$K$2:$K$817="Vacant", ROW('Bank Schedule'!$K$2:$K$817)), ROW(67:67))), "")</f>
        <v/>
      </c>
      <c r="AC70" s="277">
        <f t="array" ref="AC70">IFERROR(INDEX('Bank Schedule'!AD:AD, SMALL(IF('Bank Schedule'!$K$2:$K$817="Vacant", ROW('Bank Schedule'!$K$2:$K$817)), ROW(67:67))), "")</f>
        <v/>
      </c>
      <c r="AD70" s="11">
        <f t="array" ref="AD70">IFERROR(INDEX('Bank Schedule'!AE:AE, SMALL(IF('Bank Schedule'!$K$2:$K$817="Vacant", ROW('Bank Schedule'!$K$2:$K$817)), ROW(67:67))), "")</f>
        <v/>
      </c>
      <c r="AE70" s="11">
        <f t="array" ref="AE70">IFERROR(INDEX('Bank Schedule'!AF:AF, SMALL(IF('Bank Schedule'!$K$2:$K$817="Vacant", ROW('Bank Schedule'!$K$2:$K$817)), ROW(67:67))), "")</f>
        <v/>
      </c>
      <c r="AF70" s="11">
        <f t="array" ref="AF70">IFERROR(INDEX('Bank Schedule'!AG:AG, SMALL(IF('Bank Schedule'!$K$2:$K$817="Vacant", ROW('Bank Schedule'!$K$2:$K$817)), ROW(67:67))), "")</f>
        <v/>
      </c>
      <c r="AG70" s="4" t="n"/>
    </row>
    <row r="71" ht="28.5" customHeight="1">
      <c r="A71" s="2">
        <f t="array" ref="A71">IFERROR(INDEX('Bank Schedule'!A:A, SMALL(IF('Bank Schedule'!$K$2:$K$817="Vacant", ROW('Bank Schedule'!$K$2:$K$817)), ROW(68:68))), "")</f>
        <v/>
      </c>
      <c r="B71" s="11">
        <f t="array" ref="B71">IFERROR(INDEX('Bank Schedule'!B:B, SMALL(IF('Bank Schedule'!$K$2:$K$817="Vacant", ROW('Bank Schedule'!$K$2:$K$817)), ROW(68:68))), "")</f>
        <v/>
      </c>
      <c r="C71" s="11">
        <f t="array" ref="C71">IFERROR(INDEX('Bank Schedule'!C:C, SMALL(IF('Bank Schedule'!$K$2:$K$817="Vacant", ROW('Bank Schedule'!$K$2:$K$817)), ROW(68:68))), "")</f>
        <v/>
      </c>
      <c r="D71" s="11">
        <f t="array" ref="D71">IFERROR(INDEX('Bank Schedule'!D:D, SMALL(IF('Bank Schedule'!$K$2:$K$817="Vacant", ROW('Bank Schedule'!$K$2:$K$817)), ROW(68:68))), "")</f>
        <v/>
      </c>
      <c r="E71" s="25">
        <f t="array" ref="E71">IFERROR(INDEX('Bank Schedule'!E:E, SMALL(IF('Bank Schedule'!$K$2:$K$817="Vacant", ROW('Bank Schedule'!$K$2:$K$817)), ROW(68:68))), "")</f>
        <v/>
      </c>
      <c r="F71" s="25">
        <f t="array" ref="F71">IFERROR(INDEX('Bank Schedule'!F:F, SMALL(IF('Bank Schedule'!$K$2:$K$817="Vacant", ROW('Bank Schedule'!$K$2:$K$817)), ROW(68:68))), "")</f>
        <v/>
      </c>
      <c r="G71" s="25">
        <f t="array" ref="G71">IFERROR(INDEX('Bank Schedule'!G:G, SMALL(IF('Bank Schedule'!$K$2:$K$817="Vacant", ROW('Bank Schedule'!$K$2:$K$817)), ROW(68:68))), "")</f>
        <v/>
      </c>
      <c r="H71" s="53">
        <f t="array" ref="H71">IFERROR(INDEX('Bank Schedule'!H:H, SMALL(IF('Bank Schedule'!$K$2:$K$817="Vacant", ROW('Bank Schedule'!$K$2:$K$817)), ROW(68:68))), "")</f>
        <v/>
      </c>
      <c r="I71" s="53">
        <f t="array" ref="I71">IFERROR(INDEX('Bank Schedule'!I:I, SMALL(IF('Bank Schedule'!$K$2:$K$817="Vacant", ROW('Bank Schedule'!$K$2:$K$817)), ROW(68:68))), "")</f>
        <v/>
      </c>
      <c r="J71" s="11">
        <f t="array" ref="J71">IFERROR(INDEX('Bank Schedule'!K:K, SMALL(IF('Bank Schedule'!$K$2:$K$817="Vacant", ROW('Bank Schedule'!$K$2:$K$817)), ROW(68:68))), "")</f>
        <v/>
      </c>
      <c r="K71" s="11">
        <f t="array" ref="K71">IFERROR(INDEX('Bank Schedule'!L:L, SMALL(IF('Bank Schedule'!$K$2:$K$817="Vacant", ROW('Bank Schedule'!$K$2:$K$817)), ROW(68:68))), "")</f>
        <v/>
      </c>
      <c r="L71" s="11">
        <f t="array" ref="L71">IFERROR(INDEX('Bank Schedule'!M:M, SMALL(IF('Bank Schedule'!$K$2:$K$817="Vacant", ROW('Bank Schedule'!$K$2:$K$817)), ROW(68:68))), "")</f>
        <v/>
      </c>
      <c r="M71" s="106">
        <f t="array" ref="M71">IFERROR(INDEX('Bank Schedule'!N:N, SMALL(IF('Bank Schedule'!$K$2:$K$817="Vacant", ROW('Bank Schedule'!$K$2:$K$817)), ROW(68:68))), "")</f>
        <v/>
      </c>
      <c r="N71" s="11">
        <f t="array" ref="N71">IFERROR(INDEX('Bank Schedule'!O:O, SMALL(IF('Bank Schedule'!$K$2:$K$817="Vacant", ROW('Bank Schedule'!$K$2:$K$817)), ROW(68:68))), "")</f>
        <v/>
      </c>
      <c r="O71" s="11">
        <f t="array" ref="O71">IFERROR(INDEX('Bank Schedule'!P:P, SMALL(IF('Bank Schedule'!$K$2:$K$817="Vacant", ROW('Bank Schedule'!$K$2:$K$817)), ROW(68:68))), "")</f>
        <v/>
      </c>
      <c r="P71" s="11">
        <f t="array" ref="P71">IFERROR(INDEX('Bank Schedule'!Q:Q, SMALL(IF('Bank Schedule'!$K$2:$K$817="Vacant", ROW('Bank Schedule'!$K$2:$K$817)), ROW(68:68))), "")</f>
        <v/>
      </c>
      <c r="Q71" s="11">
        <f t="array" ref="Q71">IFERROR(INDEX('Bank Schedule'!R:R, SMALL(IF('Bank Schedule'!$K$2:$K$817="Vacant", ROW('Bank Schedule'!$K$2:$K$817)), ROW(68:68))), "")</f>
        <v/>
      </c>
      <c r="R71" s="11">
        <f t="array" ref="R71">IFERROR(INDEX('Bank Schedule'!S:S, SMALL(IF('Bank Schedule'!$K$2:$K$817="Vacant", ROW('Bank Schedule'!$K$2:$K$817)), ROW(68:68))), "")</f>
        <v/>
      </c>
      <c r="S71" s="301">
        <f t="array" ref="S71">IFERROR(INDEX('Bank Schedule'!T:T, SMALL(IF('Bank Schedule'!$K$2:$K$817="Vacant", ROW('Bank Schedule'!$K$2:$K$817)), ROW(68:68))), "")</f>
        <v/>
      </c>
      <c r="T71" s="301">
        <f t="array" ref="T71">IFERROR(INDEX('Bank Schedule'!U:U, SMALL(IF('Bank Schedule'!$K$2:$K$817="Vacant", ROW('Bank Schedule'!$K$2:$K$817)), ROW(68:68))), "")</f>
        <v/>
      </c>
      <c r="U71" s="301">
        <f t="array" ref="U71">IFERROR(INDEX('Bank Schedule'!V:V, SMALL(IF('Bank Schedule'!$K$2:$K$817="Vacant", ROW('Bank Schedule'!$K$2:$K$817)), ROW(68:68))), "")</f>
        <v/>
      </c>
      <c r="V71" s="301">
        <f t="array" ref="V71">IFERROR(INDEX('Bank Schedule'!W:W, SMALL(IF('Bank Schedule'!$K$2:$K$817="Vacant", ROW('Bank Schedule'!$K$2:$K$817)), ROW(68:68))), "")</f>
        <v/>
      </c>
      <c r="W71" s="300">
        <f t="array" ref="W71">IFERROR(INDEX('Bank Schedule'!X:X, SMALL(IF('Bank Schedule'!$K$2:$K$817="Vacant", ROW('Bank Schedule'!$K$2:$K$817)), ROW(68:68))), "")</f>
        <v/>
      </c>
      <c r="X71" s="11">
        <f t="array" ref="X71">IFERROR(INDEX('Bank Schedule'!Y:Y, SMALL(IF('Bank Schedule'!$K$2:$K$817="Vacant", ROW('Bank Schedule'!$K$2:$K$817)), ROW(68:68))), "")</f>
        <v/>
      </c>
      <c r="Y71" s="11">
        <f t="array" ref="Y71">IFERROR(INDEX('Bank Schedule'!Z:Z, SMALL(IF('Bank Schedule'!$K$2:$K$817="Vacant", ROW('Bank Schedule'!$K$2:$K$817)), ROW(68:68))), "")</f>
        <v/>
      </c>
      <c r="Z71" s="11">
        <f t="array" ref="Z71">IFERROR(INDEX('Bank Schedule'!AA:AA, SMALL(IF('Bank Schedule'!$K$2:$K$817="Vacant", ROW('Bank Schedule'!$K$2:$K$817)), ROW(68:68))), "")</f>
        <v/>
      </c>
      <c r="AA71" s="11">
        <f t="array" ref="AA71">IFERROR(INDEX('Bank Schedule'!AB:AB, SMALL(IF('Bank Schedule'!$K$2:$K$817="Vacant", ROW('Bank Schedule'!$K$2:$K$817)), ROW(68:68))), "")</f>
        <v/>
      </c>
      <c r="AB71" s="25">
        <f t="array" ref="AB71">IFERROR(INDEX('Bank Schedule'!AC:AC, SMALL(IF('Bank Schedule'!$K$2:$K$817="Vacant", ROW('Bank Schedule'!$K$2:$K$817)), ROW(68:68))), "")</f>
        <v/>
      </c>
      <c r="AC71" s="277">
        <f t="array" ref="AC71">IFERROR(INDEX('Bank Schedule'!AD:AD, SMALL(IF('Bank Schedule'!$K$2:$K$817="Vacant", ROW('Bank Schedule'!$K$2:$K$817)), ROW(68:68))), "")</f>
        <v/>
      </c>
      <c r="AD71" s="11">
        <f t="array" ref="AD71">IFERROR(INDEX('Bank Schedule'!AE:AE, SMALL(IF('Bank Schedule'!$K$2:$K$817="Vacant", ROW('Bank Schedule'!$K$2:$K$817)), ROW(68:68))), "")</f>
        <v/>
      </c>
      <c r="AE71" s="11">
        <f t="array" ref="AE71">IFERROR(INDEX('Bank Schedule'!AF:AF, SMALL(IF('Bank Schedule'!$K$2:$K$817="Vacant", ROW('Bank Schedule'!$K$2:$K$817)), ROW(68:68))), "")</f>
        <v/>
      </c>
      <c r="AF71" s="11">
        <f t="array" ref="AF71">IFERROR(INDEX('Bank Schedule'!AG:AG, SMALL(IF('Bank Schedule'!$K$2:$K$817="Vacant", ROW('Bank Schedule'!$K$2:$K$817)), ROW(68:68))), "")</f>
        <v/>
      </c>
      <c r="AG71" s="4" t="n"/>
    </row>
    <row r="72" ht="28.5" customHeight="1">
      <c r="A72" s="2">
        <f t="array" ref="A72">IFERROR(INDEX('Bank Schedule'!A:A, SMALL(IF('Bank Schedule'!$K$2:$K$817="Vacant", ROW('Bank Schedule'!$K$2:$K$817)), ROW(69:69))), "")</f>
        <v/>
      </c>
      <c r="B72" s="11">
        <f t="array" ref="B72">IFERROR(INDEX('Bank Schedule'!B:B, SMALL(IF('Bank Schedule'!$K$2:$K$817="Vacant", ROW('Bank Schedule'!$K$2:$K$817)), ROW(69:69))), "")</f>
        <v/>
      </c>
      <c r="C72" s="11">
        <f t="array" ref="C72">IFERROR(INDEX('Bank Schedule'!C:C, SMALL(IF('Bank Schedule'!$K$2:$K$817="Vacant", ROW('Bank Schedule'!$K$2:$K$817)), ROW(69:69))), "")</f>
        <v/>
      </c>
      <c r="D72" s="11">
        <f t="array" ref="D72">IFERROR(INDEX('Bank Schedule'!D:D, SMALL(IF('Bank Schedule'!$K$2:$K$817="Vacant", ROW('Bank Schedule'!$K$2:$K$817)), ROW(69:69))), "")</f>
        <v/>
      </c>
      <c r="E72" s="25">
        <f t="array" ref="E72">IFERROR(INDEX('Bank Schedule'!E:E, SMALL(IF('Bank Schedule'!$K$2:$K$817="Vacant", ROW('Bank Schedule'!$K$2:$K$817)), ROW(69:69))), "")</f>
        <v/>
      </c>
      <c r="F72" s="25">
        <f t="array" ref="F72">IFERROR(INDEX('Bank Schedule'!F:F, SMALL(IF('Bank Schedule'!$K$2:$K$817="Vacant", ROW('Bank Schedule'!$K$2:$K$817)), ROW(69:69))), "")</f>
        <v/>
      </c>
      <c r="G72" s="25">
        <f t="array" ref="G72">IFERROR(INDEX('Bank Schedule'!G:G, SMALL(IF('Bank Schedule'!$K$2:$K$817="Vacant", ROW('Bank Schedule'!$K$2:$K$817)), ROW(69:69))), "")</f>
        <v/>
      </c>
      <c r="H72" s="53">
        <f t="array" ref="H72">IFERROR(INDEX('Bank Schedule'!H:H, SMALL(IF('Bank Schedule'!$K$2:$K$817="Vacant", ROW('Bank Schedule'!$K$2:$K$817)), ROW(69:69))), "")</f>
        <v/>
      </c>
      <c r="I72" s="53">
        <f t="array" ref="I72">IFERROR(INDEX('Bank Schedule'!I:I, SMALL(IF('Bank Schedule'!$K$2:$K$817="Vacant", ROW('Bank Schedule'!$K$2:$K$817)), ROW(69:69))), "")</f>
        <v/>
      </c>
      <c r="J72" s="11">
        <f t="array" ref="J72">IFERROR(INDEX('Bank Schedule'!K:K, SMALL(IF('Bank Schedule'!$K$2:$K$817="Vacant", ROW('Bank Schedule'!$K$2:$K$817)), ROW(69:69))), "")</f>
        <v/>
      </c>
      <c r="K72" s="11">
        <f t="array" ref="K72">IFERROR(INDEX('Bank Schedule'!L:L, SMALL(IF('Bank Schedule'!$K$2:$K$817="Vacant", ROW('Bank Schedule'!$K$2:$K$817)), ROW(69:69))), "")</f>
        <v/>
      </c>
      <c r="L72" s="11">
        <f t="array" ref="L72">IFERROR(INDEX('Bank Schedule'!M:M, SMALL(IF('Bank Schedule'!$K$2:$K$817="Vacant", ROW('Bank Schedule'!$K$2:$K$817)), ROW(69:69))), "")</f>
        <v/>
      </c>
      <c r="M72" s="106">
        <f t="array" ref="M72">IFERROR(INDEX('Bank Schedule'!N:N, SMALL(IF('Bank Schedule'!$K$2:$K$817="Vacant", ROW('Bank Schedule'!$K$2:$K$817)), ROW(69:69))), "")</f>
        <v/>
      </c>
      <c r="N72" s="11">
        <f t="array" ref="N72">IFERROR(INDEX('Bank Schedule'!O:O, SMALL(IF('Bank Schedule'!$K$2:$K$817="Vacant", ROW('Bank Schedule'!$K$2:$K$817)), ROW(69:69))), "")</f>
        <v/>
      </c>
      <c r="O72" s="11">
        <f t="array" ref="O72">IFERROR(INDEX('Bank Schedule'!P:P, SMALL(IF('Bank Schedule'!$K$2:$K$817="Vacant", ROW('Bank Schedule'!$K$2:$K$817)), ROW(69:69))), "")</f>
        <v/>
      </c>
      <c r="P72" s="11">
        <f t="array" ref="P72">IFERROR(INDEX('Bank Schedule'!Q:Q, SMALL(IF('Bank Schedule'!$K$2:$K$817="Vacant", ROW('Bank Schedule'!$K$2:$K$817)), ROW(69:69))), "")</f>
        <v/>
      </c>
      <c r="Q72" s="11">
        <f t="array" ref="Q72">IFERROR(INDEX('Bank Schedule'!R:R, SMALL(IF('Bank Schedule'!$K$2:$K$817="Vacant", ROW('Bank Schedule'!$K$2:$K$817)), ROW(69:69))), "")</f>
        <v/>
      </c>
      <c r="R72" s="11">
        <f t="array" ref="R72">IFERROR(INDEX('Bank Schedule'!S:S, SMALL(IF('Bank Schedule'!$K$2:$K$817="Vacant", ROW('Bank Schedule'!$K$2:$K$817)), ROW(69:69))), "")</f>
        <v/>
      </c>
      <c r="S72" s="301">
        <f t="array" ref="S72">IFERROR(INDEX('Bank Schedule'!T:T, SMALL(IF('Bank Schedule'!$K$2:$K$817="Vacant", ROW('Bank Schedule'!$K$2:$K$817)), ROW(69:69))), "")</f>
        <v/>
      </c>
      <c r="T72" s="301">
        <f t="array" ref="T72">IFERROR(INDEX('Bank Schedule'!U:U, SMALL(IF('Bank Schedule'!$K$2:$K$817="Vacant", ROW('Bank Schedule'!$K$2:$K$817)), ROW(69:69))), "")</f>
        <v/>
      </c>
      <c r="U72" s="301">
        <f t="array" ref="U72">IFERROR(INDEX('Bank Schedule'!V:V, SMALL(IF('Bank Schedule'!$K$2:$K$817="Vacant", ROW('Bank Schedule'!$K$2:$K$817)), ROW(69:69))), "")</f>
        <v/>
      </c>
      <c r="V72" s="301">
        <f t="array" ref="V72">IFERROR(INDEX('Bank Schedule'!W:W, SMALL(IF('Bank Schedule'!$K$2:$K$817="Vacant", ROW('Bank Schedule'!$K$2:$K$817)), ROW(69:69))), "")</f>
        <v/>
      </c>
      <c r="W72" s="300">
        <f t="array" ref="W72">IFERROR(INDEX('Bank Schedule'!X:X, SMALL(IF('Bank Schedule'!$K$2:$K$817="Vacant", ROW('Bank Schedule'!$K$2:$K$817)), ROW(69:69))), "")</f>
        <v/>
      </c>
      <c r="X72" s="11">
        <f t="array" ref="X72">IFERROR(INDEX('Bank Schedule'!Y:Y, SMALL(IF('Bank Schedule'!$K$2:$K$817="Vacant", ROW('Bank Schedule'!$K$2:$K$817)), ROW(69:69))), "")</f>
        <v/>
      </c>
      <c r="Y72" s="11">
        <f t="array" ref="Y72">IFERROR(INDEX('Bank Schedule'!Z:Z, SMALL(IF('Bank Schedule'!$K$2:$K$817="Vacant", ROW('Bank Schedule'!$K$2:$K$817)), ROW(69:69))), "")</f>
        <v/>
      </c>
      <c r="Z72" s="11">
        <f t="array" ref="Z72">IFERROR(INDEX('Bank Schedule'!AA:AA, SMALL(IF('Bank Schedule'!$K$2:$K$817="Vacant", ROW('Bank Schedule'!$K$2:$K$817)), ROW(69:69))), "")</f>
        <v/>
      </c>
      <c r="AA72" s="11">
        <f t="array" ref="AA72">IFERROR(INDEX('Bank Schedule'!AB:AB, SMALL(IF('Bank Schedule'!$K$2:$K$817="Vacant", ROW('Bank Schedule'!$K$2:$K$817)), ROW(69:69))), "")</f>
        <v/>
      </c>
      <c r="AB72" s="25">
        <f t="array" ref="AB72">IFERROR(INDEX('Bank Schedule'!AC:AC, SMALL(IF('Bank Schedule'!$K$2:$K$817="Vacant", ROW('Bank Schedule'!$K$2:$K$817)), ROW(69:69))), "")</f>
        <v/>
      </c>
      <c r="AC72" s="277">
        <f t="array" ref="AC72">IFERROR(INDEX('Bank Schedule'!AD:AD, SMALL(IF('Bank Schedule'!$K$2:$K$817="Vacant", ROW('Bank Schedule'!$K$2:$K$817)), ROW(69:69))), "")</f>
        <v/>
      </c>
      <c r="AD72" s="11">
        <f t="array" ref="AD72">IFERROR(INDEX('Bank Schedule'!AE:AE, SMALL(IF('Bank Schedule'!$K$2:$K$817="Vacant", ROW('Bank Schedule'!$K$2:$K$817)), ROW(69:69))), "")</f>
        <v/>
      </c>
      <c r="AE72" s="11">
        <f t="array" ref="AE72">IFERROR(INDEX('Bank Schedule'!AF:AF, SMALL(IF('Bank Schedule'!$K$2:$K$817="Vacant", ROW('Bank Schedule'!$K$2:$K$817)), ROW(69:69))), "")</f>
        <v/>
      </c>
      <c r="AF72" s="11">
        <f t="array" ref="AF72">IFERROR(INDEX('Bank Schedule'!AG:AG, SMALL(IF('Bank Schedule'!$K$2:$K$817="Vacant", ROW('Bank Schedule'!$K$2:$K$817)), ROW(69:69))), "")</f>
        <v/>
      </c>
      <c r="AG72" s="4" t="n"/>
    </row>
    <row r="73" ht="28.5" customHeight="1">
      <c r="A73" s="2">
        <f t="array" ref="A73">IFERROR(INDEX('Bank Schedule'!A:A, SMALL(IF('Bank Schedule'!$K$2:$K$817="Vacant", ROW('Bank Schedule'!$K$2:$K$817)), ROW(70:70))), "")</f>
        <v/>
      </c>
      <c r="B73" s="11">
        <f t="array" ref="B73">IFERROR(INDEX('Bank Schedule'!B:B, SMALL(IF('Bank Schedule'!$K$2:$K$817="Vacant", ROW('Bank Schedule'!$K$2:$K$817)), ROW(70:70))), "")</f>
        <v/>
      </c>
      <c r="C73" s="11">
        <f t="array" ref="C73">IFERROR(INDEX('Bank Schedule'!C:C, SMALL(IF('Bank Schedule'!$K$2:$K$817="Vacant", ROW('Bank Schedule'!$K$2:$K$817)), ROW(70:70))), "")</f>
        <v/>
      </c>
      <c r="D73" s="11">
        <f t="array" ref="D73">IFERROR(INDEX('Bank Schedule'!D:D, SMALL(IF('Bank Schedule'!$K$2:$K$817="Vacant", ROW('Bank Schedule'!$K$2:$K$817)), ROW(70:70))), "")</f>
        <v/>
      </c>
      <c r="E73" s="25">
        <f t="array" ref="E73">IFERROR(INDEX('Bank Schedule'!E:E, SMALL(IF('Bank Schedule'!$K$2:$K$817="Vacant", ROW('Bank Schedule'!$K$2:$K$817)), ROW(70:70))), "")</f>
        <v/>
      </c>
      <c r="F73" s="25">
        <f t="array" ref="F73">IFERROR(INDEX('Bank Schedule'!F:F, SMALL(IF('Bank Schedule'!$K$2:$K$817="Vacant", ROW('Bank Schedule'!$K$2:$K$817)), ROW(70:70))), "")</f>
        <v/>
      </c>
      <c r="G73" s="25">
        <f t="array" ref="G73">IFERROR(INDEX('Bank Schedule'!G:G, SMALL(IF('Bank Schedule'!$K$2:$K$817="Vacant", ROW('Bank Schedule'!$K$2:$K$817)), ROW(70:70))), "")</f>
        <v/>
      </c>
      <c r="H73" s="53">
        <f t="array" ref="H73">IFERROR(INDEX('Bank Schedule'!H:H, SMALL(IF('Bank Schedule'!$K$2:$K$817="Vacant", ROW('Bank Schedule'!$K$2:$K$817)), ROW(70:70))), "")</f>
        <v/>
      </c>
      <c r="I73" s="53">
        <f t="array" ref="I73">IFERROR(INDEX('Bank Schedule'!I:I, SMALL(IF('Bank Schedule'!$K$2:$K$817="Vacant", ROW('Bank Schedule'!$K$2:$K$817)), ROW(70:70))), "")</f>
        <v/>
      </c>
      <c r="J73" s="11">
        <f t="array" ref="J73">IFERROR(INDEX('Bank Schedule'!K:K, SMALL(IF('Bank Schedule'!$K$2:$K$817="Vacant", ROW('Bank Schedule'!$K$2:$K$817)), ROW(70:70))), "")</f>
        <v/>
      </c>
      <c r="K73" s="11">
        <f t="array" ref="K73">IFERROR(INDEX('Bank Schedule'!L:L, SMALL(IF('Bank Schedule'!$K$2:$K$817="Vacant", ROW('Bank Schedule'!$K$2:$K$817)), ROW(70:70))), "")</f>
        <v/>
      </c>
      <c r="L73" s="11">
        <f t="array" ref="L73">IFERROR(INDEX('Bank Schedule'!M:M, SMALL(IF('Bank Schedule'!$K$2:$K$817="Vacant", ROW('Bank Schedule'!$K$2:$K$817)), ROW(70:70))), "")</f>
        <v/>
      </c>
      <c r="M73" s="106">
        <f t="array" ref="M73">IFERROR(INDEX('Bank Schedule'!N:N, SMALL(IF('Bank Schedule'!$K$2:$K$817="Vacant", ROW('Bank Schedule'!$K$2:$K$817)), ROW(70:70))), "")</f>
        <v/>
      </c>
      <c r="N73" s="11">
        <f t="array" ref="N73">IFERROR(INDEX('Bank Schedule'!O:O, SMALL(IF('Bank Schedule'!$K$2:$K$817="Vacant", ROW('Bank Schedule'!$K$2:$K$817)), ROW(70:70))), "")</f>
        <v/>
      </c>
      <c r="O73" s="11">
        <f t="array" ref="O73">IFERROR(INDEX('Bank Schedule'!P:P, SMALL(IF('Bank Schedule'!$K$2:$K$817="Vacant", ROW('Bank Schedule'!$K$2:$K$817)), ROW(70:70))), "")</f>
        <v/>
      </c>
      <c r="P73" s="11">
        <f t="array" ref="P73">IFERROR(INDEX('Bank Schedule'!Q:Q, SMALL(IF('Bank Schedule'!$K$2:$K$817="Vacant", ROW('Bank Schedule'!$K$2:$K$817)), ROW(70:70))), "")</f>
        <v/>
      </c>
      <c r="Q73" s="11">
        <f t="array" ref="Q73">IFERROR(INDEX('Bank Schedule'!R:R, SMALL(IF('Bank Schedule'!$K$2:$K$817="Vacant", ROW('Bank Schedule'!$K$2:$K$817)), ROW(70:70))), "")</f>
        <v/>
      </c>
      <c r="R73" s="11">
        <f t="array" ref="R73">IFERROR(INDEX('Bank Schedule'!S:S, SMALL(IF('Bank Schedule'!$K$2:$K$817="Vacant", ROW('Bank Schedule'!$K$2:$K$817)), ROW(70:70))), "")</f>
        <v/>
      </c>
      <c r="S73" s="301">
        <f t="array" ref="S73">IFERROR(INDEX('Bank Schedule'!T:T, SMALL(IF('Bank Schedule'!$K$2:$K$817="Vacant", ROW('Bank Schedule'!$K$2:$K$817)), ROW(70:70))), "")</f>
        <v/>
      </c>
      <c r="T73" s="301">
        <f t="array" ref="T73">IFERROR(INDEX('Bank Schedule'!U:U, SMALL(IF('Bank Schedule'!$K$2:$K$817="Vacant", ROW('Bank Schedule'!$K$2:$K$817)), ROW(70:70))), "")</f>
        <v/>
      </c>
      <c r="U73" s="301">
        <f t="array" ref="U73">IFERROR(INDEX('Bank Schedule'!V:V, SMALL(IF('Bank Schedule'!$K$2:$K$817="Vacant", ROW('Bank Schedule'!$K$2:$K$817)), ROW(70:70))), "")</f>
        <v/>
      </c>
      <c r="V73" s="301">
        <f t="array" ref="V73">IFERROR(INDEX('Bank Schedule'!W:W, SMALL(IF('Bank Schedule'!$K$2:$K$817="Vacant", ROW('Bank Schedule'!$K$2:$K$817)), ROW(70:70))), "")</f>
        <v/>
      </c>
      <c r="W73" s="300">
        <f t="array" ref="W73">IFERROR(INDEX('Bank Schedule'!X:X, SMALL(IF('Bank Schedule'!$K$2:$K$817="Vacant", ROW('Bank Schedule'!$K$2:$K$817)), ROW(70:70))), "")</f>
        <v/>
      </c>
      <c r="X73" s="11">
        <f t="array" ref="X73">IFERROR(INDEX('Bank Schedule'!Y:Y, SMALL(IF('Bank Schedule'!$K$2:$K$817="Vacant", ROW('Bank Schedule'!$K$2:$K$817)), ROW(70:70))), "")</f>
        <v/>
      </c>
      <c r="Y73" s="11">
        <f t="array" ref="Y73">IFERROR(INDEX('Bank Schedule'!Z:Z, SMALL(IF('Bank Schedule'!$K$2:$K$817="Vacant", ROW('Bank Schedule'!$K$2:$K$817)), ROW(70:70))), "")</f>
        <v/>
      </c>
      <c r="Z73" s="11">
        <f t="array" ref="Z73">IFERROR(INDEX('Bank Schedule'!AA:AA, SMALL(IF('Bank Schedule'!$K$2:$K$817="Vacant", ROW('Bank Schedule'!$K$2:$K$817)), ROW(70:70))), "")</f>
        <v/>
      </c>
      <c r="AA73" s="11">
        <f t="array" ref="AA73">IFERROR(INDEX('Bank Schedule'!AB:AB, SMALL(IF('Bank Schedule'!$K$2:$K$817="Vacant", ROW('Bank Schedule'!$K$2:$K$817)), ROW(70:70))), "")</f>
        <v/>
      </c>
      <c r="AB73" s="25">
        <f t="array" ref="AB73">IFERROR(INDEX('Bank Schedule'!AC:AC, SMALL(IF('Bank Schedule'!$K$2:$K$817="Vacant", ROW('Bank Schedule'!$K$2:$K$817)), ROW(70:70))), "")</f>
        <v/>
      </c>
      <c r="AC73" s="277">
        <f t="array" ref="AC73">IFERROR(INDEX('Bank Schedule'!AD:AD, SMALL(IF('Bank Schedule'!$K$2:$K$817="Vacant", ROW('Bank Schedule'!$K$2:$K$817)), ROW(70:70))), "")</f>
        <v/>
      </c>
      <c r="AD73" s="11">
        <f t="array" ref="AD73">IFERROR(INDEX('Bank Schedule'!AE:AE, SMALL(IF('Bank Schedule'!$K$2:$K$817="Vacant", ROW('Bank Schedule'!$K$2:$K$817)), ROW(70:70))), "")</f>
        <v/>
      </c>
      <c r="AE73" s="11">
        <f t="array" ref="AE73">IFERROR(INDEX('Bank Schedule'!AF:AF, SMALL(IF('Bank Schedule'!$K$2:$K$817="Vacant", ROW('Bank Schedule'!$K$2:$K$817)), ROW(70:70))), "")</f>
        <v/>
      </c>
      <c r="AF73" s="11">
        <f t="array" ref="AF73">IFERROR(INDEX('Bank Schedule'!AG:AG, SMALL(IF('Bank Schedule'!$K$2:$K$817="Vacant", ROW('Bank Schedule'!$K$2:$K$817)), ROW(70:70))), "")</f>
        <v/>
      </c>
      <c r="AG73" s="4" t="n"/>
    </row>
    <row r="74" ht="28.5" customHeight="1">
      <c r="A74" s="2">
        <f t="array" ref="A74">IFERROR(INDEX('Bank Schedule'!A:A, SMALL(IF('Bank Schedule'!$K$2:$K$817="Vacant", ROW('Bank Schedule'!$K$2:$K$817)), ROW(71:71))), "")</f>
        <v/>
      </c>
      <c r="B74" s="11">
        <f t="array" ref="B74">IFERROR(INDEX('Bank Schedule'!B:B, SMALL(IF('Bank Schedule'!$K$2:$K$817="Vacant", ROW('Bank Schedule'!$K$2:$K$817)), ROW(71:71))), "")</f>
        <v/>
      </c>
      <c r="C74" s="11">
        <f t="array" ref="C74">IFERROR(INDEX('Bank Schedule'!C:C, SMALL(IF('Bank Schedule'!$K$2:$K$817="Vacant", ROW('Bank Schedule'!$K$2:$K$817)), ROW(71:71))), "")</f>
        <v/>
      </c>
      <c r="D74" s="11">
        <f t="array" ref="D74">IFERROR(INDEX('Bank Schedule'!D:D, SMALL(IF('Bank Schedule'!$K$2:$K$817="Vacant", ROW('Bank Schedule'!$K$2:$K$817)), ROW(71:71))), "")</f>
        <v/>
      </c>
      <c r="E74" s="25">
        <f t="array" ref="E74">IFERROR(INDEX('Bank Schedule'!E:E, SMALL(IF('Bank Schedule'!$K$2:$K$817="Vacant", ROW('Bank Schedule'!$K$2:$K$817)), ROW(71:71))), "")</f>
        <v/>
      </c>
      <c r="F74" s="25">
        <f t="array" ref="F74">IFERROR(INDEX('Bank Schedule'!F:F, SMALL(IF('Bank Schedule'!$K$2:$K$817="Vacant", ROW('Bank Schedule'!$K$2:$K$817)), ROW(71:71))), "")</f>
        <v/>
      </c>
      <c r="G74" s="25">
        <f t="array" ref="G74">IFERROR(INDEX('Bank Schedule'!G:G, SMALL(IF('Bank Schedule'!$K$2:$K$817="Vacant", ROW('Bank Schedule'!$K$2:$K$817)), ROW(71:71))), "")</f>
        <v/>
      </c>
      <c r="H74" s="53">
        <f t="array" ref="H74">IFERROR(INDEX('Bank Schedule'!H:H, SMALL(IF('Bank Schedule'!$K$2:$K$817="Vacant", ROW('Bank Schedule'!$K$2:$K$817)), ROW(71:71))), "")</f>
        <v/>
      </c>
      <c r="I74" s="53">
        <f t="array" ref="I74">IFERROR(INDEX('Bank Schedule'!I:I, SMALL(IF('Bank Schedule'!$K$2:$K$817="Vacant", ROW('Bank Schedule'!$K$2:$K$817)), ROW(71:71))), "")</f>
        <v/>
      </c>
      <c r="J74" s="11">
        <f t="array" ref="J74">IFERROR(INDEX('Bank Schedule'!K:K, SMALL(IF('Bank Schedule'!$K$2:$K$817="Vacant", ROW('Bank Schedule'!$K$2:$K$817)), ROW(71:71))), "")</f>
        <v/>
      </c>
      <c r="K74" s="11">
        <f t="array" ref="K74">IFERROR(INDEX('Bank Schedule'!L:L, SMALL(IF('Bank Schedule'!$K$2:$K$817="Vacant", ROW('Bank Schedule'!$K$2:$K$817)), ROW(71:71))), "")</f>
        <v/>
      </c>
      <c r="L74" s="11">
        <f t="array" ref="L74">IFERROR(INDEX('Bank Schedule'!M:M, SMALL(IF('Bank Schedule'!$K$2:$K$817="Vacant", ROW('Bank Schedule'!$K$2:$K$817)), ROW(71:71))), "")</f>
        <v/>
      </c>
      <c r="M74" s="106">
        <f t="array" ref="M74">IFERROR(INDEX('Bank Schedule'!N:N, SMALL(IF('Bank Schedule'!$K$2:$K$817="Vacant", ROW('Bank Schedule'!$K$2:$K$817)), ROW(71:71))), "")</f>
        <v/>
      </c>
      <c r="N74" s="11">
        <f t="array" ref="N74">IFERROR(INDEX('Bank Schedule'!O:O, SMALL(IF('Bank Schedule'!$K$2:$K$817="Vacant", ROW('Bank Schedule'!$K$2:$K$817)), ROW(71:71))), "")</f>
        <v/>
      </c>
      <c r="O74" s="11">
        <f t="array" ref="O74">IFERROR(INDEX('Bank Schedule'!P:P, SMALL(IF('Bank Schedule'!$K$2:$K$817="Vacant", ROW('Bank Schedule'!$K$2:$K$817)), ROW(71:71))), "")</f>
        <v/>
      </c>
      <c r="P74" s="11">
        <f t="array" ref="P74">IFERROR(INDEX('Bank Schedule'!Q:Q, SMALL(IF('Bank Schedule'!$K$2:$K$817="Vacant", ROW('Bank Schedule'!$K$2:$K$817)), ROW(71:71))), "")</f>
        <v/>
      </c>
      <c r="Q74" s="11">
        <f t="array" ref="Q74">IFERROR(INDEX('Bank Schedule'!R:R, SMALL(IF('Bank Schedule'!$K$2:$K$817="Vacant", ROW('Bank Schedule'!$K$2:$K$817)), ROW(71:71))), "")</f>
        <v/>
      </c>
      <c r="R74" s="11">
        <f t="array" ref="R74">IFERROR(INDEX('Bank Schedule'!S:S, SMALL(IF('Bank Schedule'!$K$2:$K$817="Vacant", ROW('Bank Schedule'!$K$2:$K$817)), ROW(71:71))), "")</f>
        <v/>
      </c>
      <c r="S74" s="301">
        <f t="array" ref="S74">IFERROR(INDEX('Bank Schedule'!T:T, SMALL(IF('Bank Schedule'!$K$2:$K$817="Vacant", ROW('Bank Schedule'!$K$2:$K$817)), ROW(71:71))), "")</f>
        <v/>
      </c>
      <c r="T74" s="301">
        <f t="array" ref="T74">IFERROR(INDEX('Bank Schedule'!U:U, SMALL(IF('Bank Schedule'!$K$2:$K$817="Vacant", ROW('Bank Schedule'!$K$2:$K$817)), ROW(71:71))), "")</f>
        <v/>
      </c>
      <c r="U74" s="301">
        <f t="array" ref="U74">IFERROR(INDEX('Bank Schedule'!V:V, SMALL(IF('Bank Schedule'!$K$2:$K$817="Vacant", ROW('Bank Schedule'!$K$2:$K$817)), ROW(71:71))), "")</f>
        <v/>
      </c>
      <c r="V74" s="301">
        <f t="array" ref="V74">IFERROR(INDEX('Bank Schedule'!W:W, SMALL(IF('Bank Schedule'!$K$2:$K$817="Vacant", ROW('Bank Schedule'!$K$2:$K$817)), ROW(71:71))), "")</f>
        <v/>
      </c>
      <c r="W74" s="300">
        <f t="array" ref="W74">IFERROR(INDEX('Bank Schedule'!X:X, SMALL(IF('Bank Schedule'!$K$2:$K$817="Vacant", ROW('Bank Schedule'!$K$2:$K$817)), ROW(71:71))), "")</f>
        <v/>
      </c>
      <c r="X74" s="11">
        <f t="array" ref="X74">IFERROR(INDEX('Bank Schedule'!Y:Y, SMALL(IF('Bank Schedule'!$K$2:$K$817="Vacant", ROW('Bank Schedule'!$K$2:$K$817)), ROW(71:71))), "")</f>
        <v/>
      </c>
      <c r="Y74" s="11">
        <f t="array" ref="Y74">IFERROR(INDEX('Bank Schedule'!Z:Z, SMALL(IF('Bank Schedule'!$K$2:$K$817="Vacant", ROW('Bank Schedule'!$K$2:$K$817)), ROW(71:71))), "")</f>
        <v/>
      </c>
      <c r="Z74" s="11">
        <f t="array" ref="Z74">IFERROR(INDEX('Bank Schedule'!AA:AA, SMALL(IF('Bank Schedule'!$K$2:$K$817="Vacant", ROW('Bank Schedule'!$K$2:$K$817)), ROW(71:71))), "")</f>
        <v/>
      </c>
      <c r="AA74" s="11">
        <f t="array" ref="AA74">IFERROR(INDEX('Bank Schedule'!AB:AB, SMALL(IF('Bank Schedule'!$K$2:$K$817="Vacant", ROW('Bank Schedule'!$K$2:$K$817)), ROW(71:71))), "")</f>
        <v/>
      </c>
      <c r="AB74" s="25">
        <f t="array" ref="AB74">IFERROR(INDEX('Bank Schedule'!AC:AC, SMALL(IF('Bank Schedule'!$K$2:$K$817="Vacant", ROW('Bank Schedule'!$K$2:$K$817)), ROW(71:71))), "")</f>
        <v/>
      </c>
      <c r="AC74" s="277">
        <f t="array" ref="AC74">IFERROR(INDEX('Bank Schedule'!AD:AD, SMALL(IF('Bank Schedule'!$K$2:$K$817="Vacant", ROW('Bank Schedule'!$K$2:$K$817)), ROW(71:71))), "")</f>
        <v/>
      </c>
      <c r="AD74" s="11">
        <f t="array" ref="AD74">IFERROR(INDEX('Bank Schedule'!AE:AE, SMALL(IF('Bank Schedule'!$K$2:$K$817="Vacant", ROW('Bank Schedule'!$K$2:$K$817)), ROW(71:71))), "")</f>
        <v/>
      </c>
      <c r="AE74" s="11">
        <f t="array" ref="AE74">IFERROR(INDEX('Bank Schedule'!AF:AF, SMALL(IF('Bank Schedule'!$K$2:$K$817="Vacant", ROW('Bank Schedule'!$K$2:$K$817)), ROW(71:71))), "")</f>
        <v/>
      </c>
      <c r="AF74" s="11">
        <f t="array" ref="AF74">IFERROR(INDEX('Bank Schedule'!AG:AG, SMALL(IF('Bank Schedule'!$K$2:$K$817="Vacant", ROW('Bank Schedule'!$K$2:$K$817)), ROW(71:71))), "")</f>
        <v/>
      </c>
      <c r="AG74" s="4" t="n"/>
    </row>
    <row r="75" ht="28.5" customHeight="1">
      <c r="A75" s="2">
        <f t="array" ref="A75">IFERROR(INDEX('Bank Schedule'!A:A, SMALL(IF('Bank Schedule'!$K$2:$K$817="Vacant", ROW('Bank Schedule'!$K$2:$K$817)), ROW(72:72))), "")</f>
        <v/>
      </c>
      <c r="B75" s="11">
        <f t="array" ref="B75">IFERROR(INDEX('Bank Schedule'!B:B, SMALL(IF('Bank Schedule'!$K$2:$K$817="Vacant", ROW('Bank Schedule'!$K$2:$K$817)), ROW(72:72))), "")</f>
        <v/>
      </c>
      <c r="C75" s="11">
        <f t="array" ref="C75">IFERROR(INDEX('Bank Schedule'!C:C, SMALL(IF('Bank Schedule'!$K$2:$K$817="Vacant", ROW('Bank Schedule'!$K$2:$K$817)), ROW(72:72))), "")</f>
        <v/>
      </c>
      <c r="D75" s="11">
        <f t="array" ref="D75">IFERROR(INDEX('Bank Schedule'!D:D, SMALL(IF('Bank Schedule'!$K$2:$K$817="Vacant", ROW('Bank Schedule'!$K$2:$K$817)), ROW(72:72))), "")</f>
        <v/>
      </c>
      <c r="E75" s="25">
        <f t="array" ref="E75">IFERROR(INDEX('Bank Schedule'!E:E, SMALL(IF('Bank Schedule'!$K$2:$K$817="Vacant", ROW('Bank Schedule'!$K$2:$K$817)), ROW(72:72))), "")</f>
        <v/>
      </c>
      <c r="F75" s="25">
        <f t="array" ref="F75">IFERROR(INDEX('Bank Schedule'!F:F, SMALL(IF('Bank Schedule'!$K$2:$K$817="Vacant", ROW('Bank Schedule'!$K$2:$K$817)), ROW(72:72))), "")</f>
        <v/>
      </c>
      <c r="G75" s="25">
        <f t="array" ref="G75">IFERROR(INDEX('Bank Schedule'!G:G, SMALL(IF('Bank Schedule'!$K$2:$K$817="Vacant", ROW('Bank Schedule'!$K$2:$K$817)), ROW(72:72))), "")</f>
        <v/>
      </c>
      <c r="H75" s="53">
        <f t="array" ref="H75">IFERROR(INDEX('Bank Schedule'!H:H, SMALL(IF('Bank Schedule'!$K$2:$K$817="Vacant", ROW('Bank Schedule'!$K$2:$K$817)), ROW(72:72))), "")</f>
        <v/>
      </c>
      <c r="I75" s="53">
        <f t="array" ref="I75">IFERROR(INDEX('Bank Schedule'!I:I, SMALL(IF('Bank Schedule'!$K$2:$K$817="Vacant", ROW('Bank Schedule'!$K$2:$K$817)), ROW(72:72))), "")</f>
        <v/>
      </c>
      <c r="J75" s="11">
        <f t="array" ref="J75">IFERROR(INDEX('Bank Schedule'!K:K, SMALL(IF('Bank Schedule'!$K$2:$K$817="Vacant", ROW('Bank Schedule'!$K$2:$K$817)), ROW(72:72))), "")</f>
        <v/>
      </c>
      <c r="K75" s="11">
        <f t="array" ref="K75">IFERROR(INDEX('Bank Schedule'!L:L, SMALL(IF('Bank Schedule'!$K$2:$K$817="Vacant", ROW('Bank Schedule'!$K$2:$K$817)), ROW(72:72))), "")</f>
        <v/>
      </c>
      <c r="L75" s="11">
        <f t="array" ref="L75">IFERROR(INDEX('Bank Schedule'!M:M, SMALL(IF('Bank Schedule'!$K$2:$K$817="Vacant", ROW('Bank Schedule'!$K$2:$K$817)), ROW(72:72))), "")</f>
        <v/>
      </c>
      <c r="M75" s="106">
        <f t="array" ref="M75">IFERROR(INDEX('Bank Schedule'!N:N, SMALL(IF('Bank Schedule'!$K$2:$K$817="Vacant", ROW('Bank Schedule'!$K$2:$K$817)), ROW(72:72))), "")</f>
        <v/>
      </c>
      <c r="N75" s="11">
        <f t="array" ref="N75">IFERROR(INDEX('Bank Schedule'!O:O, SMALL(IF('Bank Schedule'!$K$2:$K$817="Vacant", ROW('Bank Schedule'!$K$2:$K$817)), ROW(72:72))), "")</f>
        <v/>
      </c>
      <c r="O75" s="11">
        <f t="array" ref="O75">IFERROR(INDEX('Bank Schedule'!P:P, SMALL(IF('Bank Schedule'!$K$2:$K$817="Vacant", ROW('Bank Schedule'!$K$2:$K$817)), ROW(72:72))), "")</f>
        <v/>
      </c>
      <c r="P75" s="11">
        <f t="array" ref="P75">IFERROR(INDEX('Bank Schedule'!Q:Q, SMALL(IF('Bank Schedule'!$K$2:$K$817="Vacant", ROW('Bank Schedule'!$K$2:$K$817)), ROW(72:72))), "")</f>
        <v/>
      </c>
      <c r="Q75" s="11">
        <f t="array" ref="Q75">IFERROR(INDEX('Bank Schedule'!R:R, SMALL(IF('Bank Schedule'!$K$2:$K$817="Vacant", ROW('Bank Schedule'!$K$2:$K$817)), ROW(72:72))), "")</f>
        <v/>
      </c>
      <c r="R75" s="11">
        <f t="array" ref="R75">IFERROR(INDEX('Bank Schedule'!S:S, SMALL(IF('Bank Schedule'!$K$2:$K$817="Vacant", ROW('Bank Schedule'!$K$2:$K$817)), ROW(72:72))), "")</f>
        <v/>
      </c>
      <c r="S75" s="301">
        <f t="array" ref="S75">IFERROR(INDEX('Bank Schedule'!T:T, SMALL(IF('Bank Schedule'!$K$2:$K$817="Vacant", ROW('Bank Schedule'!$K$2:$K$817)), ROW(72:72))), "")</f>
        <v/>
      </c>
      <c r="T75" s="301">
        <f t="array" ref="T75">IFERROR(INDEX('Bank Schedule'!U:U, SMALL(IF('Bank Schedule'!$K$2:$K$817="Vacant", ROW('Bank Schedule'!$K$2:$K$817)), ROW(72:72))), "")</f>
        <v/>
      </c>
      <c r="U75" s="301">
        <f t="array" ref="U75">IFERROR(INDEX('Bank Schedule'!V:V, SMALL(IF('Bank Schedule'!$K$2:$K$817="Vacant", ROW('Bank Schedule'!$K$2:$K$817)), ROW(72:72))), "")</f>
        <v/>
      </c>
      <c r="V75" s="301">
        <f t="array" ref="V75">IFERROR(INDEX('Bank Schedule'!W:W, SMALL(IF('Bank Schedule'!$K$2:$K$817="Vacant", ROW('Bank Schedule'!$K$2:$K$817)), ROW(72:72))), "")</f>
        <v/>
      </c>
      <c r="W75" s="300">
        <f t="array" ref="W75">IFERROR(INDEX('Bank Schedule'!X:X, SMALL(IF('Bank Schedule'!$K$2:$K$817="Vacant", ROW('Bank Schedule'!$K$2:$K$817)), ROW(72:72))), "")</f>
        <v/>
      </c>
      <c r="X75" s="11">
        <f t="array" ref="X75">IFERROR(INDEX('Bank Schedule'!Y:Y, SMALL(IF('Bank Schedule'!$K$2:$K$817="Vacant", ROW('Bank Schedule'!$K$2:$K$817)), ROW(72:72))), "")</f>
        <v/>
      </c>
      <c r="Y75" s="11">
        <f t="array" ref="Y75">IFERROR(INDEX('Bank Schedule'!Z:Z, SMALL(IF('Bank Schedule'!$K$2:$K$817="Vacant", ROW('Bank Schedule'!$K$2:$K$817)), ROW(72:72))), "")</f>
        <v/>
      </c>
      <c r="Z75" s="11">
        <f t="array" ref="Z75">IFERROR(INDEX('Bank Schedule'!AA:AA, SMALL(IF('Bank Schedule'!$K$2:$K$817="Vacant", ROW('Bank Schedule'!$K$2:$K$817)), ROW(72:72))), "")</f>
        <v/>
      </c>
      <c r="AA75" s="11">
        <f t="array" ref="AA75">IFERROR(INDEX('Bank Schedule'!AB:AB, SMALL(IF('Bank Schedule'!$K$2:$K$817="Vacant", ROW('Bank Schedule'!$K$2:$K$817)), ROW(72:72))), "")</f>
        <v/>
      </c>
      <c r="AB75" s="25">
        <f t="array" ref="AB75">IFERROR(INDEX('Bank Schedule'!AC:AC, SMALL(IF('Bank Schedule'!$K$2:$K$817="Vacant", ROW('Bank Schedule'!$K$2:$K$817)), ROW(72:72))), "")</f>
        <v/>
      </c>
      <c r="AC75" s="277">
        <f t="array" ref="AC75">IFERROR(INDEX('Bank Schedule'!AD:AD, SMALL(IF('Bank Schedule'!$K$2:$K$817="Vacant", ROW('Bank Schedule'!$K$2:$K$817)), ROW(72:72))), "")</f>
        <v/>
      </c>
      <c r="AD75" s="11">
        <f t="array" ref="AD75">IFERROR(INDEX('Bank Schedule'!AE:AE, SMALL(IF('Bank Schedule'!$K$2:$K$817="Vacant", ROW('Bank Schedule'!$K$2:$K$817)), ROW(72:72))), "")</f>
        <v/>
      </c>
      <c r="AE75" s="11">
        <f t="array" ref="AE75">IFERROR(INDEX('Bank Schedule'!AF:AF, SMALL(IF('Bank Schedule'!$K$2:$K$817="Vacant", ROW('Bank Schedule'!$K$2:$K$817)), ROW(72:72))), "")</f>
        <v/>
      </c>
      <c r="AF75" s="11">
        <f t="array" ref="AF75">IFERROR(INDEX('Bank Schedule'!AG:AG, SMALL(IF('Bank Schedule'!$K$2:$K$817="Vacant", ROW('Bank Schedule'!$K$2:$K$817)), ROW(72:72))), "")</f>
        <v/>
      </c>
      <c r="AG75" s="4" t="n"/>
    </row>
    <row r="76" ht="28.5" customHeight="1">
      <c r="A76" s="2">
        <f t="array" ref="A76">IFERROR(INDEX('Bank Schedule'!A:A, SMALL(IF('Bank Schedule'!$K$2:$K$817="Vacant", ROW('Bank Schedule'!$K$2:$K$817)), ROW(73:73))), "")</f>
        <v/>
      </c>
      <c r="B76" s="11">
        <f t="array" ref="B76">IFERROR(INDEX('Bank Schedule'!B:B, SMALL(IF('Bank Schedule'!$K$2:$K$817="Vacant", ROW('Bank Schedule'!$K$2:$K$817)), ROW(73:73))), "")</f>
        <v/>
      </c>
      <c r="C76" s="11">
        <f t="array" ref="C76">IFERROR(INDEX('Bank Schedule'!C:C, SMALL(IF('Bank Schedule'!$K$2:$K$817="Vacant", ROW('Bank Schedule'!$K$2:$K$817)), ROW(73:73))), "")</f>
        <v/>
      </c>
      <c r="D76" s="11">
        <f t="array" ref="D76">IFERROR(INDEX('Bank Schedule'!D:D, SMALL(IF('Bank Schedule'!$K$2:$K$817="Vacant", ROW('Bank Schedule'!$K$2:$K$817)), ROW(73:73))), "")</f>
        <v/>
      </c>
      <c r="E76" s="25">
        <f t="array" ref="E76">IFERROR(INDEX('Bank Schedule'!E:E, SMALL(IF('Bank Schedule'!$K$2:$K$817="Vacant", ROW('Bank Schedule'!$K$2:$K$817)), ROW(73:73))), "")</f>
        <v/>
      </c>
      <c r="F76" s="25">
        <f t="array" ref="F76">IFERROR(INDEX('Bank Schedule'!F:F, SMALL(IF('Bank Schedule'!$K$2:$K$817="Vacant", ROW('Bank Schedule'!$K$2:$K$817)), ROW(73:73))), "")</f>
        <v/>
      </c>
      <c r="G76" s="25">
        <f t="array" ref="G76">IFERROR(INDEX('Bank Schedule'!G:G, SMALL(IF('Bank Schedule'!$K$2:$K$817="Vacant", ROW('Bank Schedule'!$K$2:$K$817)), ROW(73:73))), "")</f>
        <v/>
      </c>
      <c r="H76" s="53">
        <f t="array" ref="H76">IFERROR(INDEX('Bank Schedule'!H:H, SMALL(IF('Bank Schedule'!$K$2:$K$817="Vacant", ROW('Bank Schedule'!$K$2:$K$817)), ROW(73:73))), "")</f>
        <v/>
      </c>
      <c r="I76" s="53">
        <f t="array" ref="I76">IFERROR(INDEX('Bank Schedule'!I:I, SMALL(IF('Bank Schedule'!$K$2:$K$817="Vacant", ROW('Bank Schedule'!$K$2:$K$817)), ROW(73:73))), "")</f>
        <v/>
      </c>
      <c r="J76" s="11">
        <f t="array" ref="J76">IFERROR(INDEX('Bank Schedule'!K:K, SMALL(IF('Bank Schedule'!$K$2:$K$817="Vacant", ROW('Bank Schedule'!$K$2:$K$817)), ROW(73:73))), "")</f>
        <v/>
      </c>
      <c r="K76" s="11">
        <f t="array" ref="K76">IFERROR(INDEX('Bank Schedule'!L:L, SMALL(IF('Bank Schedule'!$K$2:$K$817="Vacant", ROW('Bank Schedule'!$K$2:$K$817)), ROW(73:73))), "")</f>
        <v/>
      </c>
      <c r="L76" s="11">
        <f t="array" ref="L76">IFERROR(INDEX('Bank Schedule'!M:M, SMALL(IF('Bank Schedule'!$K$2:$K$817="Vacant", ROW('Bank Schedule'!$K$2:$K$817)), ROW(73:73))), "")</f>
        <v/>
      </c>
      <c r="M76" s="106">
        <f t="array" ref="M76">IFERROR(INDEX('Bank Schedule'!N:N, SMALL(IF('Bank Schedule'!$K$2:$K$817="Vacant", ROW('Bank Schedule'!$K$2:$K$817)), ROW(73:73))), "")</f>
        <v/>
      </c>
      <c r="N76" s="11">
        <f t="array" ref="N76">IFERROR(INDEX('Bank Schedule'!O:O, SMALL(IF('Bank Schedule'!$K$2:$K$817="Vacant", ROW('Bank Schedule'!$K$2:$K$817)), ROW(73:73))), "")</f>
        <v/>
      </c>
      <c r="O76" s="11">
        <f t="array" ref="O76">IFERROR(INDEX('Bank Schedule'!P:P, SMALL(IF('Bank Schedule'!$K$2:$K$817="Vacant", ROW('Bank Schedule'!$K$2:$K$817)), ROW(73:73))), "")</f>
        <v/>
      </c>
      <c r="P76" s="11">
        <f t="array" ref="P76">IFERROR(INDEX('Bank Schedule'!Q:Q, SMALL(IF('Bank Schedule'!$K$2:$K$817="Vacant", ROW('Bank Schedule'!$K$2:$K$817)), ROW(73:73))), "")</f>
        <v/>
      </c>
      <c r="Q76" s="11">
        <f t="array" ref="Q76">IFERROR(INDEX('Bank Schedule'!R:R, SMALL(IF('Bank Schedule'!$K$2:$K$817="Vacant", ROW('Bank Schedule'!$K$2:$K$817)), ROW(73:73))), "")</f>
        <v/>
      </c>
      <c r="R76" s="11">
        <f t="array" ref="R76">IFERROR(INDEX('Bank Schedule'!S:S, SMALL(IF('Bank Schedule'!$K$2:$K$817="Vacant", ROW('Bank Schedule'!$K$2:$K$817)), ROW(73:73))), "")</f>
        <v/>
      </c>
      <c r="S76" s="301">
        <f t="array" ref="S76">IFERROR(INDEX('Bank Schedule'!T:T, SMALL(IF('Bank Schedule'!$K$2:$K$817="Vacant", ROW('Bank Schedule'!$K$2:$K$817)), ROW(73:73))), "")</f>
        <v/>
      </c>
      <c r="T76" s="301">
        <f t="array" ref="T76">IFERROR(INDEX('Bank Schedule'!U:U, SMALL(IF('Bank Schedule'!$K$2:$K$817="Vacant", ROW('Bank Schedule'!$K$2:$K$817)), ROW(73:73))), "")</f>
        <v/>
      </c>
      <c r="U76" s="301">
        <f t="array" ref="U76">IFERROR(INDEX('Bank Schedule'!V:V, SMALL(IF('Bank Schedule'!$K$2:$K$817="Vacant", ROW('Bank Schedule'!$K$2:$K$817)), ROW(73:73))), "")</f>
        <v/>
      </c>
      <c r="V76" s="301">
        <f t="array" ref="V76">IFERROR(INDEX('Bank Schedule'!W:W, SMALL(IF('Bank Schedule'!$K$2:$K$817="Vacant", ROW('Bank Schedule'!$K$2:$K$817)), ROW(73:73))), "")</f>
        <v/>
      </c>
      <c r="W76" s="300">
        <f t="array" ref="W76">IFERROR(INDEX('Bank Schedule'!X:X, SMALL(IF('Bank Schedule'!$K$2:$K$817="Vacant", ROW('Bank Schedule'!$K$2:$K$817)), ROW(73:73))), "")</f>
        <v/>
      </c>
      <c r="X76" s="11">
        <f t="array" ref="X76">IFERROR(INDEX('Bank Schedule'!Y:Y, SMALL(IF('Bank Schedule'!$K$2:$K$817="Vacant", ROW('Bank Schedule'!$K$2:$K$817)), ROW(73:73))), "")</f>
        <v/>
      </c>
      <c r="Y76" s="11">
        <f t="array" ref="Y76">IFERROR(INDEX('Bank Schedule'!Z:Z, SMALL(IF('Bank Schedule'!$K$2:$K$817="Vacant", ROW('Bank Schedule'!$K$2:$K$817)), ROW(73:73))), "")</f>
        <v/>
      </c>
      <c r="Z76" s="11">
        <f t="array" ref="Z76">IFERROR(INDEX('Bank Schedule'!AA:AA, SMALL(IF('Bank Schedule'!$K$2:$K$817="Vacant", ROW('Bank Schedule'!$K$2:$K$817)), ROW(73:73))), "")</f>
        <v/>
      </c>
      <c r="AA76" s="11">
        <f t="array" ref="AA76">IFERROR(INDEX('Bank Schedule'!AB:AB, SMALL(IF('Bank Schedule'!$K$2:$K$817="Vacant", ROW('Bank Schedule'!$K$2:$K$817)), ROW(73:73))), "")</f>
        <v/>
      </c>
      <c r="AB76" s="25">
        <f t="array" ref="AB76">IFERROR(INDEX('Bank Schedule'!AC:AC, SMALL(IF('Bank Schedule'!$K$2:$K$817="Vacant", ROW('Bank Schedule'!$K$2:$K$817)), ROW(73:73))), "")</f>
        <v/>
      </c>
      <c r="AC76" s="277">
        <f t="array" ref="AC76">IFERROR(INDEX('Bank Schedule'!AD:AD, SMALL(IF('Bank Schedule'!$K$2:$K$817="Vacant", ROW('Bank Schedule'!$K$2:$K$817)), ROW(73:73))), "")</f>
        <v/>
      </c>
      <c r="AD76" s="11">
        <f t="array" ref="AD76">IFERROR(INDEX('Bank Schedule'!AE:AE, SMALL(IF('Bank Schedule'!$K$2:$K$817="Vacant", ROW('Bank Schedule'!$K$2:$K$817)), ROW(73:73))), "")</f>
        <v/>
      </c>
      <c r="AE76" s="11">
        <f t="array" ref="AE76">IFERROR(INDEX('Bank Schedule'!AF:AF, SMALL(IF('Bank Schedule'!$K$2:$K$817="Vacant", ROW('Bank Schedule'!$K$2:$K$817)), ROW(73:73))), "")</f>
        <v/>
      </c>
      <c r="AF76" s="11">
        <f t="array" ref="AF76">IFERROR(INDEX('Bank Schedule'!AG:AG, SMALL(IF('Bank Schedule'!$K$2:$K$817="Vacant", ROW('Bank Schedule'!$K$2:$K$817)), ROW(73:73))), "")</f>
        <v/>
      </c>
      <c r="AG76" s="4" t="n"/>
    </row>
    <row r="77" ht="28.5" customHeight="1">
      <c r="A77" s="2">
        <f t="array" ref="A77">IFERROR(INDEX('Bank Schedule'!A:A, SMALL(IF('Bank Schedule'!$K$2:$K$817="Vacant", ROW('Bank Schedule'!$K$2:$K$817)), ROW(74:74))), "")</f>
        <v/>
      </c>
      <c r="B77" s="11">
        <f t="array" ref="B77">IFERROR(INDEX('Bank Schedule'!B:B, SMALL(IF('Bank Schedule'!$K$2:$K$817="Vacant", ROW('Bank Schedule'!$K$2:$K$817)), ROW(74:74))), "")</f>
        <v/>
      </c>
      <c r="C77" s="11">
        <f t="array" ref="C77">IFERROR(INDEX('Bank Schedule'!C:C, SMALL(IF('Bank Schedule'!$K$2:$K$817="Vacant", ROW('Bank Schedule'!$K$2:$K$817)), ROW(74:74))), "")</f>
        <v/>
      </c>
      <c r="D77" s="11">
        <f t="array" ref="D77">IFERROR(INDEX('Bank Schedule'!D:D, SMALL(IF('Bank Schedule'!$K$2:$K$817="Vacant", ROW('Bank Schedule'!$K$2:$K$817)), ROW(74:74))), "")</f>
        <v/>
      </c>
      <c r="E77" s="25">
        <f t="array" ref="E77">IFERROR(INDEX('Bank Schedule'!E:E, SMALL(IF('Bank Schedule'!$K$2:$K$817="Vacant", ROW('Bank Schedule'!$K$2:$K$817)), ROW(74:74))), "")</f>
        <v/>
      </c>
      <c r="F77" s="25">
        <f t="array" ref="F77">IFERROR(INDEX('Bank Schedule'!F:F, SMALL(IF('Bank Schedule'!$K$2:$K$817="Vacant", ROW('Bank Schedule'!$K$2:$K$817)), ROW(74:74))), "")</f>
        <v/>
      </c>
      <c r="G77" s="25">
        <f t="array" ref="G77">IFERROR(INDEX('Bank Schedule'!G:G, SMALL(IF('Bank Schedule'!$K$2:$K$817="Vacant", ROW('Bank Schedule'!$K$2:$K$817)), ROW(74:74))), "")</f>
        <v/>
      </c>
      <c r="H77" s="53">
        <f t="array" ref="H77">IFERROR(INDEX('Bank Schedule'!H:H, SMALL(IF('Bank Schedule'!$K$2:$K$817="Vacant", ROW('Bank Schedule'!$K$2:$K$817)), ROW(74:74))), "")</f>
        <v/>
      </c>
      <c r="I77" s="53">
        <f t="array" ref="I77">IFERROR(INDEX('Bank Schedule'!I:I, SMALL(IF('Bank Schedule'!$K$2:$K$817="Vacant", ROW('Bank Schedule'!$K$2:$K$817)), ROW(74:74))), "")</f>
        <v/>
      </c>
      <c r="J77" s="11">
        <f t="array" ref="J77">IFERROR(INDEX('Bank Schedule'!K:K, SMALL(IF('Bank Schedule'!$K$2:$K$817="Vacant", ROW('Bank Schedule'!$K$2:$K$817)), ROW(74:74))), "")</f>
        <v/>
      </c>
      <c r="K77" s="11">
        <f t="array" ref="K77">IFERROR(INDEX('Bank Schedule'!L:L, SMALL(IF('Bank Schedule'!$K$2:$K$817="Vacant", ROW('Bank Schedule'!$K$2:$K$817)), ROW(74:74))), "")</f>
        <v/>
      </c>
      <c r="L77" s="11">
        <f t="array" ref="L77">IFERROR(INDEX('Bank Schedule'!M:M, SMALL(IF('Bank Schedule'!$K$2:$K$817="Vacant", ROW('Bank Schedule'!$K$2:$K$817)), ROW(74:74))), "")</f>
        <v/>
      </c>
      <c r="M77" s="106">
        <f t="array" ref="M77">IFERROR(INDEX('Bank Schedule'!N:N, SMALL(IF('Bank Schedule'!$K$2:$K$817="Vacant", ROW('Bank Schedule'!$K$2:$K$817)), ROW(74:74))), "")</f>
        <v/>
      </c>
      <c r="N77" s="11">
        <f t="array" ref="N77">IFERROR(INDEX('Bank Schedule'!O:O, SMALL(IF('Bank Schedule'!$K$2:$K$817="Vacant", ROW('Bank Schedule'!$K$2:$K$817)), ROW(74:74))), "")</f>
        <v/>
      </c>
      <c r="O77" s="11">
        <f t="array" ref="O77">IFERROR(INDEX('Bank Schedule'!P:P, SMALL(IF('Bank Schedule'!$K$2:$K$817="Vacant", ROW('Bank Schedule'!$K$2:$K$817)), ROW(74:74))), "")</f>
        <v/>
      </c>
      <c r="P77" s="11">
        <f t="array" ref="P77">IFERROR(INDEX('Bank Schedule'!Q:Q, SMALL(IF('Bank Schedule'!$K$2:$K$817="Vacant", ROW('Bank Schedule'!$K$2:$K$817)), ROW(74:74))), "")</f>
        <v/>
      </c>
      <c r="Q77" s="11">
        <f t="array" ref="Q77">IFERROR(INDEX('Bank Schedule'!R:R, SMALL(IF('Bank Schedule'!$K$2:$K$817="Vacant", ROW('Bank Schedule'!$K$2:$K$817)), ROW(74:74))), "")</f>
        <v/>
      </c>
      <c r="R77" s="11">
        <f t="array" ref="R77">IFERROR(INDEX('Bank Schedule'!S:S, SMALL(IF('Bank Schedule'!$K$2:$K$817="Vacant", ROW('Bank Schedule'!$K$2:$K$817)), ROW(74:74))), "")</f>
        <v/>
      </c>
      <c r="S77" s="301">
        <f t="array" ref="S77">IFERROR(INDEX('Bank Schedule'!T:T, SMALL(IF('Bank Schedule'!$K$2:$K$817="Vacant", ROW('Bank Schedule'!$K$2:$K$817)), ROW(74:74))), "")</f>
        <v/>
      </c>
      <c r="T77" s="301">
        <f t="array" ref="T77">IFERROR(INDEX('Bank Schedule'!U:U, SMALL(IF('Bank Schedule'!$K$2:$K$817="Vacant", ROW('Bank Schedule'!$K$2:$K$817)), ROW(74:74))), "")</f>
        <v/>
      </c>
      <c r="U77" s="301">
        <f t="array" ref="U77">IFERROR(INDEX('Bank Schedule'!V:V, SMALL(IF('Bank Schedule'!$K$2:$K$817="Vacant", ROW('Bank Schedule'!$K$2:$K$817)), ROW(74:74))), "")</f>
        <v/>
      </c>
      <c r="V77" s="301">
        <f t="array" ref="V77">IFERROR(INDEX('Bank Schedule'!W:W, SMALL(IF('Bank Schedule'!$K$2:$K$817="Vacant", ROW('Bank Schedule'!$K$2:$K$817)), ROW(74:74))), "")</f>
        <v/>
      </c>
      <c r="W77" s="300">
        <f t="array" ref="W77">IFERROR(INDEX('Bank Schedule'!X:X, SMALL(IF('Bank Schedule'!$K$2:$K$817="Vacant", ROW('Bank Schedule'!$K$2:$K$817)), ROW(74:74))), "")</f>
        <v/>
      </c>
      <c r="X77" s="11">
        <f t="array" ref="X77">IFERROR(INDEX('Bank Schedule'!Y:Y, SMALL(IF('Bank Schedule'!$K$2:$K$817="Vacant", ROW('Bank Schedule'!$K$2:$K$817)), ROW(74:74))), "")</f>
        <v/>
      </c>
      <c r="Y77" s="11">
        <f t="array" ref="Y77">IFERROR(INDEX('Bank Schedule'!Z:Z, SMALL(IF('Bank Schedule'!$K$2:$K$817="Vacant", ROW('Bank Schedule'!$K$2:$K$817)), ROW(74:74))), "")</f>
        <v/>
      </c>
      <c r="Z77" s="11">
        <f t="array" ref="Z77">IFERROR(INDEX('Bank Schedule'!AA:AA, SMALL(IF('Bank Schedule'!$K$2:$K$817="Vacant", ROW('Bank Schedule'!$K$2:$K$817)), ROW(74:74))), "")</f>
        <v/>
      </c>
      <c r="AA77" s="11">
        <f t="array" ref="AA77">IFERROR(INDEX('Bank Schedule'!AB:AB, SMALL(IF('Bank Schedule'!$K$2:$K$817="Vacant", ROW('Bank Schedule'!$K$2:$K$817)), ROW(74:74))), "")</f>
        <v/>
      </c>
      <c r="AB77" s="25">
        <f t="array" ref="AB77">IFERROR(INDEX('Bank Schedule'!AC:AC, SMALL(IF('Bank Schedule'!$K$2:$K$817="Vacant", ROW('Bank Schedule'!$K$2:$K$817)), ROW(74:74))), "")</f>
        <v/>
      </c>
      <c r="AC77" s="277">
        <f t="array" ref="AC77">IFERROR(INDEX('Bank Schedule'!AD:AD, SMALL(IF('Bank Schedule'!$K$2:$K$817="Vacant", ROW('Bank Schedule'!$K$2:$K$817)), ROW(74:74))), "")</f>
        <v/>
      </c>
      <c r="AD77" s="11">
        <f t="array" ref="AD77">IFERROR(INDEX('Bank Schedule'!AE:AE, SMALL(IF('Bank Schedule'!$K$2:$K$817="Vacant", ROW('Bank Schedule'!$K$2:$K$817)), ROW(74:74))), "")</f>
        <v/>
      </c>
      <c r="AE77" s="11">
        <f t="array" ref="AE77">IFERROR(INDEX('Bank Schedule'!AF:AF, SMALL(IF('Bank Schedule'!$K$2:$K$817="Vacant", ROW('Bank Schedule'!$K$2:$K$817)), ROW(74:74))), "")</f>
        <v/>
      </c>
      <c r="AF77" s="11">
        <f t="array" ref="AF77">IFERROR(INDEX('Bank Schedule'!AG:AG, SMALL(IF('Bank Schedule'!$K$2:$K$817="Vacant", ROW('Bank Schedule'!$K$2:$K$817)), ROW(74:74))), "")</f>
        <v/>
      </c>
      <c r="AG77" s="4" t="n"/>
    </row>
    <row r="78" ht="28.5" customHeight="1">
      <c r="A78" s="2">
        <f t="array" ref="A78">IFERROR(INDEX('Bank Schedule'!A:A, SMALL(IF('Bank Schedule'!$K$2:$K$817="Vacant", ROW('Bank Schedule'!$K$2:$K$817)), ROW(75:75))), "")</f>
        <v/>
      </c>
      <c r="B78" s="11">
        <f t="array" ref="B78">IFERROR(INDEX('Bank Schedule'!B:B, SMALL(IF('Bank Schedule'!$K$2:$K$817="Vacant", ROW('Bank Schedule'!$K$2:$K$817)), ROW(75:75))), "")</f>
        <v/>
      </c>
      <c r="C78" s="11">
        <f t="array" ref="C78">IFERROR(INDEX('Bank Schedule'!C:C, SMALL(IF('Bank Schedule'!$K$2:$K$817="Vacant", ROW('Bank Schedule'!$K$2:$K$817)), ROW(75:75))), "")</f>
        <v/>
      </c>
      <c r="D78" s="11">
        <f t="array" ref="D78">IFERROR(INDEX('Bank Schedule'!D:D, SMALL(IF('Bank Schedule'!$K$2:$K$817="Vacant", ROW('Bank Schedule'!$K$2:$K$817)), ROW(75:75))), "")</f>
        <v/>
      </c>
      <c r="E78" s="25">
        <f t="array" ref="E78">IFERROR(INDEX('Bank Schedule'!E:E, SMALL(IF('Bank Schedule'!$K$2:$K$817="Vacant", ROW('Bank Schedule'!$K$2:$K$817)), ROW(75:75))), "")</f>
        <v/>
      </c>
      <c r="F78" s="25">
        <f t="array" ref="F78">IFERROR(INDEX('Bank Schedule'!F:F, SMALL(IF('Bank Schedule'!$K$2:$K$817="Vacant", ROW('Bank Schedule'!$K$2:$K$817)), ROW(75:75))), "")</f>
        <v/>
      </c>
      <c r="G78" s="25">
        <f t="array" ref="G78">IFERROR(INDEX('Bank Schedule'!G:G, SMALL(IF('Bank Schedule'!$K$2:$K$817="Vacant", ROW('Bank Schedule'!$K$2:$K$817)), ROW(75:75))), "")</f>
        <v/>
      </c>
      <c r="H78" s="53">
        <f t="array" ref="H78">IFERROR(INDEX('Bank Schedule'!H:H, SMALL(IF('Bank Schedule'!$K$2:$K$817="Vacant", ROW('Bank Schedule'!$K$2:$K$817)), ROW(75:75))), "")</f>
        <v/>
      </c>
      <c r="I78" s="53">
        <f t="array" ref="I78">IFERROR(INDEX('Bank Schedule'!I:I, SMALL(IF('Bank Schedule'!$K$2:$K$817="Vacant", ROW('Bank Schedule'!$K$2:$K$817)), ROW(75:75))), "")</f>
        <v/>
      </c>
      <c r="J78" s="11">
        <f t="array" ref="J78">IFERROR(INDEX('Bank Schedule'!K:K, SMALL(IF('Bank Schedule'!$K$2:$K$817="Vacant", ROW('Bank Schedule'!$K$2:$K$817)), ROW(75:75))), "")</f>
        <v/>
      </c>
      <c r="K78" s="11">
        <f t="array" ref="K78">IFERROR(INDEX('Bank Schedule'!L:L, SMALL(IF('Bank Schedule'!$K$2:$K$817="Vacant", ROW('Bank Schedule'!$K$2:$K$817)), ROW(75:75))), "")</f>
        <v/>
      </c>
      <c r="L78" s="11">
        <f t="array" ref="L78">IFERROR(INDEX('Bank Schedule'!M:M, SMALL(IF('Bank Schedule'!$K$2:$K$817="Vacant", ROW('Bank Schedule'!$K$2:$K$817)), ROW(75:75))), "")</f>
        <v/>
      </c>
      <c r="M78" s="106">
        <f t="array" ref="M78">IFERROR(INDEX('Bank Schedule'!N:N, SMALL(IF('Bank Schedule'!$K$2:$K$817="Vacant", ROW('Bank Schedule'!$K$2:$K$817)), ROW(75:75))), "")</f>
        <v/>
      </c>
      <c r="N78" s="11">
        <f t="array" ref="N78">IFERROR(INDEX('Bank Schedule'!O:O, SMALL(IF('Bank Schedule'!$K$2:$K$817="Vacant", ROW('Bank Schedule'!$K$2:$K$817)), ROW(75:75))), "")</f>
        <v/>
      </c>
      <c r="O78" s="11">
        <f t="array" ref="O78">IFERROR(INDEX('Bank Schedule'!P:P, SMALL(IF('Bank Schedule'!$K$2:$K$817="Vacant", ROW('Bank Schedule'!$K$2:$K$817)), ROW(75:75))), "")</f>
        <v/>
      </c>
      <c r="P78" s="11">
        <f t="array" ref="P78">IFERROR(INDEX('Bank Schedule'!Q:Q, SMALL(IF('Bank Schedule'!$K$2:$K$817="Vacant", ROW('Bank Schedule'!$K$2:$K$817)), ROW(75:75))), "")</f>
        <v/>
      </c>
      <c r="Q78" s="11">
        <f t="array" ref="Q78">IFERROR(INDEX('Bank Schedule'!R:R, SMALL(IF('Bank Schedule'!$K$2:$K$817="Vacant", ROW('Bank Schedule'!$K$2:$K$817)), ROW(75:75))), "")</f>
        <v/>
      </c>
      <c r="R78" s="11">
        <f t="array" ref="R78">IFERROR(INDEX('Bank Schedule'!S:S, SMALL(IF('Bank Schedule'!$K$2:$K$817="Vacant", ROW('Bank Schedule'!$K$2:$K$817)), ROW(75:75))), "")</f>
        <v/>
      </c>
      <c r="S78" s="301">
        <f t="array" ref="S78">IFERROR(INDEX('Bank Schedule'!T:T, SMALL(IF('Bank Schedule'!$K$2:$K$817="Vacant", ROW('Bank Schedule'!$K$2:$K$817)), ROW(75:75))), "")</f>
        <v/>
      </c>
      <c r="T78" s="301">
        <f t="array" ref="T78">IFERROR(INDEX('Bank Schedule'!U:U, SMALL(IF('Bank Schedule'!$K$2:$K$817="Vacant", ROW('Bank Schedule'!$K$2:$K$817)), ROW(75:75))), "")</f>
        <v/>
      </c>
      <c r="U78" s="301">
        <f t="array" ref="U78">IFERROR(INDEX('Bank Schedule'!V:V, SMALL(IF('Bank Schedule'!$K$2:$K$817="Vacant", ROW('Bank Schedule'!$K$2:$K$817)), ROW(75:75))), "")</f>
        <v/>
      </c>
      <c r="V78" s="301">
        <f t="array" ref="V78">IFERROR(INDEX('Bank Schedule'!W:W, SMALL(IF('Bank Schedule'!$K$2:$K$817="Vacant", ROW('Bank Schedule'!$K$2:$K$817)), ROW(75:75))), "")</f>
        <v/>
      </c>
      <c r="W78" s="300">
        <f t="array" ref="W78">IFERROR(INDEX('Bank Schedule'!X:X, SMALL(IF('Bank Schedule'!$K$2:$K$817="Vacant", ROW('Bank Schedule'!$K$2:$K$817)), ROW(75:75))), "")</f>
        <v/>
      </c>
      <c r="X78" s="11">
        <f t="array" ref="X78">IFERROR(INDEX('Bank Schedule'!Y:Y, SMALL(IF('Bank Schedule'!$K$2:$K$817="Vacant", ROW('Bank Schedule'!$K$2:$K$817)), ROW(75:75))), "")</f>
        <v/>
      </c>
      <c r="Y78" s="11">
        <f t="array" ref="Y78">IFERROR(INDEX('Bank Schedule'!Z:Z, SMALL(IF('Bank Schedule'!$K$2:$K$817="Vacant", ROW('Bank Schedule'!$K$2:$K$817)), ROW(75:75))), "")</f>
        <v/>
      </c>
      <c r="Z78" s="11">
        <f t="array" ref="Z78">IFERROR(INDEX('Bank Schedule'!AA:AA, SMALL(IF('Bank Schedule'!$K$2:$K$817="Vacant", ROW('Bank Schedule'!$K$2:$K$817)), ROW(75:75))), "")</f>
        <v/>
      </c>
      <c r="AA78" s="11">
        <f t="array" ref="AA78">IFERROR(INDEX('Bank Schedule'!AB:AB, SMALL(IF('Bank Schedule'!$K$2:$K$817="Vacant", ROW('Bank Schedule'!$K$2:$K$817)), ROW(75:75))), "")</f>
        <v/>
      </c>
      <c r="AB78" s="25">
        <f t="array" ref="AB78">IFERROR(INDEX('Bank Schedule'!AC:AC, SMALL(IF('Bank Schedule'!$K$2:$K$817="Vacant", ROW('Bank Schedule'!$K$2:$K$817)), ROW(75:75))), "")</f>
        <v/>
      </c>
      <c r="AC78" s="277">
        <f t="array" ref="AC78">IFERROR(INDEX('Bank Schedule'!AD:AD, SMALL(IF('Bank Schedule'!$K$2:$K$817="Vacant", ROW('Bank Schedule'!$K$2:$K$817)), ROW(75:75))), "")</f>
        <v/>
      </c>
      <c r="AD78" s="11">
        <f t="array" ref="AD78">IFERROR(INDEX('Bank Schedule'!AE:AE, SMALL(IF('Bank Schedule'!$K$2:$K$817="Vacant", ROW('Bank Schedule'!$K$2:$K$817)), ROW(75:75))), "")</f>
        <v/>
      </c>
      <c r="AE78" s="11">
        <f t="array" ref="AE78">IFERROR(INDEX('Bank Schedule'!AF:AF, SMALL(IF('Bank Schedule'!$K$2:$K$817="Vacant", ROW('Bank Schedule'!$K$2:$K$817)), ROW(75:75))), "")</f>
        <v/>
      </c>
      <c r="AF78" s="11">
        <f t="array" ref="AF78">IFERROR(INDEX('Bank Schedule'!AG:AG, SMALL(IF('Bank Schedule'!$K$2:$K$817="Vacant", ROW('Bank Schedule'!$K$2:$K$817)), ROW(75:75))), "")</f>
        <v/>
      </c>
      <c r="AG78" s="4" t="n"/>
    </row>
    <row r="79" ht="28.5" customHeight="1">
      <c r="A79" s="2">
        <f t="array" ref="A79">IFERROR(INDEX('Bank Schedule'!A:A, SMALL(IF('Bank Schedule'!$K$2:$K$817="Vacant", ROW('Bank Schedule'!$K$2:$K$817)), ROW(76:76))), "")</f>
        <v/>
      </c>
      <c r="B79" s="11">
        <f t="array" ref="B79">IFERROR(INDEX('Bank Schedule'!B:B, SMALL(IF('Bank Schedule'!$K$2:$K$817="Vacant", ROW('Bank Schedule'!$K$2:$K$817)), ROW(76:76))), "")</f>
        <v/>
      </c>
      <c r="C79" s="11">
        <f t="array" ref="C79">IFERROR(INDEX('Bank Schedule'!C:C, SMALL(IF('Bank Schedule'!$K$2:$K$817="Vacant", ROW('Bank Schedule'!$K$2:$K$817)), ROW(76:76))), "")</f>
        <v/>
      </c>
      <c r="D79" s="11">
        <f t="array" ref="D79">IFERROR(INDEX('Bank Schedule'!D:D, SMALL(IF('Bank Schedule'!$K$2:$K$817="Vacant", ROW('Bank Schedule'!$K$2:$K$817)), ROW(76:76))), "")</f>
        <v/>
      </c>
      <c r="E79" s="25">
        <f t="array" ref="E79">IFERROR(INDEX('Bank Schedule'!E:E, SMALL(IF('Bank Schedule'!$K$2:$K$817="Vacant", ROW('Bank Schedule'!$K$2:$K$817)), ROW(76:76))), "")</f>
        <v/>
      </c>
      <c r="F79" s="25">
        <f t="array" ref="F79">IFERROR(INDEX('Bank Schedule'!F:F, SMALL(IF('Bank Schedule'!$K$2:$K$817="Vacant", ROW('Bank Schedule'!$K$2:$K$817)), ROW(76:76))), "")</f>
        <v/>
      </c>
      <c r="G79" s="25">
        <f t="array" ref="G79">IFERROR(INDEX('Bank Schedule'!G:G, SMALL(IF('Bank Schedule'!$K$2:$K$817="Vacant", ROW('Bank Schedule'!$K$2:$K$817)), ROW(76:76))), "")</f>
        <v/>
      </c>
      <c r="H79" s="53">
        <f t="array" ref="H79">IFERROR(INDEX('Bank Schedule'!H:H, SMALL(IF('Bank Schedule'!$K$2:$K$817="Vacant", ROW('Bank Schedule'!$K$2:$K$817)), ROW(76:76))), "")</f>
        <v/>
      </c>
      <c r="I79" s="53">
        <f t="array" ref="I79">IFERROR(INDEX('Bank Schedule'!I:I, SMALL(IF('Bank Schedule'!$K$2:$K$817="Vacant", ROW('Bank Schedule'!$K$2:$K$817)), ROW(76:76))), "")</f>
        <v/>
      </c>
      <c r="J79" s="11">
        <f t="array" ref="J79">IFERROR(INDEX('Bank Schedule'!K:K, SMALL(IF('Bank Schedule'!$K$2:$K$817="Vacant", ROW('Bank Schedule'!$K$2:$K$817)), ROW(76:76))), "")</f>
        <v/>
      </c>
      <c r="K79" s="11">
        <f t="array" ref="K79">IFERROR(INDEX('Bank Schedule'!L:L, SMALL(IF('Bank Schedule'!$K$2:$K$817="Vacant", ROW('Bank Schedule'!$K$2:$K$817)), ROW(76:76))), "")</f>
        <v/>
      </c>
      <c r="L79" s="11">
        <f t="array" ref="L79">IFERROR(INDEX('Bank Schedule'!M:M, SMALL(IF('Bank Schedule'!$K$2:$K$817="Vacant", ROW('Bank Schedule'!$K$2:$K$817)), ROW(76:76))), "")</f>
        <v/>
      </c>
      <c r="M79" s="106">
        <f t="array" ref="M79">IFERROR(INDEX('Bank Schedule'!N:N, SMALL(IF('Bank Schedule'!$K$2:$K$817="Vacant", ROW('Bank Schedule'!$K$2:$K$817)), ROW(76:76))), "")</f>
        <v/>
      </c>
      <c r="N79" s="11">
        <f t="array" ref="N79">IFERROR(INDEX('Bank Schedule'!O:O, SMALL(IF('Bank Schedule'!$K$2:$K$817="Vacant", ROW('Bank Schedule'!$K$2:$K$817)), ROW(76:76))), "")</f>
        <v/>
      </c>
      <c r="O79" s="11">
        <f t="array" ref="O79">IFERROR(INDEX('Bank Schedule'!P:P, SMALL(IF('Bank Schedule'!$K$2:$K$817="Vacant", ROW('Bank Schedule'!$K$2:$K$817)), ROW(76:76))), "")</f>
        <v/>
      </c>
      <c r="P79" s="11">
        <f t="array" ref="P79">IFERROR(INDEX('Bank Schedule'!Q:Q, SMALL(IF('Bank Schedule'!$K$2:$K$817="Vacant", ROW('Bank Schedule'!$K$2:$K$817)), ROW(76:76))), "")</f>
        <v/>
      </c>
      <c r="Q79" s="11">
        <f t="array" ref="Q79">IFERROR(INDEX('Bank Schedule'!R:R, SMALL(IF('Bank Schedule'!$K$2:$K$817="Vacant", ROW('Bank Schedule'!$K$2:$K$817)), ROW(76:76))), "")</f>
        <v/>
      </c>
      <c r="R79" s="11">
        <f t="array" ref="R79">IFERROR(INDEX('Bank Schedule'!S:S, SMALL(IF('Bank Schedule'!$K$2:$K$817="Vacant", ROW('Bank Schedule'!$K$2:$K$817)), ROW(76:76))), "")</f>
        <v/>
      </c>
      <c r="S79" s="301">
        <f t="array" ref="S79">IFERROR(INDEX('Bank Schedule'!T:T, SMALL(IF('Bank Schedule'!$K$2:$K$817="Vacant", ROW('Bank Schedule'!$K$2:$K$817)), ROW(76:76))), "")</f>
        <v/>
      </c>
      <c r="T79" s="301">
        <f t="array" ref="T79">IFERROR(INDEX('Bank Schedule'!U:U, SMALL(IF('Bank Schedule'!$K$2:$K$817="Vacant", ROW('Bank Schedule'!$K$2:$K$817)), ROW(76:76))), "")</f>
        <v/>
      </c>
      <c r="U79" s="301">
        <f t="array" ref="U79">IFERROR(INDEX('Bank Schedule'!V:V, SMALL(IF('Bank Schedule'!$K$2:$K$817="Vacant", ROW('Bank Schedule'!$K$2:$K$817)), ROW(76:76))), "")</f>
        <v/>
      </c>
      <c r="V79" s="301">
        <f t="array" ref="V79">IFERROR(INDEX('Bank Schedule'!W:W, SMALL(IF('Bank Schedule'!$K$2:$K$817="Vacant", ROW('Bank Schedule'!$K$2:$K$817)), ROW(76:76))), "")</f>
        <v/>
      </c>
      <c r="W79" s="300">
        <f t="array" ref="W79">IFERROR(INDEX('Bank Schedule'!X:X, SMALL(IF('Bank Schedule'!$K$2:$K$817="Vacant", ROW('Bank Schedule'!$K$2:$K$817)), ROW(76:76))), "")</f>
        <v/>
      </c>
      <c r="X79" s="11">
        <f t="array" ref="X79">IFERROR(INDEX('Bank Schedule'!Y:Y, SMALL(IF('Bank Schedule'!$K$2:$K$817="Vacant", ROW('Bank Schedule'!$K$2:$K$817)), ROW(76:76))), "")</f>
        <v/>
      </c>
      <c r="Y79" s="11">
        <f t="array" ref="Y79">IFERROR(INDEX('Bank Schedule'!Z:Z, SMALL(IF('Bank Schedule'!$K$2:$K$817="Vacant", ROW('Bank Schedule'!$K$2:$K$817)), ROW(76:76))), "")</f>
        <v/>
      </c>
      <c r="Z79" s="11">
        <f t="array" ref="Z79">IFERROR(INDEX('Bank Schedule'!AA:AA, SMALL(IF('Bank Schedule'!$K$2:$K$817="Vacant", ROW('Bank Schedule'!$K$2:$K$817)), ROW(76:76))), "")</f>
        <v/>
      </c>
      <c r="AA79" s="11">
        <f t="array" ref="AA79">IFERROR(INDEX('Bank Schedule'!AB:AB, SMALL(IF('Bank Schedule'!$K$2:$K$817="Vacant", ROW('Bank Schedule'!$K$2:$K$817)), ROW(76:76))), "")</f>
        <v/>
      </c>
      <c r="AB79" s="25">
        <f t="array" ref="AB79">IFERROR(INDEX('Bank Schedule'!AC:AC, SMALL(IF('Bank Schedule'!$K$2:$K$817="Vacant", ROW('Bank Schedule'!$K$2:$K$817)), ROW(76:76))), "")</f>
        <v/>
      </c>
      <c r="AC79" s="277">
        <f t="array" ref="AC79">IFERROR(INDEX('Bank Schedule'!AD:AD, SMALL(IF('Bank Schedule'!$K$2:$K$817="Vacant", ROW('Bank Schedule'!$K$2:$K$817)), ROW(76:76))), "")</f>
        <v/>
      </c>
      <c r="AD79" s="11">
        <f t="array" ref="AD79">IFERROR(INDEX('Bank Schedule'!AE:AE, SMALL(IF('Bank Schedule'!$K$2:$K$817="Vacant", ROW('Bank Schedule'!$K$2:$K$817)), ROW(76:76))), "")</f>
        <v/>
      </c>
      <c r="AE79" s="11">
        <f t="array" ref="AE79">IFERROR(INDEX('Bank Schedule'!AF:AF, SMALL(IF('Bank Schedule'!$K$2:$K$817="Vacant", ROW('Bank Schedule'!$K$2:$K$817)), ROW(76:76))), "")</f>
        <v/>
      </c>
      <c r="AF79" s="11">
        <f t="array" ref="AF79">IFERROR(INDEX('Bank Schedule'!AG:AG, SMALL(IF('Bank Schedule'!$K$2:$K$817="Vacant", ROW('Bank Schedule'!$K$2:$K$817)), ROW(76:76))), "")</f>
        <v/>
      </c>
      <c r="AG79" s="4" t="n"/>
    </row>
    <row r="80" ht="28.5" customHeight="1">
      <c r="A80" s="2">
        <f t="array" ref="A80">IFERROR(INDEX('Bank Schedule'!A:A, SMALL(IF('Bank Schedule'!$K$2:$K$817="Vacant", ROW('Bank Schedule'!$K$2:$K$817)), ROW(77:77))), "")</f>
        <v/>
      </c>
      <c r="B80" s="11">
        <f t="array" ref="B80">IFERROR(INDEX('Bank Schedule'!B:B, SMALL(IF('Bank Schedule'!$K$2:$K$817="Vacant", ROW('Bank Schedule'!$K$2:$K$817)), ROW(77:77))), "")</f>
        <v/>
      </c>
      <c r="C80" s="11">
        <f t="array" ref="C80">IFERROR(INDEX('Bank Schedule'!C:C, SMALL(IF('Bank Schedule'!$K$2:$K$817="Vacant", ROW('Bank Schedule'!$K$2:$K$817)), ROW(77:77))), "")</f>
        <v/>
      </c>
      <c r="D80" s="11">
        <f t="array" ref="D80">IFERROR(INDEX('Bank Schedule'!D:D, SMALL(IF('Bank Schedule'!$K$2:$K$817="Vacant", ROW('Bank Schedule'!$K$2:$K$817)), ROW(77:77))), "")</f>
        <v/>
      </c>
      <c r="E80" s="25">
        <f t="array" ref="E80">IFERROR(INDEX('Bank Schedule'!E:E, SMALL(IF('Bank Schedule'!$K$2:$K$817="Vacant", ROW('Bank Schedule'!$K$2:$K$817)), ROW(77:77))), "")</f>
        <v/>
      </c>
      <c r="F80" s="25">
        <f t="array" ref="F80">IFERROR(INDEX('Bank Schedule'!F:F, SMALL(IF('Bank Schedule'!$K$2:$K$817="Vacant", ROW('Bank Schedule'!$K$2:$K$817)), ROW(77:77))), "")</f>
        <v/>
      </c>
      <c r="G80" s="25">
        <f t="array" ref="G80">IFERROR(INDEX('Bank Schedule'!G:G, SMALL(IF('Bank Schedule'!$K$2:$K$817="Vacant", ROW('Bank Schedule'!$K$2:$K$817)), ROW(77:77))), "")</f>
        <v/>
      </c>
      <c r="H80" s="53">
        <f t="array" ref="H80">IFERROR(INDEX('Bank Schedule'!H:H, SMALL(IF('Bank Schedule'!$K$2:$K$817="Vacant", ROW('Bank Schedule'!$K$2:$K$817)), ROW(77:77))), "")</f>
        <v/>
      </c>
      <c r="I80" s="53">
        <f t="array" ref="I80">IFERROR(INDEX('Bank Schedule'!I:I, SMALL(IF('Bank Schedule'!$K$2:$K$817="Vacant", ROW('Bank Schedule'!$K$2:$K$817)), ROW(77:77))), "")</f>
        <v/>
      </c>
      <c r="J80" s="11">
        <f t="array" ref="J80">IFERROR(INDEX('Bank Schedule'!K:K, SMALL(IF('Bank Schedule'!$K$2:$K$817="Vacant", ROW('Bank Schedule'!$K$2:$K$817)), ROW(77:77))), "")</f>
        <v/>
      </c>
      <c r="K80" s="11">
        <f t="array" ref="K80">IFERROR(INDEX('Bank Schedule'!L:L, SMALL(IF('Bank Schedule'!$K$2:$K$817="Vacant", ROW('Bank Schedule'!$K$2:$K$817)), ROW(77:77))), "")</f>
        <v/>
      </c>
      <c r="L80" s="11">
        <f t="array" ref="L80">IFERROR(INDEX('Bank Schedule'!M:M, SMALL(IF('Bank Schedule'!$K$2:$K$817="Vacant", ROW('Bank Schedule'!$K$2:$K$817)), ROW(77:77))), "")</f>
        <v/>
      </c>
      <c r="M80" s="106">
        <f t="array" ref="M80">IFERROR(INDEX('Bank Schedule'!N:N, SMALL(IF('Bank Schedule'!$K$2:$K$817="Vacant", ROW('Bank Schedule'!$K$2:$K$817)), ROW(77:77))), "")</f>
        <v/>
      </c>
      <c r="N80" s="11">
        <f t="array" ref="N80">IFERROR(INDEX('Bank Schedule'!O:O, SMALL(IF('Bank Schedule'!$K$2:$K$817="Vacant", ROW('Bank Schedule'!$K$2:$K$817)), ROW(77:77))), "")</f>
        <v/>
      </c>
      <c r="O80" s="11">
        <f t="array" ref="O80">IFERROR(INDEX('Bank Schedule'!P:P, SMALL(IF('Bank Schedule'!$K$2:$K$817="Vacant", ROW('Bank Schedule'!$K$2:$K$817)), ROW(77:77))), "")</f>
        <v/>
      </c>
      <c r="P80" s="11">
        <f t="array" ref="P80">IFERROR(INDEX('Bank Schedule'!Q:Q, SMALL(IF('Bank Schedule'!$K$2:$K$817="Vacant", ROW('Bank Schedule'!$K$2:$K$817)), ROW(77:77))), "")</f>
        <v/>
      </c>
      <c r="Q80" s="11">
        <f t="array" ref="Q80">IFERROR(INDEX('Bank Schedule'!R:R, SMALL(IF('Bank Schedule'!$K$2:$K$817="Vacant", ROW('Bank Schedule'!$K$2:$K$817)), ROW(77:77))), "")</f>
        <v/>
      </c>
      <c r="R80" s="11">
        <f t="array" ref="R80">IFERROR(INDEX('Bank Schedule'!S:S, SMALL(IF('Bank Schedule'!$K$2:$K$817="Vacant", ROW('Bank Schedule'!$K$2:$K$817)), ROW(77:77))), "")</f>
        <v/>
      </c>
      <c r="S80" s="301">
        <f t="array" ref="S80">IFERROR(INDEX('Bank Schedule'!T:T, SMALL(IF('Bank Schedule'!$K$2:$K$817="Vacant", ROW('Bank Schedule'!$K$2:$K$817)), ROW(77:77))), "")</f>
        <v/>
      </c>
      <c r="T80" s="301">
        <f t="array" ref="T80">IFERROR(INDEX('Bank Schedule'!U:U, SMALL(IF('Bank Schedule'!$K$2:$K$817="Vacant", ROW('Bank Schedule'!$K$2:$K$817)), ROW(77:77))), "")</f>
        <v/>
      </c>
      <c r="U80" s="301">
        <f t="array" ref="U80">IFERROR(INDEX('Bank Schedule'!V:V, SMALL(IF('Bank Schedule'!$K$2:$K$817="Vacant", ROW('Bank Schedule'!$K$2:$K$817)), ROW(77:77))), "")</f>
        <v/>
      </c>
      <c r="V80" s="301">
        <f t="array" ref="V80">IFERROR(INDEX('Bank Schedule'!W:W, SMALL(IF('Bank Schedule'!$K$2:$K$817="Vacant", ROW('Bank Schedule'!$K$2:$K$817)), ROW(77:77))), "")</f>
        <v/>
      </c>
      <c r="W80" s="300">
        <f t="array" ref="W80">IFERROR(INDEX('Bank Schedule'!X:X, SMALL(IF('Bank Schedule'!$K$2:$K$817="Vacant", ROW('Bank Schedule'!$K$2:$K$817)), ROW(77:77))), "")</f>
        <v/>
      </c>
      <c r="X80" s="11">
        <f t="array" ref="X80">IFERROR(INDEX('Bank Schedule'!Y:Y, SMALL(IF('Bank Schedule'!$K$2:$K$817="Vacant", ROW('Bank Schedule'!$K$2:$K$817)), ROW(77:77))), "")</f>
        <v/>
      </c>
      <c r="Y80" s="11">
        <f t="array" ref="Y80">IFERROR(INDEX('Bank Schedule'!Z:Z, SMALL(IF('Bank Schedule'!$K$2:$K$817="Vacant", ROW('Bank Schedule'!$K$2:$K$817)), ROW(77:77))), "")</f>
        <v/>
      </c>
      <c r="Z80" s="11">
        <f t="array" ref="Z80">IFERROR(INDEX('Bank Schedule'!AA:AA, SMALL(IF('Bank Schedule'!$K$2:$K$817="Vacant", ROW('Bank Schedule'!$K$2:$K$817)), ROW(77:77))), "")</f>
        <v/>
      </c>
      <c r="AA80" s="11">
        <f t="array" ref="AA80">IFERROR(INDEX('Bank Schedule'!AB:AB, SMALL(IF('Bank Schedule'!$K$2:$K$817="Vacant", ROW('Bank Schedule'!$K$2:$K$817)), ROW(77:77))), "")</f>
        <v/>
      </c>
      <c r="AB80" s="25">
        <f t="array" ref="AB80">IFERROR(INDEX('Bank Schedule'!AC:AC, SMALL(IF('Bank Schedule'!$K$2:$K$817="Vacant", ROW('Bank Schedule'!$K$2:$K$817)), ROW(77:77))), "")</f>
        <v/>
      </c>
      <c r="AC80" s="277">
        <f t="array" ref="AC80">IFERROR(INDEX('Bank Schedule'!AD:AD, SMALL(IF('Bank Schedule'!$K$2:$K$817="Vacant", ROW('Bank Schedule'!$K$2:$K$817)), ROW(77:77))), "")</f>
        <v/>
      </c>
      <c r="AD80" s="11">
        <f t="array" ref="AD80">IFERROR(INDEX('Bank Schedule'!AE:AE, SMALL(IF('Bank Schedule'!$K$2:$K$817="Vacant", ROW('Bank Schedule'!$K$2:$K$817)), ROW(77:77))), "")</f>
        <v/>
      </c>
      <c r="AE80" s="11">
        <f t="array" ref="AE80">IFERROR(INDEX('Bank Schedule'!AF:AF, SMALL(IF('Bank Schedule'!$K$2:$K$817="Vacant", ROW('Bank Schedule'!$K$2:$K$817)), ROW(77:77))), "")</f>
        <v/>
      </c>
      <c r="AF80" s="11">
        <f t="array" ref="AF80">IFERROR(INDEX('Bank Schedule'!AG:AG, SMALL(IF('Bank Schedule'!$K$2:$K$817="Vacant", ROW('Bank Schedule'!$K$2:$K$817)), ROW(77:77))), "")</f>
        <v/>
      </c>
      <c r="AG80" s="4" t="n"/>
    </row>
    <row r="81" ht="28.5" customHeight="1">
      <c r="A81" s="2">
        <f t="array" ref="A81">IFERROR(INDEX('Bank Schedule'!A:A, SMALL(IF('Bank Schedule'!$K$2:$K$817="Vacant", ROW('Bank Schedule'!$K$2:$K$817)), ROW(78:78))), "")</f>
        <v/>
      </c>
      <c r="B81" s="11">
        <f t="array" ref="B81">IFERROR(INDEX('Bank Schedule'!B:B, SMALL(IF('Bank Schedule'!$K$2:$K$817="Vacant", ROW('Bank Schedule'!$K$2:$K$817)), ROW(78:78))), "")</f>
        <v/>
      </c>
      <c r="C81" s="11">
        <f t="array" ref="C81">IFERROR(INDEX('Bank Schedule'!C:C, SMALL(IF('Bank Schedule'!$K$2:$K$817="Vacant", ROW('Bank Schedule'!$K$2:$K$817)), ROW(78:78))), "")</f>
        <v/>
      </c>
      <c r="D81" s="11">
        <f t="array" ref="D81">IFERROR(INDEX('Bank Schedule'!D:D, SMALL(IF('Bank Schedule'!$K$2:$K$817="Vacant", ROW('Bank Schedule'!$K$2:$K$817)), ROW(78:78))), "")</f>
        <v/>
      </c>
      <c r="E81" s="25">
        <f t="array" ref="E81">IFERROR(INDEX('Bank Schedule'!E:E, SMALL(IF('Bank Schedule'!$K$2:$K$817="Vacant", ROW('Bank Schedule'!$K$2:$K$817)), ROW(78:78))), "")</f>
        <v/>
      </c>
      <c r="F81" s="25">
        <f t="array" ref="F81">IFERROR(INDEX('Bank Schedule'!F:F, SMALL(IF('Bank Schedule'!$K$2:$K$817="Vacant", ROW('Bank Schedule'!$K$2:$K$817)), ROW(78:78))), "")</f>
        <v/>
      </c>
      <c r="G81" s="25">
        <f t="array" ref="G81">IFERROR(INDEX('Bank Schedule'!G:G, SMALL(IF('Bank Schedule'!$K$2:$K$817="Vacant", ROW('Bank Schedule'!$K$2:$K$817)), ROW(78:78))), "")</f>
        <v/>
      </c>
      <c r="H81" s="53">
        <f t="array" ref="H81">IFERROR(INDEX('Bank Schedule'!H:H, SMALL(IF('Bank Schedule'!$K$2:$K$817="Vacant", ROW('Bank Schedule'!$K$2:$K$817)), ROW(78:78))), "")</f>
        <v/>
      </c>
      <c r="I81" s="53">
        <f t="array" ref="I81">IFERROR(INDEX('Bank Schedule'!I:I, SMALL(IF('Bank Schedule'!$K$2:$K$817="Vacant", ROW('Bank Schedule'!$K$2:$K$817)), ROW(78:78))), "")</f>
        <v/>
      </c>
      <c r="J81" s="11">
        <f t="array" ref="J81">IFERROR(INDEX('Bank Schedule'!K:K, SMALL(IF('Bank Schedule'!$K$2:$K$817="Vacant", ROW('Bank Schedule'!$K$2:$K$817)), ROW(78:78))), "")</f>
        <v/>
      </c>
      <c r="K81" s="11">
        <f t="array" ref="K81">IFERROR(INDEX('Bank Schedule'!L:L, SMALL(IF('Bank Schedule'!$K$2:$K$817="Vacant", ROW('Bank Schedule'!$K$2:$K$817)), ROW(78:78))), "")</f>
        <v/>
      </c>
      <c r="L81" s="11">
        <f t="array" ref="L81">IFERROR(INDEX('Bank Schedule'!M:M, SMALL(IF('Bank Schedule'!$K$2:$K$817="Vacant", ROW('Bank Schedule'!$K$2:$K$817)), ROW(78:78))), "")</f>
        <v/>
      </c>
      <c r="M81" s="106">
        <f t="array" ref="M81">IFERROR(INDEX('Bank Schedule'!N:N, SMALL(IF('Bank Schedule'!$K$2:$K$817="Vacant", ROW('Bank Schedule'!$K$2:$K$817)), ROW(78:78))), "")</f>
        <v/>
      </c>
      <c r="N81" s="11">
        <f t="array" ref="N81">IFERROR(INDEX('Bank Schedule'!O:O, SMALL(IF('Bank Schedule'!$K$2:$K$817="Vacant", ROW('Bank Schedule'!$K$2:$K$817)), ROW(78:78))), "")</f>
        <v/>
      </c>
      <c r="O81" s="11">
        <f t="array" ref="O81">IFERROR(INDEX('Bank Schedule'!P:P, SMALL(IF('Bank Schedule'!$K$2:$K$817="Vacant", ROW('Bank Schedule'!$K$2:$K$817)), ROW(78:78))), "")</f>
        <v/>
      </c>
      <c r="P81" s="11">
        <f t="array" ref="P81">IFERROR(INDEX('Bank Schedule'!Q:Q, SMALL(IF('Bank Schedule'!$K$2:$K$817="Vacant", ROW('Bank Schedule'!$K$2:$K$817)), ROW(78:78))), "")</f>
        <v/>
      </c>
      <c r="Q81" s="11">
        <f t="array" ref="Q81">IFERROR(INDEX('Bank Schedule'!R:R, SMALL(IF('Bank Schedule'!$K$2:$K$817="Vacant", ROW('Bank Schedule'!$K$2:$K$817)), ROW(78:78))), "")</f>
        <v/>
      </c>
      <c r="R81" s="11">
        <f t="array" ref="R81">IFERROR(INDEX('Bank Schedule'!S:S, SMALL(IF('Bank Schedule'!$K$2:$K$817="Vacant", ROW('Bank Schedule'!$K$2:$K$817)), ROW(78:78))), "")</f>
        <v/>
      </c>
      <c r="S81" s="301">
        <f t="array" ref="S81">IFERROR(INDEX('Bank Schedule'!T:T, SMALL(IF('Bank Schedule'!$K$2:$K$817="Vacant", ROW('Bank Schedule'!$K$2:$K$817)), ROW(78:78))), "")</f>
        <v/>
      </c>
      <c r="T81" s="301">
        <f t="array" ref="T81">IFERROR(INDEX('Bank Schedule'!U:U, SMALL(IF('Bank Schedule'!$K$2:$K$817="Vacant", ROW('Bank Schedule'!$K$2:$K$817)), ROW(78:78))), "")</f>
        <v/>
      </c>
      <c r="U81" s="301">
        <f t="array" ref="U81">IFERROR(INDEX('Bank Schedule'!V:V, SMALL(IF('Bank Schedule'!$K$2:$K$817="Vacant", ROW('Bank Schedule'!$K$2:$K$817)), ROW(78:78))), "")</f>
        <v/>
      </c>
      <c r="V81" s="301">
        <f t="array" ref="V81">IFERROR(INDEX('Bank Schedule'!W:W, SMALL(IF('Bank Schedule'!$K$2:$K$817="Vacant", ROW('Bank Schedule'!$K$2:$K$817)), ROW(78:78))), "")</f>
        <v/>
      </c>
      <c r="W81" s="300">
        <f t="array" ref="W81">IFERROR(INDEX('Bank Schedule'!X:X, SMALL(IF('Bank Schedule'!$K$2:$K$817="Vacant", ROW('Bank Schedule'!$K$2:$K$817)), ROW(78:78))), "")</f>
        <v/>
      </c>
      <c r="X81" s="11">
        <f t="array" ref="X81">IFERROR(INDEX('Bank Schedule'!Y:Y, SMALL(IF('Bank Schedule'!$K$2:$K$817="Vacant", ROW('Bank Schedule'!$K$2:$K$817)), ROW(78:78))), "")</f>
        <v/>
      </c>
      <c r="Y81" s="11">
        <f t="array" ref="Y81">IFERROR(INDEX('Bank Schedule'!Z:Z, SMALL(IF('Bank Schedule'!$K$2:$K$817="Vacant", ROW('Bank Schedule'!$K$2:$K$817)), ROW(78:78))), "")</f>
        <v/>
      </c>
      <c r="Z81" s="11">
        <f t="array" ref="Z81">IFERROR(INDEX('Bank Schedule'!AA:AA, SMALL(IF('Bank Schedule'!$K$2:$K$817="Vacant", ROW('Bank Schedule'!$K$2:$K$817)), ROW(78:78))), "")</f>
        <v/>
      </c>
      <c r="AA81" s="11">
        <f t="array" ref="AA81">IFERROR(INDEX('Bank Schedule'!AB:AB, SMALL(IF('Bank Schedule'!$K$2:$K$817="Vacant", ROW('Bank Schedule'!$K$2:$K$817)), ROW(78:78))), "")</f>
        <v/>
      </c>
      <c r="AB81" s="25">
        <f t="array" ref="AB81">IFERROR(INDEX('Bank Schedule'!AC:AC, SMALL(IF('Bank Schedule'!$K$2:$K$817="Vacant", ROW('Bank Schedule'!$K$2:$K$817)), ROW(78:78))), "")</f>
        <v/>
      </c>
      <c r="AC81" s="277">
        <f t="array" ref="AC81">IFERROR(INDEX('Bank Schedule'!AD:AD, SMALL(IF('Bank Schedule'!$K$2:$K$817="Vacant", ROW('Bank Schedule'!$K$2:$K$817)), ROW(78:78))), "")</f>
        <v/>
      </c>
      <c r="AD81" s="11">
        <f t="array" ref="AD81">IFERROR(INDEX('Bank Schedule'!AE:AE, SMALL(IF('Bank Schedule'!$K$2:$K$817="Vacant", ROW('Bank Schedule'!$K$2:$K$817)), ROW(78:78))), "")</f>
        <v/>
      </c>
      <c r="AE81" s="11">
        <f t="array" ref="AE81">IFERROR(INDEX('Bank Schedule'!AF:AF, SMALL(IF('Bank Schedule'!$K$2:$K$817="Vacant", ROW('Bank Schedule'!$K$2:$K$817)), ROW(78:78))), "")</f>
        <v/>
      </c>
      <c r="AF81" s="11">
        <f t="array" ref="AF81">IFERROR(INDEX('Bank Schedule'!AG:AG, SMALL(IF('Bank Schedule'!$K$2:$K$817="Vacant", ROW('Bank Schedule'!$K$2:$K$817)), ROW(78:78))), "")</f>
        <v/>
      </c>
      <c r="AG81" s="4" t="n"/>
    </row>
    <row r="82" ht="28.5" customHeight="1">
      <c r="A82" s="2">
        <f t="array" ref="A82">IFERROR(INDEX('Bank Schedule'!A:A, SMALL(IF('Bank Schedule'!$K$2:$K$817="Vacant", ROW('Bank Schedule'!$K$2:$K$817)), ROW(79:79))), "")</f>
        <v/>
      </c>
      <c r="B82" s="11">
        <f t="array" ref="B82">IFERROR(INDEX('Bank Schedule'!B:B, SMALL(IF('Bank Schedule'!$K$2:$K$817="Vacant", ROW('Bank Schedule'!$K$2:$K$817)), ROW(79:79))), "")</f>
        <v/>
      </c>
      <c r="C82" s="11">
        <f t="array" ref="C82">IFERROR(INDEX('Bank Schedule'!C:C, SMALL(IF('Bank Schedule'!$K$2:$K$817="Vacant", ROW('Bank Schedule'!$K$2:$K$817)), ROW(79:79))), "")</f>
        <v/>
      </c>
      <c r="D82" s="11">
        <f t="array" ref="D82">IFERROR(INDEX('Bank Schedule'!D:D, SMALL(IF('Bank Schedule'!$K$2:$K$817="Vacant", ROW('Bank Schedule'!$K$2:$K$817)), ROW(79:79))), "")</f>
        <v/>
      </c>
      <c r="E82" s="25">
        <f t="array" ref="E82">IFERROR(INDEX('Bank Schedule'!E:E, SMALL(IF('Bank Schedule'!$K$2:$K$817="Vacant", ROW('Bank Schedule'!$K$2:$K$817)), ROW(79:79))), "")</f>
        <v/>
      </c>
      <c r="F82" s="25">
        <f t="array" ref="F82">IFERROR(INDEX('Bank Schedule'!F:F, SMALL(IF('Bank Schedule'!$K$2:$K$817="Vacant", ROW('Bank Schedule'!$K$2:$K$817)), ROW(79:79))), "")</f>
        <v/>
      </c>
      <c r="G82" s="25">
        <f t="array" ref="G82">IFERROR(INDEX('Bank Schedule'!G:G, SMALL(IF('Bank Schedule'!$K$2:$K$817="Vacant", ROW('Bank Schedule'!$K$2:$K$817)), ROW(79:79))), "")</f>
        <v/>
      </c>
      <c r="H82" s="53">
        <f t="array" ref="H82">IFERROR(INDEX('Bank Schedule'!H:H, SMALL(IF('Bank Schedule'!$K$2:$K$817="Vacant", ROW('Bank Schedule'!$K$2:$K$817)), ROW(79:79))), "")</f>
        <v/>
      </c>
      <c r="I82" s="53">
        <f t="array" ref="I82">IFERROR(INDEX('Bank Schedule'!I:I, SMALL(IF('Bank Schedule'!$K$2:$K$817="Vacant", ROW('Bank Schedule'!$K$2:$K$817)), ROW(79:79))), "")</f>
        <v/>
      </c>
      <c r="J82" s="11">
        <f t="array" ref="J82">IFERROR(INDEX('Bank Schedule'!K:K, SMALL(IF('Bank Schedule'!$K$2:$K$817="Vacant", ROW('Bank Schedule'!$K$2:$K$817)), ROW(79:79))), "")</f>
        <v/>
      </c>
      <c r="K82" s="11">
        <f t="array" ref="K82">IFERROR(INDEX('Bank Schedule'!L:L, SMALL(IF('Bank Schedule'!$K$2:$K$817="Vacant", ROW('Bank Schedule'!$K$2:$K$817)), ROW(79:79))), "")</f>
        <v/>
      </c>
      <c r="L82" s="11">
        <f t="array" ref="L82">IFERROR(INDEX('Bank Schedule'!M:M, SMALL(IF('Bank Schedule'!$K$2:$K$817="Vacant", ROW('Bank Schedule'!$K$2:$K$817)), ROW(79:79))), "")</f>
        <v/>
      </c>
      <c r="M82" s="106">
        <f t="array" ref="M82">IFERROR(INDEX('Bank Schedule'!N:N, SMALL(IF('Bank Schedule'!$K$2:$K$817="Vacant", ROW('Bank Schedule'!$K$2:$K$817)), ROW(79:79))), "")</f>
        <v/>
      </c>
      <c r="N82" s="11">
        <f t="array" ref="N82">IFERROR(INDEX('Bank Schedule'!O:O, SMALL(IF('Bank Schedule'!$K$2:$K$817="Vacant", ROW('Bank Schedule'!$K$2:$K$817)), ROW(79:79))), "")</f>
        <v/>
      </c>
      <c r="O82" s="11">
        <f t="array" ref="O82">IFERROR(INDEX('Bank Schedule'!P:P, SMALL(IF('Bank Schedule'!$K$2:$K$817="Vacant", ROW('Bank Schedule'!$K$2:$K$817)), ROW(79:79))), "")</f>
        <v/>
      </c>
      <c r="P82" s="11">
        <f t="array" ref="P82">IFERROR(INDEX('Bank Schedule'!Q:Q, SMALL(IF('Bank Schedule'!$K$2:$K$817="Vacant", ROW('Bank Schedule'!$K$2:$K$817)), ROW(79:79))), "")</f>
        <v/>
      </c>
      <c r="Q82" s="11">
        <f t="array" ref="Q82">IFERROR(INDEX('Bank Schedule'!R:R, SMALL(IF('Bank Schedule'!$K$2:$K$817="Vacant", ROW('Bank Schedule'!$K$2:$K$817)), ROW(79:79))), "")</f>
        <v/>
      </c>
      <c r="R82" s="11">
        <f t="array" ref="R82">IFERROR(INDEX('Bank Schedule'!S:S, SMALL(IF('Bank Schedule'!$K$2:$K$817="Vacant", ROW('Bank Schedule'!$K$2:$K$817)), ROW(79:79))), "")</f>
        <v/>
      </c>
      <c r="S82" s="301">
        <f t="array" ref="S82">IFERROR(INDEX('Bank Schedule'!T:T, SMALL(IF('Bank Schedule'!$K$2:$K$817="Vacant", ROW('Bank Schedule'!$K$2:$K$817)), ROW(79:79))), "")</f>
        <v/>
      </c>
      <c r="T82" s="301">
        <f t="array" ref="T82">IFERROR(INDEX('Bank Schedule'!U:U, SMALL(IF('Bank Schedule'!$K$2:$K$817="Vacant", ROW('Bank Schedule'!$K$2:$K$817)), ROW(79:79))), "")</f>
        <v/>
      </c>
      <c r="U82" s="301">
        <f t="array" ref="U82">IFERROR(INDEX('Bank Schedule'!V:V, SMALL(IF('Bank Schedule'!$K$2:$K$817="Vacant", ROW('Bank Schedule'!$K$2:$K$817)), ROW(79:79))), "")</f>
        <v/>
      </c>
      <c r="V82" s="301">
        <f t="array" ref="V82">IFERROR(INDEX('Bank Schedule'!W:W, SMALL(IF('Bank Schedule'!$K$2:$K$817="Vacant", ROW('Bank Schedule'!$K$2:$K$817)), ROW(79:79))), "")</f>
        <v/>
      </c>
      <c r="W82" s="300">
        <f t="array" ref="W82">IFERROR(INDEX('Bank Schedule'!X:X, SMALL(IF('Bank Schedule'!$K$2:$K$817="Vacant", ROW('Bank Schedule'!$K$2:$K$817)), ROW(79:79))), "")</f>
        <v/>
      </c>
      <c r="X82" s="11">
        <f t="array" ref="X82">IFERROR(INDEX('Bank Schedule'!Y:Y, SMALL(IF('Bank Schedule'!$K$2:$K$817="Vacant", ROW('Bank Schedule'!$K$2:$K$817)), ROW(79:79))), "")</f>
        <v/>
      </c>
      <c r="Y82" s="11">
        <f t="array" ref="Y82">IFERROR(INDEX('Bank Schedule'!Z:Z, SMALL(IF('Bank Schedule'!$K$2:$K$817="Vacant", ROW('Bank Schedule'!$K$2:$K$817)), ROW(79:79))), "")</f>
        <v/>
      </c>
      <c r="Z82" s="11">
        <f t="array" ref="Z82">IFERROR(INDEX('Bank Schedule'!AA:AA, SMALL(IF('Bank Schedule'!$K$2:$K$817="Vacant", ROW('Bank Schedule'!$K$2:$K$817)), ROW(79:79))), "")</f>
        <v/>
      </c>
      <c r="AA82" s="11">
        <f t="array" ref="AA82">IFERROR(INDEX('Bank Schedule'!AB:AB, SMALL(IF('Bank Schedule'!$K$2:$K$817="Vacant", ROW('Bank Schedule'!$K$2:$K$817)), ROW(79:79))), "")</f>
        <v/>
      </c>
      <c r="AB82" s="25">
        <f t="array" ref="AB82">IFERROR(INDEX('Bank Schedule'!AC:AC, SMALL(IF('Bank Schedule'!$K$2:$K$817="Vacant", ROW('Bank Schedule'!$K$2:$K$817)), ROW(79:79))), "")</f>
        <v/>
      </c>
      <c r="AC82" s="277">
        <f t="array" ref="AC82">IFERROR(INDEX('Bank Schedule'!AD:AD, SMALL(IF('Bank Schedule'!$K$2:$K$817="Vacant", ROW('Bank Schedule'!$K$2:$K$817)), ROW(79:79))), "")</f>
        <v/>
      </c>
      <c r="AD82" s="11">
        <f t="array" ref="AD82">IFERROR(INDEX('Bank Schedule'!AE:AE, SMALL(IF('Bank Schedule'!$K$2:$K$817="Vacant", ROW('Bank Schedule'!$K$2:$K$817)), ROW(79:79))), "")</f>
        <v/>
      </c>
      <c r="AE82" s="11">
        <f t="array" ref="AE82">IFERROR(INDEX('Bank Schedule'!AF:AF, SMALL(IF('Bank Schedule'!$K$2:$K$817="Vacant", ROW('Bank Schedule'!$K$2:$K$817)), ROW(79:79))), "")</f>
        <v/>
      </c>
      <c r="AF82" s="11">
        <f t="array" ref="AF82">IFERROR(INDEX('Bank Schedule'!AG:AG, SMALL(IF('Bank Schedule'!$K$2:$K$817="Vacant", ROW('Bank Schedule'!$K$2:$K$817)), ROW(79:79))), "")</f>
        <v/>
      </c>
      <c r="AG82" s="4" t="n"/>
    </row>
    <row r="83" ht="28.5" customHeight="1">
      <c r="A83" s="2">
        <f t="array" ref="A83">IFERROR(INDEX('Bank Schedule'!A:A, SMALL(IF('Bank Schedule'!$K$2:$K$817="Vacant", ROW('Bank Schedule'!$K$2:$K$817)), ROW(80:80))), "")</f>
        <v/>
      </c>
      <c r="B83" s="11">
        <f t="array" ref="B83">IFERROR(INDEX('Bank Schedule'!B:B, SMALL(IF('Bank Schedule'!$K$2:$K$817="Vacant", ROW('Bank Schedule'!$K$2:$K$817)), ROW(80:80))), "")</f>
        <v/>
      </c>
      <c r="C83" s="11">
        <f t="array" ref="C83">IFERROR(INDEX('Bank Schedule'!C:C, SMALL(IF('Bank Schedule'!$K$2:$K$817="Vacant", ROW('Bank Schedule'!$K$2:$K$817)), ROW(80:80))), "")</f>
        <v/>
      </c>
      <c r="D83" s="11">
        <f t="array" ref="D83">IFERROR(INDEX('Bank Schedule'!D:D, SMALL(IF('Bank Schedule'!$K$2:$K$817="Vacant", ROW('Bank Schedule'!$K$2:$K$817)), ROW(80:80))), "")</f>
        <v/>
      </c>
      <c r="E83" s="25">
        <f t="array" ref="E83">IFERROR(INDEX('Bank Schedule'!E:E, SMALL(IF('Bank Schedule'!$K$2:$K$817="Vacant", ROW('Bank Schedule'!$K$2:$K$817)), ROW(80:80))), "")</f>
        <v/>
      </c>
      <c r="F83" s="25">
        <f t="array" ref="F83">IFERROR(INDEX('Bank Schedule'!F:F, SMALL(IF('Bank Schedule'!$K$2:$K$817="Vacant", ROW('Bank Schedule'!$K$2:$K$817)), ROW(80:80))), "")</f>
        <v/>
      </c>
      <c r="G83" s="25">
        <f t="array" ref="G83">IFERROR(INDEX('Bank Schedule'!G:G, SMALL(IF('Bank Schedule'!$K$2:$K$817="Vacant", ROW('Bank Schedule'!$K$2:$K$817)), ROW(80:80))), "")</f>
        <v/>
      </c>
      <c r="H83" s="53">
        <f t="array" ref="H83">IFERROR(INDEX('Bank Schedule'!H:H, SMALL(IF('Bank Schedule'!$K$2:$K$817="Vacant", ROW('Bank Schedule'!$K$2:$K$817)), ROW(80:80))), "")</f>
        <v/>
      </c>
      <c r="I83" s="53">
        <f t="array" ref="I83">IFERROR(INDEX('Bank Schedule'!I:I, SMALL(IF('Bank Schedule'!$K$2:$K$817="Vacant", ROW('Bank Schedule'!$K$2:$K$817)), ROW(80:80))), "")</f>
        <v/>
      </c>
      <c r="J83" s="11">
        <f t="array" ref="J83">IFERROR(INDEX('Bank Schedule'!K:K, SMALL(IF('Bank Schedule'!$K$2:$K$817="Vacant", ROW('Bank Schedule'!$K$2:$K$817)), ROW(80:80))), "")</f>
        <v/>
      </c>
      <c r="K83" s="11">
        <f t="array" ref="K83">IFERROR(INDEX('Bank Schedule'!L:L, SMALL(IF('Bank Schedule'!$K$2:$K$817="Vacant", ROW('Bank Schedule'!$K$2:$K$817)), ROW(80:80))), "")</f>
        <v/>
      </c>
      <c r="L83" s="11">
        <f t="array" ref="L83">IFERROR(INDEX('Bank Schedule'!M:M, SMALL(IF('Bank Schedule'!$K$2:$K$817="Vacant", ROW('Bank Schedule'!$K$2:$K$817)), ROW(80:80))), "")</f>
        <v/>
      </c>
      <c r="M83" s="106">
        <f t="array" ref="M83">IFERROR(INDEX('Bank Schedule'!N:N, SMALL(IF('Bank Schedule'!$K$2:$K$817="Vacant", ROW('Bank Schedule'!$K$2:$K$817)), ROW(80:80))), "")</f>
        <v/>
      </c>
      <c r="N83" s="11">
        <f t="array" ref="N83">IFERROR(INDEX('Bank Schedule'!O:O, SMALL(IF('Bank Schedule'!$K$2:$K$817="Vacant", ROW('Bank Schedule'!$K$2:$K$817)), ROW(80:80))), "")</f>
        <v/>
      </c>
      <c r="O83" s="11">
        <f t="array" ref="O83">IFERROR(INDEX('Bank Schedule'!P:P, SMALL(IF('Bank Schedule'!$K$2:$K$817="Vacant", ROW('Bank Schedule'!$K$2:$K$817)), ROW(80:80))), "")</f>
        <v/>
      </c>
      <c r="P83" s="11">
        <f t="array" ref="P83">IFERROR(INDEX('Bank Schedule'!Q:Q, SMALL(IF('Bank Schedule'!$K$2:$K$817="Vacant", ROW('Bank Schedule'!$K$2:$K$817)), ROW(80:80))), "")</f>
        <v/>
      </c>
      <c r="Q83" s="11">
        <f t="array" ref="Q83">IFERROR(INDEX('Bank Schedule'!R:R, SMALL(IF('Bank Schedule'!$K$2:$K$817="Vacant", ROW('Bank Schedule'!$K$2:$K$817)), ROW(80:80))), "")</f>
        <v/>
      </c>
      <c r="R83" s="11">
        <f t="array" ref="R83">IFERROR(INDEX('Bank Schedule'!S:S, SMALL(IF('Bank Schedule'!$K$2:$K$817="Vacant", ROW('Bank Schedule'!$K$2:$K$817)), ROW(80:80))), "")</f>
        <v/>
      </c>
      <c r="S83" s="301">
        <f t="array" ref="S83">IFERROR(INDEX('Bank Schedule'!T:T, SMALL(IF('Bank Schedule'!$K$2:$K$817="Vacant", ROW('Bank Schedule'!$K$2:$K$817)), ROW(80:80))), "")</f>
        <v/>
      </c>
      <c r="T83" s="301">
        <f t="array" ref="T83">IFERROR(INDEX('Bank Schedule'!U:U, SMALL(IF('Bank Schedule'!$K$2:$K$817="Vacant", ROW('Bank Schedule'!$K$2:$K$817)), ROW(80:80))), "")</f>
        <v/>
      </c>
      <c r="U83" s="301">
        <f t="array" ref="U83">IFERROR(INDEX('Bank Schedule'!V:V, SMALL(IF('Bank Schedule'!$K$2:$K$817="Vacant", ROW('Bank Schedule'!$K$2:$K$817)), ROW(80:80))), "")</f>
        <v/>
      </c>
      <c r="V83" s="301">
        <f t="array" ref="V83">IFERROR(INDEX('Bank Schedule'!W:W, SMALL(IF('Bank Schedule'!$K$2:$K$817="Vacant", ROW('Bank Schedule'!$K$2:$K$817)), ROW(80:80))), "")</f>
        <v/>
      </c>
      <c r="W83" s="300">
        <f t="array" ref="W83">IFERROR(INDEX('Bank Schedule'!X:X, SMALL(IF('Bank Schedule'!$K$2:$K$817="Vacant", ROW('Bank Schedule'!$K$2:$K$817)), ROW(80:80))), "")</f>
        <v/>
      </c>
      <c r="X83" s="11">
        <f t="array" ref="X83">IFERROR(INDEX('Bank Schedule'!Y:Y, SMALL(IF('Bank Schedule'!$K$2:$K$817="Vacant", ROW('Bank Schedule'!$K$2:$K$817)), ROW(80:80))), "")</f>
        <v/>
      </c>
      <c r="Y83" s="11">
        <f t="array" ref="Y83">IFERROR(INDEX('Bank Schedule'!Z:Z, SMALL(IF('Bank Schedule'!$K$2:$K$817="Vacant", ROW('Bank Schedule'!$K$2:$K$817)), ROW(80:80))), "")</f>
        <v/>
      </c>
      <c r="Z83" s="11">
        <f t="array" ref="Z83">IFERROR(INDEX('Bank Schedule'!AA:AA, SMALL(IF('Bank Schedule'!$K$2:$K$817="Vacant", ROW('Bank Schedule'!$K$2:$K$817)), ROW(80:80))), "")</f>
        <v/>
      </c>
      <c r="AA83" s="11">
        <f t="array" ref="AA83">IFERROR(INDEX('Bank Schedule'!AB:AB, SMALL(IF('Bank Schedule'!$K$2:$K$817="Vacant", ROW('Bank Schedule'!$K$2:$K$817)), ROW(80:80))), "")</f>
        <v/>
      </c>
      <c r="AB83" s="25">
        <f t="array" ref="AB83">IFERROR(INDEX('Bank Schedule'!AC:AC, SMALL(IF('Bank Schedule'!$K$2:$K$817="Vacant", ROW('Bank Schedule'!$K$2:$K$817)), ROW(80:80))), "")</f>
        <v/>
      </c>
      <c r="AC83" s="277">
        <f t="array" ref="AC83">IFERROR(INDEX('Bank Schedule'!AD:AD, SMALL(IF('Bank Schedule'!$K$2:$K$817="Vacant", ROW('Bank Schedule'!$K$2:$K$817)), ROW(80:80))), "")</f>
        <v/>
      </c>
      <c r="AD83" s="11">
        <f t="array" ref="AD83">IFERROR(INDEX('Bank Schedule'!AE:AE, SMALL(IF('Bank Schedule'!$K$2:$K$817="Vacant", ROW('Bank Schedule'!$K$2:$K$817)), ROW(80:80))), "")</f>
        <v/>
      </c>
      <c r="AE83" s="11">
        <f t="array" ref="AE83">IFERROR(INDEX('Bank Schedule'!AF:AF, SMALL(IF('Bank Schedule'!$K$2:$K$817="Vacant", ROW('Bank Schedule'!$K$2:$K$817)), ROW(80:80))), "")</f>
        <v/>
      </c>
      <c r="AF83" s="11">
        <f t="array" ref="AF83">IFERROR(INDEX('Bank Schedule'!AG:AG, SMALL(IF('Bank Schedule'!$K$2:$K$817="Vacant", ROW('Bank Schedule'!$K$2:$K$817)), ROW(80:80))), "")</f>
        <v/>
      </c>
      <c r="AG83" s="4" t="n"/>
    </row>
    <row r="84" ht="28.5" customHeight="1">
      <c r="A84" s="2">
        <f t="array" ref="A84">IFERROR(INDEX('Bank Schedule'!A:A, SMALL(IF('Bank Schedule'!$K$2:$K$817="Vacant", ROW('Bank Schedule'!$K$2:$K$817)), ROW(81:81))), "")</f>
        <v/>
      </c>
      <c r="B84" s="11">
        <f t="array" ref="B84">IFERROR(INDEX('Bank Schedule'!B:B, SMALL(IF('Bank Schedule'!$K$2:$K$817="Vacant", ROW('Bank Schedule'!$K$2:$K$817)), ROW(81:81))), "")</f>
        <v/>
      </c>
      <c r="C84" s="11">
        <f t="array" ref="C84">IFERROR(INDEX('Bank Schedule'!C:C, SMALL(IF('Bank Schedule'!$K$2:$K$817="Vacant", ROW('Bank Schedule'!$K$2:$K$817)), ROW(81:81))), "")</f>
        <v/>
      </c>
      <c r="D84" s="11">
        <f t="array" ref="D84">IFERROR(INDEX('Bank Schedule'!D:D, SMALL(IF('Bank Schedule'!$K$2:$K$817="Vacant", ROW('Bank Schedule'!$K$2:$K$817)), ROW(81:81))), "")</f>
        <v/>
      </c>
      <c r="E84" s="25">
        <f t="array" ref="E84">IFERROR(INDEX('Bank Schedule'!E:E, SMALL(IF('Bank Schedule'!$K$2:$K$817="Vacant", ROW('Bank Schedule'!$K$2:$K$817)), ROW(81:81))), "")</f>
        <v/>
      </c>
      <c r="F84" s="25">
        <f t="array" ref="F84">IFERROR(INDEX('Bank Schedule'!F:F, SMALL(IF('Bank Schedule'!$K$2:$K$817="Vacant", ROW('Bank Schedule'!$K$2:$K$817)), ROW(81:81))), "")</f>
        <v/>
      </c>
      <c r="G84" s="25">
        <f t="array" ref="G84">IFERROR(INDEX('Bank Schedule'!G:G, SMALL(IF('Bank Schedule'!$K$2:$K$817="Vacant", ROW('Bank Schedule'!$K$2:$K$817)), ROW(81:81))), "")</f>
        <v/>
      </c>
      <c r="H84" s="53">
        <f t="array" ref="H84">IFERROR(INDEX('Bank Schedule'!H:H, SMALL(IF('Bank Schedule'!$K$2:$K$817="Vacant", ROW('Bank Schedule'!$K$2:$K$817)), ROW(81:81))), "")</f>
        <v/>
      </c>
      <c r="I84" s="53">
        <f t="array" ref="I84">IFERROR(INDEX('Bank Schedule'!I:I, SMALL(IF('Bank Schedule'!$K$2:$K$817="Vacant", ROW('Bank Schedule'!$K$2:$K$817)), ROW(81:81))), "")</f>
        <v/>
      </c>
      <c r="J84" s="11">
        <f t="array" ref="J84">IFERROR(INDEX('Bank Schedule'!K:K, SMALL(IF('Bank Schedule'!$K$2:$K$817="Vacant", ROW('Bank Schedule'!$K$2:$K$817)), ROW(81:81))), "")</f>
        <v/>
      </c>
      <c r="K84" s="11">
        <f t="array" ref="K84">IFERROR(INDEX('Bank Schedule'!L:L, SMALL(IF('Bank Schedule'!$K$2:$K$817="Vacant", ROW('Bank Schedule'!$K$2:$K$817)), ROW(81:81))), "")</f>
        <v/>
      </c>
      <c r="L84" s="11">
        <f t="array" ref="L84">IFERROR(INDEX('Bank Schedule'!M:M, SMALL(IF('Bank Schedule'!$K$2:$K$817="Vacant", ROW('Bank Schedule'!$K$2:$K$817)), ROW(81:81))), "")</f>
        <v/>
      </c>
      <c r="M84" s="106">
        <f t="array" ref="M84">IFERROR(INDEX('Bank Schedule'!N:N, SMALL(IF('Bank Schedule'!$K$2:$K$817="Vacant", ROW('Bank Schedule'!$K$2:$K$817)), ROW(81:81))), "")</f>
        <v/>
      </c>
      <c r="N84" s="11">
        <f t="array" ref="N84">IFERROR(INDEX('Bank Schedule'!O:O, SMALL(IF('Bank Schedule'!$K$2:$K$817="Vacant", ROW('Bank Schedule'!$K$2:$K$817)), ROW(81:81))), "")</f>
        <v/>
      </c>
      <c r="O84" s="11">
        <f t="array" ref="O84">IFERROR(INDEX('Bank Schedule'!P:P, SMALL(IF('Bank Schedule'!$K$2:$K$817="Vacant", ROW('Bank Schedule'!$K$2:$K$817)), ROW(81:81))), "")</f>
        <v/>
      </c>
      <c r="P84" s="11">
        <f t="array" ref="P84">IFERROR(INDEX('Bank Schedule'!Q:Q, SMALL(IF('Bank Schedule'!$K$2:$K$817="Vacant", ROW('Bank Schedule'!$K$2:$K$817)), ROW(81:81))), "")</f>
        <v/>
      </c>
      <c r="Q84" s="11">
        <f t="array" ref="Q84">IFERROR(INDEX('Bank Schedule'!R:R, SMALL(IF('Bank Schedule'!$K$2:$K$817="Vacant", ROW('Bank Schedule'!$K$2:$K$817)), ROW(81:81))), "")</f>
        <v/>
      </c>
      <c r="R84" s="11">
        <f t="array" ref="R84">IFERROR(INDEX('Bank Schedule'!S:S, SMALL(IF('Bank Schedule'!$K$2:$K$817="Vacant", ROW('Bank Schedule'!$K$2:$K$817)), ROW(81:81))), "")</f>
        <v/>
      </c>
      <c r="S84" s="301">
        <f t="array" ref="S84">IFERROR(INDEX('Bank Schedule'!T:T, SMALL(IF('Bank Schedule'!$K$2:$K$817="Vacant", ROW('Bank Schedule'!$K$2:$K$817)), ROW(81:81))), "")</f>
        <v/>
      </c>
      <c r="T84" s="301">
        <f t="array" ref="T84">IFERROR(INDEX('Bank Schedule'!U:U, SMALL(IF('Bank Schedule'!$K$2:$K$817="Vacant", ROW('Bank Schedule'!$K$2:$K$817)), ROW(81:81))), "")</f>
        <v/>
      </c>
      <c r="U84" s="301">
        <f t="array" ref="U84">IFERROR(INDEX('Bank Schedule'!V:V, SMALL(IF('Bank Schedule'!$K$2:$K$817="Vacant", ROW('Bank Schedule'!$K$2:$K$817)), ROW(81:81))), "")</f>
        <v/>
      </c>
      <c r="V84" s="301">
        <f t="array" ref="V84">IFERROR(INDEX('Bank Schedule'!W:W, SMALL(IF('Bank Schedule'!$K$2:$K$817="Vacant", ROW('Bank Schedule'!$K$2:$K$817)), ROW(81:81))), "")</f>
        <v/>
      </c>
      <c r="W84" s="300">
        <f t="array" ref="W84">IFERROR(INDEX('Bank Schedule'!X:X, SMALL(IF('Bank Schedule'!$K$2:$K$817="Vacant", ROW('Bank Schedule'!$K$2:$K$817)), ROW(81:81))), "")</f>
        <v/>
      </c>
      <c r="X84" s="11">
        <f t="array" ref="X84">IFERROR(INDEX('Bank Schedule'!Y:Y, SMALL(IF('Bank Schedule'!$K$2:$K$817="Vacant", ROW('Bank Schedule'!$K$2:$K$817)), ROW(81:81))), "")</f>
        <v/>
      </c>
      <c r="Y84" s="11">
        <f t="array" ref="Y84">IFERROR(INDEX('Bank Schedule'!Z:Z, SMALL(IF('Bank Schedule'!$K$2:$K$817="Vacant", ROW('Bank Schedule'!$K$2:$K$817)), ROW(81:81))), "")</f>
        <v/>
      </c>
      <c r="Z84" s="11">
        <f t="array" ref="Z84">IFERROR(INDEX('Bank Schedule'!AA:AA, SMALL(IF('Bank Schedule'!$K$2:$K$817="Vacant", ROW('Bank Schedule'!$K$2:$K$817)), ROW(81:81))), "")</f>
        <v/>
      </c>
      <c r="AA84" s="11">
        <f t="array" ref="AA84">IFERROR(INDEX('Bank Schedule'!AB:AB, SMALL(IF('Bank Schedule'!$K$2:$K$817="Vacant", ROW('Bank Schedule'!$K$2:$K$817)), ROW(81:81))), "")</f>
        <v/>
      </c>
      <c r="AB84" s="25">
        <f t="array" ref="AB84">IFERROR(INDEX('Bank Schedule'!AC:AC, SMALL(IF('Bank Schedule'!$K$2:$K$817="Vacant", ROW('Bank Schedule'!$K$2:$K$817)), ROW(81:81))), "")</f>
        <v/>
      </c>
      <c r="AC84" s="277">
        <f t="array" ref="AC84">IFERROR(INDEX('Bank Schedule'!AD:AD, SMALL(IF('Bank Schedule'!$K$2:$K$817="Vacant", ROW('Bank Schedule'!$K$2:$K$817)), ROW(81:81))), "")</f>
        <v/>
      </c>
      <c r="AD84" s="11">
        <f t="array" ref="AD84">IFERROR(INDEX('Bank Schedule'!AE:AE, SMALL(IF('Bank Schedule'!$K$2:$K$817="Vacant", ROW('Bank Schedule'!$K$2:$K$817)), ROW(81:81))), "")</f>
        <v/>
      </c>
      <c r="AE84" s="11">
        <f t="array" ref="AE84">IFERROR(INDEX('Bank Schedule'!AF:AF, SMALL(IF('Bank Schedule'!$K$2:$K$817="Vacant", ROW('Bank Schedule'!$K$2:$K$817)), ROW(81:81))), "")</f>
        <v/>
      </c>
      <c r="AF84" s="11">
        <f t="array" ref="AF84">IFERROR(INDEX('Bank Schedule'!AG:AG, SMALL(IF('Bank Schedule'!$K$2:$K$817="Vacant", ROW('Bank Schedule'!$K$2:$K$817)), ROW(81:81))), "")</f>
        <v/>
      </c>
      <c r="AG84" s="4" t="n"/>
    </row>
    <row r="85" ht="28.5" customHeight="1">
      <c r="A85" s="2">
        <f t="array" ref="A85">IFERROR(INDEX('Bank Schedule'!A:A, SMALL(IF('Bank Schedule'!$K$2:$K$817="Vacant", ROW('Bank Schedule'!$K$2:$K$817)), ROW(82:82))), "")</f>
        <v/>
      </c>
      <c r="B85" s="11">
        <f t="array" ref="B85">IFERROR(INDEX('Bank Schedule'!B:B, SMALL(IF('Bank Schedule'!$K$2:$K$817="Vacant", ROW('Bank Schedule'!$K$2:$K$817)), ROW(82:82))), "")</f>
        <v/>
      </c>
      <c r="C85" s="11">
        <f t="array" ref="C85">IFERROR(INDEX('Bank Schedule'!C:C, SMALL(IF('Bank Schedule'!$K$2:$K$817="Vacant", ROW('Bank Schedule'!$K$2:$K$817)), ROW(82:82))), "")</f>
        <v/>
      </c>
      <c r="D85" s="11">
        <f t="array" ref="D85">IFERROR(INDEX('Bank Schedule'!D:D, SMALL(IF('Bank Schedule'!$K$2:$K$817="Vacant", ROW('Bank Schedule'!$K$2:$K$817)), ROW(82:82))), "")</f>
        <v/>
      </c>
      <c r="E85" s="25">
        <f t="array" ref="E85">IFERROR(INDEX('Bank Schedule'!E:E, SMALL(IF('Bank Schedule'!$K$2:$K$817="Vacant", ROW('Bank Schedule'!$K$2:$K$817)), ROW(82:82))), "")</f>
        <v/>
      </c>
      <c r="F85" s="25">
        <f t="array" ref="F85">IFERROR(INDEX('Bank Schedule'!F:F, SMALL(IF('Bank Schedule'!$K$2:$K$817="Vacant", ROW('Bank Schedule'!$K$2:$K$817)), ROW(82:82))), "")</f>
        <v/>
      </c>
      <c r="G85" s="25">
        <f t="array" ref="G85">IFERROR(INDEX('Bank Schedule'!G:G, SMALL(IF('Bank Schedule'!$K$2:$K$817="Vacant", ROW('Bank Schedule'!$K$2:$K$817)), ROW(82:82))), "")</f>
        <v/>
      </c>
      <c r="H85" s="53">
        <f t="array" ref="H85">IFERROR(INDEX('Bank Schedule'!H:H, SMALL(IF('Bank Schedule'!$K$2:$K$817="Vacant", ROW('Bank Schedule'!$K$2:$K$817)), ROW(82:82))), "")</f>
        <v/>
      </c>
      <c r="I85" s="53">
        <f t="array" ref="I85">IFERROR(INDEX('Bank Schedule'!I:I, SMALL(IF('Bank Schedule'!$K$2:$K$817="Vacant", ROW('Bank Schedule'!$K$2:$K$817)), ROW(82:82))), "")</f>
        <v/>
      </c>
      <c r="J85" s="11">
        <f t="array" ref="J85">IFERROR(INDEX('Bank Schedule'!K:K, SMALL(IF('Bank Schedule'!$K$2:$K$817="Vacant", ROW('Bank Schedule'!$K$2:$K$817)), ROW(82:82))), "")</f>
        <v/>
      </c>
      <c r="K85" s="11">
        <f t="array" ref="K85">IFERROR(INDEX('Bank Schedule'!L:L, SMALL(IF('Bank Schedule'!$K$2:$K$817="Vacant", ROW('Bank Schedule'!$K$2:$K$817)), ROW(82:82))), "")</f>
        <v/>
      </c>
      <c r="L85" s="11">
        <f t="array" ref="L85">IFERROR(INDEX('Bank Schedule'!M:M, SMALL(IF('Bank Schedule'!$K$2:$K$817="Vacant", ROW('Bank Schedule'!$K$2:$K$817)), ROW(82:82))), "")</f>
        <v/>
      </c>
      <c r="M85" s="106">
        <f t="array" ref="M85">IFERROR(INDEX('Bank Schedule'!N:N, SMALL(IF('Bank Schedule'!$K$2:$K$817="Vacant", ROW('Bank Schedule'!$K$2:$K$817)), ROW(82:82))), "")</f>
        <v/>
      </c>
      <c r="N85" s="11">
        <f t="array" ref="N85">IFERROR(INDEX('Bank Schedule'!O:O, SMALL(IF('Bank Schedule'!$K$2:$K$817="Vacant", ROW('Bank Schedule'!$K$2:$K$817)), ROW(82:82))), "")</f>
        <v/>
      </c>
      <c r="O85" s="11">
        <f t="array" ref="O85">IFERROR(INDEX('Bank Schedule'!P:P, SMALL(IF('Bank Schedule'!$K$2:$K$817="Vacant", ROW('Bank Schedule'!$K$2:$K$817)), ROW(82:82))), "")</f>
        <v/>
      </c>
      <c r="P85" s="11">
        <f t="array" ref="P85">IFERROR(INDEX('Bank Schedule'!Q:Q, SMALL(IF('Bank Schedule'!$K$2:$K$817="Vacant", ROW('Bank Schedule'!$K$2:$K$817)), ROW(82:82))), "")</f>
        <v/>
      </c>
      <c r="Q85" s="11">
        <f t="array" ref="Q85">IFERROR(INDEX('Bank Schedule'!R:R, SMALL(IF('Bank Schedule'!$K$2:$K$817="Vacant", ROW('Bank Schedule'!$K$2:$K$817)), ROW(82:82))), "")</f>
        <v/>
      </c>
      <c r="R85" s="11">
        <f t="array" ref="R85">IFERROR(INDEX('Bank Schedule'!S:S, SMALL(IF('Bank Schedule'!$K$2:$K$817="Vacant", ROW('Bank Schedule'!$K$2:$K$817)), ROW(82:82))), "")</f>
        <v/>
      </c>
      <c r="S85" s="301">
        <f t="array" ref="S85">IFERROR(INDEX('Bank Schedule'!T:T, SMALL(IF('Bank Schedule'!$K$2:$K$817="Vacant", ROW('Bank Schedule'!$K$2:$K$817)), ROW(82:82))), "")</f>
        <v/>
      </c>
      <c r="T85" s="301">
        <f t="array" ref="T85">IFERROR(INDEX('Bank Schedule'!U:U, SMALL(IF('Bank Schedule'!$K$2:$K$817="Vacant", ROW('Bank Schedule'!$K$2:$K$817)), ROW(82:82))), "")</f>
        <v/>
      </c>
      <c r="U85" s="301">
        <f t="array" ref="U85">IFERROR(INDEX('Bank Schedule'!V:V, SMALL(IF('Bank Schedule'!$K$2:$K$817="Vacant", ROW('Bank Schedule'!$K$2:$K$817)), ROW(82:82))), "")</f>
        <v/>
      </c>
      <c r="V85" s="301">
        <f t="array" ref="V85">IFERROR(INDEX('Bank Schedule'!W:W, SMALL(IF('Bank Schedule'!$K$2:$K$817="Vacant", ROW('Bank Schedule'!$K$2:$K$817)), ROW(82:82))), "")</f>
        <v/>
      </c>
      <c r="W85" s="300">
        <f t="array" ref="W85">IFERROR(INDEX('Bank Schedule'!X:X, SMALL(IF('Bank Schedule'!$K$2:$K$817="Vacant", ROW('Bank Schedule'!$K$2:$K$817)), ROW(82:82))), "")</f>
        <v/>
      </c>
      <c r="X85" s="11">
        <f t="array" ref="X85">IFERROR(INDEX('Bank Schedule'!Y:Y, SMALL(IF('Bank Schedule'!$K$2:$K$817="Vacant", ROW('Bank Schedule'!$K$2:$K$817)), ROW(82:82))), "")</f>
        <v/>
      </c>
      <c r="Y85" s="11">
        <f t="array" ref="Y85">IFERROR(INDEX('Bank Schedule'!Z:Z, SMALL(IF('Bank Schedule'!$K$2:$K$817="Vacant", ROW('Bank Schedule'!$K$2:$K$817)), ROW(82:82))), "")</f>
        <v/>
      </c>
      <c r="Z85" s="11">
        <f t="array" ref="Z85">IFERROR(INDEX('Bank Schedule'!AA:AA, SMALL(IF('Bank Schedule'!$K$2:$K$817="Vacant", ROW('Bank Schedule'!$K$2:$K$817)), ROW(82:82))), "")</f>
        <v/>
      </c>
      <c r="AA85" s="11">
        <f t="array" ref="AA85">IFERROR(INDEX('Bank Schedule'!AB:AB, SMALL(IF('Bank Schedule'!$K$2:$K$817="Vacant", ROW('Bank Schedule'!$K$2:$K$817)), ROW(82:82))), "")</f>
        <v/>
      </c>
      <c r="AB85" s="25">
        <f t="array" ref="AB85">IFERROR(INDEX('Bank Schedule'!AC:AC, SMALL(IF('Bank Schedule'!$K$2:$K$817="Vacant", ROW('Bank Schedule'!$K$2:$K$817)), ROW(82:82))), "")</f>
        <v/>
      </c>
      <c r="AC85" s="277">
        <f t="array" ref="AC85">IFERROR(INDEX('Bank Schedule'!AD:AD, SMALL(IF('Bank Schedule'!$K$2:$K$817="Vacant", ROW('Bank Schedule'!$K$2:$K$817)), ROW(82:82))), "")</f>
        <v/>
      </c>
      <c r="AD85" s="11">
        <f t="array" ref="AD85">IFERROR(INDEX('Bank Schedule'!AE:AE, SMALL(IF('Bank Schedule'!$K$2:$K$817="Vacant", ROW('Bank Schedule'!$K$2:$K$817)), ROW(82:82))), "")</f>
        <v/>
      </c>
      <c r="AE85" s="11">
        <f t="array" ref="AE85">IFERROR(INDEX('Bank Schedule'!AF:AF, SMALL(IF('Bank Schedule'!$K$2:$K$817="Vacant", ROW('Bank Schedule'!$K$2:$K$817)), ROW(82:82))), "")</f>
        <v/>
      </c>
      <c r="AF85" s="11">
        <f t="array" ref="AF85">IFERROR(INDEX('Bank Schedule'!AG:AG, SMALL(IF('Bank Schedule'!$K$2:$K$817="Vacant", ROW('Bank Schedule'!$K$2:$K$817)), ROW(82:82))), "")</f>
        <v/>
      </c>
      <c r="AG85" s="4" t="n"/>
    </row>
    <row r="86" ht="28.5" customHeight="1">
      <c r="A86" s="2">
        <f t="array" ref="A86">IFERROR(INDEX('Bank Schedule'!A:A, SMALL(IF('Bank Schedule'!$K$2:$K$817="Vacant", ROW('Bank Schedule'!$K$2:$K$817)), ROW(83:83))), "")</f>
        <v/>
      </c>
      <c r="B86" s="11">
        <f t="array" ref="B86">IFERROR(INDEX('Bank Schedule'!B:B, SMALL(IF('Bank Schedule'!$K$2:$K$817="Vacant", ROW('Bank Schedule'!$K$2:$K$817)), ROW(83:83))), "")</f>
        <v/>
      </c>
      <c r="C86" s="11">
        <f t="array" ref="C86">IFERROR(INDEX('Bank Schedule'!C:C, SMALL(IF('Bank Schedule'!$K$2:$K$817="Vacant", ROW('Bank Schedule'!$K$2:$K$817)), ROW(83:83))), "")</f>
        <v/>
      </c>
      <c r="D86" s="11">
        <f t="array" ref="D86">IFERROR(INDEX('Bank Schedule'!D:D, SMALL(IF('Bank Schedule'!$K$2:$K$817="Vacant", ROW('Bank Schedule'!$K$2:$K$817)), ROW(83:83))), "")</f>
        <v/>
      </c>
      <c r="E86" s="25">
        <f t="array" ref="E86">IFERROR(INDEX('Bank Schedule'!E:E, SMALL(IF('Bank Schedule'!$K$2:$K$817="Vacant", ROW('Bank Schedule'!$K$2:$K$817)), ROW(83:83))), "")</f>
        <v/>
      </c>
      <c r="F86" s="25">
        <f t="array" ref="F86">IFERROR(INDEX('Bank Schedule'!F:F, SMALL(IF('Bank Schedule'!$K$2:$K$817="Vacant", ROW('Bank Schedule'!$K$2:$K$817)), ROW(83:83))), "")</f>
        <v/>
      </c>
      <c r="G86" s="25">
        <f t="array" ref="G86">IFERROR(INDEX('Bank Schedule'!G:G, SMALL(IF('Bank Schedule'!$K$2:$K$817="Vacant", ROW('Bank Schedule'!$K$2:$K$817)), ROW(83:83))), "")</f>
        <v/>
      </c>
      <c r="H86" s="53">
        <f t="array" ref="H86">IFERROR(INDEX('Bank Schedule'!H:H, SMALL(IF('Bank Schedule'!$K$2:$K$817="Vacant", ROW('Bank Schedule'!$K$2:$K$817)), ROW(83:83))), "")</f>
        <v/>
      </c>
      <c r="I86" s="53">
        <f t="array" ref="I86">IFERROR(INDEX('Bank Schedule'!I:I, SMALL(IF('Bank Schedule'!$K$2:$K$817="Vacant", ROW('Bank Schedule'!$K$2:$K$817)), ROW(83:83))), "")</f>
        <v/>
      </c>
      <c r="J86" s="11">
        <f t="array" ref="J86">IFERROR(INDEX('Bank Schedule'!K:K, SMALL(IF('Bank Schedule'!$K$2:$K$817="Vacant", ROW('Bank Schedule'!$K$2:$K$817)), ROW(83:83))), "")</f>
        <v/>
      </c>
      <c r="K86" s="11">
        <f t="array" ref="K86">IFERROR(INDEX('Bank Schedule'!L:L, SMALL(IF('Bank Schedule'!$K$2:$K$817="Vacant", ROW('Bank Schedule'!$K$2:$K$817)), ROW(83:83))), "")</f>
        <v/>
      </c>
      <c r="L86" s="11">
        <f t="array" ref="L86">IFERROR(INDEX('Bank Schedule'!M:M, SMALL(IF('Bank Schedule'!$K$2:$K$817="Vacant", ROW('Bank Schedule'!$K$2:$K$817)), ROW(83:83))), "")</f>
        <v/>
      </c>
      <c r="M86" s="106">
        <f t="array" ref="M86">IFERROR(INDEX('Bank Schedule'!N:N, SMALL(IF('Bank Schedule'!$K$2:$K$817="Vacant", ROW('Bank Schedule'!$K$2:$K$817)), ROW(83:83))), "")</f>
        <v/>
      </c>
      <c r="N86" s="11">
        <f t="array" ref="N86">IFERROR(INDEX('Bank Schedule'!O:O, SMALL(IF('Bank Schedule'!$K$2:$K$817="Vacant", ROW('Bank Schedule'!$K$2:$K$817)), ROW(83:83))), "")</f>
        <v/>
      </c>
      <c r="O86" s="11">
        <f t="array" ref="O86">IFERROR(INDEX('Bank Schedule'!P:P, SMALL(IF('Bank Schedule'!$K$2:$K$817="Vacant", ROW('Bank Schedule'!$K$2:$K$817)), ROW(83:83))), "")</f>
        <v/>
      </c>
      <c r="P86" s="11">
        <f t="array" ref="P86">IFERROR(INDEX('Bank Schedule'!Q:Q, SMALL(IF('Bank Schedule'!$K$2:$K$817="Vacant", ROW('Bank Schedule'!$K$2:$K$817)), ROW(83:83))), "")</f>
        <v/>
      </c>
      <c r="Q86" s="11">
        <f t="array" ref="Q86">IFERROR(INDEX('Bank Schedule'!R:R, SMALL(IF('Bank Schedule'!$K$2:$K$817="Vacant", ROW('Bank Schedule'!$K$2:$K$817)), ROW(83:83))), "")</f>
        <v/>
      </c>
      <c r="R86" s="11">
        <f t="array" ref="R86">IFERROR(INDEX('Bank Schedule'!S:S, SMALL(IF('Bank Schedule'!$K$2:$K$817="Vacant", ROW('Bank Schedule'!$K$2:$K$817)), ROW(83:83))), "")</f>
        <v/>
      </c>
      <c r="S86" s="301">
        <f t="array" ref="S86">IFERROR(INDEX('Bank Schedule'!T:T, SMALL(IF('Bank Schedule'!$K$2:$K$817="Vacant", ROW('Bank Schedule'!$K$2:$K$817)), ROW(83:83))), "")</f>
        <v/>
      </c>
      <c r="T86" s="301">
        <f t="array" ref="T86">IFERROR(INDEX('Bank Schedule'!U:U, SMALL(IF('Bank Schedule'!$K$2:$K$817="Vacant", ROW('Bank Schedule'!$K$2:$K$817)), ROW(83:83))), "")</f>
        <v/>
      </c>
      <c r="U86" s="301">
        <f t="array" ref="U86">IFERROR(INDEX('Bank Schedule'!V:V, SMALL(IF('Bank Schedule'!$K$2:$K$817="Vacant", ROW('Bank Schedule'!$K$2:$K$817)), ROW(83:83))), "")</f>
        <v/>
      </c>
      <c r="V86" s="301">
        <f t="array" ref="V86">IFERROR(INDEX('Bank Schedule'!W:W, SMALL(IF('Bank Schedule'!$K$2:$K$817="Vacant", ROW('Bank Schedule'!$K$2:$K$817)), ROW(83:83))), "")</f>
        <v/>
      </c>
      <c r="W86" s="300">
        <f t="array" ref="W86">IFERROR(INDEX('Bank Schedule'!X:X, SMALL(IF('Bank Schedule'!$K$2:$K$817="Vacant", ROW('Bank Schedule'!$K$2:$K$817)), ROW(83:83))), "")</f>
        <v/>
      </c>
      <c r="X86" s="11">
        <f t="array" ref="X86">IFERROR(INDEX('Bank Schedule'!Y:Y, SMALL(IF('Bank Schedule'!$K$2:$K$817="Vacant", ROW('Bank Schedule'!$K$2:$K$817)), ROW(83:83))), "")</f>
        <v/>
      </c>
      <c r="Y86" s="11">
        <f t="array" ref="Y86">IFERROR(INDEX('Bank Schedule'!Z:Z, SMALL(IF('Bank Schedule'!$K$2:$K$817="Vacant", ROW('Bank Schedule'!$K$2:$K$817)), ROW(83:83))), "")</f>
        <v/>
      </c>
      <c r="Z86" s="11">
        <f t="array" ref="Z86">IFERROR(INDEX('Bank Schedule'!AA:AA, SMALL(IF('Bank Schedule'!$K$2:$K$817="Vacant", ROW('Bank Schedule'!$K$2:$K$817)), ROW(83:83))), "")</f>
        <v/>
      </c>
      <c r="AA86" s="11">
        <f t="array" ref="AA86">IFERROR(INDEX('Bank Schedule'!AB:AB, SMALL(IF('Bank Schedule'!$K$2:$K$817="Vacant", ROW('Bank Schedule'!$K$2:$K$817)), ROW(83:83))), "")</f>
        <v/>
      </c>
      <c r="AB86" s="25">
        <f t="array" ref="AB86">IFERROR(INDEX('Bank Schedule'!AC:AC, SMALL(IF('Bank Schedule'!$K$2:$K$817="Vacant", ROW('Bank Schedule'!$K$2:$K$817)), ROW(83:83))), "")</f>
        <v/>
      </c>
      <c r="AC86" s="277">
        <f t="array" ref="AC86">IFERROR(INDEX('Bank Schedule'!AD:AD, SMALL(IF('Bank Schedule'!$K$2:$K$817="Vacant", ROW('Bank Schedule'!$K$2:$K$817)), ROW(83:83))), "")</f>
        <v/>
      </c>
      <c r="AD86" s="11">
        <f t="array" ref="AD86">IFERROR(INDEX('Bank Schedule'!AE:AE, SMALL(IF('Bank Schedule'!$K$2:$K$817="Vacant", ROW('Bank Schedule'!$K$2:$K$817)), ROW(83:83))), "")</f>
        <v/>
      </c>
      <c r="AE86" s="11">
        <f t="array" ref="AE86">IFERROR(INDEX('Bank Schedule'!AF:AF, SMALL(IF('Bank Schedule'!$K$2:$K$817="Vacant", ROW('Bank Schedule'!$K$2:$K$817)), ROW(83:83))), "")</f>
        <v/>
      </c>
      <c r="AF86" s="11">
        <f t="array" ref="AF86">IFERROR(INDEX('Bank Schedule'!AG:AG, SMALL(IF('Bank Schedule'!$K$2:$K$817="Vacant", ROW('Bank Schedule'!$K$2:$K$817)), ROW(83:83))), "")</f>
        <v/>
      </c>
      <c r="AG86" s="4" t="n"/>
    </row>
    <row r="87" ht="28.5" customHeight="1">
      <c r="A87" s="2">
        <f t="array" ref="A87">IFERROR(INDEX('Bank Schedule'!A:A, SMALL(IF('Bank Schedule'!$K$2:$K$817="Vacant", ROW('Bank Schedule'!$K$2:$K$817)), ROW(84:84))), "")</f>
        <v/>
      </c>
      <c r="B87" s="11">
        <f t="array" ref="B87">IFERROR(INDEX('Bank Schedule'!B:B, SMALL(IF('Bank Schedule'!$K$2:$K$817="Vacant", ROW('Bank Schedule'!$K$2:$K$817)), ROW(84:84))), "")</f>
        <v/>
      </c>
      <c r="C87" s="11">
        <f t="array" ref="C87">IFERROR(INDEX('Bank Schedule'!C:C, SMALL(IF('Bank Schedule'!$K$2:$K$817="Vacant", ROW('Bank Schedule'!$K$2:$K$817)), ROW(84:84))), "")</f>
        <v/>
      </c>
      <c r="D87" s="11">
        <f t="array" ref="D87">IFERROR(INDEX('Bank Schedule'!D:D, SMALL(IF('Bank Schedule'!$K$2:$K$817="Vacant", ROW('Bank Schedule'!$K$2:$K$817)), ROW(84:84))), "")</f>
        <v/>
      </c>
      <c r="E87" s="25">
        <f t="array" ref="E87">IFERROR(INDEX('Bank Schedule'!E:E, SMALL(IF('Bank Schedule'!$K$2:$K$817="Vacant", ROW('Bank Schedule'!$K$2:$K$817)), ROW(84:84))), "")</f>
        <v/>
      </c>
      <c r="F87" s="25">
        <f t="array" ref="F87">IFERROR(INDEX('Bank Schedule'!F:F, SMALL(IF('Bank Schedule'!$K$2:$K$817="Vacant", ROW('Bank Schedule'!$K$2:$K$817)), ROW(84:84))), "")</f>
        <v/>
      </c>
      <c r="G87" s="25">
        <f t="array" ref="G87">IFERROR(INDEX('Bank Schedule'!G:G, SMALL(IF('Bank Schedule'!$K$2:$K$817="Vacant", ROW('Bank Schedule'!$K$2:$K$817)), ROW(84:84))), "")</f>
        <v/>
      </c>
      <c r="H87" s="53">
        <f t="array" ref="H87">IFERROR(INDEX('Bank Schedule'!H:H, SMALL(IF('Bank Schedule'!$K$2:$K$817="Vacant", ROW('Bank Schedule'!$K$2:$K$817)), ROW(84:84))), "")</f>
        <v/>
      </c>
      <c r="I87" s="53">
        <f t="array" ref="I87">IFERROR(INDEX('Bank Schedule'!I:I, SMALL(IF('Bank Schedule'!$K$2:$K$817="Vacant", ROW('Bank Schedule'!$K$2:$K$817)), ROW(84:84))), "")</f>
        <v/>
      </c>
      <c r="J87" s="11">
        <f t="array" ref="J87">IFERROR(INDEX('Bank Schedule'!K:K, SMALL(IF('Bank Schedule'!$K$2:$K$817="Vacant", ROW('Bank Schedule'!$K$2:$K$817)), ROW(84:84))), "")</f>
        <v/>
      </c>
      <c r="K87" s="11">
        <f t="array" ref="K87">IFERROR(INDEX('Bank Schedule'!L:L, SMALL(IF('Bank Schedule'!$K$2:$K$817="Vacant", ROW('Bank Schedule'!$K$2:$K$817)), ROW(84:84))), "")</f>
        <v/>
      </c>
      <c r="L87" s="11">
        <f t="array" ref="L87">IFERROR(INDEX('Bank Schedule'!M:M, SMALL(IF('Bank Schedule'!$K$2:$K$817="Vacant", ROW('Bank Schedule'!$K$2:$K$817)), ROW(84:84))), "")</f>
        <v/>
      </c>
      <c r="M87" s="106">
        <f t="array" ref="M87">IFERROR(INDEX('Bank Schedule'!N:N, SMALL(IF('Bank Schedule'!$K$2:$K$817="Vacant", ROW('Bank Schedule'!$K$2:$K$817)), ROW(84:84))), "")</f>
        <v/>
      </c>
      <c r="N87" s="11">
        <f t="array" ref="N87">IFERROR(INDEX('Bank Schedule'!O:O, SMALL(IF('Bank Schedule'!$K$2:$K$817="Vacant", ROW('Bank Schedule'!$K$2:$K$817)), ROW(84:84))), "")</f>
        <v/>
      </c>
      <c r="O87" s="11">
        <f t="array" ref="O87">IFERROR(INDEX('Bank Schedule'!P:P, SMALL(IF('Bank Schedule'!$K$2:$K$817="Vacant", ROW('Bank Schedule'!$K$2:$K$817)), ROW(84:84))), "")</f>
        <v/>
      </c>
      <c r="P87" s="11">
        <f t="array" ref="P87">IFERROR(INDEX('Bank Schedule'!Q:Q, SMALL(IF('Bank Schedule'!$K$2:$K$817="Vacant", ROW('Bank Schedule'!$K$2:$K$817)), ROW(84:84))), "")</f>
        <v/>
      </c>
      <c r="Q87" s="11">
        <f t="array" ref="Q87">IFERROR(INDEX('Bank Schedule'!R:R, SMALL(IF('Bank Schedule'!$K$2:$K$817="Vacant", ROW('Bank Schedule'!$K$2:$K$817)), ROW(84:84))), "")</f>
        <v/>
      </c>
      <c r="R87" s="11">
        <f t="array" ref="R87">IFERROR(INDEX('Bank Schedule'!S:S, SMALL(IF('Bank Schedule'!$K$2:$K$817="Vacant", ROW('Bank Schedule'!$K$2:$K$817)), ROW(84:84))), "")</f>
        <v/>
      </c>
      <c r="S87" s="301">
        <f t="array" ref="S87">IFERROR(INDEX('Bank Schedule'!T:T, SMALL(IF('Bank Schedule'!$K$2:$K$817="Vacant", ROW('Bank Schedule'!$K$2:$K$817)), ROW(84:84))), "")</f>
        <v/>
      </c>
      <c r="T87" s="301">
        <f t="array" ref="T87">IFERROR(INDEX('Bank Schedule'!U:U, SMALL(IF('Bank Schedule'!$K$2:$K$817="Vacant", ROW('Bank Schedule'!$K$2:$K$817)), ROW(84:84))), "")</f>
        <v/>
      </c>
      <c r="U87" s="301">
        <f t="array" ref="U87">IFERROR(INDEX('Bank Schedule'!V:V, SMALL(IF('Bank Schedule'!$K$2:$K$817="Vacant", ROW('Bank Schedule'!$K$2:$K$817)), ROW(84:84))), "")</f>
        <v/>
      </c>
      <c r="V87" s="301">
        <f t="array" ref="V87">IFERROR(INDEX('Bank Schedule'!W:W, SMALL(IF('Bank Schedule'!$K$2:$K$817="Vacant", ROW('Bank Schedule'!$K$2:$K$817)), ROW(84:84))), "")</f>
        <v/>
      </c>
      <c r="W87" s="300">
        <f t="array" ref="W87">IFERROR(INDEX('Bank Schedule'!X:X, SMALL(IF('Bank Schedule'!$K$2:$K$817="Vacant", ROW('Bank Schedule'!$K$2:$K$817)), ROW(84:84))), "")</f>
        <v/>
      </c>
      <c r="X87" s="11">
        <f t="array" ref="X87">IFERROR(INDEX('Bank Schedule'!Y:Y, SMALL(IF('Bank Schedule'!$K$2:$K$817="Vacant", ROW('Bank Schedule'!$K$2:$K$817)), ROW(84:84))), "")</f>
        <v/>
      </c>
      <c r="Y87" s="11">
        <f t="array" ref="Y87">IFERROR(INDEX('Bank Schedule'!Z:Z, SMALL(IF('Bank Schedule'!$K$2:$K$817="Vacant", ROW('Bank Schedule'!$K$2:$K$817)), ROW(84:84))), "")</f>
        <v/>
      </c>
      <c r="Z87" s="11">
        <f t="array" ref="Z87">IFERROR(INDEX('Bank Schedule'!AA:AA, SMALL(IF('Bank Schedule'!$K$2:$K$817="Vacant", ROW('Bank Schedule'!$K$2:$K$817)), ROW(84:84))), "")</f>
        <v/>
      </c>
      <c r="AA87" s="11">
        <f t="array" ref="AA87">IFERROR(INDEX('Bank Schedule'!AB:AB, SMALL(IF('Bank Schedule'!$K$2:$K$817="Vacant", ROW('Bank Schedule'!$K$2:$K$817)), ROW(84:84))), "")</f>
        <v/>
      </c>
      <c r="AB87" s="25">
        <f t="array" ref="AB87">IFERROR(INDEX('Bank Schedule'!AC:AC, SMALL(IF('Bank Schedule'!$K$2:$K$817="Vacant", ROW('Bank Schedule'!$K$2:$K$817)), ROW(84:84))), "")</f>
        <v/>
      </c>
      <c r="AC87" s="277">
        <f t="array" ref="AC87">IFERROR(INDEX('Bank Schedule'!AD:AD, SMALL(IF('Bank Schedule'!$K$2:$K$817="Vacant", ROW('Bank Schedule'!$K$2:$K$817)), ROW(84:84))), "")</f>
        <v/>
      </c>
      <c r="AD87" s="11">
        <f t="array" ref="AD87">IFERROR(INDEX('Bank Schedule'!AE:AE, SMALL(IF('Bank Schedule'!$K$2:$K$817="Vacant", ROW('Bank Schedule'!$K$2:$K$817)), ROW(84:84))), "")</f>
        <v/>
      </c>
      <c r="AE87" s="11">
        <f t="array" ref="AE87">IFERROR(INDEX('Bank Schedule'!AF:AF, SMALL(IF('Bank Schedule'!$K$2:$K$817="Vacant", ROW('Bank Schedule'!$K$2:$K$817)), ROW(84:84))), "")</f>
        <v/>
      </c>
      <c r="AF87" s="11">
        <f t="array" ref="AF87">IFERROR(INDEX('Bank Schedule'!AG:AG, SMALL(IF('Bank Schedule'!$K$2:$K$817="Vacant", ROW('Bank Schedule'!$K$2:$K$817)), ROW(84:84))), "")</f>
        <v/>
      </c>
      <c r="AG87" s="4" t="n"/>
    </row>
    <row r="88" ht="28.5" customHeight="1">
      <c r="A88" s="2">
        <f t="array" ref="A88">IFERROR(INDEX('Bank Schedule'!A:A, SMALL(IF('Bank Schedule'!$K$2:$K$817="Vacant", ROW('Bank Schedule'!$K$2:$K$817)), ROW(85:85))), "")</f>
        <v/>
      </c>
      <c r="B88" s="11">
        <f t="array" ref="B88">IFERROR(INDEX('Bank Schedule'!B:B, SMALL(IF('Bank Schedule'!$K$2:$K$817="Vacant", ROW('Bank Schedule'!$K$2:$K$817)), ROW(85:85))), "")</f>
        <v/>
      </c>
      <c r="C88" s="11">
        <f t="array" ref="C88">IFERROR(INDEX('Bank Schedule'!C:C, SMALL(IF('Bank Schedule'!$K$2:$K$817="Vacant", ROW('Bank Schedule'!$K$2:$K$817)), ROW(85:85))), "")</f>
        <v/>
      </c>
      <c r="D88" s="11">
        <f t="array" ref="D88">IFERROR(INDEX('Bank Schedule'!D:D, SMALL(IF('Bank Schedule'!$K$2:$K$817="Vacant", ROW('Bank Schedule'!$K$2:$K$817)), ROW(85:85))), "")</f>
        <v/>
      </c>
      <c r="E88" s="25">
        <f t="array" ref="E88">IFERROR(INDEX('Bank Schedule'!E:E, SMALL(IF('Bank Schedule'!$K$2:$K$817="Vacant", ROW('Bank Schedule'!$K$2:$K$817)), ROW(85:85))), "")</f>
        <v/>
      </c>
      <c r="F88" s="25">
        <f t="array" ref="F88">IFERROR(INDEX('Bank Schedule'!F:F, SMALL(IF('Bank Schedule'!$K$2:$K$817="Vacant", ROW('Bank Schedule'!$K$2:$K$817)), ROW(85:85))), "")</f>
        <v/>
      </c>
      <c r="G88" s="25">
        <f t="array" ref="G88">IFERROR(INDEX('Bank Schedule'!G:G, SMALL(IF('Bank Schedule'!$K$2:$K$817="Vacant", ROW('Bank Schedule'!$K$2:$K$817)), ROW(85:85))), "")</f>
        <v/>
      </c>
      <c r="H88" s="53">
        <f t="array" ref="H88">IFERROR(INDEX('Bank Schedule'!H:H, SMALL(IF('Bank Schedule'!$K$2:$K$817="Vacant", ROW('Bank Schedule'!$K$2:$K$817)), ROW(85:85))), "")</f>
        <v/>
      </c>
      <c r="I88" s="53">
        <f t="array" ref="I88">IFERROR(INDEX('Bank Schedule'!I:I, SMALL(IF('Bank Schedule'!$K$2:$K$817="Vacant", ROW('Bank Schedule'!$K$2:$K$817)), ROW(85:85))), "")</f>
        <v/>
      </c>
      <c r="J88" s="11">
        <f t="array" ref="J88">IFERROR(INDEX('Bank Schedule'!K:K, SMALL(IF('Bank Schedule'!$K$2:$K$817="Vacant", ROW('Bank Schedule'!$K$2:$K$817)), ROW(85:85))), "")</f>
        <v/>
      </c>
      <c r="K88" s="11">
        <f t="array" ref="K88">IFERROR(INDEX('Bank Schedule'!L:L, SMALL(IF('Bank Schedule'!$K$2:$K$817="Vacant", ROW('Bank Schedule'!$K$2:$K$817)), ROW(85:85))), "")</f>
        <v/>
      </c>
      <c r="L88" s="11">
        <f t="array" ref="L88">IFERROR(INDEX('Bank Schedule'!M:M, SMALL(IF('Bank Schedule'!$K$2:$K$817="Vacant", ROW('Bank Schedule'!$K$2:$K$817)), ROW(85:85))), "")</f>
        <v/>
      </c>
      <c r="M88" s="106">
        <f t="array" ref="M88">IFERROR(INDEX('Bank Schedule'!N:N, SMALL(IF('Bank Schedule'!$K$2:$K$817="Vacant", ROW('Bank Schedule'!$K$2:$K$817)), ROW(85:85))), "")</f>
        <v/>
      </c>
      <c r="N88" s="11">
        <f t="array" ref="N88">IFERROR(INDEX('Bank Schedule'!O:O, SMALL(IF('Bank Schedule'!$K$2:$K$817="Vacant", ROW('Bank Schedule'!$K$2:$K$817)), ROW(85:85))), "")</f>
        <v/>
      </c>
      <c r="O88" s="11">
        <f t="array" ref="O88">IFERROR(INDEX('Bank Schedule'!P:P, SMALL(IF('Bank Schedule'!$K$2:$K$817="Vacant", ROW('Bank Schedule'!$K$2:$K$817)), ROW(85:85))), "")</f>
        <v/>
      </c>
      <c r="P88" s="11">
        <f t="array" ref="P88">IFERROR(INDEX('Bank Schedule'!Q:Q, SMALL(IF('Bank Schedule'!$K$2:$K$817="Vacant", ROW('Bank Schedule'!$K$2:$K$817)), ROW(85:85))), "")</f>
        <v/>
      </c>
      <c r="Q88" s="11">
        <f t="array" ref="Q88">IFERROR(INDEX('Bank Schedule'!R:R, SMALL(IF('Bank Schedule'!$K$2:$K$817="Vacant", ROW('Bank Schedule'!$K$2:$K$817)), ROW(85:85))), "")</f>
        <v/>
      </c>
      <c r="R88" s="11">
        <f t="array" ref="R88">IFERROR(INDEX('Bank Schedule'!S:S, SMALL(IF('Bank Schedule'!$K$2:$K$817="Vacant", ROW('Bank Schedule'!$K$2:$K$817)), ROW(85:85))), "")</f>
        <v/>
      </c>
      <c r="S88" s="301">
        <f t="array" ref="S88">IFERROR(INDEX('Bank Schedule'!T:T, SMALL(IF('Bank Schedule'!$K$2:$K$817="Vacant", ROW('Bank Schedule'!$K$2:$K$817)), ROW(85:85))), "")</f>
        <v/>
      </c>
      <c r="T88" s="301">
        <f t="array" ref="T88">IFERROR(INDEX('Bank Schedule'!U:U, SMALL(IF('Bank Schedule'!$K$2:$K$817="Vacant", ROW('Bank Schedule'!$K$2:$K$817)), ROW(85:85))), "")</f>
        <v/>
      </c>
      <c r="U88" s="301">
        <f t="array" ref="U88">IFERROR(INDEX('Bank Schedule'!V:V, SMALL(IF('Bank Schedule'!$K$2:$K$817="Vacant", ROW('Bank Schedule'!$K$2:$K$817)), ROW(85:85))), "")</f>
        <v/>
      </c>
      <c r="V88" s="301">
        <f t="array" ref="V88">IFERROR(INDEX('Bank Schedule'!W:W, SMALL(IF('Bank Schedule'!$K$2:$K$817="Vacant", ROW('Bank Schedule'!$K$2:$K$817)), ROW(85:85))), "")</f>
        <v/>
      </c>
      <c r="W88" s="300">
        <f t="array" ref="W88">IFERROR(INDEX('Bank Schedule'!X:X, SMALL(IF('Bank Schedule'!$K$2:$K$817="Vacant", ROW('Bank Schedule'!$K$2:$K$817)), ROW(85:85))), "")</f>
        <v/>
      </c>
      <c r="X88" s="11">
        <f t="array" ref="X88">IFERROR(INDEX('Bank Schedule'!Y:Y, SMALL(IF('Bank Schedule'!$K$2:$K$817="Vacant", ROW('Bank Schedule'!$K$2:$K$817)), ROW(85:85))), "")</f>
        <v/>
      </c>
      <c r="Y88" s="11">
        <f t="array" ref="Y88">IFERROR(INDEX('Bank Schedule'!Z:Z, SMALL(IF('Bank Schedule'!$K$2:$K$817="Vacant", ROW('Bank Schedule'!$K$2:$K$817)), ROW(85:85))), "")</f>
        <v/>
      </c>
      <c r="Z88" s="11">
        <f t="array" ref="Z88">IFERROR(INDEX('Bank Schedule'!AA:AA, SMALL(IF('Bank Schedule'!$K$2:$K$817="Vacant", ROW('Bank Schedule'!$K$2:$K$817)), ROW(85:85))), "")</f>
        <v/>
      </c>
      <c r="AA88" s="11">
        <f t="array" ref="AA88">IFERROR(INDEX('Bank Schedule'!AB:AB, SMALL(IF('Bank Schedule'!$K$2:$K$817="Vacant", ROW('Bank Schedule'!$K$2:$K$817)), ROW(85:85))), "")</f>
        <v/>
      </c>
      <c r="AB88" s="25">
        <f t="array" ref="AB88">IFERROR(INDEX('Bank Schedule'!AC:AC, SMALL(IF('Bank Schedule'!$K$2:$K$817="Vacant", ROW('Bank Schedule'!$K$2:$K$817)), ROW(85:85))), "")</f>
        <v/>
      </c>
      <c r="AC88" s="277">
        <f t="array" ref="AC88">IFERROR(INDEX('Bank Schedule'!AD:AD, SMALL(IF('Bank Schedule'!$K$2:$K$817="Vacant", ROW('Bank Schedule'!$K$2:$K$817)), ROW(85:85))), "")</f>
        <v/>
      </c>
      <c r="AD88" s="11">
        <f t="array" ref="AD88">IFERROR(INDEX('Bank Schedule'!AE:AE, SMALL(IF('Bank Schedule'!$K$2:$K$817="Vacant", ROW('Bank Schedule'!$K$2:$K$817)), ROW(85:85))), "")</f>
        <v/>
      </c>
      <c r="AE88" s="11">
        <f t="array" ref="AE88">IFERROR(INDEX('Bank Schedule'!AF:AF, SMALL(IF('Bank Schedule'!$K$2:$K$817="Vacant", ROW('Bank Schedule'!$K$2:$K$817)), ROW(85:85))), "")</f>
        <v/>
      </c>
      <c r="AF88" s="11">
        <f t="array" ref="AF88">IFERROR(INDEX('Bank Schedule'!AG:AG, SMALL(IF('Bank Schedule'!$K$2:$K$817="Vacant", ROW('Bank Schedule'!$K$2:$K$817)), ROW(85:85))), "")</f>
        <v/>
      </c>
      <c r="AG88" s="4" t="n"/>
    </row>
    <row r="89" ht="28.5" customHeight="1">
      <c r="A89" s="2">
        <f t="array" ref="A89">IFERROR(INDEX('Bank Schedule'!A:A, SMALL(IF('Bank Schedule'!$K$2:$K$817="Vacant", ROW('Bank Schedule'!$K$2:$K$817)), ROW(86:86))), "")</f>
        <v/>
      </c>
      <c r="B89" s="11">
        <f t="array" ref="B89">IFERROR(INDEX('Bank Schedule'!B:B, SMALL(IF('Bank Schedule'!$K$2:$K$817="Vacant", ROW('Bank Schedule'!$K$2:$K$817)), ROW(86:86))), "")</f>
        <v/>
      </c>
      <c r="C89" s="11">
        <f t="array" ref="C89">IFERROR(INDEX('Bank Schedule'!C:C, SMALL(IF('Bank Schedule'!$K$2:$K$817="Vacant", ROW('Bank Schedule'!$K$2:$K$817)), ROW(86:86))), "")</f>
        <v/>
      </c>
      <c r="D89" s="11">
        <f t="array" ref="D89">IFERROR(INDEX('Bank Schedule'!D:D, SMALL(IF('Bank Schedule'!$K$2:$K$817="Vacant", ROW('Bank Schedule'!$K$2:$K$817)), ROW(86:86))), "")</f>
        <v/>
      </c>
      <c r="E89" s="25">
        <f t="array" ref="E89">IFERROR(INDEX('Bank Schedule'!E:E, SMALL(IF('Bank Schedule'!$K$2:$K$817="Vacant", ROW('Bank Schedule'!$K$2:$K$817)), ROW(86:86))), "")</f>
        <v/>
      </c>
      <c r="F89" s="25">
        <f t="array" ref="F89">IFERROR(INDEX('Bank Schedule'!F:F, SMALL(IF('Bank Schedule'!$K$2:$K$817="Vacant", ROW('Bank Schedule'!$K$2:$K$817)), ROW(86:86))), "")</f>
        <v/>
      </c>
      <c r="G89" s="25">
        <f t="array" ref="G89">IFERROR(INDEX('Bank Schedule'!G:G, SMALL(IF('Bank Schedule'!$K$2:$K$817="Vacant", ROW('Bank Schedule'!$K$2:$K$817)), ROW(86:86))), "")</f>
        <v/>
      </c>
      <c r="H89" s="53">
        <f t="array" ref="H89">IFERROR(INDEX('Bank Schedule'!H:H, SMALL(IF('Bank Schedule'!$K$2:$K$817="Vacant", ROW('Bank Schedule'!$K$2:$K$817)), ROW(86:86))), "")</f>
        <v/>
      </c>
      <c r="I89" s="53">
        <f t="array" ref="I89">IFERROR(INDEX('Bank Schedule'!I:I, SMALL(IF('Bank Schedule'!$K$2:$K$817="Vacant", ROW('Bank Schedule'!$K$2:$K$817)), ROW(86:86))), "")</f>
        <v/>
      </c>
      <c r="J89" s="11">
        <f t="array" ref="J89">IFERROR(INDEX('Bank Schedule'!K:K, SMALL(IF('Bank Schedule'!$K$2:$K$817="Vacant", ROW('Bank Schedule'!$K$2:$K$817)), ROW(86:86))), "")</f>
        <v/>
      </c>
      <c r="K89" s="11">
        <f t="array" ref="K89">IFERROR(INDEX('Bank Schedule'!L:L, SMALL(IF('Bank Schedule'!$K$2:$K$817="Vacant", ROW('Bank Schedule'!$K$2:$K$817)), ROW(86:86))), "")</f>
        <v/>
      </c>
      <c r="L89" s="11">
        <f t="array" ref="L89">IFERROR(INDEX('Bank Schedule'!M:M, SMALL(IF('Bank Schedule'!$K$2:$K$817="Vacant", ROW('Bank Schedule'!$K$2:$K$817)), ROW(86:86))), "")</f>
        <v/>
      </c>
      <c r="M89" s="106">
        <f t="array" ref="M89">IFERROR(INDEX('Bank Schedule'!N:N, SMALL(IF('Bank Schedule'!$K$2:$K$817="Vacant", ROW('Bank Schedule'!$K$2:$K$817)), ROW(86:86))), "")</f>
        <v/>
      </c>
      <c r="N89" s="11">
        <f t="array" ref="N89">IFERROR(INDEX('Bank Schedule'!O:O, SMALL(IF('Bank Schedule'!$K$2:$K$817="Vacant", ROW('Bank Schedule'!$K$2:$K$817)), ROW(86:86))), "")</f>
        <v/>
      </c>
      <c r="O89" s="11">
        <f t="array" ref="O89">IFERROR(INDEX('Bank Schedule'!P:P, SMALL(IF('Bank Schedule'!$K$2:$K$817="Vacant", ROW('Bank Schedule'!$K$2:$K$817)), ROW(86:86))), "")</f>
        <v/>
      </c>
      <c r="P89" s="11">
        <f t="array" ref="P89">IFERROR(INDEX('Bank Schedule'!Q:Q, SMALL(IF('Bank Schedule'!$K$2:$K$817="Vacant", ROW('Bank Schedule'!$K$2:$K$817)), ROW(86:86))), "")</f>
        <v/>
      </c>
      <c r="Q89" s="11">
        <f t="array" ref="Q89">IFERROR(INDEX('Bank Schedule'!R:R, SMALL(IF('Bank Schedule'!$K$2:$K$817="Vacant", ROW('Bank Schedule'!$K$2:$K$817)), ROW(86:86))), "")</f>
        <v/>
      </c>
      <c r="R89" s="11">
        <f t="array" ref="R89">IFERROR(INDEX('Bank Schedule'!S:S, SMALL(IF('Bank Schedule'!$K$2:$K$817="Vacant", ROW('Bank Schedule'!$K$2:$K$817)), ROW(86:86))), "")</f>
        <v/>
      </c>
      <c r="S89" s="301">
        <f t="array" ref="S89">IFERROR(INDEX('Bank Schedule'!T:T, SMALL(IF('Bank Schedule'!$K$2:$K$817="Vacant", ROW('Bank Schedule'!$K$2:$K$817)), ROW(86:86))), "")</f>
        <v/>
      </c>
      <c r="T89" s="301">
        <f t="array" ref="T89">IFERROR(INDEX('Bank Schedule'!U:U, SMALL(IF('Bank Schedule'!$K$2:$K$817="Vacant", ROW('Bank Schedule'!$K$2:$K$817)), ROW(86:86))), "")</f>
        <v/>
      </c>
      <c r="U89" s="301">
        <f t="array" ref="U89">IFERROR(INDEX('Bank Schedule'!V:V, SMALL(IF('Bank Schedule'!$K$2:$K$817="Vacant", ROW('Bank Schedule'!$K$2:$K$817)), ROW(86:86))), "")</f>
        <v/>
      </c>
      <c r="V89" s="301">
        <f t="array" ref="V89">IFERROR(INDEX('Bank Schedule'!W:W, SMALL(IF('Bank Schedule'!$K$2:$K$817="Vacant", ROW('Bank Schedule'!$K$2:$K$817)), ROW(86:86))), "")</f>
        <v/>
      </c>
      <c r="W89" s="300">
        <f t="array" ref="W89">IFERROR(INDEX('Bank Schedule'!X:X, SMALL(IF('Bank Schedule'!$K$2:$K$817="Vacant", ROW('Bank Schedule'!$K$2:$K$817)), ROW(86:86))), "")</f>
        <v/>
      </c>
      <c r="X89" s="11">
        <f t="array" ref="X89">IFERROR(INDEX('Bank Schedule'!Y:Y, SMALL(IF('Bank Schedule'!$K$2:$K$817="Vacant", ROW('Bank Schedule'!$K$2:$K$817)), ROW(86:86))), "")</f>
        <v/>
      </c>
      <c r="Y89" s="11">
        <f t="array" ref="Y89">IFERROR(INDEX('Bank Schedule'!Z:Z, SMALL(IF('Bank Schedule'!$K$2:$K$817="Vacant", ROW('Bank Schedule'!$K$2:$K$817)), ROW(86:86))), "")</f>
        <v/>
      </c>
      <c r="Z89" s="11">
        <f t="array" ref="Z89">IFERROR(INDEX('Bank Schedule'!AA:AA, SMALL(IF('Bank Schedule'!$K$2:$K$817="Vacant", ROW('Bank Schedule'!$K$2:$K$817)), ROW(86:86))), "")</f>
        <v/>
      </c>
      <c r="AA89" s="11">
        <f t="array" ref="AA89">IFERROR(INDEX('Bank Schedule'!AB:AB, SMALL(IF('Bank Schedule'!$K$2:$K$817="Vacant", ROW('Bank Schedule'!$K$2:$K$817)), ROW(86:86))), "")</f>
        <v/>
      </c>
      <c r="AB89" s="25">
        <f t="array" ref="AB89">IFERROR(INDEX('Bank Schedule'!AC:AC, SMALL(IF('Bank Schedule'!$K$2:$K$817="Vacant", ROW('Bank Schedule'!$K$2:$K$817)), ROW(86:86))), "")</f>
        <v/>
      </c>
      <c r="AC89" s="277">
        <f t="array" ref="AC89">IFERROR(INDEX('Bank Schedule'!AD:AD, SMALL(IF('Bank Schedule'!$K$2:$K$817="Vacant", ROW('Bank Schedule'!$K$2:$K$817)), ROW(86:86))), "")</f>
        <v/>
      </c>
      <c r="AD89" s="11">
        <f t="array" ref="AD89">IFERROR(INDEX('Bank Schedule'!AE:AE, SMALL(IF('Bank Schedule'!$K$2:$K$817="Vacant", ROW('Bank Schedule'!$K$2:$K$817)), ROW(86:86))), "")</f>
        <v/>
      </c>
      <c r="AE89" s="11">
        <f t="array" ref="AE89">IFERROR(INDEX('Bank Schedule'!AF:AF, SMALL(IF('Bank Schedule'!$K$2:$K$817="Vacant", ROW('Bank Schedule'!$K$2:$K$817)), ROW(86:86))), "")</f>
        <v/>
      </c>
      <c r="AF89" s="11">
        <f t="array" ref="AF89">IFERROR(INDEX('Bank Schedule'!AG:AG, SMALL(IF('Bank Schedule'!$K$2:$K$817="Vacant", ROW('Bank Schedule'!$K$2:$K$817)), ROW(86:86))), "")</f>
        <v/>
      </c>
      <c r="AG89" s="4" t="n"/>
    </row>
    <row r="90" ht="28.5" customHeight="1">
      <c r="A90" s="2">
        <f t="array" ref="A90">IFERROR(INDEX('Bank Schedule'!A:A, SMALL(IF('Bank Schedule'!$K$2:$K$817="Vacant", ROW('Bank Schedule'!$K$2:$K$817)), ROW(87:87))), "")</f>
        <v/>
      </c>
      <c r="B90" s="11">
        <f t="array" ref="B90">IFERROR(INDEX('Bank Schedule'!B:B, SMALL(IF('Bank Schedule'!$K$2:$K$817="Vacant", ROW('Bank Schedule'!$K$2:$K$817)), ROW(87:87))), "")</f>
        <v/>
      </c>
      <c r="C90" s="11">
        <f t="array" ref="C90">IFERROR(INDEX('Bank Schedule'!C:C, SMALL(IF('Bank Schedule'!$K$2:$K$817="Vacant", ROW('Bank Schedule'!$K$2:$K$817)), ROW(87:87))), "")</f>
        <v/>
      </c>
      <c r="D90" s="11">
        <f t="array" ref="D90">IFERROR(INDEX('Bank Schedule'!D:D, SMALL(IF('Bank Schedule'!$K$2:$K$817="Vacant", ROW('Bank Schedule'!$K$2:$K$817)), ROW(87:87))), "")</f>
        <v/>
      </c>
      <c r="E90" s="25">
        <f t="array" ref="E90">IFERROR(INDEX('Bank Schedule'!E:E, SMALL(IF('Bank Schedule'!$K$2:$K$817="Vacant", ROW('Bank Schedule'!$K$2:$K$817)), ROW(87:87))), "")</f>
        <v/>
      </c>
      <c r="F90" s="25">
        <f t="array" ref="F90">IFERROR(INDEX('Bank Schedule'!F:F, SMALL(IF('Bank Schedule'!$K$2:$K$817="Vacant", ROW('Bank Schedule'!$K$2:$K$817)), ROW(87:87))), "")</f>
        <v/>
      </c>
      <c r="G90" s="25">
        <f t="array" ref="G90">IFERROR(INDEX('Bank Schedule'!G:G, SMALL(IF('Bank Schedule'!$K$2:$K$817="Vacant", ROW('Bank Schedule'!$K$2:$K$817)), ROW(87:87))), "")</f>
        <v/>
      </c>
      <c r="H90" s="53">
        <f t="array" ref="H90">IFERROR(INDEX('Bank Schedule'!H:H, SMALL(IF('Bank Schedule'!$K$2:$K$817="Vacant", ROW('Bank Schedule'!$K$2:$K$817)), ROW(87:87))), "")</f>
        <v/>
      </c>
      <c r="I90" s="53">
        <f t="array" ref="I90">IFERROR(INDEX('Bank Schedule'!I:I, SMALL(IF('Bank Schedule'!$K$2:$K$817="Vacant", ROW('Bank Schedule'!$K$2:$K$817)), ROW(87:87))), "")</f>
        <v/>
      </c>
      <c r="J90" s="11">
        <f t="array" ref="J90">IFERROR(INDEX('Bank Schedule'!K:K, SMALL(IF('Bank Schedule'!$K$2:$K$817="Vacant", ROW('Bank Schedule'!$K$2:$K$817)), ROW(87:87))), "")</f>
        <v/>
      </c>
      <c r="K90" s="11">
        <f t="array" ref="K90">IFERROR(INDEX('Bank Schedule'!L:L, SMALL(IF('Bank Schedule'!$K$2:$K$817="Vacant", ROW('Bank Schedule'!$K$2:$K$817)), ROW(87:87))), "")</f>
        <v/>
      </c>
      <c r="L90" s="11">
        <f t="array" ref="L90">IFERROR(INDEX('Bank Schedule'!M:M, SMALL(IF('Bank Schedule'!$K$2:$K$817="Vacant", ROW('Bank Schedule'!$K$2:$K$817)), ROW(87:87))), "")</f>
        <v/>
      </c>
      <c r="M90" s="106">
        <f t="array" ref="M90">IFERROR(INDEX('Bank Schedule'!N:N, SMALL(IF('Bank Schedule'!$K$2:$K$817="Vacant", ROW('Bank Schedule'!$K$2:$K$817)), ROW(87:87))), "")</f>
        <v/>
      </c>
      <c r="N90" s="11">
        <f t="array" ref="N90">IFERROR(INDEX('Bank Schedule'!O:O, SMALL(IF('Bank Schedule'!$K$2:$K$817="Vacant", ROW('Bank Schedule'!$K$2:$K$817)), ROW(87:87))), "")</f>
        <v/>
      </c>
      <c r="O90" s="11">
        <f t="array" ref="O90">IFERROR(INDEX('Bank Schedule'!P:P, SMALL(IF('Bank Schedule'!$K$2:$K$817="Vacant", ROW('Bank Schedule'!$K$2:$K$817)), ROW(87:87))), "")</f>
        <v/>
      </c>
      <c r="P90" s="11">
        <f t="array" ref="P90">IFERROR(INDEX('Bank Schedule'!Q:Q, SMALL(IF('Bank Schedule'!$K$2:$K$817="Vacant", ROW('Bank Schedule'!$K$2:$K$817)), ROW(87:87))), "")</f>
        <v/>
      </c>
      <c r="Q90" s="11">
        <f t="array" ref="Q90">IFERROR(INDEX('Bank Schedule'!R:R, SMALL(IF('Bank Schedule'!$K$2:$K$817="Vacant", ROW('Bank Schedule'!$K$2:$K$817)), ROW(87:87))), "")</f>
        <v/>
      </c>
      <c r="R90" s="11">
        <f t="array" ref="R90">IFERROR(INDEX('Bank Schedule'!S:S, SMALL(IF('Bank Schedule'!$K$2:$K$817="Vacant", ROW('Bank Schedule'!$K$2:$K$817)), ROW(87:87))), "")</f>
        <v/>
      </c>
      <c r="S90" s="301">
        <f t="array" ref="S90">IFERROR(INDEX('Bank Schedule'!T:T, SMALL(IF('Bank Schedule'!$K$2:$K$817="Vacant", ROW('Bank Schedule'!$K$2:$K$817)), ROW(87:87))), "")</f>
        <v/>
      </c>
      <c r="T90" s="301">
        <f t="array" ref="T90">IFERROR(INDEX('Bank Schedule'!U:U, SMALL(IF('Bank Schedule'!$K$2:$K$817="Vacant", ROW('Bank Schedule'!$K$2:$K$817)), ROW(87:87))), "")</f>
        <v/>
      </c>
      <c r="U90" s="301">
        <f t="array" ref="U90">IFERROR(INDEX('Bank Schedule'!V:V, SMALL(IF('Bank Schedule'!$K$2:$K$817="Vacant", ROW('Bank Schedule'!$K$2:$K$817)), ROW(87:87))), "")</f>
        <v/>
      </c>
      <c r="V90" s="301">
        <f t="array" ref="V90">IFERROR(INDEX('Bank Schedule'!W:W, SMALL(IF('Bank Schedule'!$K$2:$K$817="Vacant", ROW('Bank Schedule'!$K$2:$K$817)), ROW(87:87))), "")</f>
        <v/>
      </c>
      <c r="W90" s="300">
        <f t="array" ref="W90">IFERROR(INDEX('Bank Schedule'!X:X, SMALL(IF('Bank Schedule'!$K$2:$K$817="Vacant", ROW('Bank Schedule'!$K$2:$K$817)), ROW(87:87))), "")</f>
        <v/>
      </c>
      <c r="X90" s="11">
        <f t="array" ref="X90">IFERROR(INDEX('Bank Schedule'!Y:Y, SMALL(IF('Bank Schedule'!$K$2:$K$817="Vacant", ROW('Bank Schedule'!$K$2:$K$817)), ROW(87:87))), "")</f>
        <v/>
      </c>
      <c r="Y90" s="11">
        <f t="array" ref="Y90">IFERROR(INDEX('Bank Schedule'!Z:Z, SMALL(IF('Bank Schedule'!$K$2:$K$817="Vacant", ROW('Bank Schedule'!$K$2:$K$817)), ROW(87:87))), "")</f>
        <v/>
      </c>
      <c r="Z90" s="11">
        <f t="array" ref="Z90">IFERROR(INDEX('Bank Schedule'!AA:AA, SMALL(IF('Bank Schedule'!$K$2:$K$817="Vacant", ROW('Bank Schedule'!$K$2:$K$817)), ROW(87:87))), "")</f>
        <v/>
      </c>
      <c r="AA90" s="11">
        <f t="array" ref="AA90">IFERROR(INDEX('Bank Schedule'!AB:AB, SMALL(IF('Bank Schedule'!$K$2:$K$817="Vacant", ROW('Bank Schedule'!$K$2:$K$817)), ROW(87:87))), "")</f>
        <v/>
      </c>
      <c r="AB90" s="25">
        <f t="array" ref="AB90">IFERROR(INDEX('Bank Schedule'!AC:AC, SMALL(IF('Bank Schedule'!$K$2:$K$817="Vacant", ROW('Bank Schedule'!$K$2:$K$817)), ROW(87:87))), "")</f>
        <v/>
      </c>
      <c r="AC90" s="277">
        <f t="array" ref="AC90">IFERROR(INDEX('Bank Schedule'!AD:AD, SMALL(IF('Bank Schedule'!$K$2:$K$817="Vacant", ROW('Bank Schedule'!$K$2:$K$817)), ROW(87:87))), "")</f>
        <v/>
      </c>
      <c r="AD90" s="11">
        <f t="array" ref="AD90">IFERROR(INDEX('Bank Schedule'!AE:AE, SMALL(IF('Bank Schedule'!$K$2:$K$817="Vacant", ROW('Bank Schedule'!$K$2:$K$817)), ROW(87:87))), "")</f>
        <v/>
      </c>
      <c r="AE90" s="11">
        <f t="array" ref="AE90">IFERROR(INDEX('Bank Schedule'!AF:AF, SMALL(IF('Bank Schedule'!$K$2:$K$817="Vacant", ROW('Bank Schedule'!$K$2:$K$817)), ROW(87:87))), "")</f>
        <v/>
      </c>
      <c r="AF90" s="11">
        <f t="array" ref="AF90">IFERROR(INDEX('Bank Schedule'!AG:AG, SMALL(IF('Bank Schedule'!$K$2:$K$817="Vacant", ROW('Bank Schedule'!$K$2:$K$817)), ROW(87:87))), "")</f>
        <v/>
      </c>
      <c r="AG90" s="4" t="n"/>
    </row>
    <row r="91" ht="28.5" customHeight="1">
      <c r="A91" s="2">
        <f t="array" ref="A91">IFERROR(INDEX('Bank Schedule'!A:A, SMALL(IF('Bank Schedule'!$K$2:$K$817="Vacant", ROW('Bank Schedule'!$K$2:$K$817)), ROW(88:88))), "")</f>
        <v/>
      </c>
      <c r="B91" s="11">
        <f t="array" ref="B91">IFERROR(INDEX('Bank Schedule'!B:B, SMALL(IF('Bank Schedule'!$K$2:$K$817="Vacant", ROW('Bank Schedule'!$K$2:$K$817)), ROW(88:88))), "")</f>
        <v/>
      </c>
      <c r="C91" s="11">
        <f t="array" ref="C91">IFERROR(INDEX('Bank Schedule'!C:C, SMALL(IF('Bank Schedule'!$K$2:$K$817="Vacant", ROW('Bank Schedule'!$K$2:$K$817)), ROW(88:88))), "")</f>
        <v/>
      </c>
      <c r="D91" s="11">
        <f t="array" ref="D91">IFERROR(INDEX('Bank Schedule'!D:D, SMALL(IF('Bank Schedule'!$K$2:$K$817="Vacant", ROW('Bank Schedule'!$K$2:$K$817)), ROW(88:88))), "")</f>
        <v/>
      </c>
      <c r="E91" s="25">
        <f t="array" ref="E91">IFERROR(INDEX('Bank Schedule'!E:E, SMALL(IF('Bank Schedule'!$K$2:$K$817="Vacant", ROW('Bank Schedule'!$K$2:$K$817)), ROW(88:88))), "")</f>
        <v/>
      </c>
      <c r="F91" s="25">
        <f t="array" ref="F91">IFERROR(INDEX('Bank Schedule'!F:F, SMALL(IF('Bank Schedule'!$K$2:$K$817="Vacant", ROW('Bank Schedule'!$K$2:$K$817)), ROW(88:88))), "")</f>
        <v/>
      </c>
      <c r="G91" s="25">
        <f t="array" ref="G91">IFERROR(INDEX('Bank Schedule'!G:G, SMALL(IF('Bank Schedule'!$K$2:$K$817="Vacant", ROW('Bank Schedule'!$K$2:$K$817)), ROW(88:88))), "")</f>
        <v/>
      </c>
      <c r="H91" s="53">
        <f t="array" ref="H91">IFERROR(INDEX('Bank Schedule'!H:H, SMALL(IF('Bank Schedule'!$K$2:$K$817="Vacant", ROW('Bank Schedule'!$K$2:$K$817)), ROW(88:88))), "")</f>
        <v/>
      </c>
      <c r="I91" s="53">
        <f t="array" ref="I91">IFERROR(INDEX('Bank Schedule'!I:I, SMALL(IF('Bank Schedule'!$K$2:$K$817="Vacant", ROW('Bank Schedule'!$K$2:$K$817)), ROW(88:88))), "")</f>
        <v/>
      </c>
      <c r="J91" s="11">
        <f t="array" ref="J91">IFERROR(INDEX('Bank Schedule'!K:K, SMALL(IF('Bank Schedule'!$K$2:$K$817="Vacant", ROW('Bank Schedule'!$K$2:$K$817)), ROW(88:88))), "")</f>
        <v/>
      </c>
      <c r="K91" s="11">
        <f t="array" ref="K91">IFERROR(INDEX('Bank Schedule'!L:L, SMALL(IF('Bank Schedule'!$K$2:$K$817="Vacant", ROW('Bank Schedule'!$K$2:$K$817)), ROW(88:88))), "")</f>
        <v/>
      </c>
      <c r="L91" s="11">
        <f t="array" ref="L91">IFERROR(INDEX('Bank Schedule'!M:M, SMALL(IF('Bank Schedule'!$K$2:$K$817="Vacant", ROW('Bank Schedule'!$K$2:$K$817)), ROW(88:88))), "")</f>
        <v/>
      </c>
      <c r="M91" s="106">
        <f t="array" ref="M91">IFERROR(INDEX('Bank Schedule'!N:N, SMALL(IF('Bank Schedule'!$K$2:$K$817="Vacant", ROW('Bank Schedule'!$K$2:$K$817)), ROW(88:88))), "")</f>
        <v/>
      </c>
      <c r="N91" s="11">
        <f t="array" ref="N91">IFERROR(INDEX('Bank Schedule'!O:O, SMALL(IF('Bank Schedule'!$K$2:$K$817="Vacant", ROW('Bank Schedule'!$K$2:$K$817)), ROW(88:88))), "")</f>
        <v/>
      </c>
      <c r="O91" s="11">
        <f t="array" ref="O91">IFERROR(INDEX('Bank Schedule'!P:P, SMALL(IF('Bank Schedule'!$K$2:$K$817="Vacant", ROW('Bank Schedule'!$K$2:$K$817)), ROW(88:88))), "")</f>
        <v/>
      </c>
      <c r="P91" s="11">
        <f t="array" ref="P91">IFERROR(INDEX('Bank Schedule'!Q:Q, SMALL(IF('Bank Schedule'!$K$2:$K$817="Vacant", ROW('Bank Schedule'!$K$2:$K$817)), ROW(88:88))), "")</f>
        <v/>
      </c>
      <c r="Q91" s="11">
        <f t="array" ref="Q91">IFERROR(INDEX('Bank Schedule'!R:R, SMALL(IF('Bank Schedule'!$K$2:$K$817="Vacant", ROW('Bank Schedule'!$K$2:$K$817)), ROW(88:88))), "")</f>
        <v/>
      </c>
      <c r="R91" s="11">
        <f t="array" ref="R91">IFERROR(INDEX('Bank Schedule'!S:S, SMALL(IF('Bank Schedule'!$K$2:$K$817="Vacant", ROW('Bank Schedule'!$K$2:$K$817)), ROW(88:88))), "")</f>
        <v/>
      </c>
      <c r="S91" s="301">
        <f t="array" ref="S91">IFERROR(INDEX('Bank Schedule'!T:T, SMALL(IF('Bank Schedule'!$K$2:$K$817="Vacant", ROW('Bank Schedule'!$K$2:$K$817)), ROW(88:88))), "")</f>
        <v/>
      </c>
      <c r="T91" s="301">
        <f t="array" ref="T91">IFERROR(INDEX('Bank Schedule'!U:U, SMALL(IF('Bank Schedule'!$K$2:$K$817="Vacant", ROW('Bank Schedule'!$K$2:$K$817)), ROW(88:88))), "")</f>
        <v/>
      </c>
      <c r="U91" s="301">
        <f t="array" ref="U91">IFERROR(INDEX('Bank Schedule'!V:V, SMALL(IF('Bank Schedule'!$K$2:$K$817="Vacant", ROW('Bank Schedule'!$K$2:$K$817)), ROW(88:88))), "")</f>
        <v/>
      </c>
      <c r="V91" s="301">
        <f t="array" ref="V91">IFERROR(INDEX('Bank Schedule'!W:W, SMALL(IF('Bank Schedule'!$K$2:$K$817="Vacant", ROW('Bank Schedule'!$K$2:$K$817)), ROW(88:88))), "")</f>
        <v/>
      </c>
      <c r="W91" s="300">
        <f t="array" ref="W91">IFERROR(INDEX('Bank Schedule'!X:X, SMALL(IF('Bank Schedule'!$K$2:$K$817="Vacant", ROW('Bank Schedule'!$K$2:$K$817)), ROW(88:88))), "")</f>
        <v/>
      </c>
      <c r="X91" s="11">
        <f t="array" ref="X91">IFERROR(INDEX('Bank Schedule'!Y:Y, SMALL(IF('Bank Schedule'!$K$2:$K$817="Vacant", ROW('Bank Schedule'!$K$2:$K$817)), ROW(88:88))), "")</f>
        <v/>
      </c>
      <c r="Y91" s="11">
        <f t="array" ref="Y91">IFERROR(INDEX('Bank Schedule'!Z:Z, SMALL(IF('Bank Schedule'!$K$2:$K$817="Vacant", ROW('Bank Schedule'!$K$2:$K$817)), ROW(88:88))), "")</f>
        <v/>
      </c>
      <c r="Z91" s="11">
        <f t="array" ref="Z91">IFERROR(INDEX('Bank Schedule'!AA:AA, SMALL(IF('Bank Schedule'!$K$2:$K$817="Vacant", ROW('Bank Schedule'!$K$2:$K$817)), ROW(88:88))), "")</f>
        <v/>
      </c>
      <c r="AA91" s="11">
        <f t="array" ref="AA91">IFERROR(INDEX('Bank Schedule'!AB:AB, SMALL(IF('Bank Schedule'!$K$2:$K$817="Vacant", ROW('Bank Schedule'!$K$2:$K$817)), ROW(88:88))), "")</f>
        <v/>
      </c>
      <c r="AB91" s="25">
        <f t="array" ref="AB91">IFERROR(INDEX('Bank Schedule'!AC:AC, SMALL(IF('Bank Schedule'!$K$2:$K$817="Vacant", ROW('Bank Schedule'!$K$2:$K$817)), ROW(88:88))), "")</f>
        <v/>
      </c>
      <c r="AC91" s="277">
        <f t="array" ref="AC91">IFERROR(INDEX('Bank Schedule'!AD:AD, SMALL(IF('Bank Schedule'!$K$2:$K$817="Vacant", ROW('Bank Schedule'!$K$2:$K$817)), ROW(88:88))), "")</f>
        <v/>
      </c>
      <c r="AD91" s="11">
        <f t="array" ref="AD91">IFERROR(INDEX('Bank Schedule'!AE:AE, SMALL(IF('Bank Schedule'!$K$2:$K$817="Vacant", ROW('Bank Schedule'!$K$2:$K$817)), ROW(88:88))), "")</f>
        <v/>
      </c>
      <c r="AE91" s="11">
        <f t="array" ref="AE91">IFERROR(INDEX('Bank Schedule'!AF:AF, SMALL(IF('Bank Schedule'!$K$2:$K$817="Vacant", ROW('Bank Schedule'!$K$2:$K$817)), ROW(88:88))), "")</f>
        <v/>
      </c>
      <c r="AF91" s="11">
        <f t="array" ref="AF91">IFERROR(INDEX('Bank Schedule'!AG:AG, SMALL(IF('Bank Schedule'!$K$2:$K$817="Vacant", ROW('Bank Schedule'!$K$2:$K$817)), ROW(88:88))), "")</f>
        <v/>
      </c>
      <c r="AG91" s="4" t="n"/>
    </row>
    <row r="92" ht="28.5" customHeight="1">
      <c r="A92" s="2">
        <f t="array" ref="A92">IFERROR(INDEX('Bank Schedule'!A:A, SMALL(IF('Bank Schedule'!$K$2:$K$817="Vacant", ROW('Bank Schedule'!$K$2:$K$817)), ROW(89:89))), "")</f>
        <v/>
      </c>
      <c r="B92" s="11">
        <f t="array" ref="B92">IFERROR(INDEX('Bank Schedule'!B:B, SMALL(IF('Bank Schedule'!$K$2:$K$817="Vacant", ROW('Bank Schedule'!$K$2:$K$817)), ROW(89:89))), "")</f>
        <v/>
      </c>
      <c r="C92" s="11">
        <f t="array" ref="C92">IFERROR(INDEX('Bank Schedule'!C:C, SMALL(IF('Bank Schedule'!$K$2:$K$817="Vacant", ROW('Bank Schedule'!$K$2:$K$817)), ROW(89:89))), "")</f>
        <v/>
      </c>
      <c r="D92" s="11">
        <f t="array" ref="D92">IFERROR(INDEX('Bank Schedule'!D:D, SMALL(IF('Bank Schedule'!$K$2:$K$817="Vacant", ROW('Bank Schedule'!$K$2:$K$817)), ROW(89:89))), "")</f>
        <v/>
      </c>
      <c r="E92" s="25">
        <f t="array" ref="E92">IFERROR(INDEX('Bank Schedule'!E:E, SMALL(IF('Bank Schedule'!$K$2:$K$817="Vacant", ROW('Bank Schedule'!$K$2:$K$817)), ROW(89:89))), "")</f>
        <v/>
      </c>
      <c r="F92" s="25">
        <f t="array" ref="F92">IFERROR(INDEX('Bank Schedule'!F:F, SMALL(IF('Bank Schedule'!$K$2:$K$817="Vacant", ROW('Bank Schedule'!$K$2:$K$817)), ROW(89:89))), "")</f>
        <v/>
      </c>
      <c r="G92" s="25">
        <f t="array" ref="G92">IFERROR(INDEX('Bank Schedule'!G:G, SMALL(IF('Bank Schedule'!$K$2:$K$817="Vacant", ROW('Bank Schedule'!$K$2:$K$817)), ROW(89:89))), "")</f>
        <v/>
      </c>
      <c r="H92" s="53">
        <f t="array" ref="H92">IFERROR(INDEX('Bank Schedule'!H:H, SMALL(IF('Bank Schedule'!$K$2:$K$817="Vacant", ROW('Bank Schedule'!$K$2:$K$817)), ROW(89:89))), "")</f>
        <v/>
      </c>
      <c r="I92" s="53">
        <f t="array" ref="I92">IFERROR(INDEX('Bank Schedule'!I:I, SMALL(IF('Bank Schedule'!$K$2:$K$817="Vacant", ROW('Bank Schedule'!$K$2:$K$817)), ROW(89:89))), "")</f>
        <v/>
      </c>
      <c r="J92" s="11">
        <f t="array" ref="J92">IFERROR(INDEX('Bank Schedule'!K:K, SMALL(IF('Bank Schedule'!$K$2:$K$817="Vacant", ROW('Bank Schedule'!$K$2:$K$817)), ROW(89:89))), "")</f>
        <v/>
      </c>
      <c r="K92" s="11">
        <f t="array" ref="K92">IFERROR(INDEX('Bank Schedule'!L:L, SMALL(IF('Bank Schedule'!$K$2:$K$817="Vacant", ROW('Bank Schedule'!$K$2:$K$817)), ROW(89:89))), "")</f>
        <v/>
      </c>
      <c r="L92" s="11">
        <f t="array" ref="L92">IFERROR(INDEX('Bank Schedule'!M:M, SMALL(IF('Bank Schedule'!$K$2:$K$817="Vacant", ROW('Bank Schedule'!$K$2:$K$817)), ROW(89:89))), "")</f>
        <v/>
      </c>
      <c r="M92" s="106">
        <f t="array" ref="M92">IFERROR(INDEX('Bank Schedule'!N:N, SMALL(IF('Bank Schedule'!$K$2:$K$817="Vacant", ROW('Bank Schedule'!$K$2:$K$817)), ROW(89:89))), "")</f>
        <v/>
      </c>
      <c r="N92" s="11">
        <f t="array" ref="N92">IFERROR(INDEX('Bank Schedule'!O:O, SMALL(IF('Bank Schedule'!$K$2:$K$817="Vacant", ROW('Bank Schedule'!$K$2:$K$817)), ROW(89:89))), "")</f>
        <v/>
      </c>
      <c r="O92" s="11">
        <f t="array" ref="O92">IFERROR(INDEX('Bank Schedule'!P:P, SMALL(IF('Bank Schedule'!$K$2:$K$817="Vacant", ROW('Bank Schedule'!$K$2:$K$817)), ROW(89:89))), "")</f>
        <v/>
      </c>
      <c r="P92" s="11">
        <f t="array" ref="P92">IFERROR(INDEX('Bank Schedule'!Q:Q, SMALL(IF('Bank Schedule'!$K$2:$K$817="Vacant", ROW('Bank Schedule'!$K$2:$K$817)), ROW(89:89))), "")</f>
        <v/>
      </c>
      <c r="Q92" s="11">
        <f t="array" ref="Q92">IFERROR(INDEX('Bank Schedule'!R:R, SMALL(IF('Bank Schedule'!$K$2:$K$817="Vacant", ROW('Bank Schedule'!$K$2:$K$817)), ROW(89:89))), "")</f>
        <v/>
      </c>
      <c r="R92" s="11">
        <f t="array" ref="R92">IFERROR(INDEX('Bank Schedule'!S:S, SMALL(IF('Bank Schedule'!$K$2:$K$817="Vacant", ROW('Bank Schedule'!$K$2:$K$817)), ROW(89:89))), "")</f>
        <v/>
      </c>
      <c r="S92" s="301">
        <f t="array" ref="S92">IFERROR(INDEX('Bank Schedule'!T:T, SMALL(IF('Bank Schedule'!$K$2:$K$817="Vacant", ROW('Bank Schedule'!$K$2:$K$817)), ROW(89:89))), "")</f>
        <v/>
      </c>
      <c r="T92" s="301">
        <f t="array" ref="T92">IFERROR(INDEX('Bank Schedule'!U:U, SMALL(IF('Bank Schedule'!$K$2:$K$817="Vacant", ROW('Bank Schedule'!$K$2:$K$817)), ROW(89:89))), "")</f>
        <v/>
      </c>
      <c r="U92" s="301">
        <f t="array" ref="U92">IFERROR(INDEX('Bank Schedule'!V:V, SMALL(IF('Bank Schedule'!$K$2:$K$817="Vacant", ROW('Bank Schedule'!$K$2:$K$817)), ROW(89:89))), "")</f>
        <v/>
      </c>
      <c r="V92" s="301">
        <f t="array" ref="V92">IFERROR(INDEX('Bank Schedule'!W:W, SMALL(IF('Bank Schedule'!$K$2:$K$817="Vacant", ROW('Bank Schedule'!$K$2:$K$817)), ROW(89:89))), "")</f>
        <v/>
      </c>
      <c r="W92" s="300">
        <f t="array" ref="W92">IFERROR(INDEX('Bank Schedule'!X:X, SMALL(IF('Bank Schedule'!$K$2:$K$817="Vacant", ROW('Bank Schedule'!$K$2:$K$817)), ROW(89:89))), "")</f>
        <v/>
      </c>
      <c r="X92" s="11">
        <f t="array" ref="X92">IFERROR(INDEX('Bank Schedule'!Y:Y, SMALL(IF('Bank Schedule'!$K$2:$K$817="Vacant", ROW('Bank Schedule'!$K$2:$K$817)), ROW(89:89))), "")</f>
        <v/>
      </c>
      <c r="Y92" s="11">
        <f t="array" ref="Y92">IFERROR(INDEX('Bank Schedule'!Z:Z, SMALL(IF('Bank Schedule'!$K$2:$K$817="Vacant", ROW('Bank Schedule'!$K$2:$K$817)), ROW(89:89))), "")</f>
        <v/>
      </c>
      <c r="Z92" s="11">
        <f t="array" ref="Z92">IFERROR(INDEX('Bank Schedule'!AA:AA, SMALL(IF('Bank Schedule'!$K$2:$K$817="Vacant", ROW('Bank Schedule'!$K$2:$K$817)), ROW(89:89))), "")</f>
        <v/>
      </c>
      <c r="AA92" s="11">
        <f t="array" ref="AA92">IFERROR(INDEX('Bank Schedule'!AB:AB, SMALL(IF('Bank Schedule'!$K$2:$K$817="Vacant", ROW('Bank Schedule'!$K$2:$K$817)), ROW(89:89))), "")</f>
        <v/>
      </c>
      <c r="AB92" s="25">
        <f t="array" ref="AB92">IFERROR(INDEX('Bank Schedule'!AC:AC, SMALL(IF('Bank Schedule'!$K$2:$K$817="Vacant", ROW('Bank Schedule'!$K$2:$K$817)), ROW(89:89))), "")</f>
        <v/>
      </c>
      <c r="AC92" s="277">
        <f t="array" ref="AC92">IFERROR(INDEX('Bank Schedule'!AD:AD, SMALL(IF('Bank Schedule'!$K$2:$K$817="Vacant", ROW('Bank Schedule'!$K$2:$K$817)), ROW(89:89))), "")</f>
        <v/>
      </c>
      <c r="AD92" s="11">
        <f t="array" ref="AD92">IFERROR(INDEX('Bank Schedule'!AE:AE, SMALL(IF('Bank Schedule'!$K$2:$K$817="Vacant", ROW('Bank Schedule'!$K$2:$K$817)), ROW(89:89))), "")</f>
        <v/>
      </c>
      <c r="AE92" s="11">
        <f t="array" ref="AE92">IFERROR(INDEX('Bank Schedule'!AF:AF, SMALL(IF('Bank Schedule'!$K$2:$K$817="Vacant", ROW('Bank Schedule'!$K$2:$K$817)), ROW(89:89))), "")</f>
        <v/>
      </c>
      <c r="AF92" s="11">
        <f t="array" ref="AF92">IFERROR(INDEX('Bank Schedule'!AG:AG, SMALL(IF('Bank Schedule'!$K$2:$K$817="Vacant", ROW('Bank Schedule'!$K$2:$K$817)), ROW(89:89))), "")</f>
        <v/>
      </c>
      <c r="AG92" s="4" t="n"/>
    </row>
    <row r="93" ht="28.5" customHeight="1">
      <c r="A93" s="2">
        <f t="array" ref="A93">IFERROR(INDEX('Bank Schedule'!A:A, SMALL(IF('Bank Schedule'!$K$2:$K$817="Vacant", ROW('Bank Schedule'!$K$2:$K$817)), ROW(90:90))), "")</f>
        <v/>
      </c>
      <c r="B93" s="11">
        <f t="array" ref="B93">IFERROR(INDEX('Bank Schedule'!B:B, SMALL(IF('Bank Schedule'!$K$2:$K$817="Vacant", ROW('Bank Schedule'!$K$2:$K$817)), ROW(90:90))), "")</f>
        <v/>
      </c>
      <c r="C93" s="11">
        <f t="array" ref="C93">IFERROR(INDEX('Bank Schedule'!C:C, SMALL(IF('Bank Schedule'!$K$2:$K$817="Vacant", ROW('Bank Schedule'!$K$2:$K$817)), ROW(90:90))), "")</f>
        <v/>
      </c>
      <c r="D93" s="11">
        <f t="array" ref="D93">IFERROR(INDEX('Bank Schedule'!D:D, SMALL(IF('Bank Schedule'!$K$2:$K$817="Vacant", ROW('Bank Schedule'!$K$2:$K$817)), ROW(90:90))), "")</f>
        <v/>
      </c>
      <c r="E93" s="25">
        <f t="array" ref="E93">IFERROR(INDEX('Bank Schedule'!E:E, SMALL(IF('Bank Schedule'!$K$2:$K$817="Vacant", ROW('Bank Schedule'!$K$2:$K$817)), ROW(90:90))), "")</f>
        <v/>
      </c>
      <c r="F93" s="25">
        <f t="array" ref="F93">IFERROR(INDEX('Bank Schedule'!F:F, SMALL(IF('Bank Schedule'!$K$2:$K$817="Vacant", ROW('Bank Schedule'!$K$2:$K$817)), ROW(90:90))), "")</f>
        <v/>
      </c>
      <c r="G93" s="25">
        <f t="array" ref="G93">IFERROR(INDEX('Bank Schedule'!G:G, SMALL(IF('Bank Schedule'!$K$2:$K$817="Vacant", ROW('Bank Schedule'!$K$2:$K$817)), ROW(90:90))), "")</f>
        <v/>
      </c>
      <c r="H93" s="53">
        <f t="array" ref="H93">IFERROR(INDEX('Bank Schedule'!H:H, SMALL(IF('Bank Schedule'!$K$2:$K$817="Vacant", ROW('Bank Schedule'!$K$2:$K$817)), ROW(90:90))), "")</f>
        <v/>
      </c>
      <c r="I93" s="53">
        <f t="array" ref="I93">IFERROR(INDEX('Bank Schedule'!I:I, SMALL(IF('Bank Schedule'!$K$2:$K$817="Vacant", ROW('Bank Schedule'!$K$2:$K$817)), ROW(90:90))), "")</f>
        <v/>
      </c>
      <c r="J93" s="11">
        <f t="array" ref="J93">IFERROR(INDEX('Bank Schedule'!K:K, SMALL(IF('Bank Schedule'!$K$2:$K$817="Vacant", ROW('Bank Schedule'!$K$2:$K$817)), ROW(90:90))), "")</f>
        <v/>
      </c>
      <c r="K93" s="11">
        <f t="array" ref="K93">IFERROR(INDEX('Bank Schedule'!L:L, SMALL(IF('Bank Schedule'!$K$2:$K$817="Vacant", ROW('Bank Schedule'!$K$2:$K$817)), ROW(90:90))), "")</f>
        <v/>
      </c>
      <c r="L93" s="11">
        <f t="array" ref="L93">IFERROR(INDEX('Bank Schedule'!M:M, SMALL(IF('Bank Schedule'!$K$2:$K$817="Vacant", ROW('Bank Schedule'!$K$2:$K$817)), ROW(90:90))), "")</f>
        <v/>
      </c>
      <c r="M93" s="106">
        <f t="array" ref="M93">IFERROR(INDEX('Bank Schedule'!N:N, SMALL(IF('Bank Schedule'!$K$2:$K$817="Vacant", ROW('Bank Schedule'!$K$2:$K$817)), ROW(90:90))), "")</f>
        <v/>
      </c>
      <c r="N93" s="11">
        <f t="array" ref="N93">IFERROR(INDEX('Bank Schedule'!O:O, SMALL(IF('Bank Schedule'!$K$2:$K$817="Vacant", ROW('Bank Schedule'!$K$2:$K$817)), ROW(90:90))), "")</f>
        <v/>
      </c>
      <c r="O93" s="11">
        <f t="array" ref="O93">IFERROR(INDEX('Bank Schedule'!P:P, SMALL(IF('Bank Schedule'!$K$2:$K$817="Vacant", ROW('Bank Schedule'!$K$2:$K$817)), ROW(90:90))), "")</f>
        <v/>
      </c>
      <c r="P93" s="11">
        <f t="array" ref="P93">IFERROR(INDEX('Bank Schedule'!Q:Q, SMALL(IF('Bank Schedule'!$K$2:$K$817="Vacant", ROW('Bank Schedule'!$K$2:$K$817)), ROW(90:90))), "")</f>
        <v/>
      </c>
      <c r="Q93" s="11">
        <f t="array" ref="Q93">IFERROR(INDEX('Bank Schedule'!R:R, SMALL(IF('Bank Schedule'!$K$2:$K$817="Vacant", ROW('Bank Schedule'!$K$2:$K$817)), ROW(90:90))), "")</f>
        <v/>
      </c>
      <c r="R93" s="11">
        <f t="array" ref="R93">IFERROR(INDEX('Bank Schedule'!S:S, SMALL(IF('Bank Schedule'!$K$2:$K$817="Vacant", ROW('Bank Schedule'!$K$2:$K$817)), ROW(90:90))), "")</f>
        <v/>
      </c>
      <c r="S93" s="301">
        <f t="array" ref="S93">IFERROR(INDEX('Bank Schedule'!T:T, SMALL(IF('Bank Schedule'!$K$2:$K$817="Vacant", ROW('Bank Schedule'!$K$2:$K$817)), ROW(90:90))), "")</f>
        <v/>
      </c>
      <c r="T93" s="301">
        <f t="array" ref="T93">IFERROR(INDEX('Bank Schedule'!U:U, SMALL(IF('Bank Schedule'!$K$2:$K$817="Vacant", ROW('Bank Schedule'!$K$2:$K$817)), ROW(90:90))), "")</f>
        <v/>
      </c>
      <c r="U93" s="301">
        <f t="array" ref="U93">IFERROR(INDEX('Bank Schedule'!V:V, SMALL(IF('Bank Schedule'!$K$2:$K$817="Vacant", ROW('Bank Schedule'!$K$2:$K$817)), ROW(90:90))), "")</f>
        <v/>
      </c>
      <c r="V93" s="301">
        <f t="array" ref="V93">IFERROR(INDEX('Bank Schedule'!W:W, SMALL(IF('Bank Schedule'!$K$2:$K$817="Vacant", ROW('Bank Schedule'!$K$2:$K$817)), ROW(90:90))), "")</f>
        <v/>
      </c>
      <c r="W93" s="300">
        <f t="array" ref="W93">IFERROR(INDEX('Bank Schedule'!X:X, SMALL(IF('Bank Schedule'!$K$2:$K$817="Vacant", ROW('Bank Schedule'!$K$2:$K$817)), ROW(90:90))), "")</f>
        <v/>
      </c>
      <c r="X93" s="11">
        <f t="array" ref="X93">IFERROR(INDEX('Bank Schedule'!Y:Y, SMALL(IF('Bank Schedule'!$K$2:$K$817="Vacant", ROW('Bank Schedule'!$K$2:$K$817)), ROW(90:90))), "")</f>
        <v/>
      </c>
      <c r="Y93" s="11">
        <f t="array" ref="Y93">IFERROR(INDEX('Bank Schedule'!Z:Z, SMALL(IF('Bank Schedule'!$K$2:$K$817="Vacant", ROW('Bank Schedule'!$K$2:$K$817)), ROW(90:90))), "")</f>
        <v/>
      </c>
      <c r="Z93" s="11">
        <f t="array" ref="Z93">IFERROR(INDEX('Bank Schedule'!AA:AA, SMALL(IF('Bank Schedule'!$K$2:$K$817="Vacant", ROW('Bank Schedule'!$K$2:$K$817)), ROW(90:90))), "")</f>
        <v/>
      </c>
      <c r="AA93" s="11">
        <f t="array" ref="AA93">IFERROR(INDEX('Bank Schedule'!AB:AB, SMALL(IF('Bank Schedule'!$K$2:$K$817="Vacant", ROW('Bank Schedule'!$K$2:$K$817)), ROW(90:90))), "")</f>
        <v/>
      </c>
      <c r="AB93" s="25">
        <f t="array" ref="AB93">IFERROR(INDEX('Bank Schedule'!AC:AC, SMALL(IF('Bank Schedule'!$K$2:$K$817="Vacant", ROW('Bank Schedule'!$K$2:$K$817)), ROW(90:90))), "")</f>
        <v/>
      </c>
      <c r="AC93" s="277">
        <f t="array" ref="AC93">IFERROR(INDEX('Bank Schedule'!AD:AD, SMALL(IF('Bank Schedule'!$K$2:$K$817="Vacant", ROW('Bank Schedule'!$K$2:$K$817)), ROW(90:90))), "")</f>
        <v/>
      </c>
      <c r="AD93" s="11">
        <f t="array" ref="AD93">IFERROR(INDEX('Bank Schedule'!AE:AE, SMALL(IF('Bank Schedule'!$K$2:$K$817="Vacant", ROW('Bank Schedule'!$K$2:$K$817)), ROW(90:90))), "")</f>
        <v/>
      </c>
      <c r="AE93" s="11">
        <f t="array" ref="AE93">IFERROR(INDEX('Bank Schedule'!AF:AF, SMALL(IF('Bank Schedule'!$K$2:$K$817="Vacant", ROW('Bank Schedule'!$K$2:$K$817)), ROW(90:90))), "")</f>
        <v/>
      </c>
      <c r="AF93" s="11">
        <f t="array" ref="AF93">IFERROR(INDEX('Bank Schedule'!AG:AG, SMALL(IF('Bank Schedule'!$K$2:$K$817="Vacant", ROW('Bank Schedule'!$K$2:$K$817)), ROW(90:90))), "")</f>
        <v/>
      </c>
      <c r="AG93" s="4" t="n"/>
    </row>
    <row r="94" ht="28.5" customHeight="1">
      <c r="A94" s="2">
        <f t="array" ref="A94">IFERROR(INDEX('Bank Schedule'!A:A, SMALL(IF('Bank Schedule'!$K$2:$K$817="Vacant", ROW('Bank Schedule'!$K$2:$K$817)), ROW(91:91))), "")</f>
        <v/>
      </c>
      <c r="B94" s="11">
        <f t="array" ref="B94">IFERROR(INDEX('Bank Schedule'!B:B, SMALL(IF('Bank Schedule'!$K$2:$K$817="Vacant", ROW('Bank Schedule'!$K$2:$K$817)), ROW(91:91))), "")</f>
        <v/>
      </c>
      <c r="C94" s="11">
        <f t="array" ref="C94">IFERROR(INDEX('Bank Schedule'!C:C, SMALL(IF('Bank Schedule'!$K$2:$K$817="Vacant", ROW('Bank Schedule'!$K$2:$K$817)), ROW(91:91))), "")</f>
        <v/>
      </c>
      <c r="D94" s="11">
        <f t="array" ref="D94">IFERROR(INDEX('Bank Schedule'!D:D, SMALL(IF('Bank Schedule'!$K$2:$K$817="Vacant", ROW('Bank Schedule'!$K$2:$K$817)), ROW(91:91))), "")</f>
        <v/>
      </c>
      <c r="E94" s="25">
        <f t="array" ref="E94">IFERROR(INDEX('Bank Schedule'!E:E, SMALL(IF('Bank Schedule'!$K$2:$K$817="Vacant", ROW('Bank Schedule'!$K$2:$K$817)), ROW(91:91))), "")</f>
        <v/>
      </c>
      <c r="F94" s="25">
        <f t="array" ref="F94">IFERROR(INDEX('Bank Schedule'!F:F, SMALL(IF('Bank Schedule'!$K$2:$K$817="Vacant", ROW('Bank Schedule'!$K$2:$K$817)), ROW(91:91))), "")</f>
        <v/>
      </c>
      <c r="G94" s="25">
        <f t="array" ref="G94">IFERROR(INDEX('Bank Schedule'!G:G, SMALL(IF('Bank Schedule'!$K$2:$K$817="Vacant", ROW('Bank Schedule'!$K$2:$K$817)), ROW(91:91))), "")</f>
        <v/>
      </c>
      <c r="H94" s="53">
        <f t="array" ref="H94">IFERROR(INDEX('Bank Schedule'!H:H, SMALL(IF('Bank Schedule'!$K$2:$K$817="Vacant", ROW('Bank Schedule'!$K$2:$K$817)), ROW(91:91))), "")</f>
        <v/>
      </c>
      <c r="I94" s="53">
        <f t="array" ref="I94">IFERROR(INDEX('Bank Schedule'!I:I, SMALL(IF('Bank Schedule'!$K$2:$K$817="Vacant", ROW('Bank Schedule'!$K$2:$K$817)), ROW(91:91))), "")</f>
        <v/>
      </c>
      <c r="J94" s="11">
        <f t="array" ref="J94">IFERROR(INDEX('Bank Schedule'!K:K, SMALL(IF('Bank Schedule'!$K$2:$K$817="Vacant", ROW('Bank Schedule'!$K$2:$K$817)), ROW(91:91))), "")</f>
        <v/>
      </c>
      <c r="K94" s="11">
        <f t="array" ref="K94">IFERROR(INDEX('Bank Schedule'!L:L, SMALL(IF('Bank Schedule'!$K$2:$K$817="Vacant", ROW('Bank Schedule'!$K$2:$K$817)), ROW(91:91))), "")</f>
        <v/>
      </c>
      <c r="L94" s="11">
        <f t="array" ref="L94">IFERROR(INDEX('Bank Schedule'!M:M, SMALL(IF('Bank Schedule'!$K$2:$K$817="Vacant", ROW('Bank Schedule'!$K$2:$K$817)), ROW(91:91))), "")</f>
        <v/>
      </c>
      <c r="M94" s="106">
        <f t="array" ref="M94">IFERROR(INDEX('Bank Schedule'!N:N, SMALL(IF('Bank Schedule'!$K$2:$K$817="Vacant", ROW('Bank Schedule'!$K$2:$K$817)), ROW(91:91))), "")</f>
        <v/>
      </c>
      <c r="N94" s="11">
        <f t="array" ref="N94">IFERROR(INDEX('Bank Schedule'!O:O, SMALL(IF('Bank Schedule'!$K$2:$K$817="Vacant", ROW('Bank Schedule'!$K$2:$K$817)), ROW(91:91))), "")</f>
        <v/>
      </c>
      <c r="O94" s="11">
        <f t="array" ref="O94">IFERROR(INDEX('Bank Schedule'!P:P, SMALL(IF('Bank Schedule'!$K$2:$K$817="Vacant", ROW('Bank Schedule'!$K$2:$K$817)), ROW(91:91))), "")</f>
        <v/>
      </c>
      <c r="P94" s="11">
        <f t="array" ref="P94">IFERROR(INDEX('Bank Schedule'!Q:Q, SMALL(IF('Bank Schedule'!$K$2:$K$817="Vacant", ROW('Bank Schedule'!$K$2:$K$817)), ROW(91:91))), "")</f>
        <v/>
      </c>
      <c r="Q94" s="11">
        <f t="array" ref="Q94">IFERROR(INDEX('Bank Schedule'!R:R, SMALL(IF('Bank Schedule'!$K$2:$K$817="Vacant", ROW('Bank Schedule'!$K$2:$K$817)), ROW(91:91))), "")</f>
        <v/>
      </c>
      <c r="R94" s="11">
        <f t="array" ref="R94">IFERROR(INDEX('Bank Schedule'!S:S, SMALL(IF('Bank Schedule'!$K$2:$K$817="Vacant", ROW('Bank Schedule'!$K$2:$K$817)), ROW(91:91))), "")</f>
        <v/>
      </c>
      <c r="S94" s="301">
        <f t="array" ref="S94">IFERROR(INDEX('Bank Schedule'!T:T, SMALL(IF('Bank Schedule'!$K$2:$K$817="Vacant", ROW('Bank Schedule'!$K$2:$K$817)), ROW(91:91))), "")</f>
        <v/>
      </c>
      <c r="T94" s="301">
        <f t="array" ref="T94">IFERROR(INDEX('Bank Schedule'!U:U, SMALL(IF('Bank Schedule'!$K$2:$K$817="Vacant", ROW('Bank Schedule'!$K$2:$K$817)), ROW(91:91))), "")</f>
        <v/>
      </c>
      <c r="U94" s="301">
        <f t="array" ref="U94">IFERROR(INDEX('Bank Schedule'!V:V, SMALL(IF('Bank Schedule'!$K$2:$K$817="Vacant", ROW('Bank Schedule'!$K$2:$K$817)), ROW(91:91))), "")</f>
        <v/>
      </c>
      <c r="V94" s="301">
        <f t="array" ref="V94">IFERROR(INDEX('Bank Schedule'!W:W, SMALL(IF('Bank Schedule'!$K$2:$K$817="Vacant", ROW('Bank Schedule'!$K$2:$K$817)), ROW(91:91))), "")</f>
        <v/>
      </c>
      <c r="W94" s="300">
        <f t="array" ref="W94">IFERROR(INDEX('Bank Schedule'!X:X, SMALL(IF('Bank Schedule'!$K$2:$K$817="Vacant", ROW('Bank Schedule'!$K$2:$K$817)), ROW(91:91))), "")</f>
        <v/>
      </c>
      <c r="X94" s="11">
        <f t="array" ref="X94">IFERROR(INDEX('Bank Schedule'!Y:Y, SMALL(IF('Bank Schedule'!$K$2:$K$817="Vacant", ROW('Bank Schedule'!$K$2:$K$817)), ROW(91:91))), "")</f>
        <v/>
      </c>
      <c r="Y94" s="11">
        <f t="array" ref="Y94">IFERROR(INDEX('Bank Schedule'!Z:Z, SMALL(IF('Bank Schedule'!$K$2:$K$817="Vacant", ROW('Bank Schedule'!$K$2:$K$817)), ROW(91:91))), "")</f>
        <v/>
      </c>
      <c r="Z94" s="11">
        <f t="array" ref="Z94">IFERROR(INDEX('Bank Schedule'!AA:AA, SMALL(IF('Bank Schedule'!$K$2:$K$817="Vacant", ROW('Bank Schedule'!$K$2:$K$817)), ROW(91:91))), "")</f>
        <v/>
      </c>
      <c r="AA94" s="11">
        <f t="array" ref="AA94">IFERROR(INDEX('Bank Schedule'!AB:AB, SMALL(IF('Bank Schedule'!$K$2:$K$817="Vacant", ROW('Bank Schedule'!$K$2:$K$817)), ROW(91:91))), "")</f>
        <v/>
      </c>
      <c r="AB94" s="25">
        <f t="array" ref="AB94">IFERROR(INDEX('Bank Schedule'!AC:AC, SMALL(IF('Bank Schedule'!$K$2:$K$817="Vacant", ROW('Bank Schedule'!$K$2:$K$817)), ROW(91:91))), "")</f>
        <v/>
      </c>
      <c r="AC94" s="277">
        <f t="array" ref="AC94">IFERROR(INDEX('Bank Schedule'!AD:AD, SMALL(IF('Bank Schedule'!$K$2:$K$817="Vacant", ROW('Bank Schedule'!$K$2:$K$817)), ROW(91:91))), "")</f>
        <v/>
      </c>
      <c r="AD94" s="11">
        <f t="array" ref="AD94">IFERROR(INDEX('Bank Schedule'!AE:AE, SMALL(IF('Bank Schedule'!$K$2:$K$817="Vacant", ROW('Bank Schedule'!$K$2:$K$817)), ROW(91:91))), "")</f>
        <v/>
      </c>
      <c r="AE94" s="11">
        <f t="array" ref="AE94">IFERROR(INDEX('Bank Schedule'!AF:AF, SMALL(IF('Bank Schedule'!$K$2:$K$817="Vacant", ROW('Bank Schedule'!$K$2:$K$817)), ROW(91:91))), "")</f>
        <v/>
      </c>
      <c r="AF94" s="11">
        <f t="array" ref="AF94">IFERROR(INDEX('Bank Schedule'!AG:AG, SMALL(IF('Bank Schedule'!$K$2:$K$817="Vacant", ROW('Bank Schedule'!$K$2:$K$817)), ROW(91:91))), "")</f>
        <v/>
      </c>
      <c r="AG94" s="4" t="n"/>
    </row>
    <row r="95" ht="28.5" customHeight="1">
      <c r="A95" s="2">
        <f t="array" ref="A95">IFERROR(INDEX('Bank Schedule'!A:A, SMALL(IF('Bank Schedule'!$K$2:$K$817="Vacant", ROW('Bank Schedule'!$K$2:$K$817)), ROW(92:92))), "")</f>
        <v/>
      </c>
      <c r="B95" s="11">
        <f t="array" ref="B95">IFERROR(INDEX('Bank Schedule'!B:B, SMALL(IF('Bank Schedule'!$K$2:$K$817="Vacant", ROW('Bank Schedule'!$K$2:$K$817)), ROW(92:92))), "")</f>
        <v/>
      </c>
      <c r="C95" s="11">
        <f t="array" ref="C95">IFERROR(INDEX('Bank Schedule'!C:C, SMALL(IF('Bank Schedule'!$K$2:$K$817="Vacant", ROW('Bank Schedule'!$K$2:$K$817)), ROW(92:92))), "")</f>
        <v/>
      </c>
      <c r="D95" s="11">
        <f t="array" ref="D95">IFERROR(INDEX('Bank Schedule'!D:D, SMALL(IF('Bank Schedule'!$K$2:$K$817="Vacant", ROW('Bank Schedule'!$K$2:$K$817)), ROW(92:92))), "")</f>
        <v/>
      </c>
      <c r="E95" s="25">
        <f t="array" ref="E95">IFERROR(INDEX('Bank Schedule'!E:E, SMALL(IF('Bank Schedule'!$K$2:$K$817="Vacant", ROW('Bank Schedule'!$K$2:$K$817)), ROW(92:92))), "")</f>
        <v/>
      </c>
      <c r="F95" s="25">
        <f t="array" ref="F95">IFERROR(INDEX('Bank Schedule'!F:F, SMALL(IF('Bank Schedule'!$K$2:$K$817="Vacant", ROW('Bank Schedule'!$K$2:$K$817)), ROW(92:92))), "")</f>
        <v/>
      </c>
      <c r="G95" s="25">
        <f t="array" ref="G95">IFERROR(INDEX('Bank Schedule'!G:G, SMALL(IF('Bank Schedule'!$K$2:$K$817="Vacant", ROW('Bank Schedule'!$K$2:$K$817)), ROW(92:92))), "")</f>
        <v/>
      </c>
      <c r="H95" s="53">
        <f t="array" ref="H95">IFERROR(INDEX('Bank Schedule'!H:H, SMALL(IF('Bank Schedule'!$K$2:$K$817="Vacant", ROW('Bank Schedule'!$K$2:$K$817)), ROW(92:92))), "")</f>
        <v/>
      </c>
      <c r="I95" s="53">
        <f t="array" ref="I95">IFERROR(INDEX('Bank Schedule'!I:I, SMALL(IF('Bank Schedule'!$K$2:$K$817="Vacant", ROW('Bank Schedule'!$K$2:$K$817)), ROW(92:92))), "")</f>
        <v/>
      </c>
      <c r="J95" s="11">
        <f t="array" ref="J95">IFERROR(INDEX('Bank Schedule'!K:K, SMALL(IF('Bank Schedule'!$K$2:$K$817="Vacant", ROW('Bank Schedule'!$K$2:$K$817)), ROW(92:92))), "")</f>
        <v/>
      </c>
      <c r="K95" s="11">
        <f t="array" ref="K95">IFERROR(INDEX('Bank Schedule'!L:L, SMALL(IF('Bank Schedule'!$K$2:$K$817="Vacant", ROW('Bank Schedule'!$K$2:$K$817)), ROW(92:92))), "")</f>
        <v/>
      </c>
      <c r="L95" s="11">
        <f t="array" ref="L95">IFERROR(INDEX('Bank Schedule'!M:M, SMALL(IF('Bank Schedule'!$K$2:$K$817="Vacant", ROW('Bank Schedule'!$K$2:$K$817)), ROW(92:92))), "")</f>
        <v/>
      </c>
      <c r="M95" s="106">
        <f t="array" ref="M95">IFERROR(INDEX('Bank Schedule'!N:N, SMALL(IF('Bank Schedule'!$K$2:$K$817="Vacant", ROW('Bank Schedule'!$K$2:$K$817)), ROW(92:92))), "")</f>
        <v/>
      </c>
      <c r="N95" s="11">
        <f t="array" ref="N95">IFERROR(INDEX('Bank Schedule'!O:O, SMALL(IF('Bank Schedule'!$K$2:$K$817="Vacant", ROW('Bank Schedule'!$K$2:$K$817)), ROW(92:92))), "")</f>
        <v/>
      </c>
      <c r="O95" s="11">
        <f t="array" ref="O95">IFERROR(INDEX('Bank Schedule'!P:P, SMALL(IF('Bank Schedule'!$K$2:$K$817="Vacant", ROW('Bank Schedule'!$K$2:$K$817)), ROW(92:92))), "")</f>
        <v/>
      </c>
      <c r="P95" s="11">
        <f t="array" ref="P95">IFERROR(INDEX('Bank Schedule'!Q:Q, SMALL(IF('Bank Schedule'!$K$2:$K$817="Vacant", ROW('Bank Schedule'!$K$2:$K$817)), ROW(92:92))), "")</f>
        <v/>
      </c>
      <c r="Q95" s="11">
        <f t="array" ref="Q95">IFERROR(INDEX('Bank Schedule'!R:R, SMALL(IF('Bank Schedule'!$K$2:$K$817="Vacant", ROW('Bank Schedule'!$K$2:$K$817)), ROW(92:92))), "")</f>
        <v/>
      </c>
      <c r="R95" s="11">
        <f t="array" ref="R95">IFERROR(INDEX('Bank Schedule'!S:S, SMALL(IF('Bank Schedule'!$K$2:$K$817="Vacant", ROW('Bank Schedule'!$K$2:$K$817)), ROW(92:92))), "")</f>
        <v/>
      </c>
      <c r="S95" s="301">
        <f t="array" ref="S95">IFERROR(INDEX('Bank Schedule'!T:T, SMALL(IF('Bank Schedule'!$K$2:$K$817="Vacant", ROW('Bank Schedule'!$K$2:$K$817)), ROW(92:92))), "")</f>
        <v/>
      </c>
      <c r="T95" s="301">
        <f t="array" ref="T95">IFERROR(INDEX('Bank Schedule'!U:U, SMALL(IF('Bank Schedule'!$K$2:$K$817="Vacant", ROW('Bank Schedule'!$K$2:$K$817)), ROW(92:92))), "")</f>
        <v/>
      </c>
      <c r="U95" s="301">
        <f t="array" ref="U95">IFERROR(INDEX('Bank Schedule'!V:V, SMALL(IF('Bank Schedule'!$K$2:$K$817="Vacant", ROW('Bank Schedule'!$K$2:$K$817)), ROW(92:92))), "")</f>
        <v/>
      </c>
      <c r="V95" s="301">
        <f t="array" ref="V95">IFERROR(INDEX('Bank Schedule'!W:W, SMALL(IF('Bank Schedule'!$K$2:$K$817="Vacant", ROW('Bank Schedule'!$K$2:$K$817)), ROW(92:92))), "")</f>
        <v/>
      </c>
      <c r="W95" s="300">
        <f t="array" ref="W95">IFERROR(INDEX('Bank Schedule'!X:X, SMALL(IF('Bank Schedule'!$K$2:$K$817="Vacant", ROW('Bank Schedule'!$K$2:$K$817)), ROW(92:92))), "")</f>
        <v/>
      </c>
      <c r="X95" s="11">
        <f t="array" ref="X95">IFERROR(INDEX('Bank Schedule'!Y:Y, SMALL(IF('Bank Schedule'!$K$2:$K$817="Vacant", ROW('Bank Schedule'!$K$2:$K$817)), ROW(92:92))), "")</f>
        <v/>
      </c>
      <c r="Y95" s="11">
        <f t="array" ref="Y95">IFERROR(INDEX('Bank Schedule'!Z:Z, SMALL(IF('Bank Schedule'!$K$2:$K$817="Vacant", ROW('Bank Schedule'!$K$2:$K$817)), ROW(92:92))), "")</f>
        <v/>
      </c>
      <c r="Z95" s="11">
        <f t="array" ref="Z95">IFERROR(INDEX('Bank Schedule'!AA:AA, SMALL(IF('Bank Schedule'!$K$2:$K$817="Vacant", ROW('Bank Schedule'!$K$2:$K$817)), ROW(92:92))), "")</f>
        <v/>
      </c>
      <c r="AA95" s="11">
        <f t="array" ref="AA95">IFERROR(INDEX('Bank Schedule'!AB:AB, SMALL(IF('Bank Schedule'!$K$2:$K$817="Vacant", ROW('Bank Schedule'!$K$2:$K$817)), ROW(92:92))), "")</f>
        <v/>
      </c>
      <c r="AB95" s="25">
        <f t="array" ref="AB95">IFERROR(INDEX('Bank Schedule'!AC:AC, SMALL(IF('Bank Schedule'!$K$2:$K$817="Vacant", ROW('Bank Schedule'!$K$2:$K$817)), ROW(92:92))), "")</f>
        <v/>
      </c>
      <c r="AC95" s="277">
        <f t="array" ref="AC95">IFERROR(INDEX('Bank Schedule'!AD:AD, SMALL(IF('Bank Schedule'!$K$2:$K$817="Vacant", ROW('Bank Schedule'!$K$2:$K$817)), ROW(92:92))), "")</f>
        <v/>
      </c>
      <c r="AD95" s="11">
        <f t="array" ref="AD95">IFERROR(INDEX('Bank Schedule'!AE:AE, SMALL(IF('Bank Schedule'!$K$2:$K$817="Vacant", ROW('Bank Schedule'!$K$2:$K$817)), ROW(92:92))), "")</f>
        <v/>
      </c>
      <c r="AE95" s="11">
        <f t="array" ref="AE95">IFERROR(INDEX('Bank Schedule'!AF:AF, SMALL(IF('Bank Schedule'!$K$2:$K$817="Vacant", ROW('Bank Schedule'!$K$2:$K$817)), ROW(92:92))), "")</f>
        <v/>
      </c>
      <c r="AF95" s="11">
        <f t="array" ref="AF95">IFERROR(INDEX('Bank Schedule'!AG:AG, SMALL(IF('Bank Schedule'!$K$2:$K$817="Vacant", ROW('Bank Schedule'!$K$2:$K$817)), ROW(92:92))), "")</f>
        <v/>
      </c>
      <c r="AG95" s="4" t="n"/>
    </row>
    <row r="96" ht="28.5" customHeight="1">
      <c r="A96" s="2">
        <f t="array" ref="A96">IFERROR(INDEX('Bank Schedule'!A:A, SMALL(IF('Bank Schedule'!$K$2:$K$817="Vacant", ROW('Bank Schedule'!$K$2:$K$817)), ROW(93:93))), "")</f>
        <v/>
      </c>
      <c r="B96" s="11">
        <f t="array" ref="B96">IFERROR(INDEX('Bank Schedule'!B:B, SMALL(IF('Bank Schedule'!$K$2:$K$817="Vacant", ROW('Bank Schedule'!$K$2:$K$817)), ROW(93:93))), "")</f>
        <v/>
      </c>
      <c r="C96" s="11">
        <f t="array" ref="C96">IFERROR(INDEX('Bank Schedule'!C:C, SMALL(IF('Bank Schedule'!$K$2:$K$817="Vacant", ROW('Bank Schedule'!$K$2:$K$817)), ROW(93:93))), "")</f>
        <v/>
      </c>
      <c r="D96" s="11">
        <f t="array" ref="D96">IFERROR(INDEX('Bank Schedule'!D:D, SMALL(IF('Bank Schedule'!$K$2:$K$817="Vacant", ROW('Bank Schedule'!$K$2:$K$817)), ROW(93:93))), "")</f>
        <v/>
      </c>
      <c r="E96" s="25">
        <f t="array" ref="E96">IFERROR(INDEX('Bank Schedule'!E:E, SMALL(IF('Bank Schedule'!$K$2:$K$817="Vacant", ROW('Bank Schedule'!$K$2:$K$817)), ROW(93:93))), "")</f>
        <v/>
      </c>
      <c r="F96" s="25">
        <f t="array" ref="F96">IFERROR(INDEX('Bank Schedule'!F:F, SMALL(IF('Bank Schedule'!$K$2:$K$817="Vacant", ROW('Bank Schedule'!$K$2:$K$817)), ROW(93:93))), "")</f>
        <v/>
      </c>
      <c r="G96" s="25">
        <f t="array" ref="G96">IFERROR(INDEX('Bank Schedule'!G:G, SMALL(IF('Bank Schedule'!$K$2:$K$817="Vacant", ROW('Bank Schedule'!$K$2:$K$817)), ROW(93:93))), "")</f>
        <v/>
      </c>
      <c r="H96" s="53">
        <f t="array" ref="H96">IFERROR(INDEX('Bank Schedule'!H:H, SMALL(IF('Bank Schedule'!$K$2:$K$817="Vacant", ROW('Bank Schedule'!$K$2:$K$817)), ROW(93:93))), "")</f>
        <v/>
      </c>
      <c r="I96" s="53">
        <f t="array" ref="I96">IFERROR(INDEX('Bank Schedule'!I:I, SMALL(IF('Bank Schedule'!$K$2:$K$817="Vacant", ROW('Bank Schedule'!$K$2:$K$817)), ROW(93:93))), "")</f>
        <v/>
      </c>
      <c r="J96" s="11">
        <f t="array" ref="J96">IFERROR(INDEX('Bank Schedule'!K:K, SMALL(IF('Bank Schedule'!$K$2:$K$817="Vacant", ROW('Bank Schedule'!$K$2:$K$817)), ROW(93:93))), "")</f>
        <v/>
      </c>
      <c r="K96" s="11">
        <f t="array" ref="K96">IFERROR(INDEX('Bank Schedule'!L:L, SMALL(IF('Bank Schedule'!$K$2:$K$817="Vacant", ROW('Bank Schedule'!$K$2:$K$817)), ROW(93:93))), "")</f>
        <v/>
      </c>
      <c r="L96" s="11">
        <f t="array" ref="L96">IFERROR(INDEX('Bank Schedule'!M:M, SMALL(IF('Bank Schedule'!$K$2:$K$817="Vacant", ROW('Bank Schedule'!$K$2:$K$817)), ROW(93:93))), "")</f>
        <v/>
      </c>
      <c r="M96" s="106">
        <f t="array" ref="M96">IFERROR(INDEX('Bank Schedule'!N:N, SMALL(IF('Bank Schedule'!$K$2:$K$817="Vacant", ROW('Bank Schedule'!$K$2:$K$817)), ROW(93:93))), "")</f>
        <v/>
      </c>
      <c r="N96" s="11">
        <f t="array" ref="N96">IFERROR(INDEX('Bank Schedule'!O:O, SMALL(IF('Bank Schedule'!$K$2:$K$817="Vacant", ROW('Bank Schedule'!$K$2:$K$817)), ROW(93:93))), "")</f>
        <v/>
      </c>
      <c r="O96" s="11">
        <f t="array" ref="O96">IFERROR(INDEX('Bank Schedule'!P:P, SMALL(IF('Bank Schedule'!$K$2:$K$817="Vacant", ROW('Bank Schedule'!$K$2:$K$817)), ROW(93:93))), "")</f>
        <v/>
      </c>
      <c r="P96" s="11">
        <f t="array" ref="P96">IFERROR(INDEX('Bank Schedule'!Q:Q, SMALL(IF('Bank Schedule'!$K$2:$K$817="Vacant", ROW('Bank Schedule'!$K$2:$K$817)), ROW(93:93))), "")</f>
        <v/>
      </c>
      <c r="Q96" s="11">
        <f t="array" ref="Q96">IFERROR(INDEX('Bank Schedule'!R:R, SMALL(IF('Bank Schedule'!$K$2:$K$817="Vacant", ROW('Bank Schedule'!$K$2:$K$817)), ROW(93:93))), "")</f>
        <v/>
      </c>
      <c r="R96" s="11">
        <f t="array" ref="R96">IFERROR(INDEX('Bank Schedule'!S:S, SMALL(IF('Bank Schedule'!$K$2:$K$817="Vacant", ROW('Bank Schedule'!$K$2:$K$817)), ROW(93:93))), "")</f>
        <v/>
      </c>
      <c r="S96" s="301">
        <f t="array" ref="S96">IFERROR(INDEX('Bank Schedule'!T:T, SMALL(IF('Bank Schedule'!$K$2:$K$817="Vacant", ROW('Bank Schedule'!$K$2:$K$817)), ROW(93:93))), "")</f>
        <v/>
      </c>
      <c r="T96" s="301">
        <f t="array" ref="T96">IFERROR(INDEX('Bank Schedule'!U:U, SMALL(IF('Bank Schedule'!$K$2:$K$817="Vacant", ROW('Bank Schedule'!$K$2:$K$817)), ROW(93:93))), "")</f>
        <v/>
      </c>
      <c r="U96" s="301">
        <f t="array" ref="U96">IFERROR(INDEX('Bank Schedule'!V:V, SMALL(IF('Bank Schedule'!$K$2:$K$817="Vacant", ROW('Bank Schedule'!$K$2:$K$817)), ROW(93:93))), "")</f>
        <v/>
      </c>
      <c r="V96" s="301">
        <f t="array" ref="V96">IFERROR(INDEX('Bank Schedule'!W:W, SMALL(IF('Bank Schedule'!$K$2:$K$817="Vacant", ROW('Bank Schedule'!$K$2:$K$817)), ROW(93:93))), "")</f>
        <v/>
      </c>
      <c r="W96" s="300">
        <f t="array" ref="W96">IFERROR(INDEX('Bank Schedule'!X:X, SMALL(IF('Bank Schedule'!$K$2:$K$817="Vacant", ROW('Bank Schedule'!$K$2:$K$817)), ROW(93:93))), "")</f>
        <v/>
      </c>
      <c r="X96" s="11">
        <f t="array" ref="X96">IFERROR(INDEX('Bank Schedule'!Y:Y, SMALL(IF('Bank Schedule'!$K$2:$K$817="Vacant", ROW('Bank Schedule'!$K$2:$K$817)), ROW(93:93))), "")</f>
        <v/>
      </c>
      <c r="Y96" s="11">
        <f t="array" ref="Y96">IFERROR(INDEX('Bank Schedule'!Z:Z, SMALL(IF('Bank Schedule'!$K$2:$K$817="Vacant", ROW('Bank Schedule'!$K$2:$K$817)), ROW(93:93))), "")</f>
        <v/>
      </c>
      <c r="Z96" s="11">
        <f t="array" ref="Z96">IFERROR(INDEX('Bank Schedule'!AA:AA, SMALL(IF('Bank Schedule'!$K$2:$K$817="Vacant", ROW('Bank Schedule'!$K$2:$K$817)), ROW(93:93))), "")</f>
        <v/>
      </c>
      <c r="AA96" s="11">
        <f t="array" ref="AA96">IFERROR(INDEX('Bank Schedule'!AB:AB, SMALL(IF('Bank Schedule'!$K$2:$K$817="Vacant", ROW('Bank Schedule'!$K$2:$K$817)), ROW(93:93))), "")</f>
        <v/>
      </c>
      <c r="AB96" s="25">
        <f t="array" ref="AB96">IFERROR(INDEX('Bank Schedule'!AC:AC, SMALL(IF('Bank Schedule'!$K$2:$K$817="Vacant", ROW('Bank Schedule'!$K$2:$K$817)), ROW(93:93))), "")</f>
        <v/>
      </c>
      <c r="AC96" s="277">
        <f t="array" ref="AC96">IFERROR(INDEX('Bank Schedule'!AD:AD, SMALL(IF('Bank Schedule'!$K$2:$K$817="Vacant", ROW('Bank Schedule'!$K$2:$K$817)), ROW(93:93))), "")</f>
        <v/>
      </c>
      <c r="AD96" s="11">
        <f t="array" ref="AD96">IFERROR(INDEX('Bank Schedule'!AE:AE, SMALL(IF('Bank Schedule'!$K$2:$K$817="Vacant", ROW('Bank Schedule'!$K$2:$K$817)), ROW(93:93))), "")</f>
        <v/>
      </c>
      <c r="AE96" s="11">
        <f t="array" ref="AE96">IFERROR(INDEX('Bank Schedule'!AF:AF, SMALL(IF('Bank Schedule'!$K$2:$K$817="Vacant", ROW('Bank Schedule'!$K$2:$K$817)), ROW(93:93))), "")</f>
        <v/>
      </c>
      <c r="AF96" s="11">
        <f t="array" ref="AF96">IFERROR(INDEX('Bank Schedule'!AG:AG, SMALL(IF('Bank Schedule'!$K$2:$K$817="Vacant", ROW('Bank Schedule'!$K$2:$K$817)), ROW(93:93))), "")</f>
        <v/>
      </c>
      <c r="AG96" s="4" t="n"/>
    </row>
    <row r="97" ht="28.5" customHeight="1">
      <c r="A97" s="2">
        <f t="array" ref="A97">IFERROR(INDEX('Bank Schedule'!A:A, SMALL(IF('Bank Schedule'!$K$2:$K$817="Vacant", ROW('Bank Schedule'!$K$2:$K$817)), ROW(94:94))), "")</f>
        <v/>
      </c>
      <c r="B97" s="11">
        <f t="array" ref="B97">IFERROR(INDEX('Bank Schedule'!B:B, SMALL(IF('Bank Schedule'!$K$2:$K$817="Vacant", ROW('Bank Schedule'!$K$2:$K$817)), ROW(94:94))), "")</f>
        <v/>
      </c>
      <c r="C97" s="11">
        <f t="array" ref="C97">IFERROR(INDEX('Bank Schedule'!C:C, SMALL(IF('Bank Schedule'!$K$2:$K$817="Vacant", ROW('Bank Schedule'!$K$2:$K$817)), ROW(94:94))), "")</f>
        <v/>
      </c>
      <c r="D97" s="11">
        <f t="array" ref="D97">IFERROR(INDEX('Bank Schedule'!D:D, SMALL(IF('Bank Schedule'!$K$2:$K$817="Vacant", ROW('Bank Schedule'!$K$2:$K$817)), ROW(94:94))), "")</f>
        <v/>
      </c>
      <c r="E97" s="25">
        <f t="array" ref="E97">IFERROR(INDEX('Bank Schedule'!E:E, SMALL(IF('Bank Schedule'!$K$2:$K$817="Vacant", ROW('Bank Schedule'!$K$2:$K$817)), ROW(94:94))), "")</f>
        <v/>
      </c>
      <c r="F97" s="25">
        <f t="array" ref="F97">IFERROR(INDEX('Bank Schedule'!F:F, SMALL(IF('Bank Schedule'!$K$2:$K$817="Vacant", ROW('Bank Schedule'!$K$2:$K$817)), ROW(94:94))), "")</f>
        <v/>
      </c>
      <c r="G97" s="25">
        <f t="array" ref="G97">IFERROR(INDEX('Bank Schedule'!G:G, SMALL(IF('Bank Schedule'!$K$2:$K$817="Vacant", ROW('Bank Schedule'!$K$2:$K$817)), ROW(94:94))), "")</f>
        <v/>
      </c>
      <c r="H97" s="53">
        <f t="array" ref="H97">IFERROR(INDEX('Bank Schedule'!H:H, SMALL(IF('Bank Schedule'!$K$2:$K$817="Vacant", ROW('Bank Schedule'!$K$2:$K$817)), ROW(94:94))), "")</f>
        <v/>
      </c>
      <c r="I97" s="53">
        <f t="array" ref="I97">IFERROR(INDEX('Bank Schedule'!I:I, SMALL(IF('Bank Schedule'!$K$2:$K$817="Vacant", ROW('Bank Schedule'!$K$2:$K$817)), ROW(94:94))), "")</f>
        <v/>
      </c>
      <c r="J97" s="11">
        <f t="array" ref="J97">IFERROR(INDEX('Bank Schedule'!K:K, SMALL(IF('Bank Schedule'!$K$2:$K$817="Vacant", ROW('Bank Schedule'!$K$2:$K$817)), ROW(94:94))), "")</f>
        <v/>
      </c>
      <c r="K97" s="11">
        <f t="array" ref="K97">IFERROR(INDEX('Bank Schedule'!L:L, SMALL(IF('Bank Schedule'!$K$2:$K$817="Vacant", ROW('Bank Schedule'!$K$2:$K$817)), ROW(94:94))), "")</f>
        <v/>
      </c>
      <c r="L97" s="11">
        <f t="array" ref="L97">IFERROR(INDEX('Bank Schedule'!M:M, SMALL(IF('Bank Schedule'!$K$2:$K$817="Vacant", ROW('Bank Schedule'!$K$2:$K$817)), ROW(94:94))), "")</f>
        <v/>
      </c>
      <c r="M97" s="106">
        <f t="array" ref="M97">IFERROR(INDEX('Bank Schedule'!N:N, SMALL(IF('Bank Schedule'!$K$2:$K$817="Vacant", ROW('Bank Schedule'!$K$2:$K$817)), ROW(94:94))), "")</f>
        <v/>
      </c>
      <c r="N97" s="11">
        <f t="array" ref="N97">IFERROR(INDEX('Bank Schedule'!O:O, SMALL(IF('Bank Schedule'!$K$2:$K$817="Vacant", ROW('Bank Schedule'!$K$2:$K$817)), ROW(94:94))), "")</f>
        <v/>
      </c>
      <c r="O97" s="11">
        <f t="array" ref="O97">IFERROR(INDEX('Bank Schedule'!P:P, SMALL(IF('Bank Schedule'!$K$2:$K$817="Vacant", ROW('Bank Schedule'!$K$2:$K$817)), ROW(94:94))), "")</f>
        <v/>
      </c>
      <c r="P97" s="11">
        <f t="array" ref="P97">IFERROR(INDEX('Bank Schedule'!Q:Q, SMALL(IF('Bank Schedule'!$K$2:$K$817="Vacant", ROW('Bank Schedule'!$K$2:$K$817)), ROW(94:94))), "")</f>
        <v/>
      </c>
      <c r="Q97" s="11">
        <f t="array" ref="Q97">IFERROR(INDEX('Bank Schedule'!R:R, SMALL(IF('Bank Schedule'!$K$2:$K$817="Vacant", ROW('Bank Schedule'!$K$2:$K$817)), ROW(94:94))), "")</f>
        <v/>
      </c>
      <c r="R97" s="11">
        <f t="array" ref="R97">IFERROR(INDEX('Bank Schedule'!S:S, SMALL(IF('Bank Schedule'!$K$2:$K$817="Vacant", ROW('Bank Schedule'!$K$2:$K$817)), ROW(94:94))), "")</f>
        <v/>
      </c>
      <c r="S97" s="301">
        <f t="array" ref="S97">IFERROR(INDEX('Bank Schedule'!T:T, SMALL(IF('Bank Schedule'!$K$2:$K$817="Vacant", ROW('Bank Schedule'!$K$2:$K$817)), ROW(94:94))), "")</f>
        <v/>
      </c>
      <c r="T97" s="301">
        <f t="array" ref="T97">IFERROR(INDEX('Bank Schedule'!U:U, SMALL(IF('Bank Schedule'!$K$2:$K$817="Vacant", ROW('Bank Schedule'!$K$2:$K$817)), ROW(94:94))), "")</f>
        <v/>
      </c>
      <c r="U97" s="301">
        <f t="array" ref="U97">IFERROR(INDEX('Bank Schedule'!V:V, SMALL(IF('Bank Schedule'!$K$2:$K$817="Vacant", ROW('Bank Schedule'!$K$2:$K$817)), ROW(94:94))), "")</f>
        <v/>
      </c>
      <c r="V97" s="301">
        <f t="array" ref="V97">IFERROR(INDEX('Bank Schedule'!W:W, SMALL(IF('Bank Schedule'!$K$2:$K$817="Vacant", ROW('Bank Schedule'!$K$2:$K$817)), ROW(94:94))), "")</f>
        <v/>
      </c>
      <c r="W97" s="300">
        <f t="array" ref="W97">IFERROR(INDEX('Bank Schedule'!X:X, SMALL(IF('Bank Schedule'!$K$2:$K$817="Vacant", ROW('Bank Schedule'!$K$2:$K$817)), ROW(94:94))), "")</f>
        <v/>
      </c>
      <c r="X97" s="11">
        <f t="array" ref="X97">IFERROR(INDEX('Bank Schedule'!Y:Y, SMALL(IF('Bank Schedule'!$K$2:$K$817="Vacant", ROW('Bank Schedule'!$K$2:$K$817)), ROW(94:94))), "")</f>
        <v/>
      </c>
      <c r="Y97" s="11">
        <f t="array" ref="Y97">IFERROR(INDEX('Bank Schedule'!Z:Z, SMALL(IF('Bank Schedule'!$K$2:$K$817="Vacant", ROW('Bank Schedule'!$K$2:$K$817)), ROW(94:94))), "")</f>
        <v/>
      </c>
      <c r="Z97" s="11">
        <f t="array" ref="Z97">IFERROR(INDEX('Bank Schedule'!AA:AA, SMALL(IF('Bank Schedule'!$K$2:$K$817="Vacant", ROW('Bank Schedule'!$K$2:$K$817)), ROW(94:94))), "")</f>
        <v/>
      </c>
      <c r="AA97" s="11">
        <f t="array" ref="AA97">IFERROR(INDEX('Bank Schedule'!AB:AB, SMALL(IF('Bank Schedule'!$K$2:$K$817="Vacant", ROW('Bank Schedule'!$K$2:$K$817)), ROW(94:94))), "")</f>
        <v/>
      </c>
      <c r="AB97" s="25">
        <f t="array" ref="AB97">IFERROR(INDEX('Bank Schedule'!AC:AC, SMALL(IF('Bank Schedule'!$K$2:$K$817="Vacant", ROW('Bank Schedule'!$K$2:$K$817)), ROW(94:94))), "")</f>
        <v/>
      </c>
      <c r="AC97" s="277">
        <f t="array" ref="AC97">IFERROR(INDEX('Bank Schedule'!AD:AD, SMALL(IF('Bank Schedule'!$K$2:$K$817="Vacant", ROW('Bank Schedule'!$K$2:$K$817)), ROW(94:94))), "")</f>
        <v/>
      </c>
      <c r="AD97" s="11">
        <f t="array" ref="AD97">IFERROR(INDEX('Bank Schedule'!AE:AE, SMALL(IF('Bank Schedule'!$K$2:$K$817="Vacant", ROW('Bank Schedule'!$K$2:$K$817)), ROW(94:94))), "")</f>
        <v/>
      </c>
      <c r="AE97" s="11">
        <f t="array" ref="AE97">IFERROR(INDEX('Bank Schedule'!AF:AF, SMALL(IF('Bank Schedule'!$K$2:$K$817="Vacant", ROW('Bank Schedule'!$K$2:$K$817)), ROW(94:94))), "")</f>
        <v/>
      </c>
      <c r="AF97" s="11">
        <f t="array" ref="AF97">IFERROR(INDEX('Bank Schedule'!AG:AG, SMALL(IF('Bank Schedule'!$K$2:$K$817="Vacant", ROW('Bank Schedule'!$K$2:$K$817)), ROW(94:94))), "")</f>
        <v/>
      </c>
      <c r="AG97" s="4" t="n"/>
    </row>
    <row r="98" ht="28.5" customHeight="1">
      <c r="A98" s="2">
        <f t="array" ref="A98">IFERROR(INDEX('Bank Schedule'!A:A, SMALL(IF('Bank Schedule'!$K$2:$K$817="Vacant", ROW('Bank Schedule'!$K$2:$K$817)), ROW(95:95))), "")</f>
        <v/>
      </c>
      <c r="B98" s="11">
        <f t="array" ref="B98">IFERROR(INDEX('Bank Schedule'!B:B, SMALL(IF('Bank Schedule'!$K$2:$K$817="Vacant", ROW('Bank Schedule'!$K$2:$K$817)), ROW(95:95))), "")</f>
        <v/>
      </c>
      <c r="C98" s="11">
        <f t="array" ref="C98">IFERROR(INDEX('Bank Schedule'!C:C, SMALL(IF('Bank Schedule'!$K$2:$K$817="Vacant", ROW('Bank Schedule'!$K$2:$K$817)), ROW(95:95))), "")</f>
        <v/>
      </c>
      <c r="D98" s="11">
        <f t="array" ref="D98">IFERROR(INDEX('Bank Schedule'!D:D, SMALL(IF('Bank Schedule'!$K$2:$K$817="Vacant", ROW('Bank Schedule'!$K$2:$K$817)), ROW(95:95))), "")</f>
        <v/>
      </c>
      <c r="E98" s="25">
        <f t="array" ref="E98">IFERROR(INDEX('Bank Schedule'!E:E, SMALL(IF('Bank Schedule'!$K$2:$K$817="Vacant", ROW('Bank Schedule'!$K$2:$K$817)), ROW(95:95))), "")</f>
        <v/>
      </c>
      <c r="F98" s="25">
        <f t="array" ref="F98">IFERROR(INDEX('Bank Schedule'!F:F, SMALL(IF('Bank Schedule'!$K$2:$K$817="Vacant", ROW('Bank Schedule'!$K$2:$K$817)), ROW(95:95))), "")</f>
        <v/>
      </c>
      <c r="G98" s="25">
        <f t="array" ref="G98">IFERROR(INDEX('Bank Schedule'!G:G, SMALL(IF('Bank Schedule'!$K$2:$K$817="Vacant", ROW('Bank Schedule'!$K$2:$K$817)), ROW(95:95))), "")</f>
        <v/>
      </c>
      <c r="H98" s="53">
        <f t="array" ref="H98">IFERROR(INDEX('Bank Schedule'!H:H, SMALL(IF('Bank Schedule'!$K$2:$K$817="Vacant", ROW('Bank Schedule'!$K$2:$K$817)), ROW(95:95))), "")</f>
        <v/>
      </c>
      <c r="I98" s="53">
        <f t="array" ref="I98">IFERROR(INDEX('Bank Schedule'!I:I, SMALL(IF('Bank Schedule'!$K$2:$K$817="Vacant", ROW('Bank Schedule'!$K$2:$K$817)), ROW(95:95))), "")</f>
        <v/>
      </c>
      <c r="J98" s="11">
        <f t="array" ref="J98">IFERROR(INDEX('Bank Schedule'!K:K, SMALL(IF('Bank Schedule'!$K$2:$K$817="Vacant", ROW('Bank Schedule'!$K$2:$K$817)), ROW(95:95))), "")</f>
        <v/>
      </c>
      <c r="K98" s="11">
        <f t="array" ref="K98">IFERROR(INDEX('Bank Schedule'!L:L, SMALL(IF('Bank Schedule'!$K$2:$K$817="Vacant", ROW('Bank Schedule'!$K$2:$K$817)), ROW(95:95))), "")</f>
        <v/>
      </c>
      <c r="L98" s="11">
        <f t="array" ref="L98">IFERROR(INDEX('Bank Schedule'!M:M, SMALL(IF('Bank Schedule'!$K$2:$K$817="Vacant", ROW('Bank Schedule'!$K$2:$K$817)), ROW(95:95))), "")</f>
        <v/>
      </c>
      <c r="M98" s="106">
        <f t="array" ref="M98">IFERROR(INDEX('Bank Schedule'!N:N, SMALL(IF('Bank Schedule'!$K$2:$K$817="Vacant", ROW('Bank Schedule'!$K$2:$K$817)), ROW(95:95))), "")</f>
        <v/>
      </c>
      <c r="N98" s="11">
        <f t="array" ref="N98">IFERROR(INDEX('Bank Schedule'!O:O, SMALL(IF('Bank Schedule'!$K$2:$K$817="Vacant", ROW('Bank Schedule'!$K$2:$K$817)), ROW(95:95))), "")</f>
        <v/>
      </c>
      <c r="O98" s="11">
        <f t="array" ref="O98">IFERROR(INDEX('Bank Schedule'!P:P, SMALL(IF('Bank Schedule'!$K$2:$K$817="Vacant", ROW('Bank Schedule'!$K$2:$K$817)), ROW(95:95))), "")</f>
        <v/>
      </c>
      <c r="P98" s="11">
        <f t="array" ref="P98">IFERROR(INDEX('Bank Schedule'!Q:Q, SMALL(IF('Bank Schedule'!$K$2:$K$817="Vacant", ROW('Bank Schedule'!$K$2:$K$817)), ROW(95:95))), "")</f>
        <v/>
      </c>
      <c r="Q98" s="11">
        <f t="array" ref="Q98">IFERROR(INDEX('Bank Schedule'!R:R, SMALL(IF('Bank Schedule'!$K$2:$K$817="Vacant", ROW('Bank Schedule'!$K$2:$K$817)), ROW(95:95))), "")</f>
        <v/>
      </c>
      <c r="R98" s="11">
        <f t="array" ref="R98">IFERROR(INDEX('Bank Schedule'!S:S, SMALL(IF('Bank Schedule'!$K$2:$K$817="Vacant", ROW('Bank Schedule'!$K$2:$K$817)), ROW(95:95))), "")</f>
        <v/>
      </c>
      <c r="S98" s="301">
        <f t="array" ref="S98">IFERROR(INDEX('Bank Schedule'!T:T, SMALL(IF('Bank Schedule'!$K$2:$K$817="Vacant", ROW('Bank Schedule'!$K$2:$K$817)), ROW(95:95))), "")</f>
        <v/>
      </c>
      <c r="T98" s="301">
        <f t="array" ref="T98">IFERROR(INDEX('Bank Schedule'!U:U, SMALL(IF('Bank Schedule'!$K$2:$K$817="Vacant", ROW('Bank Schedule'!$K$2:$K$817)), ROW(95:95))), "")</f>
        <v/>
      </c>
      <c r="U98" s="301">
        <f t="array" ref="U98">IFERROR(INDEX('Bank Schedule'!V:V, SMALL(IF('Bank Schedule'!$K$2:$K$817="Vacant", ROW('Bank Schedule'!$K$2:$K$817)), ROW(95:95))), "")</f>
        <v/>
      </c>
      <c r="V98" s="301">
        <f t="array" ref="V98">IFERROR(INDEX('Bank Schedule'!W:W, SMALL(IF('Bank Schedule'!$K$2:$K$817="Vacant", ROW('Bank Schedule'!$K$2:$K$817)), ROW(95:95))), "")</f>
        <v/>
      </c>
      <c r="W98" s="300">
        <f t="array" ref="W98">IFERROR(INDEX('Bank Schedule'!X:X, SMALL(IF('Bank Schedule'!$K$2:$K$817="Vacant", ROW('Bank Schedule'!$K$2:$K$817)), ROW(95:95))), "")</f>
        <v/>
      </c>
      <c r="X98" s="11">
        <f t="array" ref="X98">IFERROR(INDEX('Bank Schedule'!Y:Y, SMALL(IF('Bank Schedule'!$K$2:$K$817="Vacant", ROW('Bank Schedule'!$K$2:$K$817)), ROW(95:95))), "")</f>
        <v/>
      </c>
      <c r="Y98" s="11">
        <f t="array" ref="Y98">IFERROR(INDEX('Bank Schedule'!Z:Z, SMALL(IF('Bank Schedule'!$K$2:$K$817="Vacant", ROW('Bank Schedule'!$K$2:$K$817)), ROW(95:95))), "")</f>
        <v/>
      </c>
      <c r="Z98" s="11">
        <f t="array" ref="Z98">IFERROR(INDEX('Bank Schedule'!AA:AA, SMALL(IF('Bank Schedule'!$K$2:$K$817="Vacant", ROW('Bank Schedule'!$K$2:$K$817)), ROW(95:95))), "")</f>
        <v/>
      </c>
      <c r="AA98" s="11">
        <f t="array" ref="AA98">IFERROR(INDEX('Bank Schedule'!AB:AB, SMALL(IF('Bank Schedule'!$K$2:$K$817="Vacant", ROW('Bank Schedule'!$K$2:$K$817)), ROW(95:95))), "")</f>
        <v/>
      </c>
      <c r="AB98" s="25">
        <f t="array" ref="AB98">IFERROR(INDEX('Bank Schedule'!AC:AC, SMALL(IF('Bank Schedule'!$K$2:$K$817="Vacant", ROW('Bank Schedule'!$K$2:$K$817)), ROW(95:95))), "")</f>
        <v/>
      </c>
      <c r="AC98" s="277">
        <f t="array" ref="AC98">IFERROR(INDEX('Bank Schedule'!AD:AD, SMALL(IF('Bank Schedule'!$K$2:$K$817="Vacant", ROW('Bank Schedule'!$K$2:$K$817)), ROW(95:95))), "")</f>
        <v/>
      </c>
      <c r="AD98" s="11">
        <f t="array" ref="AD98">IFERROR(INDEX('Bank Schedule'!AE:AE, SMALL(IF('Bank Schedule'!$K$2:$K$817="Vacant", ROW('Bank Schedule'!$K$2:$K$817)), ROW(95:95))), "")</f>
        <v/>
      </c>
      <c r="AE98" s="11">
        <f t="array" ref="AE98">IFERROR(INDEX('Bank Schedule'!AF:AF, SMALL(IF('Bank Schedule'!$K$2:$K$817="Vacant", ROW('Bank Schedule'!$K$2:$K$817)), ROW(95:95))), "")</f>
        <v/>
      </c>
      <c r="AF98" s="11">
        <f t="array" ref="AF98">IFERROR(INDEX('Bank Schedule'!AG:AG, SMALL(IF('Bank Schedule'!$K$2:$K$817="Vacant", ROW('Bank Schedule'!$K$2:$K$817)), ROW(95:95))), "")</f>
        <v/>
      </c>
      <c r="AG98" s="4" t="n"/>
    </row>
    <row r="99" ht="28.5" customHeight="1">
      <c r="A99" s="2">
        <f t="array" ref="A99">IFERROR(INDEX('Bank Schedule'!A:A, SMALL(IF('Bank Schedule'!$K$2:$K$817="Vacant", ROW('Bank Schedule'!$K$2:$K$817)), ROW(96:96))), "")</f>
        <v/>
      </c>
      <c r="B99" s="11">
        <f t="array" ref="B99">IFERROR(INDEX('Bank Schedule'!B:B, SMALL(IF('Bank Schedule'!$K$2:$K$817="Vacant", ROW('Bank Schedule'!$K$2:$K$817)), ROW(96:96))), "")</f>
        <v/>
      </c>
      <c r="C99" s="11">
        <f t="array" ref="C99">IFERROR(INDEX('Bank Schedule'!C:C, SMALL(IF('Bank Schedule'!$K$2:$K$817="Vacant", ROW('Bank Schedule'!$K$2:$K$817)), ROW(96:96))), "")</f>
        <v/>
      </c>
      <c r="D99" s="11">
        <f t="array" ref="D99">IFERROR(INDEX('Bank Schedule'!D:D, SMALL(IF('Bank Schedule'!$K$2:$K$817="Vacant", ROW('Bank Schedule'!$K$2:$K$817)), ROW(96:96))), "")</f>
        <v/>
      </c>
      <c r="E99" s="25">
        <f t="array" ref="E99">IFERROR(INDEX('Bank Schedule'!E:E, SMALL(IF('Bank Schedule'!$K$2:$K$817="Vacant", ROW('Bank Schedule'!$K$2:$K$817)), ROW(96:96))), "")</f>
        <v/>
      </c>
      <c r="F99" s="25">
        <f t="array" ref="F99">IFERROR(INDEX('Bank Schedule'!F:F, SMALL(IF('Bank Schedule'!$K$2:$K$817="Vacant", ROW('Bank Schedule'!$K$2:$K$817)), ROW(96:96))), "")</f>
        <v/>
      </c>
      <c r="G99" s="25">
        <f t="array" ref="G99">IFERROR(INDEX('Bank Schedule'!G:G, SMALL(IF('Bank Schedule'!$K$2:$K$817="Vacant", ROW('Bank Schedule'!$K$2:$K$817)), ROW(96:96))), "")</f>
        <v/>
      </c>
      <c r="H99" s="53">
        <f t="array" ref="H99">IFERROR(INDEX('Bank Schedule'!H:H, SMALL(IF('Bank Schedule'!$K$2:$K$817="Vacant", ROW('Bank Schedule'!$K$2:$K$817)), ROW(96:96))), "")</f>
        <v/>
      </c>
      <c r="I99" s="53">
        <f t="array" ref="I99">IFERROR(INDEX('Bank Schedule'!I:I, SMALL(IF('Bank Schedule'!$K$2:$K$817="Vacant", ROW('Bank Schedule'!$K$2:$K$817)), ROW(96:96))), "")</f>
        <v/>
      </c>
      <c r="J99" s="11">
        <f t="array" ref="J99">IFERROR(INDEX('Bank Schedule'!K:K, SMALL(IF('Bank Schedule'!$K$2:$K$817="Vacant", ROW('Bank Schedule'!$K$2:$K$817)), ROW(96:96))), "")</f>
        <v/>
      </c>
      <c r="K99" s="11">
        <f t="array" ref="K99">IFERROR(INDEX('Bank Schedule'!L:L, SMALL(IF('Bank Schedule'!$K$2:$K$817="Vacant", ROW('Bank Schedule'!$K$2:$K$817)), ROW(96:96))), "")</f>
        <v/>
      </c>
      <c r="L99" s="11">
        <f t="array" ref="L99">IFERROR(INDEX('Bank Schedule'!M:M, SMALL(IF('Bank Schedule'!$K$2:$K$817="Vacant", ROW('Bank Schedule'!$K$2:$K$817)), ROW(96:96))), "")</f>
        <v/>
      </c>
      <c r="M99" s="106">
        <f t="array" ref="M99">IFERROR(INDEX('Bank Schedule'!N:N, SMALL(IF('Bank Schedule'!$K$2:$K$817="Vacant", ROW('Bank Schedule'!$K$2:$K$817)), ROW(96:96))), "")</f>
        <v/>
      </c>
      <c r="N99" s="11">
        <f t="array" ref="N99">IFERROR(INDEX('Bank Schedule'!O:O, SMALL(IF('Bank Schedule'!$K$2:$K$817="Vacant", ROW('Bank Schedule'!$K$2:$K$817)), ROW(96:96))), "")</f>
        <v/>
      </c>
      <c r="O99" s="11">
        <f t="array" ref="O99">IFERROR(INDEX('Bank Schedule'!P:P, SMALL(IF('Bank Schedule'!$K$2:$K$817="Vacant", ROW('Bank Schedule'!$K$2:$K$817)), ROW(96:96))), "")</f>
        <v/>
      </c>
      <c r="P99" s="11">
        <f t="array" ref="P99">IFERROR(INDEX('Bank Schedule'!Q:Q, SMALL(IF('Bank Schedule'!$K$2:$K$817="Vacant", ROW('Bank Schedule'!$K$2:$K$817)), ROW(96:96))), "")</f>
        <v/>
      </c>
      <c r="Q99" s="11">
        <f t="array" ref="Q99">IFERROR(INDEX('Bank Schedule'!R:R, SMALL(IF('Bank Schedule'!$K$2:$K$817="Vacant", ROW('Bank Schedule'!$K$2:$K$817)), ROW(96:96))), "")</f>
        <v/>
      </c>
      <c r="R99" s="11">
        <f t="array" ref="R99">IFERROR(INDEX('Bank Schedule'!S:S, SMALL(IF('Bank Schedule'!$K$2:$K$817="Vacant", ROW('Bank Schedule'!$K$2:$K$817)), ROW(96:96))), "")</f>
        <v/>
      </c>
      <c r="S99" s="301">
        <f t="array" ref="S99">IFERROR(INDEX('Bank Schedule'!T:T, SMALL(IF('Bank Schedule'!$K$2:$K$817="Vacant", ROW('Bank Schedule'!$K$2:$K$817)), ROW(96:96))), "")</f>
        <v/>
      </c>
      <c r="T99" s="301">
        <f t="array" ref="T99">IFERROR(INDEX('Bank Schedule'!U:U, SMALL(IF('Bank Schedule'!$K$2:$K$817="Vacant", ROW('Bank Schedule'!$K$2:$K$817)), ROW(96:96))), "")</f>
        <v/>
      </c>
      <c r="U99" s="301">
        <f t="array" ref="U99">IFERROR(INDEX('Bank Schedule'!V:V, SMALL(IF('Bank Schedule'!$K$2:$K$817="Vacant", ROW('Bank Schedule'!$K$2:$K$817)), ROW(96:96))), "")</f>
        <v/>
      </c>
      <c r="V99" s="301">
        <f t="array" ref="V99">IFERROR(INDEX('Bank Schedule'!W:W, SMALL(IF('Bank Schedule'!$K$2:$K$817="Vacant", ROW('Bank Schedule'!$K$2:$K$817)), ROW(96:96))), "")</f>
        <v/>
      </c>
      <c r="W99" s="300">
        <f t="array" ref="W99">IFERROR(INDEX('Bank Schedule'!X:X, SMALL(IF('Bank Schedule'!$K$2:$K$817="Vacant", ROW('Bank Schedule'!$K$2:$K$817)), ROW(96:96))), "")</f>
        <v/>
      </c>
      <c r="X99" s="11">
        <f t="array" ref="X99">IFERROR(INDEX('Bank Schedule'!Y:Y, SMALL(IF('Bank Schedule'!$K$2:$K$817="Vacant", ROW('Bank Schedule'!$K$2:$K$817)), ROW(96:96))), "")</f>
        <v/>
      </c>
      <c r="Y99" s="11">
        <f t="array" ref="Y99">IFERROR(INDEX('Bank Schedule'!Z:Z, SMALL(IF('Bank Schedule'!$K$2:$K$817="Vacant", ROW('Bank Schedule'!$K$2:$K$817)), ROW(96:96))), "")</f>
        <v/>
      </c>
      <c r="Z99" s="11">
        <f t="array" ref="Z99">IFERROR(INDEX('Bank Schedule'!AA:AA, SMALL(IF('Bank Schedule'!$K$2:$K$817="Vacant", ROW('Bank Schedule'!$K$2:$K$817)), ROW(96:96))), "")</f>
        <v/>
      </c>
      <c r="AA99" s="11">
        <f t="array" ref="AA99">IFERROR(INDEX('Bank Schedule'!AB:AB, SMALL(IF('Bank Schedule'!$K$2:$K$817="Vacant", ROW('Bank Schedule'!$K$2:$K$817)), ROW(96:96))), "")</f>
        <v/>
      </c>
      <c r="AB99" s="25">
        <f t="array" ref="AB99">IFERROR(INDEX('Bank Schedule'!AC:AC, SMALL(IF('Bank Schedule'!$K$2:$K$817="Vacant", ROW('Bank Schedule'!$K$2:$K$817)), ROW(96:96))), "")</f>
        <v/>
      </c>
      <c r="AC99" s="277">
        <f t="array" ref="AC99">IFERROR(INDEX('Bank Schedule'!AD:AD, SMALL(IF('Bank Schedule'!$K$2:$K$817="Vacant", ROW('Bank Schedule'!$K$2:$K$817)), ROW(96:96))), "")</f>
        <v/>
      </c>
      <c r="AD99" s="11">
        <f t="array" ref="AD99">IFERROR(INDEX('Bank Schedule'!AE:AE, SMALL(IF('Bank Schedule'!$K$2:$K$817="Vacant", ROW('Bank Schedule'!$K$2:$K$817)), ROW(96:96))), "")</f>
        <v/>
      </c>
      <c r="AE99" s="11">
        <f t="array" ref="AE99">IFERROR(INDEX('Bank Schedule'!AF:AF, SMALL(IF('Bank Schedule'!$K$2:$K$817="Vacant", ROW('Bank Schedule'!$K$2:$K$817)), ROW(96:96))), "")</f>
        <v/>
      </c>
      <c r="AF99" s="11">
        <f t="array" ref="AF99">IFERROR(INDEX('Bank Schedule'!AG:AG, SMALL(IF('Bank Schedule'!$K$2:$K$817="Vacant", ROW('Bank Schedule'!$K$2:$K$817)), ROW(96:96))), "")</f>
        <v/>
      </c>
      <c r="AG99" s="4" t="n"/>
    </row>
    <row r="100" ht="28.5" customHeight="1">
      <c r="A100" s="2">
        <f t="array" ref="A100">IFERROR(INDEX('Bank Schedule'!A:A, SMALL(IF('Bank Schedule'!$K$2:$K$817="Vacant", ROW('Bank Schedule'!$K$2:$K$817)), ROW(97:97))), "")</f>
        <v/>
      </c>
      <c r="B100" s="11">
        <f t="array" ref="B100">IFERROR(INDEX('Bank Schedule'!B:B, SMALL(IF('Bank Schedule'!$K$2:$K$817="Vacant", ROW('Bank Schedule'!$K$2:$K$817)), ROW(97:97))), "")</f>
        <v/>
      </c>
      <c r="C100" s="11">
        <f t="array" ref="C100">IFERROR(INDEX('Bank Schedule'!C:C, SMALL(IF('Bank Schedule'!$K$2:$K$817="Vacant", ROW('Bank Schedule'!$K$2:$K$817)), ROW(97:97))), "")</f>
        <v/>
      </c>
      <c r="D100" s="11">
        <f t="array" ref="D100">IFERROR(INDEX('Bank Schedule'!D:D, SMALL(IF('Bank Schedule'!$K$2:$K$817="Vacant", ROW('Bank Schedule'!$K$2:$K$817)), ROW(97:97))), "")</f>
        <v/>
      </c>
      <c r="E100" s="25">
        <f t="array" ref="E100">IFERROR(INDEX('Bank Schedule'!E:E, SMALL(IF('Bank Schedule'!$K$2:$K$817="Vacant", ROW('Bank Schedule'!$K$2:$K$817)), ROW(97:97))), "")</f>
        <v/>
      </c>
      <c r="F100" s="25">
        <f t="array" ref="F100">IFERROR(INDEX('Bank Schedule'!F:F, SMALL(IF('Bank Schedule'!$K$2:$K$817="Vacant", ROW('Bank Schedule'!$K$2:$K$817)), ROW(97:97))), "")</f>
        <v/>
      </c>
      <c r="G100" s="25">
        <f t="array" ref="G100">IFERROR(INDEX('Bank Schedule'!G:G, SMALL(IF('Bank Schedule'!$K$2:$K$817="Vacant", ROW('Bank Schedule'!$K$2:$K$817)), ROW(97:97))), "")</f>
        <v/>
      </c>
      <c r="H100" s="53">
        <f t="array" ref="H100">IFERROR(INDEX('Bank Schedule'!H:H, SMALL(IF('Bank Schedule'!$K$2:$K$817="Vacant", ROW('Bank Schedule'!$K$2:$K$817)), ROW(97:97))), "")</f>
        <v/>
      </c>
      <c r="I100" s="53">
        <f t="array" ref="I100">IFERROR(INDEX('Bank Schedule'!I:I, SMALL(IF('Bank Schedule'!$K$2:$K$817="Vacant", ROW('Bank Schedule'!$K$2:$K$817)), ROW(97:97))), "")</f>
        <v/>
      </c>
      <c r="J100" s="11">
        <f t="array" ref="J100">IFERROR(INDEX('Bank Schedule'!K:K, SMALL(IF('Bank Schedule'!$K$2:$K$817="Vacant", ROW('Bank Schedule'!$K$2:$K$817)), ROW(97:97))), "")</f>
        <v/>
      </c>
      <c r="K100" s="11">
        <f t="array" ref="K100">IFERROR(INDEX('Bank Schedule'!L:L, SMALL(IF('Bank Schedule'!$K$2:$K$817="Vacant", ROW('Bank Schedule'!$K$2:$K$817)), ROW(97:97))), "")</f>
        <v/>
      </c>
      <c r="L100" s="11">
        <f t="array" ref="L100">IFERROR(INDEX('Bank Schedule'!M:M, SMALL(IF('Bank Schedule'!$K$2:$K$817="Vacant", ROW('Bank Schedule'!$K$2:$K$817)), ROW(97:97))), "")</f>
        <v/>
      </c>
      <c r="M100" s="106">
        <f t="array" ref="M100">IFERROR(INDEX('Bank Schedule'!N:N, SMALL(IF('Bank Schedule'!$K$2:$K$817="Vacant", ROW('Bank Schedule'!$K$2:$K$817)), ROW(97:97))), "")</f>
        <v/>
      </c>
      <c r="N100" s="11">
        <f t="array" ref="N100">IFERROR(INDEX('Bank Schedule'!O:O, SMALL(IF('Bank Schedule'!$K$2:$K$817="Vacant", ROW('Bank Schedule'!$K$2:$K$817)), ROW(97:97))), "")</f>
        <v/>
      </c>
      <c r="O100" s="11">
        <f t="array" ref="O100">IFERROR(INDEX('Bank Schedule'!P:P, SMALL(IF('Bank Schedule'!$K$2:$K$817="Vacant", ROW('Bank Schedule'!$K$2:$K$817)), ROW(97:97))), "")</f>
        <v/>
      </c>
      <c r="P100" s="11">
        <f t="array" ref="P100">IFERROR(INDEX('Bank Schedule'!Q:Q, SMALL(IF('Bank Schedule'!$K$2:$K$817="Vacant", ROW('Bank Schedule'!$K$2:$K$817)), ROW(97:97))), "")</f>
        <v/>
      </c>
      <c r="Q100" s="11">
        <f t="array" ref="Q100">IFERROR(INDEX('Bank Schedule'!R:R, SMALL(IF('Bank Schedule'!$K$2:$K$817="Vacant", ROW('Bank Schedule'!$K$2:$K$817)), ROW(97:97))), "")</f>
        <v/>
      </c>
      <c r="R100" s="11">
        <f t="array" ref="R100">IFERROR(INDEX('Bank Schedule'!S:S, SMALL(IF('Bank Schedule'!$K$2:$K$817="Vacant", ROW('Bank Schedule'!$K$2:$K$817)), ROW(97:97))), "")</f>
        <v/>
      </c>
      <c r="S100" s="301">
        <f t="array" ref="S100">IFERROR(INDEX('Bank Schedule'!T:T, SMALL(IF('Bank Schedule'!$K$2:$K$817="Vacant", ROW('Bank Schedule'!$K$2:$K$817)), ROW(97:97))), "")</f>
        <v/>
      </c>
      <c r="T100" s="301">
        <f t="array" ref="T100">IFERROR(INDEX('Bank Schedule'!U:U, SMALL(IF('Bank Schedule'!$K$2:$K$817="Vacant", ROW('Bank Schedule'!$K$2:$K$817)), ROW(97:97))), "")</f>
        <v/>
      </c>
      <c r="U100" s="301">
        <f t="array" ref="U100">IFERROR(INDEX('Bank Schedule'!V:V, SMALL(IF('Bank Schedule'!$K$2:$K$817="Vacant", ROW('Bank Schedule'!$K$2:$K$817)), ROW(97:97))), "")</f>
        <v/>
      </c>
      <c r="V100" s="301">
        <f t="array" ref="V100">IFERROR(INDEX('Bank Schedule'!W:W, SMALL(IF('Bank Schedule'!$K$2:$K$817="Vacant", ROW('Bank Schedule'!$K$2:$K$817)), ROW(97:97))), "")</f>
        <v/>
      </c>
      <c r="W100" s="300">
        <f t="array" ref="W100">IFERROR(INDEX('Bank Schedule'!X:X, SMALL(IF('Bank Schedule'!$K$2:$K$817="Vacant", ROW('Bank Schedule'!$K$2:$K$817)), ROW(97:97))), "")</f>
        <v/>
      </c>
      <c r="X100" s="11">
        <f t="array" ref="X100">IFERROR(INDEX('Bank Schedule'!Y:Y, SMALL(IF('Bank Schedule'!$K$2:$K$817="Vacant", ROW('Bank Schedule'!$K$2:$K$817)), ROW(97:97))), "")</f>
        <v/>
      </c>
      <c r="Y100" s="11">
        <f t="array" ref="Y100">IFERROR(INDEX('Bank Schedule'!Z:Z, SMALL(IF('Bank Schedule'!$K$2:$K$817="Vacant", ROW('Bank Schedule'!$K$2:$K$817)), ROW(97:97))), "")</f>
        <v/>
      </c>
      <c r="Z100" s="11">
        <f t="array" ref="Z100">IFERROR(INDEX('Bank Schedule'!AA:AA, SMALL(IF('Bank Schedule'!$K$2:$K$817="Vacant", ROW('Bank Schedule'!$K$2:$K$817)), ROW(97:97))), "")</f>
        <v/>
      </c>
      <c r="AA100" s="11">
        <f t="array" ref="AA100">IFERROR(INDEX('Bank Schedule'!AB:AB, SMALL(IF('Bank Schedule'!$K$2:$K$817="Vacant", ROW('Bank Schedule'!$K$2:$K$817)), ROW(97:97))), "")</f>
        <v/>
      </c>
      <c r="AB100" s="25">
        <f t="array" ref="AB100">IFERROR(INDEX('Bank Schedule'!AC:AC, SMALL(IF('Bank Schedule'!$K$2:$K$817="Vacant", ROW('Bank Schedule'!$K$2:$K$817)), ROW(97:97))), "")</f>
        <v/>
      </c>
      <c r="AC100" s="277">
        <f t="array" ref="AC100">IFERROR(INDEX('Bank Schedule'!AD:AD, SMALL(IF('Bank Schedule'!$K$2:$K$817="Vacant", ROW('Bank Schedule'!$K$2:$K$817)), ROW(97:97))), "")</f>
        <v/>
      </c>
      <c r="AD100" s="11">
        <f t="array" ref="AD100">IFERROR(INDEX('Bank Schedule'!AE:AE, SMALL(IF('Bank Schedule'!$K$2:$K$817="Vacant", ROW('Bank Schedule'!$K$2:$K$817)), ROW(97:97))), "")</f>
        <v/>
      </c>
      <c r="AE100" s="11">
        <f t="array" ref="AE100">IFERROR(INDEX('Bank Schedule'!AF:AF, SMALL(IF('Bank Schedule'!$K$2:$K$817="Vacant", ROW('Bank Schedule'!$K$2:$K$817)), ROW(97:97))), "")</f>
        <v/>
      </c>
      <c r="AF100" s="11">
        <f t="array" ref="AF100">IFERROR(INDEX('Bank Schedule'!AG:AG, SMALL(IF('Bank Schedule'!$K$2:$K$817="Vacant", ROW('Bank Schedule'!$K$2:$K$817)), ROW(97:97))), "")</f>
        <v/>
      </c>
      <c r="AG100" s="4" t="n"/>
    </row>
    <row r="101" ht="28.5" customHeight="1">
      <c r="A101" s="2">
        <f t="array" ref="A101">IFERROR(INDEX('Bank Schedule'!A:A, SMALL(IF('Bank Schedule'!$K$2:$K$817="Vacant", ROW('Bank Schedule'!$K$2:$K$817)), ROW(98:98))), "")</f>
        <v/>
      </c>
      <c r="B101" s="11">
        <f t="array" ref="B101">IFERROR(INDEX('Bank Schedule'!B:B, SMALL(IF('Bank Schedule'!$K$2:$K$817="Vacant", ROW('Bank Schedule'!$K$2:$K$817)), ROW(98:98))), "")</f>
        <v/>
      </c>
      <c r="C101" s="11">
        <f t="array" ref="C101">IFERROR(INDEX('Bank Schedule'!C:C, SMALL(IF('Bank Schedule'!$K$2:$K$817="Vacant", ROW('Bank Schedule'!$K$2:$K$817)), ROW(98:98))), "")</f>
        <v/>
      </c>
      <c r="D101" s="11">
        <f t="array" ref="D101">IFERROR(INDEX('Bank Schedule'!D:D, SMALL(IF('Bank Schedule'!$K$2:$K$817="Vacant", ROW('Bank Schedule'!$K$2:$K$817)), ROW(98:98))), "")</f>
        <v/>
      </c>
      <c r="E101" s="25">
        <f t="array" ref="E101">IFERROR(INDEX('Bank Schedule'!E:E, SMALL(IF('Bank Schedule'!$K$2:$K$817="Vacant", ROW('Bank Schedule'!$K$2:$K$817)), ROW(98:98))), "")</f>
        <v/>
      </c>
      <c r="F101" s="25">
        <f t="array" ref="F101">IFERROR(INDEX('Bank Schedule'!F:F, SMALL(IF('Bank Schedule'!$K$2:$K$817="Vacant", ROW('Bank Schedule'!$K$2:$K$817)), ROW(98:98))), "")</f>
        <v/>
      </c>
      <c r="G101" s="25">
        <f t="array" ref="G101">IFERROR(INDEX('Bank Schedule'!G:G, SMALL(IF('Bank Schedule'!$K$2:$K$817="Vacant", ROW('Bank Schedule'!$K$2:$K$817)), ROW(98:98))), "")</f>
        <v/>
      </c>
      <c r="H101" s="53">
        <f t="array" ref="H101">IFERROR(INDEX('Bank Schedule'!H:H, SMALL(IF('Bank Schedule'!$K$2:$K$817="Vacant", ROW('Bank Schedule'!$K$2:$K$817)), ROW(98:98))), "")</f>
        <v/>
      </c>
      <c r="I101" s="53">
        <f t="array" ref="I101">IFERROR(INDEX('Bank Schedule'!I:I, SMALL(IF('Bank Schedule'!$K$2:$K$817="Vacant", ROW('Bank Schedule'!$K$2:$K$817)), ROW(98:98))), "")</f>
        <v/>
      </c>
      <c r="J101" s="11">
        <f t="array" ref="J101">IFERROR(INDEX('Bank Schedule'!K:K, SMALL(IF('Bank Schedule'!$K$2:$K$817="Vacant", ROW('Bank Schedule'!$K$2:$K$817)), ROW(98:98))), "")</f>
        <v/>
      </c>
      <c r="K101" s="11">
        <f t="array" ref="K101">IFERROR(INDEX('Bank Schedule'!L:L, SMALL(IF('Bank Schedule'!$K$2:$K$817="Vacant", ROW('Bank Schedule'!$K$2:$K$817)), ROW(98:98))), "")</f>
        <v/>
      </c>
      <c r="L101" s="11">
        <f t="array" ref="L101">IFERROR(INDEX('Bank Schedule'!M:M, SMALL(IF('Bank Schedule'!$K$2:$K$817="Vacant", ROW('Bank Schedule'!$K$2:$K$817)), ROW(98:98))), "")</f>
        <v/>
      </c>
      <c r="M101" s="106">
        <f t="array" ref="M101">IFERROR(INDEX('Bank Schedule'!N:N, SMALL(IF('Bank Schedule'!$K$2:$K$817="Vacant", ROW('Bank Schedule'!$K$2:$K$817)), ROW(98:98))), "")</f>
        <v/>
      </c>
      <c r="N101" s="11">
        <f t="array" ref="N101">IFERROR(INDEX('Bank Schedule'!O:O, SMALL(IF('Bank Schedule'!$K$2:$K$817="Vacant", ROW('Bank Schedule'!$K$2:$K$817)), ROW(98:98))), "")</f>
        <v/>
      </c>
      <c r="O101" s="11">
        <f t="array" ref="O101">IFERROR(INDEX('Bank Schedule'!P:P, SMALL(IF('Bank Schedule'!$K$2:$K$817="Vacant", ROW('Bank Schedule'!$K$2:$K$817)), ROW(98:98))), "")</f>
        <v/>
      </c>
      <c r="P101" s="11">
        <f t="array" ref="P101">IFERROR(INDEX('Bank Schedule'!Q:Q, SMALL(IF('Bank Schedule'!$K$2:$K$817="Vacant", ROW('Bank Schedule'!$K$2:$K$817)), ROW(98:98))), "")</f>
        <v/>
      </c>
      <c r="Q101" s="11">
        <f t="array" ref="Q101">IFERROR(INDEX('Bank Schedule'!R:R, SMALL(IF('Bank Schedule'!$K$2:$K$817="Vacant", ROW('Bank Schedule'!$K$2:$K$817)), ROW(98:98))), "")</f>
        <v/>
      </c>
      <c r="R101" s="11">
        <f t="array" ref="R101">IFERROR(INDEX('Bank Schedule'!S:S, SMALL(IF('Bank Schedule'!$K$2:$K$817="Vacant", ROW('Bank Schedule'!$K$2:$K$817)), ROW(98:98))), "")</f>
        <v/>
      </c>
      <c r="S101" s="301">
        <f t="array" ref="S101">IFERROR(INDEX('Bank Schedule'!T:T, SMALL(IF('Bank Schedule'!$K$2:$K$817="Vacant", ROW('Bank Schedule'!$K$2:$K$817)), ROW(98:98))), "")</f>
        <v/>
      </c>
      <c r="T101" s="301">
        <f t="array" ref="T101">IFERROR(INDEX('Bank Schedule'!U:U, SMALL(IF('Bank Schedule'!$K$2:$K$817="Vacant", ROW('Bank Schedule'!$K$2:$K$817)), ROW(98:98))), "")</f>
        <v/>
      </c>
      <c r="U101" s="301">
        <f t="array" ref="U101">IFERROR(INDEX('Bank Schedule'!V:V, SMALL(IF('Bank Schedule'!$K$2:$K$817="Vacant", ROW('Bank Schedule'!$K$2:$K$817)), ROW(98:98))), "")</f>
        <v/>
      </c>
      <c r="V101" s="301">
        <f t="array" ref="V101">IFERROR(INDEX('Bank Schedule'!W:W, SMALL(IF('Bank Schedule'!$K$2:$K$817="Vacant", ROW('Bank Schedule'!$K$2:$K$817)), ROW(98:98))), "")</f>
        <v/>
      </c>
      <c r="W101" s="300">
        <f t="array" ref="W101">IFERROR(INDEX('Bank Schedule'!X:X, SMALL(IF('Bank Schedule'!$K$2:$K$817="Vacant", ROW('Bank Schedule'!$K$2:$K$817)), ROW(98:98))), "")</f>
        <v/>
      </c>
      <c r="X101" s="11">
        <f t="array" ref="X101">IFERROR(INDEX('Bank Schedule'!Y:Y, SMALL(IF('Bank Schedule'!$K$2:$K$817="Vacant", ROW('Bank Schedule'!$K$2:$K$817)), ROW(98:98))), "")</f>
        <v/>
      </c>
      <c r="Y101" s="11">
        <f t="array" ref="Y101">IFERROR(INDEX('Bank Schedule'!Z:Z, SMALL(IF('Bank Schedule'!$K$2:$K$817="Vacant", ROW('Bank Schedule'!$K$2:$K$817)), ROW(98:98))), "")</f>
        <v/>
      </c>
      <c r="Z101" s="11">
        <f t="array" ref="Z101">IFERROR(INDEX('Bank Schedule'!AA:AA, SMALL(IF('Bank Schedule'!$K$2:$K$817="Vacant", ROW('Bank Schedule'!$K$2:$K$817)), ROW(98:98))), "")</f>
        <v/>
      </c>
      <c r="AA101" s="11">
        <f t="array" ref="AA101">IFERROR(INDEX('Bank Schedule'!AB:AB, SMALL(IF('Bank Schedule'!$K$2:$K$817="Vacant", ROW('Bank Schedule'!$K$2:$K$817)), ROW(98:98))), "")</f>
        <v/>
      </c>
      <c r="AB101" s="25">
        <f t="array" ref="AB101">IFERROR(INDEX('Bank Schedule'!AC:AC, SMALL(IF('Bank Schedule'!$K$2:$K$817="Vacant", ROW('Bank Schedule'!$K$2:$K$817)), ROW(98:98))), "")</f>
        <v/>
      </c>
      <c r="AC101" s="277">
        <f t="array" ref="AC101">IFERROR(INDEX('Bank Schedule'!AD:AD, SMALL(IF('Bank Schedule'!$K$2:$K$817="Vacant", ROW('Bank Schedule'!$K$2:$K$817)), ROW(98:98))), "")</f>
        <v/>
      </c>
      <c r="AD101" s="11">
        <f t="array" ref="AD101">IFERROR(INDEX('Bank Schedule'!AE:AE, SMALL(IF('Bank Schedule'!$K$2:$K$817="Vacant", ROW('Bank Schedule'!$K$2:$K$817)), ROW(98:98))), "")</f>
        <v/>
      </c>
      <c r="AE101" s="11">
        <f t="array" ref="AE101">IFERROR(INDEX('Bank Schedule'!AF:AF, SMALL(IF('Bank Schedule'!$K$2:$K$817="Vacant", ROW('Bank Schedule'!$K$2:$K$817)), ROW(98:98))), "")</f>
        <v/>
      </c>
      <c r="AF101" s="11">
        <f t="array" ref="AF101">IFERROR(INDEX('Bank Schedule'!AG:AG, SMALL(IF('Bank Schedule'!$K$2:$K$817="Vacant", ROW('Bank Schedule'!$K$2:$K$817)), ROW(98:98))), "")</f>
        <v/>
      </c>
      <c r="AG101" s="4" t="n"/>
    </row>
    <row r="102" ht="28.5" customHeight="1">
      <c r="A102" s="2">
        <f t="array" ref="A102">IFERROR(INDEX('Bank Schedule'!A:A, SMALL(IF('Bank Schedule'!$K$2:$K$817="Vacant", ROW('Bank Schedule'!$K$2:$K$817)), ROW(99:99))), "")</f>
        <v/>
      </c>
      <c r="B102" s="11">
        <f t="array" ref="B102">IFERROR(INDEX('Bank Schedule'!B:B, SMALL(IF('Bank Schedule'!$K$2:$K$817="Vacant", ROW('Bank Schedule'!$K$2:$K$817)), ROW(99:99))), "")</f>
        <v/>
      </c>
      <c r="C102" s="11">
        <f t="array" ref="C102">IFERROR(INDEX('Bank Schedule'!C:C, SMALL(IF('Bank Schedule'!$K$2:$K$817="Vacant", ROW('Bank Schedule'!$K$2:$K$817)), ROW(99:99))), "")</f>
        <v/>
      </c>
      <c r="D102" s="11">
        <f t="array" ref="D102">IFERROR(INDEX('Bank Schedule'!D:D, SMALL(IF('Bank Schedule'!$K$2:$K$817="Vacant", ROW('Bank Schedule'!$K$2:$K$817)), ROW(99:99))), "")</f>
        <v/>
      </c>
      <c r="E102" s="25">
        <f t="array" ref="E102">IFERROR(INDEX('Bank Schedule'!E:E, SMALL(IF('Bank Schedule'!$K$2:$K$817="Vacant", ROW('Bank Schedule'!$K$2:$K$817)), ROW(99:99))), "")</f>
        <v/>
      </c>
      <c r="F102" s="25">
        <f t="array" ref="F102">IFERROR(INDEX('Bank Schedule'!F:F, SMALL(IF('Bank Schedule'!$K$2:$K$817="Vacant", ROW('Bank Schedule'!$K$2:$K$817)), ROW(99:99))), "")</f>
        <v/>
      </c>
      <c r="G102" s="25">
        <f t="array" ref="G102">IFERROR(INDEX('Bank Schedule'!G:G, SMALL(IF('Bank Schedule'!$K$2:$K$817="Vacant", ROW('Bank Schedule'!$K$2:$K$817)), ROW(99:99))), "")</f>
        <v/>
      </c>
      <c r="H102" s="53">
        <f t="array" ref="H102">IFERROR(INDEX('Bank Schedule'!H:H, SMALL(IF('Bank Schedule'!$K$2:$K$817="Vacant", ROW('Bank Schedule'!$K$2:$K$817)), ROW(99:99))), "")</f>
        <v/>
      </c>
      <c r="I102" s="53">
        <f t="array" ref="I102">IFERROR(INDEX('Bank Schedule'!I:I, SMALL(IF('Bank Schedule'!$K$2:$K$817="Vacant", ROW('Bank Schedule'!$K$2:$K$817)), ROW(99:99))), "")</f>
        <v/>
      </c>
      <c r="J102" s="11">
        <f t="array" ref="J102">IFERROR(INDEX('Bank Schedule'!K:K, SMALL(IF('Bank Schedule'!$K$2:$K$817="Vacant", ROW('Bank Schedule'!$K$2:$K$817)), ROW(99:99))), "")</f>
        <v/>
      </c>
      <c r="K102" s="11">
        <f t="array" ref="K102">IFERROR(INDEX('Bank Schedule'!L:L, SMALL(IF('Bank Schedule'!$K$2:$K$817="Vacant", ROW('Bank Schedule'!$K$2:$K$817)), ROW(99:99))), "")</f>
        <v/>
      </c>
      <c r="L102" s="11">
        <f t="array" ref="L102">IFERROR(INDEX('Bank Schedule'!M:M, SMALL(IF('Bank Schedule'!$K$2:$K$817="Vacant", ROW('Bank Schedule'!$K$2:$K$817)), ROW(99:99))), "")</f>
        <v/>
      </c>
      <c r="M102" s="106">
        <f t="array" ref="M102">IFERROR(INDEX('Bank Schedule'!N:N, SMALL(IF('Bank Schedule'!$K$2:$K$817="Vacant", ROW('Bank Schedule'!$K$2:$K$817)), ROW(99:99))), "")</f>
        <v/>
      </c>
      <c r="N102" s="11">
        <f t="array" ref="N102">IFERROR(INDEX('Bank Schedule'!O:O, SMALL(IF('Bank Schedule'!$K$2:$K$817="Vacant", ROW('Bank Schedule'!$K$2:$K$817)), ROW(99:99))), "")</f>
        <v/>
      </c>
      <c r="O102" s="11">
        <f t="array" ref="O102">IFERROR(INDEX('Bank Schedule'!P:P, SMALL(IF('Bank Schedule'!$K$2:$K$817="Vacant", ROW('Bank Schedule'!$K$2:$K$817)), ROW(99:99))), "")</f>
        <v/>
      </c>
      <c r="P102" s="11">
        <f t="array" ref="P102">IFERROR(INDEX('Bank Schedule'!Q:Q, SMALL(IF('Bank Schedule'!$K$2:$K$817="Vacant", ROW('Bank Schedule'!$K$2:$K$817)), ROW(99:99))), "")</f>
        <v/>
      </c>
      <c r="Q102" s="11">
        <f t="array" ref="Q102">IFERROR(INDEX('Bank Schedule'!R:R, SMALL(IF('Bank Schedule'!$K$2:$K$817="Vacant", ROW('Bank Schedule'!$K$2:$K$817)), ROW(99:99))), "")</f>
        <v/>
      </c>
      <c r="R102" s="11">
        <f t="array" ref="R102">IFERROR(INDEX('Bank Schedule'!S:S, SMALL(IF('Bank Schedule'!$K$2:$K$817="Vacant", ROW('Bank Schedule'!$K$2:$K$817)), ROW(99:99))), "")</f>
        <v/>
      </c>
      <c r="S102" s="301">
        <f t="array" ref="S102">IFERROR(INDEX('Bank Schedule'!T:T, SMALL(IF('Bank Schedule'!$K$2:$K$817="Vacant", ROW('Bank Schedule'!$K$2:$K$817)), ROW(99:99))), "")</f>
        <v/>
      </c>
      <c r="T102" s="301">
        <f t="array" ref="T102">IFERROR(INDEX('Bank Schedule'!U:U, SMALL(IF('Bank Schedule'!$K$2:$K$817="Vacant", ROW('Bank Schedule'!$K$2:$K$817)), ROW(99:99))), "")</f>
        <v/>
      </c>
      <c r="U102" s="301">
        <f t="array" ref="U102">IFERROR(INDEX('Bank Schedule'!V:V, SMALL(IF('Bank Schedule'!$K$2:$K$817="Vacant", ROW('Bank Schedule'!$K$2:$K$817)), ROW(99:99))), "")</f>
        <v/>
      </c>
      <c r="V102" s="301">
        <f t="array" ref="V102">IFERROR(INDEX('Bank Schedule'!W:W, SMALL(IF('Bank Schedule'!$K$2:$K$817="Vacant", ROW('Bank Schedule'!$K$2:$K$817)), ROW(99:99))), "")</f>
        <v/>
      </c>
      <c r="W102" s="300">
        <f t="array" ref="W102">IFERROR(INDEX('Bank Schedule'!X:X, SMALL(IF('Bank Schedule'!$K$2:$K$817="Vacant", ROW('Bank Schedule'!$K$2:$K$817)), ROW(99:99))), "")</f>
        <v/>
      </c>
      <c r="X102" s="11">
        <f t="array" ref="X102">IFERROR(INDEX('Bank Schedule'!Y:Y, SMALL(IF('Bank Schedule'!$K$2:$K$817="Vacant", ROW('Bank Schedule'!$K$2:$K$817)), ROW(99:99))), "")</f>
        <v/>
      </c>
      <c r="Y102" s="11">
        <f t="array" ref="Y102">IFERROR(INDEX('Bank Schedule'!Z:Z, SMALL(IF('Bank Schedule'!$K$2:$K$817="Vacant", ROW('Bank Schedule'!$K$2:$K$817)), ROW(99:99))), "")</f>
        <v/>
      </c>
      <c r="Z102" s="11">
        <f t="array" ref="Z102">IFERROR(INDEX('Bank Schedule'!AA:AA, SMALL(IF('Bank Schedule'!$K$2:$K$817="Vacant", ROW('Bank Schedule'!$K$2:$K$817)), ROW(99:99))), "")</f>
        <v/>
      </c>
      <c r="AA102" s="11">
        <f t="array" ref="AA102">IFERROR(INDEX('Bank Schedule'!AB:AB, SMALL(IF('Bank Schedule'!$K$2:$K$817="Vacant", ROW('Bank Schedule'!$K$2:$K$817)), ROW(99:99))), "")</f>
        <v/>
      </c>
      <c r="AB102" s="25">
        <f t="array" ref="AB102">IFERROR(INDEX('Bank Schedule'!AC:AC, SMALL(IF('Bank Schedule'!$K$2:$K$817="Vacant", ROW('Bank Schedule'!$K$2:$K$817)), ROW(99:99))), "")</f>
        <v/>
      </c>
      <c r="AC102" s="277">
        <f t="array" ref="AC102">IFERROR(INDEX('Bank Schedule'!AD:AD, SMALL(IF('Bank Schedule'!$K$2:$K$817="Vacant", ROW('Bank Schedule'!$K$2:$K$817)), ROW(99:99))), "")</f>
        <v/>
      </c>
      <c r="AD102" s="11">
        <f t="array" ref="AD102">IFERROR(INDEX('Bank Schedule'!AE:AE, SMALL(IF('Bank Schedule'!$K$2:$K$817="Vacant", ROW('Bank Schedule'!$K$2:$K$817)), ROW(99:99))), "")</f>
        <v/>
      </c>
      <c r="AE102" s="11">
        <f t="array" ref="AE102">IFERROR(INDEX('Bank Schedule'!AF:AF, SMALL(IF('Bank Schedule'!$K$2:$K$817="Vacant", ROW('Bank Schedule'!$K$2:$K$817)), ROW(99:99))), "")</f>
        <v/>
      </c>
      <c r="AF102" s="11">
        <f t="array" ref="AF102">IFERROR(INDEX('Bank Schedule'!AG:AG, SMALL(IF('Bank Schedule'!$K$2:$K$817="Vacant", ROW('Bank Schedule'!$K$2:$K$817)), ROW(99:99))), "")</f>
        <v/>
      </c>
      <c r="AG102" s="4" t="n"/>
    </row>
    <row r="103" ht="28.5" customHeight="1">
      <c r="A103" s="2">
        <f t="array" ref="A103">IFERROR(INDEX('Bank Schedule'!A:A, SMALL(IF('Bank Schedule'!$K$2:$K$817="Vacant", ROW('Bank Schedule'!$K$2:$K$817)), ROW(100:100))), "")</f>
        <v/>
      </c>
      <c r="B103" s="11">
        <f t="array" ref="B103">IFERROR(INDEX('Bank Schedule'!B:B, SMALL(IF('Bank Schedule'!$K$2:$K$817="Vacant", ROW('Bank Schedule'!$K$2:$K$817)), ROW(100:100))), "")</f>
        <v/>
      </c>
      <c r="C103" s="11">
        <f t="array" ref="C103">IFERROR(INDEX('Bank Schedule'!C:C, SMALL(IF('Bank Schedule'!$K$2:$K$817="Vacant", ROW('Bank Schedule'!$K$2:$K$817)), ROW(100:100))), "")</f>
        <v/>
      </c>
      <c r="D103" s="11">
        <f t="array" ref="D103">IFERROR(INDEX('Bank Schedule'!D:D, SMALL(IF('Bank Schedule'!$K$2:$K$817="Vacant", ROW('Bank Schedule'!$K$2:$K$817)), ROW(100:100))), "")</f>
        <v/>
      </c>
      <c r="E103" s="25">
        <f t="array" ref="E103">IFERROR(INDEX('Bank Schedule'!E:E, SMALL(IF('Bank Schedule'!$K$2:$K$817="Vacant", ROW('Bank Schedule'!$K$2:$K$817)), ROW(100:100))), "")</f>
        <v/>
      </c>
      <c r="F103" s="25">
        <f t="array" ref="F103">IFERROR(INDEX('Bank Schedule'!F:F, SMALL(IF('Bank Schedule'!$K$2:$K$817="Vacant", ROW('Bank Schedule'!$K$2:$K$817)), ROW(100:100))), "")</f>
        <v/>
      </c>
      <c r="G103" s="25">
        <f t="array" ref="G103">IFERROR(INDEX('Bank Schedule'!G:G, SMALL(IF('Bank Schedule'!$K$2:$K$817="Vacant", ROW('Bank Schedule'!$K$2:$K$817)), ROW(100:100))), "")</f>
        <v/>
      </c>
      <c r="H103" s="53">
        <f t="array" ref="H103">IFERROR(INDEX('Bank Schedule'!H:H, SMALL(IF('Bank Schedule'!$K$2:$K$817="Vacant", ROW('Bank Schedule'!$K$2:$K$817)), ROW(100:100))), "")</f>
        <v/>
      </c>
      <c r="I103" s="53">
        <f t="array" ref="I103">IFERROR(INDEX('Bank Schedule'!I:I, SMALL(IF('Bank Schedule'!$K$2:$K$817="Vacant", ROW('Bank Schedule'!$K$2:$K$817)), ROW(100:100))), "")</f>
        <v/>
      </c>
      <c r="J103" s="11">
        <f t="array" ref="J103">IFERROR(INDEX('Bank Schedule'!K:K, SMALL(IF('Bank Schedule'!$K$2:$K$817="Vacant", ROW('Bank Schedule'!$K$2:$K$817)), ROW(100:100))), "")</f>
        <v/>
      </c>
      <c r="K103" s="11">
        <f t="array" ref="K103">IFERROR(INDEX('Bank Schedule'!L:L, SMALL(IF('Bank Schedule'!$K$2:$K$817="Vacant", ROW('Bank Schedule'!$K$2:$K$817)), ROW(100:100))), "")</f>
        <v/>
      </c>
      <c r="L103" s="11">
        <f t="array" ref="L103">IFERROR(INDEX('Bank Schedule'!M:M, SMALL(IF('Bank Schedule'!$K$2:$K$817="Vacant", ROW('Bank Schedule'!$K$2:$K$817)), ROW(100:100))), "")</f>
        <v/>
      </c>
      <c r="M103" s="106">
        <f t="array" ref="M103">IFERROR(INDEX('Bank Schedule'!N:N, SMALL(IF('Bank Schedule'!$K$2:$K$817="Vacant", ROW('Bank Schedule'!$K$2:$K$817)), ROW(100:100))), "")</f>
        <v/>
      </c>
      <c r="N103" s="11">
        <f t="array" ref="N103">IFERROR(INDEX('Bank Schedule'!O:O, SMALL(IF('Bank Schedule'!$K$2:$K$817="Vacant", ROW('Bank Schedule'!$K$2:$K$817)), ROW(100:100))), "")</f>
        <v/>
      </c>
      <c r="O103" s="11">
        <f t="array" ref="O103">IFERROR(INDEX('Bank Schedule'!P:P, SMALL(IF('Bank Schedule'!$K$2:$K$817="Vacant", ROW('Bank Schedule'!$K$2:$K$817)), ROW(100:100))), "")</f>
        <v/>
      </c>
      <c r="P103" s="11">
        <f t="array" ref="P103">IFERROR(INDEX('Bank Schedule'!Q:Q, SMALL(IF('Bank Schedule'!$K$2:$K$817="Vacant", ROW('Bank Schedule'!$K$2:$K$817)), ROW(100:100))), "")</f>
        <v/>
      </c>
      <c r="Q103" s="11">
        <f t="array" ref="Q103">IFERROR(INDEX('Bank Schedule'!R:R, SMALL(IF('Bank Schedule'!$K$2:$K$817="Vacant", ROW('Bank Schedule'!$K$2:$K$817)), ROW(100:100))), "")</f>
        <v/>
      </c>
      <c r="R103" s="11">
        <f t="array" ref="R103">IFERROR(INDEX('Bank Schedule'!S:S, SMALL(IF('Bank Schedule'!$K$2:$K$817="Vacant", ROW('Bank Schedule'!$K$2:$K$817)), ROW(100:100))), "")</f>
        <v/>
      </c>
      <c r="S103" s="301">
        <f t="array" ref="S103">IFERROR(INDEX('Bank Schedule'!T:T, SMALL(IF('Bank Schedule'!$K$2:$K$817="Vacant", ROW('Bank Schedule'!$K$2:$K$817)), ROW(100:100))), "")</f>
        <v/>
      </c>
      <c r="T103" s="301">
        <f t="array" ref="T103">IFERROR(INDEX('Bank Schedule'!U:U, SMALL(IF('Bank Schedule'!$K$2:$K$817="Vacant", ROW('Bank Schedule'!$K$2:$K$817)), ROW(100:100))), "")</f>
        <v/>
      </c>
      <c r="U103" s="301">
        <f t="array" ref="U103">IFERROR(INDEX('Bank Schedule'!V:V, SMALL(IF('Bank Schedule'!$K$2:$K$817="Vacant", ROW('Bank Schedule'!$K$2:$K$817)), ROW(100:100))), "")</f>
        <v/>
      </c>
      <c r="V103" s="301">
        <f t="array" ref="V103">IFERROR(INDEX('Bank Schedule'!W:W, SMALL(IF('Bank Schedule'!$K$2:$K$817="Vacant", ROW('Bank Schedule'!$K$2:$K$817)), ROW(100:100))), "")</f>
        <v/>
      </c>
      <c r="W103" s="300">
        <f t="array" ref="W103">IFERROR(INDEX('Bank Schedule'!X:X, SMALL(IF('Bank Schedule'!$K$2:$K$817="Vacant", ROW('Bank Schedule'!$K$2:$K$817)), ROW(100:100))), "")</f>
        <v/>
      </c>
      <c r="X103" s="11">
        <f t="array" ref="X103">IFERROR(INDEX('Bank Schedule'!Y:Y, SMALL(IF('Bank Schedule'!$K$2:$K$817="Vacant", ROW('Bank Schedule'!$K$2:$K$817)), ROW(100:100))), "")</f>
        <v/>
      </c>
      <c r="Y103" s="11">
        <f t="array" ref="Y103">IFERROR(INDEX('Bank Schedule'!Z:Z, SMALL(IF('Bank Schedule'!$K$2:$K$817="Vacant", ROW('Bank Schedule'!$K$2:$K$817)), ROW(100:100))), "")</f>
        <v/>
      </c>
      <c r="Z103" s="11">
        <f t="array" ref="Z103">IFERROR(INDEX('Bank Schedule'!AA:AA, SMALL(IF('Bank Schedule'!$K$2:$K$817="Vacant", ROW('Bank Schedule'!$K$2:$K$817)), ROW(100:100))), "")</f>
        <v/>
      </c>
      <c r="AA103" s="11">
        <f t="array" ref="AA103">IFERROR(INDEX('Bank Schedule'!AB:AB, SMALL(IF('Bank Schedule'!$K$2:$K$817="Vacant", ROW('Bank Schedule'!$K$2:$K$817)), ROW(100:100))), "")</f>
        <v/>
      </c>
      <c r="AB103" s="25">
        <f t="array" ref="AB103">IFERROR(INDEX('Bank Schedule'!AC:AC, SMALL(IF('Bank Schedule'!$K$2:$K$817="Vacant", ROW('Bank Schedule'!$K$2:$K$817)), ROW(100:100))), "")</f>
        <v/>
      </c>
      <c r="AC103" s="277">
        <f t="array" ref="AC103">IFERROR(INDEX('Bank Schedule'!AD:AD, SMALL(IF('Bank Schedule'!$K$2:$K$817="Vacant", ROW('Bank Schedule'!$K$2:$K$817)), ROW(100:100))), "")</f>
        <v/>
      </c>
      <c r="AD103" s="11">
        <f t="array" ref="AD103">IFERROR(INDEX('Bank Schedule'!AE:AE, SMALL(IF('Bank Schedule'!$K$2:$K$817="Vacant", ROW('Bank Schedule'!$K$2:$K$817)), ROW(100:100))), "")</f>
        <v/>
      </c>
      <c r="AE103" s="11">
        <f t="array" ref="AE103">IFERROR(INDEX('Bank Schedule'!AF:AF, SMALL(IF('Bank Schedule'!$K$2:$K$817="Vacant", ROW('Bank Schedule'!$K$2:$K$817)), ROW(100:100))), "")</f>
        <v/>
      </c>
      <c r="AF103" s="11">
        <f t="array" ref="AF103">IFERROR(INDEX('Bank Schedule'!AG:AG, SMALL(IF('Bank Schedule'!$K$2:$K$817="Vacant", ROW('Bank Schedule'!$K$2:$K$817)), ROW(100:100))), "")</f>
        <v/>
      </c>
      <c r="AG103" s="4" t="n"/>
    </row>
    <row r="104" ht="28.5" customHeight="1">
      <c r="A104" s="2">
        <f t="array" ref="A104">IFERROR(INDEX('Bank Schedule'!A:A, SMALL(IF('Bank Schedule'!$K$2:$K$817="Vacant", ROW('Bank Schedule'!$K$2:$K$817)), ROW(101:101))), "")</f>
        <v/>
      </c>
      <c r="B104" s="11">
        <f t="array" ref="B104">IFERROR(INDEX('Bank Schedule'!B:B, SMALL(IF('Bank Schedule'!$K$2:$K$817="Vacant", ROW('Bank Schedule'!$K$2:$K$817)), ROW(101:101))), "")</f>
        <v/>
      </c>
      <c r="C104" s="11">
        <f t="array" ref="C104">IFERROR(INDEX('Bank Schedule'!C:C, SMALL(IF('Bank Schedule'!$K$2:$K$817="Vacant", ROW('Bank Schedule'!$K$2:$K$817)), ROW(101:101))), "")</f>
        <v/>
      </c>
      <c r="D104" s="11">
        <f t="array" ref="D104">IFERROR(INDEX('Bank Schedule'!D:D, SMALL(IF('Bank Schedule'!$K$2:$K$817="Vacant", ROW('Bank Schedule'!$K$2:$K$817)), ROW(101:101))), "")</f>
        <v/>
      </c>
      <c r="E104" s="25">
        <f t="array" ref="E104">IFERROR(INDEX('Bank Schedule'!E:E, SMALL(IF('Bank Schedule'!$K$2:$K$817="Vacant", ROW('Bank Schedule'!$K$2:$K$817)), ROW(101:101))), "")</f>
        <v/>
      </c>
      <c r="F104" s="25">
        <f t="array" ref="F104">IFERROR(INDEX('Bank Schedule'!F:F, SMALL(IF('Bank Schedule'!$K$2:$K$817="Vacant", ROW('Bank Schedule'!$K$2:$K$817)), ROW(101:101))), "")</f>
        <v/>
      </c>
      <c r="G104" s="25">
        <f t="array" ref="G104">IFERROR(INDEX('Bank Schedule'!G:G, SMALL(IF('Bank Schedule'!$K$2:$K$817="Vacant", ROW('Bank Schedule'!$K$2:$K$817)), ROW(101:101))), "")</f>
        <v/>
      </c>
      <c r="H104" s="53">
        <f t="array" ref="H104">IFERROR(INDEX('Bank Schedule'!H:H, SMALL(IF('Bank Schedule'!$K$2:$K$817="Vacant", ROW('Bank Schedule'!$K$2:$K$817)), ROW(101:101))), "")</f>
        <v/>
      </c>
      <c r="I104" s="53">
        <f t="array" ref="I104">IFERROR(INDEX('Bank Schedule'!I:I, SMALL(IF('Bank Schedule'!$K$2:$K$817="Vacant", ROW('Bank Schedule'!$K$2:$K$817)), ROW(101:101))), "")</f>
        <v/>
      </c>
      <c r="J104" s="11">
        <f t="array" ref="J104">IFERROR(INDEX('Bank Schedule'!K:K, SMALL(IF('Bank Schedule'!$K$2:$K$817="Vacant", ROW('Bank Schedule'!$K$2:$K$817)), ROW(101:101))), "")</f>
        <v/>
      </c>
      <c r="K104" s="11">
        <f t="array" ref="K104">IFERROR(INDEX('Bank Schedule'!L:L, SMALL(IF('Bank Schedule'!$K$2:$K$817="Vacant", ROW('Bank Schedule'!$K$2:$K$817)), ROW(101:101))), "")</f>
        <v/>
      </c>
      <c r="L104" s="11">
        <f t="array" ref="L104">IFERROR(INDEX('Bank Schedule'!M:M, SMALL(IF('Bank Schedule'!$K$2:$K$817="Vacant", ROW('Bank Schedule'!$K$2:$K$817)), ROW(101:101))), "")</f>
        <v/>
      </c>
      <c r="M104" s="106">
        <f t="array" ref="M104">IFERROR(INDEX('Bank Schedule'!N:N, SMALL(IF('Bank Schedule'!$K$2:$K$817="Vacant", ROW('Bank Schedule'!$K$2:$K$817)), ROW(101:101))), "")</f>
        <v/>
      </c>
      <c r="N104" s="11">
        <f t="array" ref="N104">IFERROR(INDEX('Bank Schedule'!O:O, SMALL(IF('Bank Schedule'!$K$2:$K$817="Vacant", ROW('Bank Schedule'!$K$2:$K$817)), ROW(101:101))), "")</f>
        <v/>
      </c>
      <c r="O104" s="11">
        <f t="array" ref="O104">IFERROR(INDEX('Bank Schedule'!P:P, SMALL(IF('Bank Schedule'!$K$2:$K$817="Vacant", ROW('Bank Schedule'!$K$2:$K$817)), ROW(101:101))), "")</f>
        <v/>
      </c>
      <c r="P104" s="11">
        <f t="array" ref="P104">IFERROR(INDEX('Bank Schedule'!Q:Q, SMALL(IF('Bank Schedule'!$K$2:$K$817="Vacant", ROW('Bank Schedule'!$K$2:$K$817)), ROW(101:101))), "")</f>
        <v/>
      </c>
      <c r="Q104" s="11">
        <f t="array" ref="Q104">IFERROR(INDEX('Bank Schedule'!R:R, SMALL(IF('Bank Schedule'!$K$2:$K$817="Vacant", ROW('Bank Schedule'!$K$2:$K$817)), ROW(101:101))), "")</f>
        <v/>
      </c>
      <c r="R104" s="11">
        <f t="array" ref="R104">IFERROR(INDEX('Bank Schedule'!S:S, SMALL(IF('Bank Schedule'!$K$2:$K$817="Vacant", ROW('Bank Schedule'!$K$2:$K$817)), ROW(101:101))), "")</f>
        <v/>
      </c>
      <c r="S104" s="301">
        <f t="array" ref="S104">IFERROR(INDEX('Bank Schedule'!T:T, SMALL(IF('Bank Schedule'!$K$2:$K$817="Vacant", ROW('Bank Schedule'!$K$2:$K$817)), ROW(101:101))), "")</f>
        <v/>
      </c>
      <c r="T104" s="301">
        <f t="array" ref="T104">IFERROR(INDEX('Bank Schedule'!U:U, SMALL(IF('Bank Schedule'!$K$2:$K$817="Vacant", ROW('Bank Schedule'!$K$2:$K$817)), ROW(101:101))), "")</f>
        <v/>
      </c>
      <c r="U104" s="301">
        <f t="array" ref="U104">IFERROR(INDEX('Bank Schedule'!V:V, SMALL(IF('Bank Schedule'!$K$2:$K$817="Vacant", ROW('Bank Schedule'!$K$2:$K$817)), ROW(101:101))), "")</f>
        <v/>
      </c>
      <c r="V104" s="301">
        <f t="array" ref="V104">IFERROR(INDEX('Bank Schedule'!W:W, SMALL(IF('Bank Schedule'!$K$2:$K$817="Vacant", ROW('Bank Schedule'!$K$2:$K$817)), ROW(101:101))), "")</f>
        <v/>
      </c>
      <c r="W104" s="300">
        <f t="array" ref="W104">IFERROR(INDEX('Bank Schedule'!X:X, SMALL(IF('Bank Schedule'!$K$2:$K$817="Vacant", ROW('Bank Schedule'!$K$2:$K$817)), ROW(101:101))), "")</f>
        <v/>
      </c>
      <c r="X104" s="11">
        <f t="array" ref="X104">IFERROR(INDEX('Bank Schedule'!Y:Y, SMALL(IF('Bank Schedule'!$K$2:$K$817="Vacant", ROW('Bank Schedule'!$K$2:$K$817)), ROW(101:101))), "")</f>
        <v/>
      </c>
      <c r="Y104" s="11">
        <f t="array" ref="Y104">IFERROR(INDEX('Bank Schedule'!Z:Z, SMALL(IF('Bank Schedule'!$K$2:$K$817="Vacant", ROW('Bank Schedule'!$K$2:$K$817)), ROW(101:101))), "")</f>
        <v/>
      </c>
      <c r="Z104" s="11">
        <f t="array" ref="Z104">IFERROR(INDEX('Bank Schedule'!AA:AA, SMALL(IF('Bank Schedule'!$K$2:$K$817="Vacant", ROW('Bank Schedule'!$K$2:$K$817)), ROW(101:101))), "")</f>
        <v/>
      </c>
      <c r="AA104" s="11">
        <f t="array" ref="AA104">IFERROR(INDEX('Bank Schedule'!AB:AB, SMALL(IF('Bank Schedule'!$K$2:$K$817="Vacant", ROW('Bank Schedule'!$K$2:$K$817)), ROW(101:101))), "")</f>
        <v/>
      </c>
      <c r="AB104" s="25">
        <f t="array" ref="AB104">IFERROR(INDEX('Bank Schedule'!AC:AC, SMALL(IF('Bank Schedule'!$K$2:$K$817="Vacant", ROW('Bank Schedule'!$K$2:$K$817)), ROW(101:101))), "")</f>
        <v/>
      </c>
      <c r="AC104" s="277">
        <f t="array" ref="AC104">IFERROR(INDEX('Bank Schedule'!AD:AD, SMALL(IF('Bank Schedule'!$K$2:$K$817="Vacant", ROW('Bank Schedule'!$K$2:$K$817)), ROW(101:101))), "")</f>
        <v/>
      </c>
      <c r="AD104" s="11">
        <f t="array" ref="AD104">IFERROR(INDEX('Bank Schedule'!AE:AE, SMALL(IF('Bank Schedule'!$K$2:$K$817="Vacant", ROW('Bank Schedule'!$K$2:$K$817)), ROW(101:101))), "")</f>
        <v/>
      </c>
      <c r="AE104" s="11">
        <f t="array" ref="AE104">IFERROR(INDEX('Bank Schedule'!AF:AF, SMALL(IF('Bank Schedule'!$K$2:$K$817="Vacant", ROW('Bank Schedule'!$K$2:$K$817)), ROW(101:101))), "")</f>
        <v/>
      </c>
      <c r="AF104" s="11">
        <f t="array" ref="AF104">IFERROR(INDEX('Bank Schedule'!AG:AG, SMALL(IF('Bank Schedule'!$K$2:$K$817="Vacant", ROW('Bank Schedule'!$K$2:$K$817)), ROW(101:101))), "")</f>
        <v/>
      </c>
      <c r="AG104" s="4" t="n"/>
    </row>
    <row r="105" ht="28.5" customHeight="1">
      <c r="A105" s="2">
        <f t="array" ref="A105">IFERROR(INDEX('Bank Schedule'!A:A, SMALL(IF('Bank Schedule'!$K$2:$K$817="Vacant", ROW('Bank Schedule'!$K$2:$K$817)), ROW(102:102))), "")</f>
        <v/>
      </c>
      <c r="B105" s="11">
        <f t="array" ref="B105">IFERROR(INDEX('Bank Schedule'!B:B, SMALL(IF('Bank Schedule'!$K$2:$K$817="Vacant", ROW('Bank Schedule'!$K$2:$K$817)), ROW(102:102))), "")</f>
        <v/>
      </c>
      <c r="C105" s="11">
        <f t="array" ref="C105">IFERROR(INDEX('Bank Schedule'!C:C, SMALL(IF('Bank Schedule'!$K$2:$K$817="Vacant", ROW('Bank Schedule'!$K$2:$K$817)), ROW(102:102))), "")</f>
        <v/>
      </c>
      <c r="D105" s="11">
        <f t="array" ref="D105">IFERROR(INDEX('Bank Schedule'!D:D, SMALL(IF('Bank Schedule'!$K$2:$K$817="Vacant", ROW('Bank Schedule'!$K$2:$K$817)), ROW(102:102))), "")</f>
        <v/>
      </c>
      <c r="E105" s="25">
        <f t="array" ref="E105">IFERROR(INDEX('Bank Schedule'!E:E, SMALL(IF('Bank Schedule'!$K$2:$K$817="Vacant", ROW('Bank Schedule'!$K$2:$K$817)), ROW(102:102))), "")</f>
        <v/>
      </c>
      <c r="F105" s="25">
        <f t="array" ref="F105">IFERROR(INDEX('Bank Schedule'!F:F, SMALL(IF('Bank Schedule'!$K$2:$K$817="Vacant", ROW('Bank Schedule'!$K$2:$K$817)), ROW(102:102))), "")</f>
        <v/>
      </c>
      <c r="G105" s="25">
        <f t="array" ref="G105">IFERROR(INDEX('Bank Schedule'!G:G, SMALL(IF('Bank Schedule'!$K$2:$K$817="Vacant", ROW('Bank Schedule'!$K$2:$K$817)), ROW(102:102))), "")</f>
        <v/>
      </c>
      <c r="H105" s="53">
        <f t="array" ref="H105">IFERROR(INDEX('Bank Schedule'!H:H, SMALL(IF('Bank Schedule'!$K$2:$K$817="Vacant", ROW('Bank Schedule'!$K$2:$K$817)), ROW(102:102))), "")</f>
        <v/>
      </c>
      <c r="I105" s="53">
        <f t="array" ref="I105">IFERROR(INDEX('Bank Schedule'!I:I, SMALL(IF('Bank Schedule'!$K$2:$K$817="Vacant", ROW('Bank Schedule'!$K$2:$K$817)), ROW(102:102))), "")</f>
        <v/>
      </c>
      <c r="J105" s="11">
        <f t="array" ref="J105">IFERROR(INDEX('Bank Schedule'!K:K, SMALL(IF('Bank Schedule'!$K$2:$K$817="Vacant", ROW('Bank Schedule'!$K$2:$K$817)), ROW(102:102))), "")</f>
        <v/>
      </c>
      <c r="K105" s="11">
        <f t="array" ref="K105">IFERROR(INDEX('Bank Schedule'!L:L, SMALL(IF('Bank Schedule'!$K$2:$K$817="Vacant", ROW('Bank Schedule'!$K$2:$K$817)), ROW(102:102))), "")</f>
        <v/>
      </c>
      <c r="L105" s="11">
        <f t="array" ref="L105">IFERROR(INDEX('Bank Schedule'!M:M, SMALL(IF('Bank Schedule'!$K$2:$K$817="Vacant", ROW('Bank Schedule'!$K$2:$K$817)), ROW(102:102))), "")</f>
        <v/>
      </c>
      <c r="M105" s="106">
        <f t="array" ref="M105">IFERROR(INDEX('Bank Schedule'!N:N, SMALL(IF('Bank Schedule'!$K$2:$K$817="Vacant", ROW('Bank Schedule'!$K$2:$K$817)), ROW(102:102))), "")</f>
        <v/>
      </c>
      <c r="N105" s="11">
        <f t="array" ref="N105">IFERROR(INDEX('Bank Schedule'!O:O, SMALL(IF('Bank Schedule'!$K$2:$K$817="Vacant", ROW('Bank Schedule'!$K$2:$K$817)), ROW(102:102))), "")</f>
        <v/>
      </c>
      <c r="O105" s="11">
        <f t="array" ref="O105">IFERROR(INDEX('Bank Schedule'!P:P, SMALL(IF('Bank Schedule'!$K$2:$K$817="Vacant", ROW('Bank Schedule'!$K$2:$K$817)), ROW(102:102))), "")</f>
        <v/>
      </c>
      <c r="P105" s="11">
        <f t="array" ref="P105">IFERROR(INDEX('Bank Schedule'!Q:Q, SMALL(IF('Bank Schedule'!$K$2:$K$817="Vacant", ROW('Bank Schedule'!$K$2:$K$817)), ROW(102:102))), "")</f>
        <v/>
      </c>
      <c r="Q105" s="11">
        <f t="array" ref="Q105">IFERROR(INDEX('Bank Schedule'!R:R, SMALL(IF('Bank Schedule'!$K$2:$K$817="Vacant", ROW('Bank Schedule'!$K$2:$K$817)), ROW(102:102))), "")</f>
        <v/>
      </c>
      <c r="R105" s="11">
        <f t="array" ref="R105">IFERROR(INDEX('Bank Schedule'!S:S, SMALL(IF('Bank Schedule'!$K$2:$K$817="Vacant", ROW('Bank Schedule'!$K$2:$K$817)), ROW(102:102))), "")</f>
        <v/>
      </c>
      <c r="S105" s="301">
        <f t="array" ref="S105">IFERROR(INDEX('Bank Schedule'!T:T, SMALL(IF('Bank Schedule'!$K$2:$K$817="Vacant", ROW('Bank Schedule'!$K$2:$K$817)), ROW(102:102))), "")</f>
        <v/>
      </c>
      <c r="T105" s="301">
        <f t="array" ref="T105">IFERROR(INDEX('Bank Schedule'!U:U, SMALL(IF('Bank Schedule'!$K$2:$K$817="Vacant", ROW('Bank Schedule'!$K$2:$K$817)), ROW(102:102))), "")</f>
        <v/>
      </c>
      <c r="U105" s="301">
        <f t="array" ref="U105">IFERROR(INDEX('Bank Schedule'!V:V, SMALL(IF('Bank Schedule'!$K$2:$K$817="Vacant", ROW('Bank Schedule'!$K$2:$K$817)), ROW(102:102))), "")</f>
        <v/>
      </c>
      <c r="V105" s="301">
        <f t="array" ref="V105">IFERROR(INDEX('Bank Schedule'!W:W, SMALL(IF('Bank Schedule'!$K$2:$K$817="Vacant", ROW('Bank Schedule'!$K$2:$K$817)), ROW(102:102))), "")</f>
        <v/>
      </c>
      <c r="W105" s="300">
        <f t="array" ref="W105">IFERROR(INDEX('Bank Schedule'!X:X, SMALL(IF('Bank Schedule'!$K$2:$K$817="Vacant", ROW('Bank Schedule'!$K$2:$K$817)), ROW(102:102))), "")</f>
        <v/>
      </c>
      <c r="X105" s="11">
        <f t="array" ref="X105">IFERROR(INDEX('Bank Schedule'!Y:Y, SMALL(IF('Bank Schedule'!$K$2:$K$817="Vacant", ROW('Bank Schedule'!$K$2:$K$817)), ROW(102:102))), "")</f>
        <v/>
      </c>
      <c r="Y105" s="11">
        <f t="array" ref="Y105">IFERROR(INDEX('Bank Schedule'!Z:Z, SMALL(IF('Bank Schedule'!$K$2:$K$817="Vacant", ROW('Bank Schedule'!$K$2:$K$817)), ROW(102:102))), "")</f>
        <v/>
      </c>
      <c r="Z105" s="11">
        <f t="array" ref="Z105">IFERROR(INDEX('Bank Schedule'!AA:AA, SMALL(IF('Bank Schedule'!$K$2:$K$817="Vacant", ROW('Bank Schedule'!$K$2:$K$817)), ROW(102:102))), "")</f>
        <v/>
      </c>
      <c r="AA105" s="11">
        <f t="array" ref="AA105">IFERROR(INDEX('Bank Schedule'!AB:AB, SMALL(IF('Bank Schedule'!$K$2:$K$817="Vacant", ROW('Bank Schedule'!$K$2:$K$817)), ROW(102:102))), "")</f>
        <v/>
      </c>
      <c r="AB105" s="25">
        <f t="array" ref="AB105">IFERROR(INDEX('Bank Schedule'!AC:AC, SMALL(IF('Bank Schedule'!$K$2:$K$817="Vacant", ROW('Bank Schedule'!$K$2:$K$817)), ROW(102:102))), "")</f>
        <v/>
      </c>
      <c r="AC105" s="277">
        <f t="array" ref="AC105">IFERROR(INDEX('Bank Schedule'!AD:AD, SMALL(IF('Bank Schedule'!$K$2:$K$817="Vacant", ROW('Bank Schedule'!$K$2:$K$817)), ROW(102:102))), "")</f>
        <v/>
      </c>
      <c r="AD105" s="11">
        <f t="array" ref="AD105">IFERROR(INDEX('Bank Schedule'!AE:AE, SMALL(IF('Bank Schedule'!$K$2:$K$817="Vacant", ROW('Bank Schedule'!$K$2:$K$817)), ROW(102:102))), "")</f>
        <v/>
      </c>
      <c r="AE105" s="11">
        <f t="array" ref="AE105">IFERROR(INDEX('Bank Schedule'!AF:AF, SMALL(IF('Bank Schedule'!$K$2:$K$817="Vacant", ROW('Bank Schedule'!$K$2:$K$817)), ROW(102:102))), "")</f>
        <v/>
      </c>
      <c r="AF105" s="11">
        <f t="array" ref="AF105">IFERROR(INDEX('Bank Schedule'!AG:AG, SMALL(IF('Bank Schedule'!$K$2:$K$817="Vacant", ROW('Bank Schedule'!$K$2:$K$817)), ROW(102:102))), "")</f>
        <v/>
      </c>
      <c r="AG105" s="4" t="n"/>
    </row>
    <row r="106" ht="28.5" customHeight="1">
      <c r="A106" s="2">
        <f t="array" ref="A106">IFERROR(INDEX('Bank Schedule'!A:A, SMALL(IF('Bank Schedule'!$K$2:$K$817="Vacant", ROW('Bank Schedule'!$K$2:$K$817)), ROW(103:103))), "")</f>
        <v/>
      </c>
      <c r="B106" s="11">
        <f t="array" ref="B106">IFERROR(INDEX('Bank Schedule'!B:B, SMALL(IF('Bank Schedule'!$K$2:$K$817="Vacant", ROW('Bank Schedule'!$K$2:$K$817)), ROW(103:103))), "")</f>
        <v/>
      </c>
      <c r="C106" s="11">
        <f t="array" ref="C106">IFERROR(INDEX('Bank Schedule'!C:C, SMALL(IF('Bank Schedule'!$K$2:$K$817="Vacant", ROW('Bank Schedule'!$K$2:$K$817)), ROW(103:103))), "")</f>
        <v/>
      </c>
      <c r="D106" s="11">
        <f t="array" ref="D106">IFERROR(INDEX('Bank Schedule'!D:D, SMALL(IF('Bank Schedule'!$K$2:$K$817="Vacant", ROW('Bank Schedule'!$K$2:$K$817)), ROW(103:103))), "")</f>
        <v/>
      </c>
      <c r="E106" s="25">
        <f t="array" ref="E106">IFERROR(INDEX('Bank Schedule'!E:E, SMALL(IF('Bank Schedule'!$K$2:$K$817="Vacant", ROW('Bank Schedule'!$K$2:$K$817)), ROW(103:103))), "")</f>
        <v/>
      </c>
      <c r="F106" s="25">
        <f t="array" ref="F106">IFERROR(INDEX('Bank Schedule'!F:F, SMALL(IF('Bank Schedule'!$K$2:$K$817="Vacant", ROW('Bank Schedule'!$K$2:$K$817)), ROW(103:103))), "")</f>
        <v/>
      </c>
      <c r="G106" s="25">
        <f t="array" ref="G106">IFERROR(INDEX('Bank Schedule'!G:G, SMALL(IF('Bank Schedule'!$K$2:$K$817="Vacant", ROW('Bank Schedule'!$K$2:$K$817)), ROW(103:103))), "")</f>
        <v/>
      </c>
      <c r="H106" s="53">
        <f t="array" ref="H106">IFERROR(INDEX('Bank Schedule'!H:H, SMALL(IF('Bank Schedule'!$K$2:$K$817="Vacant", ROW('Bank Schedule'!$K$2:$K$817)), ROW(103:103))), "")</f>
        <v/>
      </c>
      <c r="I106" s="53">
        <f t="array" ref="I106">IFERROR(INDEX('Bank Schedule'!I:I, SMALL(IF('Bank Schedule'!$K$2:$K$817="Vacant", ROW('Bank Schedule'!$K$2:$K$817)), ROW(103:103))), "")</f>
        <v/>
      </c>
      <c r="J106" s="11">
        <f t="array" ref="J106">IFERROR(INDEX('Bank Schedule'!K:K, SMALL(IF('Bank Schedule'!$K$2:$K$817="Vacant", ROW('Bank Schedule'!$K$2:$K$817)), ROW(103:103))), "")</f>
        <v/>
      </c>
      <c r="K106" s="11">
        <f t="array" ref="K106">IFERROR(INDEX('Bank Schedule'!L:L, SMALL(IF('Bank Schedule'!$K$2:$K$817="Vacant", ROW('Bank Schedule'!$K$2:$K$817)), ROW(103:103))), "")</f>
        <v/>
      </c>
      <c r="L106" s="11">
        <f t="array" ref="L106">IFERROR(INDEX('Bank Schedule'!M:M, SMALL(IF('Bank Schedule'!$K$2:$K$817="Vacant", ROW('Bank Schedule'!$K$2:$K$817)), ROW(103:103))), "")</f>
        <v/>
      </c>
      <c r="M106" s="106">
        <f t="array" ref="M106">IFERROR(INDEX('Bank Schedule'!N:N, SMALL(IF('Bank Schedule'!$K$2:$K$817="Vacant", ROW('Bank Schedule'!$K$2:$K$817)), ROW(103:103))), "")</f>
        <v/>
      </c>
      <c r="N106" s="11">
        <f t="array" ref="N106">IFERROR(INDEX('Bank Schedule'!O:O, SMALL(IF('Bank Schedule'!$K$2:$K$817="Vacant", ROW('Bank Schedule'!$K$2:$K$817)), ROW(103:103))), "")</f>
        <v/>
      </c>
      <c r="O106" s="11">
        <f t="array" ref="O106">IFERROR(INDEX('Bank Schedule'!P:P, SMALL(IF('Bank Schedule'!$K$2:$K$817="Vacant", ROW('Bank Schedule'!$K$2:$K$817)), ROW(103:103))), "")</f>
        <v/>
      </c>
      <c r="P106" s="11">
        <f t="array" ref="P106">IFERROR(INDEX('Bank Schedule'!Q:Q, SMALL(IF('Bank Schedule'!$K$2:$K$817="Vacant", ROW('Bank Schedule'!$K$2:$K$817)), ROW(103:103))), "")</f>
        <v/>
      </c>
      <c r="Q106" s="11">
        <f t="array" ref="Q106">IFERROR(INDEX('Bank Schedule'!R:R, SMALL(IF('Bank Schedule'!$K$2:$K$817="Vacant", ROW('Bank Schedule'!$K$2:$K$817)), ROW(103:103))), "")</f>
        <v/>
      </c>
      <c r="R106" s="11">
        <f t="array" ref="R106">IFERROR(INDEX('Bank Schedule'!S:S, SMALL(IF('Bank Schedule'!$K$2:$K$817="Vacant", ROW('Bank Schedule'!$K$2:$K$817)), ROW(103:103))), "")</f>
        <v/>
      </c>
      <c r="S106" s="301">
        <f t="array" ref="S106">IFERROR(INDEX('Bank Schedule'!T:T, SMALL(IF('Bank Schedule'!$K$2:$K$817="Vacant", ROW('Bank Schedule'!$K$2:$K$817)), ROW(103:103))), "")</f>
        <v/>
      </c>
      <c r="T106" s="301">
        <f t="array" ref="T106">IFERROR(INDEX('Bank Schedule'!U:U, SMALL(IF('Bank Schedule'!$K$2:$K$817="Vacant", ROW('Bank Schedule'!$K$2:$K$817)), ROW(103:103))), "")</f>
        <v/>
      </c>
      <c r="U106" s="301">
        <f t="array" ref="U106">IFERROR(INDEX('Bank Schedule'!V:V, SMALL(IF('Bank Schedule'!$K$2:$K$817="Vacant", ROW('Bank Schedule'!$K$2:$K$817)), ROW(103:103))), "")</f>
        <v/>
      </c>
      <c r="V106" s="301">
        <f t="array" ref="V106">IFERROR(INDEX('Bank Schedule'!W:W, SMALL(IF('Bank Schedule'!$K$2:$K$817="Vacant", ROW('Bank Schedule'!$K$2:$K$817)), ROW(103:103))), "")</f>
        <v/>
      </c>
      <c r="W106" s="300">
        <f t="array" ref="W106">IFERROR(INDEX('Bank Schedule'!X:X, SMALL(IF('Bank Schedule'!$K$2:$K$817="Vacant", ROW('Bank Schedule'!$K$2:$K$817)), ROW(103:103))), "")</f>
        <v/>
      </c>
      <c r="X106" s="11">
        <f t="array" ref="X106">IFERROR(INDEX('Bank Schedule'!Y:Y, SMALL(IF('Bank Schedule'!$K$2:$K$817="Vacant", ROW('Bank Schedule'!$K$2:$K$817)), ROW(103:103))), "")</f>
        <v/>
      </c>
      <c r="Y106" s="11">
        <f t="array" ref="Y106">IFERROR(INDEX('Bank Schedule'!Z:Z, SMALL(IF('Bank Schedule'!$K$2:$K$817="Vacant", ROW('Bank Schedule'!$K$2:$K$817)), ROW(103:103))), "")</f>
        <v/>
      </c>
      <c r="Z106" s="11">
        <f t="array" ref="Z106">IFERROR(INDEX('Bank Schedule'!AA:AA, SMALL(IF('Bank Schedule'!$K$2:$K$817="Vacant", ROW('Bank Schedule'!$K$2:$K$817)), ROW(103:103))), "")</f>
        <v/>
      </c>
      <c r="AA106" s="11">
        <f t="array" ref="AA106">IFERROR(INDEX('Bank Schedule'!AB:AB, SMALL(IF('Bank Schedule'!$K$2:$K$817="Vacant", ROW('Bank Schedule'!$K$2:$K$817)), ROW(103:103))), "")</f>
        <v/>
      </c>
      <c r="AB106" s="25">
        <f t="array" ref="AB106">IFERROR(INDEX('Bank Schedule'!AC:AC, SMALL(IF('Bank Schedule'!$K$2:$K$817="Vacant", ROW('Bank Schedule'!$K$2:$K$817)), ROW(103:103))), "")</f>
        <v/>
      </c>
      <c r="AC106" s="277">
        <f t="array" ref="AC106">IFERROR(INDEX('Bank Schedule'!AD:AD, SMALL(IF('Bank Schedule'!$K$2:$K$817="Vacant", ROW('Bank Schedule'!$K$2:$K$817)), ROW(103:103))), "")</f>
        <v/>
      </c>
      <c r="AD106" s="11">
        <f t="array" ref="AD106">IFERROR(INDEX('Bank Schedule'!AE:AE, SMALL(IF('Bank Schedule'!$K$2:$K$817="Vacant", ROW('Bank Schedule'!$K$2:$K$817)), ROW(103:103))), "")</f>
        <v/>
      </c>
      <c r="AE106" s="11">
        <f t="array" ref="AE106">IFERROR(INDEX('Bank Schedule'!AF:AF, SMALL(IF('Bank Schedule'!$K$2:$K$817="Vacant", ROW('Bank Schedule'!$K$2:$K$817)), ROW(103:103))), "")</f>
        <v/>
      </c>
      <c r="AF106" s="11">
        <f t="array" ref="AF106">IFERROR(INDEX('Bank Schedule'!AG:AG, SMALL(IF('Bank Schedule'!$K$2:$K$817="Vacant", ROW('Bank Schedule'!$K$2:$K$817)), ROW(103:103))), "")</f>
        <v/>
      </c>
      <c r="AG106" s="4" t="n"/>
    </row>
    <row r="107" ht="28.5" customHeight="1">
      <c r="A107" s="2">
        <f t="array" ref="A107">IFERROR(INDEX('Bank Schedule'!A:A, SMALL(IF('Bank Schedule'!$K$2:$K$817="Vacant", ROW('Bank Schedule'!$K$2:$K$817)), ROW(104:104))), "")</f>
        <v/>
      </c>
      <c r="B107" s="11">
        <f t="array" ref="B107">IFERROR(INDEX('Bank Schedule'!B:B, SMALL(IF('Bank Schedule'!$K$2:$K$817="Vacant", ROW('Bank Schedule'!$K$2:$K$817)), ROW(104:104))), "")</f>
        <v/>
      </c>
      <c r="C107" s="11">
        <f t="array" ref="C107">IFERROR(INDEX('Bank Schedule'!C:C, SMALL(IF('Bank Schedule'!$K$2:$K$817="Vacant", ROW('Bank Schedule'!$K$2:$K$817)), ROW(104:104))), "")</f>
        <v/>
      </c>
      <c r="D107" s="11">
        <f t="array" ref="D107">IFERROR(INDEX('Bank Schedule'!D:D, SMALL(IF('Bank Schedule'!$K$2:$K$817="Vacant", ROW('Bank Schedule'!$K$2:$K$817)), ROW(104:104))), "")</f>
        <v/>
      </c>
      <c r="E107" s="25">
        <f t="array" ref="E107">IFERROR(INDEX('Bank Schedule'!E:E, SMALL(IF('Bank Schedule'!$K$2:$K$817="Vacant", ROW('Bank Schedule'!$K$2:$K$817)), ROW(104:104))), "")</f>
        <v/>
      </c>
      <c r="F107" s="25">
        <f t="array" ref="F107">IFERROR(INDEX('Bank Schedule'!F:F, SMALL(IF('Bank Schedule'!$K$2:$K$817="Vacant", ROW('Bank Schedule'!$K$2:$K$817)), ROW(104:104))), "")</f>
        <v/>
      </c>
      <c r="G107" s="25">
        <f t="array" ref="G107">IFERROR(INDEX('Bank Schedule'!G:G, SMALL(IF('Bank Schedule'!$K$2:$K$817="Vacant", ROW('Bank Schedule'!$K$2:$K$817)), ROW(104:104))), "")</f>
        <v/>
      </c>
      <c r="H107" s="53">
        <f t="array" ref="H107">IFERROR(INDEX('Bank Schedule'!H:H, SMALL(IF('Bank Schedule'!$K$2:$K$817="Vacant", ROW('Bank Schedule'!$K$2:$K$817)), ROW(104:104))), "")</f>
        <v/>
      </c>
      <c r="I107" s="53">
        <f t="array" ref="I107">IFERROR(INDEX('Bank Schedule'!I:I, SMALL(IF('Bank Schedule'!$K$2:$K$817="Vacant", ROW('Bank Schedule'!$K$2:$K$817)), ROW(104:104))), "")</f>
        <v/>
      </c>
      <c r="J107" s="11">
        <f t="array" ref="J107">IFERROR(INDEX('Bank Schedule'!K:K, SMALL(IF('Bank Schedule'!$K$2:$K$817="Vacant", ROW('Bank Schedule'!$K$2:$K$817)), ROW(104:104))), "")</f>
        <v/>
      </c>
      <c r="K107" s="11">
        <f t="array" ref="K107">IFERROR(INDEX('Bank Schedule'!L:L, SMALL(IF('Bank Schedule'!$K$2:$K$817="Vacant", ROW('Bank Schedule'!$K$2:$K$817)), ROW(104:104))), "")</f>
        <v/>
      </c>
      <c r="L107" s="11">
        <f t="array" ref="L107">IFERROR(INDEX('Bank Schedule'!M:M, SMALL(IF('Bank Schedule'!$K$2:$K$817="Vacant", ROW('Bank Schedule'!$K$2:$K$817)), ROW(104:104))), "")</f>
        <v/>
      </c>
      <c r="M107" s="106">
        <f t="array" ref="M107">IFERROR(INDEX('Bank Schedule'!N:N, SMALL(IF('Bank Schedule'!$K$2:$K$817="Vacant", ROW('Bank Schedule'!$K$2:$K$817)), ROW(104:104))), "")</f>
        <v/>
      </c>
      <c r="N107" s="11">
        <f t="array" ref="N107">IFERROR(INDEX('Bank Schedule'!O:O, SMALL(IF('Bank Schedule'!$K$2:$K$817="Vacant", ROW('Bank Schedule'!$K$2:$K$817)), ROW(104:104))), "")</f>
        <v/>
      </c>
      <c r="O107" s="11">
        <f t="array" ref="O107">IFERROR(INDEX('Bank Schedule'!P:P, SMALL(IF('Bank Schedule'!$K$2:$K$817="Vacant", ROW('Bank Schedule'!$K$2:$K$817)), ROW(104:104))), "")</f>
        <v/>
      </c>
      <c r="P107" s="11">
        <f t="array" ref="P107">IFERROR(INDEX('Bank Schedule'!Q:Q, SMALL(IF('Bank Schedule'!$K$2:$K$817="Vacant", ROW('Bank Schedule'!$K$2:$K$817)), ROW(104:104))), "")</f>
        <v/>
      </c>
      <c r="Q107" s="11">
        <f t="array" ref="Q107">IFERROR(INDEX('Bank Schedule'!R:R, SMALL(IF('Bank Schedule'!$K$2:$K$817="Vacant", ROW('Bank Schedule'!$K$2:$K$817)), ROW(104:104))), "")</f>
        <v/>
      </c>
      <c r="R107" s="11">
        <f t="array" ref="R107">IFERROR(INDEX('Bank Schedule'!S:S, SMALL(IF('Bank Schedule'!$K$2:$K$817="Vacant", ROW('Bank Schedule'!$K$2:$K$817)), ROW(104:104))), "")</f>
        <v/>
      </c>
      <c r="S107" s="301">
        <f t="array" ref="S107">IFERROR(INDEX('Bank Schedule'!T:T, SMALL(IF('Bank Schedule'!$K$2:$K$817="Vacant", ROW('Bank Schedule'!$K$2:$K$817)), ROW(104:104))), "")</f>
        <v/>
      </c>
      <c r="T107" s="301">
        <f t="array" ref="T107">IFERROR(INDEX('Bank Schedule'!U:U, SMALL(IF('Bank Schedule'!$K$2:$K$817="Vacant", ROW('Bank Schedule'!$K$2:$K$817)), ROW(104:104))), "")</f>
        <v/>
      </c>
      <c r="U107" s="301">
        <f t="array" ref="U107">IFERROR(INDEX('Bank Schedule'!V:V, SMALL(IF('Bank Schedule'!$K$2:$K$817="Vacant", ROW('Bank Schedule'!$K$2:$K$817)), ROW(104:104))), "")</f>
        <v/>
      </c>
      <c r="V107" s="301">
        <f t="array" ref="V107">IFERROR(INDEX('Bank Schedule'!W:W, SMALL(IF('Bank Schedule'!$K$2:$K$817="Vacant", ROW('Bank Schedule'!$K$2:$K$817)), ROW(104:104))), "")</f>
        <v/>
      </c>
      <c r="W107" s="300">
        <f t="array" ref="W107">IFERROR(INDEX('Bank Schedule'!X:X, SMALL(IF('Bank Schedule'!$K$2:$K$817="Vacant", ROW('Bank Schedule'!$K$2:$K$817)), ROW(104:104))), "")</f>
        <v/>
      </c>
      <c r="X107" s="11">
        <f t="array" ref="X107">IFERROR(INDEX('Bank Schedule'!Y:Y, SMALL(IF('Bank Schedule'!$K$2:$K$817="Vacant", ROW('Bank Schedule'!$K$2:$K$817)), ROW(104:104))), "")</f>
        <v/>
      </c>
      <c r="Y107" s="11">
        <f t="array" ref="Y107">IFERROR(INDEX('Bank Schedule'!Z:Z, SMALL(IF('Bank Schedule'!$K$2:$K$817="Vacant", ROW('Bank Schedule'!$K$2:$K$817)), ROW(104:104))), "")</f>
        <v/>
      </c>
      <c r="Z107" s="11">
        <f t="array" ref="Z107">IFERROR(INDEX('Bank Schedule'!AA:AA, SMALL(IF('Bank Schedule'!$K$2:$K$817="Vacant", ROW('Bank Schedule'!$K$2:$K$817)), ROW(104:104))), "")</f>
        <v/>
      </c>
      <c r="AA107" s="11">
        <f t="array" ref="AA107">IFERROR(INDEX('Bank Schedule'!AB:AB, SMALL(IF('Bank Schedule'!$K$2:$K$817="Vacant", ROW('Bank Schedule'!$K$2:$K$817)), ROW(104:104))), "")</f>
        <v/>
      </c>
      <c r="AB107" s="25">
        <f t="array" ref="AB107">IFERROR(INDEX('Bank Schedule'!AC:AC, SMALL(IF('Bank Schedule'!$K$2:$K$817="Vacant", ROW('Bank Schedule'!$K$2:$K$817)), ROW(104:104))), "")</f>
        <v/>
      </c>
      <c r="AC107" s="277">
        <f t="array" ref="AC107">IFERROR(INDEX('Bank Schedule'!AD:AD, SMALL(IF('Bank Schedule'!$K$2:$K$817="Vacant", ROW('Bank Schedule'!$K$2:$K$817)), ROW(104:104))), "")</f>
        <v/>
      </c>
      <c r="AD107" s="11">
        <f t="array" ref="AD107">IFERROR(INDEX('Bank Schedule'!AE:AE, SMALL(IF('Bank Schedule'!$K$2:$K$817="Vacant", ROW('Bank Schedule'!$K$2:$K$817)), ROW(104:104))), "")</f>
        <v/>
      </c>
      <c r="AE107" s="11">
        <f t="array" ref="AE107">IFERROR(INDEX('Bank Schedule'!AF:AF, SMALL(IF('Bank Schedule'!$K$2:$K$817="Vacant", ROW('Bank Schedule'!$K$2:$K$817)), ROW(104:104))), "")</f>
        <v/>
      </c>
      <c r="AF107" s="11">
        <f t="array" ref="AF107">IFERROR(INDEX('Bank Schedule'!AG:AG, SMALL(IF('Bank Schedule'!$K$2:$K$817="Vacant", ROW('Bank Schedule'!$K$2:$K$817)), ROW(104:104))), "")</f>
        <v/>
      </c>
      <c r="AG107" s="4" t="n"/>
    </row>
    <row r="108" ht="28.5" customHeight="1">
      <c r="A108" s="2">
        <f t="array" ref="A108">IFERROR(INDEX('Bank Schedule'!A:A, SMALL(IF('Bank Schedule'!$K$2:$K$817="Vacant", ROW('Bank Schedule'!$K$2:$K$817)), ROW(105:105))), "")</f>
        <v/>
      </c>
      <c r="B108" s="11">
        <f t="array" ref="B108">IFERROR(INDEX('Bank Schedule'!B:B, SMALL(IF('Bank Schedule'!$K$2:$K$817="Vacant", ROW('Bank Schedule'!$K$2:$K$817)), ROW(105:105))), "")</f>
        <v/>
      </c>
      <c r="C108" s="11">
        <f t="array" ref="C108">IFERROR(INDEX('Bank Schedule'!C:C, SMALL(IF('Bank Schedule'!$K$2:$K$817="Vacant", ROW('Bank Schedule'!$K$2:$K$817)), ROW(105:105))), "")</f>
        <v/>
      </c>
      <c r="D108" s="11">
        <f t="array" ref="D108">IFERROR(INDEX('Bank Schedule'!D:D, SMALL(IF('Bank Schedule'!$K$2:$K$817="Vacant", ROW('Bank Schedule'!$K$2:$K$817)), ROW(105:105))), "")</f>
        <v/>
      </c>
      <c r="E108" s="25">
        <f t="array" ref="E108">IFERROR(INDEX('Bank Schedule'!E:E, SMALL(IF('Bank Schedule'!$K$2:$K$817="Vacant", ROW('Bank Schedule'!$K$2:$K$817)), ROW(105:105))), "")</f>
        <v/>
      </c>
      <c r="F108" s="25">
        <f t="array" ref="F108">IFERROR(INDEX('Bank Schedule'!F:F, SMALL(IF('Bank Schedule'!$K$2:$K$817="Vacant", ROW('Bank Schedule'!$K$2:$K$817)), ROW(105:105))), "")</f>
        <v/>
      </c>
      <c r="G108" s="25">
        <f t="array" ref="G108">IFERROR(INDEX('Bank Schedule'!G:G, SMALL(IF('Bank Schedule'!$K$2:$K$817="Vacant", ROW('Bank Schedule'!$K$2:$K$817)), ROW(105:105))), "")</f>
        <v/>
      </c>
      <c r="H108" s="53">
        <f t="array" ref="H108">IFERROR(INDEX('Bank Schedule'!H:H, SMALL(IF('Bank Schedule'!$K$2:$K$817="Vacant", ROW('Bank Schedule'!$K$2:$K$817)), ROW(105:105))), "")</f>
        <v/>
      </c>
      <c r="I108" s="53">
        <f t="array" ref="I108">IFERROR(INDEX('Bank Schedule'!I:I, SMALL(IF('Bank Schedule'!$K$2:$K$817="Vacant", ROW('Bank Schedule'!$K$2:$K$817)), ROW(105:105))), "")</f>
        <v/>
      </c>
      <c r="J108" s="11">
        <f t="array" ref="J108">IFERROR(INDEX('Bank Schedule'!K:K, SMALL(IF('Bank Schedule'!$K$2:$K$817="Vacant", ROW('Bank Schedule'!$K$2:$K$817)), ROW(105:105))), "")</f>
        <v/>
      </c>
      <c r="K108" s="11">
        <f t="array" ref="K108">IFERROR(INDEX('Bank Schedule'!L:L, SMALL(IF('Bank Schedule'!$K$2:$K$817="Vacant", ROW('Bank Schedule'!$K$2:$K$817)), ROW(105:105))), "")</f>
        <v/>
      </c>
      <c r="L108" s="11">
        <f t="array" ref="L108">IFERROR(INDEX('Bank Schedule'!M:M, SMALL(IF('Bank Schedule'!$K$2:$K$817="Vacant", ROW('Bank Schedule'!$K$2:$K$817)), ROW(105:105))), "")</f>
        <v/>
      </c>
      <c r="M108" s="106">
        <f t="array" ref="M108">IFERROR(INDEX('Bank Schedule'!N:N, SMALL(IF('Bank Schedule'!$K$2:$K$817="Vacant", ROW('Bank Schedule'!$K$2:$K$817)), ROW(105:105))), "")</f>
        <v/>
      </c>
      <c r="N108" s="11">
        <f t="array" ref="N108">IFERROR(INDEX('Bank Schedule'!O:O, SMALL(IF('Bank Schedule'!$K$2:$K$817="Vacant", ROW('Bank Schedule'!$K$2:$K$817)), ROW(105:105))), "")</f>
        <v/>
      </c>
      <c r="O108" s="11">
        <f t="array" ref="O108">IFERROR(INDEX('Bank Schedule'!P:P, SMALL(IF('Bank Schedule'!$K$2:$K$817="Vacant", ROW('Bank Schedule'!$K$2:$K$817)), ROW(105:105))), "")</f>
        <v/>
      </c>
      <c r="P108" s="11">
        <f t="array" ref="P108">IFERROR(INDEX('Bank Schedule'!Q:Q, SMALL(IF('Bank Schedule'!$K$2:$K$817="Vacant", ROW('Bank Schedule'!$K$2:$K$817)), ROW(105:105))), "")</f>
        <v/>
      </c>
      <c r="Q108" s="11">
        <f t="array" ref="Q108">IFERROR(INDEX('Bank Schedule'!R:R, SMALL(IF('Bank Schedule'!$K$2:$K$817="Vacant", ROW('Bank Schedule'!$K$2:$K$817)), ROW(105:105))), "")</f>
        <v/>
      </c>
      <c r="R108" s="11">
        <f t="array" ref="R108">IFERROR(INDEX('Bank Schedule'!S:S, SMALL(IF('Bank Schedule'!$K$2:$K$817="Vacant", ROW('Bank Schedule'!$K$2:$K$817)), ROW(105:105))), "")</f>
        <v/>
      </c>
      <c r="S108" s="301">
        <f t="array" ref="S108">IFERROR(INDEX('Bank Schedule'!T:T, SMALL(IF('Bank Schedule'!$K$2:$K$817="Vacant", ROW('Bank Schedule'!$K$2:$K$817)), ROW(105:105))), "")</f>
        <v/>
      </c>
      <c r="T108" s="301">
        <f t="array" ref="T108">IFERROR(INDEX('Bank Schedule'!U:U, SMALL(IF('Bank Schedule'!$K$2:$K$817="Vacant", ROW('Bank Schedule'!$K$2:$K$817)), ROW(105:105))), "")</f>
        <v/>
      </c>
      <c r="U108" s="301">
        <f t="array" ref="U108">IFERROR(INDEX('Bank Schedule'!V:V, SMALL(IF('Bank Schedule'!$K$2:$K$817="Vacant", ROW('Bank Schedule'!$K$2:$K$817)), ROW(105:105))), "")</f>
        <v/>
      </c>
      <c r="V108" s="301">
        <f t="array" ref="V108">IFERROR(INDEX('Bank Schedule'!W:W, SMALL(IF('Bank Schedule'!$K$2:$K$817="Vacant", ROW('Bank Schedule'!$K$2:$K$817)), ROW(105:105))), "")</f>
        <v/>
      </c>
      <c r="W108" s="300">
        <f t="array" ref="W108">IFERROR(INDEX('Bank Schedule'!X:X, SMALL(IF('Bank Schedule'!$K$2:$K$817="Vacant", ROW('Bank Schedule'!$K$2:$K$817)), ROW(105:105))), "")</f>
        <v/>
      </c>
      <c r="X108" s="11">
        <f t="array" ref="X108">IFERROR(INDEX('Bank Schedule'!Y:Y, SMALL(IF('Bank Schedule'!$K$2:$K$817="Vacant", ROW('Bank Schedule'!$K$2:$K$817)), ROW(105:105))), "")</f>
        <v/>
      </c>
      <c r="Y108" s="11">
        <f t="array" ref="Y108">IFERROR(INDEX('Bank Schedule'!Z:Z, SMALL(IF('Bank Schedule'!$K$2:$K$817="Vacant", ROW('Bank Schedule'!$K$2:$K$817)), ROW(105:105))), "")</f>
        <v/>
      </c>
      <c r="Z108" s="11">
        <f t="array" ref="Z108">IFERROR(INDEX('Bank Schedule'!AA:AA, SMALL(IF('Bank Schedule'!$K$2:$K$817="Vacant", ROW('Bank Schedule'!$K$2:$K$817)), ROW(105:105))), "")</f>
        <v/>
      </c>
      <c r="AA108" s="11">
        <f t="array" ref="AA108">IFERROR(INDEX('Bank Schedule'!AB:AB, SMALL(IF('Bank Schedule'!$K$2:$K$817="Vacant", ROW('Bank Schedule'!$K$2:$K$817)), ROW(105:105))), "")</f>
        <v/>
      </c>
      <c r="AB108" s="25">
        <f t="array" ref="AB108">IFERROR(INDEX('Bank Schedule'!AC:AC, SMALL(IF('Bank Schedule'!$K$2:$K$817="Vacant", ROW('Bank Schedule'!$K$2:$K$817)), ROW(105:105))), "")</f>
        <v/>
      </c>
      <c r="AC108" s="277">
        <f t="array" ref="AC108">IFERROR(INDEX('Bank Schedule'!AD:AD, SMALL(IF('Bank Schedule'!$K$2:$K$817="Vacant", ROW('Bank Schedule'!$K$2:$K$817)), ROW(105:105))), "")</f>
        <v/>
      </c>
      <c r="AD108" s="11">
        <f t="array" ref="AD108">IFERROR(INDEX('Bank Schedule'!AE:AE, SMALL(IF('Bank Schedule'!$K$2:$K$817="Vacant", ROW('Bank Schedule'!$K$2:$K$817)), ROW(105:105))), "")</f>
        <v/>
      </c>
      <c r="AE108" s="11">
        <f t="array" ref="AE108">IFERROR(INDEX('Bank Schedule'!AF:AF, SMALL(IF('Bank Schedule'!$K$2:$K$817="Vacant", ROW('Bank Schedule'!$K$2:$K$817)), ROW(105:105))), "")</f>
        <v/>
      </c>
      <c r="AF108" s="11">
        <f t="array" ref="AF108">IFERROR(INDEX('Bank Schedule'!AG:AG, SMALL(IF('Bank Schedule'!$K$2:$K$817="Vacant", ROW('Bank Schedule'!$K$2:$K$817)), ROW(105:105))), "")</f>
        <v/>
      </c>
      <c r="AG108" s="4" t="n"/>
    </row>
    <row r="109" ht="28.5" customHeight="1">
      <c r="A109" s="2">
        <f t="array" ref="A109">IFERROR(INDEX('Bank Schedule'!A:A, SMALL(IF('Bank Schedule'!$K$2:$K$817="Vacant", ROW('Bank Schedule'!$K$2:$K$817)), ROW(106:106))), "")</f>
        <v/>
      </c>
      <c r="B109" s="11">
        <f t="array" ref="B109">IFERROR(INDEX('Bank Schedule'!B:B, SMALL(IF('Bank Schedule'!$K$2:$K$817="Vacant", ROW('Bank Schedule'!$K$2:$K$817)), ROW(106:106))), "")</f>
        <v/>
      </c>
      <c r="C109" s="11">
        <f t="array" ref="C109">IFERROR(INDEX('Bank Schedule'!C:C, SMALL(IF('Bank Schedule'!$K$2:$K$817="Vacant", ROW('Bank Schedule'!$K$2:$K$817)), ROW(106:106))), "")</f>
        <v/>
      </c>
      <c r="D109" s="11">
        <f t="array" ref="D109">IFERROR(INDEX('Bank Schedule'!D:D, SMALL(IF('Bank Schedule'!$K$2:$K$817="Vacant", ROW('Bank Schedule'!$K$2:$K$817)), ROW(106:106))), "")</f>
        <v/>
      </c>
      <c r="E109" s="25">
        <f t="array" ref="E109">IFERROR(INDEX('Bank Schedule'!E:E, SMALL(IF('Bank Schedule'!$K$2:$K$817="Vacant", ROW('Bank Schedule'!$K$2:$K$817)), ROW(106:106))), "")</f>
        <v/>
      </c>
      <c r="F109" s="25">
        <f t="array" ref="F109">IFERROR(INDEX('Bank Schedule'!F:F, SMALL(IF('Bank Schedule'!$K$2:$K$817="Vacant", ROW('Bank Schedule'!$K$2:$K$817)), ROW(106:106))), "")</f>
        <v/>
      </c>
      <c r="G109" s="25">
        <f t="array" ref="G109">IFERROR(INDEX('Bank Schedule'!G:G, SMALL(IF('Bank Schedule'!$K$2:$K$817="Vacant", ROW('Bank Schedule'!$K$2:$K$817)), ROW(106:106))), "")</f>
        <v/>
      </c>
      <c r="H109" s="53">
        <f t="array" ref="H109">IFERROR(INDEX('Bank Schedule'!H:H, SMALL(IF('Bank Schedule'!$K$2:$K$817="Vacant", ROW('Bank Schedule'!$K$2:$K$817)), ROW(106:106))), "")</f>
        <v/>
      </c>
      <c r="I109" s="53">
        <f t="array" ref="I109">IFERROR(INDEX('Bank Schedule'!I:I, SMALL(IF('Bank Schedule'!$K$2:$K$817="Vacant", ROW('Bank Schedule'!$K$2:$K$817)), ROW(106:106))), "")</f>
        <v/>
      </c>
      <c r="J109" s="11">
        <f t="array" ref="J109">IFERROR(INDEX('Bank Schedule'!K:K, SMALL(IF('Bank Schedule'!$K$2:$K$817="Vacant", ROW('Bank Schedule'!$K$2:$K$817)), ROW(106:106))), "")</f>
        <v/>
      </c>
      <c r="K109" s="11">
        <f t="array" ref="K109">IFERROR(INDEX('Bank Schedule'!L:L, SMALL(IF('Bank Schedule'!$K$2:$K$817="Vacant", ROW('Bank Schedule'!$K$2:$K$817)), ROW(106:106))), "")</f>
        <v/>
      </c>
      <c r="L109" s="11">
        <f t="array" ref="L109">IFERROR(INDEX('Bank Schedule'!M:M, SMALL(IF('Bank Schedule'!$K$2:$K$817="Vacant", ROW('Bank Schedule'!$K$2:$K$817)), ROW(106:106))), "")</f>
        <v/>
      </c>
      <c r="M109" s="106">
        <f t="array" ref="M109">IFERROR(INDEX('Bank Schedule'!N:N, SMALL(IF('Bank Schedule'!$K$2:$K$817="Vacant", ROW('Bank Schedule'!$K$2:$K$817)), ROW(106:106))), "")</f>
        <v/>
      </c>
      <c r="N109" s="11">
        <f t="array" ref="N109">IFERROR(INDEX('Bank Schedule'!O:O, SMALL(IF('Bank Schedule'!$K$2:$K$817="Vacant", ROW('Bank Schedule'!$K$2:$K$817)), ROW(106:106))), "")</f>
        <v/>
      </c>
      <c r="O109" s="11">
        <f t="array" ref="O109">IFERROR(INDEX('Bank Schedule'!P:P, SMALL(IF('Bank Schedule'!$K$2:$K$817="Vacant", ROW('Bank Schedule'!$K$2:$K$817)), ROW(106:106))), "")</f>
        <v/>
      </c>
      <c r="P109" s="11">
        <f t="array" ref="P109">IFERROR(INDEX('Bank Schedule'!Q:Q, SMALL(IF('Bank Schedule'!$K$2:$K$817="Vacant", ROW('Bank Schedule'!$K$2:$K$817)), ROW(106:106))), "")</f>
        <v/>
      </c>
      <c r="Q109" s="11">
        <f t="array" ref="Q109">IFERROR(INDEX('Bank Schedule'!R:R, SMALL(IF('Bank Schedule'!$K$2:$K$817="Vacant", ROW('Bank Schedule'!$K$2:$K$817)), ROW(106:106))), "")</f>
        <v/>
      </c>
      <c r="R109" s="11">
        <f t="array" ref="R109">IFERROR(INDEX('Bank Schedule'!S:S, SMALL(IF('Bank Schedule'!$K$2:$K$817="Vacant", ROW('Bank Schedule'!$K$2:$K$817)), ROW(106:106))), "")</f>
        <v/>
      </c>
      <c r="S109" s="301">
        <f t="array" ref="S109">IFERROR(INDEX('Bank Schedule'!T:T, SMALL(IF('Bank Schedule'!$K$2:$K$817="Vacant", ROW('Bank Schedule'!$K$2:$K$817)), ROW(106:106))), "")</f>
        <v/>
      </c>
      <c r="T109" s="301">
        <f t="array" ref="T109">IFERROR(INDEX('Bank Schedule'!U:U, SMALL(IF('Bank Schedule'!$K$2:$K$817="Vacant", ROW('Bank Schedule'!$K$2:$K$817)), ROW(106:106))), "")</f>
        <v/>
      </c>
      <c r="U109" s="301">
        <f t="array" ref="U109">IFERROR(INDEX('Bank Schedule'!V:V, SMALL(IF('Bank Schedule'!$K$2:$K$817="Vacant", ROW('Bank Schedule'!$K$2:$K$817)), ROW(106:106))), "")</f>
        <v/>
      </c>
      <c r="V109" s="301">
        <f t="array" ref="V109">IFERROR(INDEX('Bank Schedule'!W:W, SMALL(IF('Bank Schedule'!$K$2:$K$817="Vacant", ROW('Bank Schedule'!$K$2:$K$817)), ROW(106:106))), "")</f>
        <v/>
      </c>
      <c r="W109" s="300">
        <f t="array" ref="W109">IFERROR(INDEX('Bank Schedule'!X:X, SMALL(IF('Bank Schedule'!$K$2:$K$817="Vacant", ROW('Bank Schedule'!$K$2:$K$817)), ROW(106:106))), "")</f>
        <v/>
      </c>
      <c r="X109" s="11">
        <f t="array" ref="X109">IFERROR(INDEX('Bank Schedule'!Y:Y, SMALL(IF('Bank Schedule'!$K$2:$K$817="Vacant", ROW('Bank Schedule'!$K$2:$K$817)), ROW(106:106))), "")</f>
        <v/>
      </c>
      <c r="Y109" s="11">
        <f t="array" ref="Y109">IFERROR(INDEX('Bank Schedule'!Z:Z, SMALL(IF('Bank Schedule'!$K$2:$K$817="Vacant", ROW('Bank Schedule'!$K$2:$K$817)), ROW(106:106))), "")</f>
        <v/>
      </c>
      <c r="Z109" s="11">
        <f t="array" ref="Z109">IFERROR(INDEX('Bank Schedule'!AA:AA, SMALL(IF('Bank Schedule'!$K$2:$K$817="Vacant", ROW('Bank Schedule'!$K$2:$K$817)), ROW(106:106))), "")</f>
        <v/>
      </c>
      <c r="AA109" s="11">
        <f t="array" ref="AA109">IFERROR(INDEX('Bank Schedule'!AB:AB, SMALL(IF('Bank Schedule'!$K$2:$K$817="Vacant", ROW('Bank Schedule'!$K$2:$K$817)), ROW(106:106))), "")</f>
        <v/>
      </c>
      <c r="AB109" s="25">
        <f t="array" ref="AB109">IFERROR(INDEX('Bank Schedule'!AC:AC, SMALL(IF('Bank Schedule'!$K$2:$K$817="Vacant", ROW('Bank Schedule'!$K$2:$K$817)), ROW(106:106))), "")</f>
        <v/>
      </c>
      <c r="AC109" s="277">
        <f t="array" ref="AC109">IFERROR(INDEX('Bank Schedule'!AD:AD, SMALL(IF('Bank Schedule'!$K$2:$K$817="Vacant", ROW('Bank Schedule'!$K$2:$K$817)), ROW(106:106))), "")</f>
        <v/>
      </c>
      <c r="AD109" s="11">
        <f t="array" ref="AD109">IFERROR(INDEX('Bank Schedule'!AE:AE, SMALL(IF('Bank Schedule'!$K$2:$K$817="Vacant", ROW('Bank Schedule'!$K$2:$K$817)), ROW(106:106))), "")</f>
        <v/>
      </c>
      <c r="AE109" s="11">
        <f t="array" ref="AE109">IFERROR(INDEX('Bank Schedule'!AF:AF, SMALL(IF('Bank Schedule'!$K$2:$K$817="Vacant", ROW('Bank Schedule'!$K$2:$K$817)), ROW(106:106))), "")</f>
        <v/>
      </c>
      <c r="AF109" s="11">
        <f t="array" ref="AF109">IFERROR(INDEX('Bank Schedule'!AG:AG, SMALL(IF('Bank Schedule'!$K$2:$K$817="Vacant", ROW('Bank Schedule'!$K$2:$K$817)), ROW(106:106))), "")</f>
        <v/>
      </c>
      <c r="AG109" s="4" t="n"/>
    </row>
    <row r="110" ht="28.5" customHeight="1">
      <c r="A110" s="2">
        <f t="array" ref="A110">IFERROR(INDEX('Bank Schedule'!A:A, SMALL(IF('Bank Schedule'!$K$2:$K$817="Vacant", ROW('Bank Schedule'!$K$2:$K$817)), ROW(107:107))), "")</f>
        <v/>
      </c>
      <c r="B110" s="11">
        <f t="array" ref="B110">IFERROR(INDEX('Bank Schedule'!B:B, SMALL(IF('Bank Schedule'!$K$2:$K$817="Vacant", ROW('Bank Schedule'!$K$2:$K$817)), ROW(107:107))), "")</f>
        <v/>
      </c>
      <c r="C110" s="11">
        <f t="array" ref="C110">IFERROR(INDEX('Bank Schedule'!C:C, SMALL(IF('Bank Schedule'!$K$2:$K$817="Vacant", ROW('Bank Schedule'!$K$2:$K$817)), ROW(107:107))), "")</f>
        <v/>
      </c>
      <c r="D110" s="11">
        <f t="array" ref="D110">IFERROR(INDEX('Bank Schedule'!D:D, SMALL(IF('Bank Schedule'!$K$2:$K$817="Vacant", ROW('Bank Schedule'!$K$2:$K$817)), ROW(107:107))), "")</f>
        <v/>
      </c>
      <c r="E110" s="25">
        <f t="array" ref="E110">IFERROR(INDEX('Bank Schedule'!E:E, SMALL(IF('Bank Schedule'!$K$2:$K$817="Vacant", ROW('Bank Schedule'!$K$2:$K$817)), ROW(107:107))), "")</f>
        <v/>
      </c>
      <c r="F110" s="25">
        <f t="array" ref="F110">IFERROR(INDEX('Bank Schedule'!F:F, SMALL(IF('Bank Schedule'!$K$2:$K$817="Vacant", ROW('Bank Schedule'!$K$2:$K$817)), ROW(107:107))), "")</f>
        <v/>
      </c>
      <c r="G110" s="25">
        <f t="array" ref="G110">IFERROR(INDEX('Bank Schedule'!G:G, SMALL(IF('Bank Schedule'!$K$2:$K$817="Vacant", ROW('Bank Schedule'!$K$2:$K$817)), ROW(107:107))), "")</f>
        <v/>
      </c>
      <c r="H110" s="53">
        <f t="array" ref="H110">IFERROR(INDEX('Bank Schedule'!H:H, SMALL(IF('Bank Schedule'!$K$2:$K$817="Vacant", ROW('Bank Schedule'!$K$2:$K$817)), ROW(107:107))), "")</f>
        <v/>
      </c>
      <c r="I110" s="53">
        <f t="array" ref="I110">IFERROR(INDEX('Bank Schedule'!I:I, SMALL(IF('Bank Schedule'!$K$2:$K$817="Vacant", ROW('Bank Schedule'!$K$2:$K$817)), ROW(107:107))), "")</f>
        <v/>
      </c>
      <c r="J110" s="11">
        <f t="array" ref="J110">IFERROR(INDEX('Bank Schedule'!K:K, SMALL(IF('Bank Schedule'!$K$2:$K$817="Vacant", ROW('Bank Schedule'!$K$2:$K$817)), ROW(107:107))), "")</f>
        <v/>
      </c>
      <c r="K110" s="11">
        <f t="array" ref="K110">IFERROR(INDEX('Bank Schedule'!L:L, SMALL(IF('Bank Schedule'!$K$2:$K$817="Vacant", ROW('Bank Schedule'!$K$2:$K$817)), ROW(107:107))), "")</f>
        <v/>
      </c>
      <c r="L110" s="11">
        <f t="array" ref="L110">IFERROR(INDEX('Bank Schedule'!M:M, SMALL(IF('Bank Schedule'!$K$2:$K$817="Vacant", ROW('Bank Schedule'!$K$2:$K$817)), ROW(107:107))), "")</f>
        <v/>
      </c>
      <c r="M110" s="106">
        <f t="array" ref="M110">IFERROR(INDEX('Bank Schedule'!N:N, SMALL(IF('Bank Schedule'!$K$2:$K$817="Vacant", ROW('Bank Schedule'!$K$2:$K$817)), ROW(107:107))), "")</f>
        <v/>
      </c>
      <c r="N110" s="11">
        <f t="array" ref="N110">IFERROR(INDEX('Bank Schedule'!O:O, SMALL(IF('Bank Schedule'!$K$2:$K$817="Vacant", ROW('Bank Schedule'!$K$2:$K$817)), ROW(107:107))), "")</f>
        <v/>
      </c>
      <c r="O110" s="11">
        <f t="array" ref="O110">IFERROR(INDEX('Bank Schedule'!P:P, SMALL(IF('Bank Schedule'!$K$2:$K$817="Vacant", ROW('Bank Schedule'!$K$2:$K$817)), ROW(107:107))), "")</f>
        <v/>
      </c>
      <c r="P110" s="11">
        <f t="array" ref="P110">IFERROR(INDEX('Bank Schedule'!Q:Q, SMALL(IF('Bank Schedule'!$K$2:$K$817="Vacant", ROW('Bank Schedule'!$K$2:$K$817)), ROW(107:107))), "")</f>
        <v/>
      </c>
      <c r="Q110" s="11">
        <f t="array" ref="Q110">IFERROR(INDEX('Bank Schedule'!R:R, SMALL(IF('Bank Schedule'!$K$2:$K$817="Vacant", ROW('Bank Schedule'!$K$2:$K$817)), ROW(107:107))), "")</f>
        <v/>
      </c>
      <c r="R110" s="11">
        <f t="array" ref="R110">IFERROR(INDEX('Bank Schedule'!S:S, SMALL(IF('Bank Schedule'!$K$2:$K$817="Vacant", ROW('Bank Schedule'!$K$2:$K$817)), ROW(107:107))), "")</f>
        <v/>
      </c>
      <c r="S110" s="301">
        <f t="array" ref="S110">IFERROR(INDEX('Bank Schedule'!T:T, SMALL(IF('Bank Schedule'!$K$2:$K$817="Vacant", ROW('Bank Schedule'!$K$2:$K$817)), ROW(107:107))), "")</f>
        <v/>
      </c>
      <c r="T110" s="301">
        <f t="array" ref="T110">IFERROR(INDEX('Bank Schedule'!U:U, SMALL(IF('Bank Schedule'!$K$2:$K$817="Vacant", ROW('Bank Schedule'!$K$2:$K$817)), ROW(107:107))), "")</f>
        <v/>
      </c>
      <c r="U110" s="301">
        <f t="array" ref="U110">IFERROR(INDEX('Bank Schedule'!V:V, SMALL(IF('Bank Schedule'!$K$2:$K$817="Vacant", ROW('Bank Schedule'!$K$2:$K$817)), ROW(107:107))), "")</f>
        <v/>
      </c>
      <c r="V110" s="301">
        <f t="array" ref="V110">IFERROR(INDEX('Bank Schedule'!W:W, SMALL(IF('Bank Schedule'!$K$2:$K$817="Vacant", ROW('Bank Schedule'!$K$2:$K$817)), ROW(107:107))), "")</f>
        <v/>
      </c>
      <c r="W110" s="300">
        <f t="array" ref="W110">IFERROR(INDEX('Bank Schedule'!X:X, SMALL(IF('Bank Schedule'!$K$2:$K$817="Vacant", ROW('Bank Schedule'!$K$2:$K$817)), ROW(107:107))), "")</f>
        <v/>
      </c>
      <c r="X110" s="11">
        <f t="array" ref="X110">IFERROR(INDEX('Bank Schedule'!Y:Y, SMALL(IF('Bank Schedule'!$K$2:$K$817="Vacant", ROW('Bank Schedule'!$K$2:$K$817)), ROW(107:107))), "")</f>
        <v/>
      </c>
      <c r="Y110" s="11">
        <f t="array" ref="Y110">IFERROR(INDEX('Bank Schedule'!Z:Z, SMALL(IF('Bank Schedule'!$K$2:$K$817="Vacant", ROW('Bank Schedule'!$K$2:$K$817)), ROW(107:107))), "")</f>
        <v/>
      </c>
      <c r="Z110" s="11">
        <f t="array" ref="Z110">IFERROR(INDEX('Bank Schedule'!AA:AA, SMALL(IF('Bank Schedule'!$K$2:$K$817="Vacant", ROW('Bank Schedule'!$K$2:$K$817)), ROW(107:107))), "")</f>
        <v/>
      </c>
      <c r="AA110" s="11">
        <f t="array" ref="AA110">IFERROR(INDEX('Bank Schedule'!AB:AB, SMALL(IF('Bank Schedule'!$K$2:$K$817="Vacant", ROW('Bank Schedule'!$K$2:$K$817)), ROW(107:107))), "")</f>
        <v/>
      </c>
      <c r="AB110" s="25">
        <f t="array" ref="AB110">IFERROR(INDEX('Bank Schedule'!AC:AC, SMALL(IF('Bank Schedule'!$K$2:$K$817="Vacant", ROW('Bank Schedule'!$K$2:$K$817)), ROW(107:107))), "")</f>
        <v/>
      </c>
      <c r="AC110" s="277">
        <f t="array" ref="AC110">IFERROR(INDEX('Bank Schedule'!AD:AD, SMALL(IF('Bank Schedule'!$K$2:$K$817="Vacant", ROW('Bank Schedule'!$K$2:$K$817)), ROW(107:107))), "")</f>
        <v/>
      </c>
      <c r="AD110" s="11">
        <f t="array" ref="AD110">IFERROR(INDEX('Bank Schedule'!AE:AE, SMALL(IF('Bank Schedule'!$K$2:$K$817="Vacant", ROW('Bank Schedule'!$K$2:$K$817)), ROW(107:107))), "")</f>
        <v/>
      </c>
      <c r="AE110" s="11">
        <f t="array" ref="AE110">IFERROR(INDEX('Bank Schedule'!AF:AF, SMALL(IF('Bank Schedule'!$K$2:$K$817="Vacant", ROW('Bank Schedule'!$K$2:$K$817)), ROW(107:107))), "")</f>
        <v/>
      </c>
      <c r="AF110" s="11">
        <f t="array" ref="AF110">IFERROR(INDEX('Bank Schedule'!AG:AG, SMALL(IF('Bank Schedule'!$K$2:$K$817="Vacant", ROW('Bank Schedule'!$K$2:$K$817)), ROW(107:107))), "")</f>
        <v/>
      </c>
      <c r="AG110" s="4" t="n"/>
    </row>
    <row r="111" ht="28.5" customHeight="1">
      <c r="A111" s="2">
        <f t="array" ref="A111">IFERROR(INDEX('Bank Schedule'!A:A, SMALL(IF('Bank Schedule'!$K$2:$K$817="Vacant", ROW('Bank Schedule'!$K$2:$K$817)), ROW(108:108))), "")</f>
        <v/>
      </c>
      <c r="B111" s="11">
        <f t="array" ref="B111">IFERROR(INDEX('Bank Schedule'!B:B, SMALL(IF('Bank Schedule'!$K$2:$K$817="Vacant", ROW('Bank Schedule'!$K$2:$K$817)), ROW(108:108))), "")</f>
        <v/>
      </c>
      <c r="C111" s="11">
        <f t="array" ref="C111">IFERROR(INDEX('Bank Schedule'!C:C, SMALL(IF('Bank Schedule'!$K$2:$K$817="Vacant", ROW('Bank Schedule'!$K$2:$K$817)), ROW(108:108))), "")</f>
        <v/>
      </c>
      <c r="D111" s="11">
        <f t="array" ref="D111">IFERROR(INDEX('Bank Schedule'!D:D, SMALL(IF('Bank Schedule'!$K$2:$K$817="Vacant", ROW('Bank Schedule'!$K$2:$K$817)), ROW(108:108))), "")</f>
        <v/>
      </c>
      <c r="E111" s="25">
        <f t="array" ref="E111">IFERROR(INDEX('Bank Schedule'!E:E, SMALL(IF('Bank Schedule'!$K$2:$K$817="Vacant", ROW('Bank Schedule'!$K$2:$K$817)), ROW(108:108))), "")</f>
        <v/>
      </c>
      <c r="F111" s="25">
        <f t="array" ref="F111">IFERROR(INDEX('Bank Schedule'!F:F, SMALL(IF('Bank Schedule'!$K$2:$K$817="Vacant", ROW('Bank Schedule'!$K$2:$K$817)), ROW(108:108))), "")</f>
        <v/>
      </c>
      <c r="G111" s="25">
        <f t="array" ref="G111">IFERROR(INDEX('Bank Schedule'!G:G, SMALL(IF('Bank Schedule'!$K$2:$K$817="Vacant", ROW('Bank Schedule'!$K$2:$K$817)), ROW(108:108))), "")</f>
        <v/>
      </c>
      <c r="H111" s="53">
        <f t="array" ref="H111">IFERROR(INDEX('Bank Schedule'!H:H, SMALL(IF('Bank Schedule'!$K$2:$K$817="Vacant", ROW('Bank Schedule'!$K$2:$K$817)), ROW(108:108))), "")</f>
        <v/>
      </c>
      <c r="I111" s="53">
        <f t="array" ref="I111">IFERROR(INDEX('Bank Schedule'!I:I, SMALL(IF('Bank Schedule'!$K$2:$K$817="Vacant", ROW('Bank Schedule'!$K$2:$K$817)), ROW(108:108))), "")</f>
        <v/>
      </c>
      <c r="J111" s="11">
        <f t="array" ref="J111">IFERROR(INDEX('Bank Schedule'!K:K, SMALL(IF('Bank Schedule'!$K$2:$K$817="Vacant", ROW('Bank Schedule'!$K$2:$K$817)), ROW(108:108))), "")</f>
        <v/>
      </c>
      <c r="K111" s="11">
        <f t="array" ref="K111">IFERROR(INDEX('Bank Schedule'!L:L, SMALL(IF('Bank Schedule'!$K$2:$K$817="Vacant", ROW('Bank Schedule'!$K$2:$K$817)), ROW(108:108))), "")</f>
        <v/>
      </c>
      <c r="L111" s="11">
        <f t="array" ref="L111">IFERROR(INDEX('Bank Schedule'!M:M, SMALL(IF('Bank Schedule'!$K$2:$K$817="Vacant", ROW('Bank Schedule'!$K$2:$K$817)), ROW(108:108))), "")</f>
        <v/>
      </c>
      <c r="M111" s="106">
        <f t="array" ref="M111">IFERROR(INDEX('Bank Schedule'!N:N, SMALL(IF('Bank Schedule'!$K$2:$K$817="Vacant", ROW('Bank Schedule'!$K$2:$K$817)), ROW(108:108))), "")</f>
        <v/>
      </c>
      <c r="N111" s="11">
        <f t="array" ref="N111">IFERROR(INDEX('Bank Schedule'!O:O, SMALL(IF('Bank Schedule'!$K$2:$K$817="Vacant", ROW('Bank Schedule'!$K$2:$K$817)), ROW(108:108))), "")</f>
        <v/>
      </c>
      <c r="O111" s="11">
        <f t="array" ref="O111">IFERROR(INDEX('Bank Schedule'!P:P, SMALL(IF('Bank Schedule'!$K$2:$K$817="Vacant", ROW('Bank Schedule'!$K$2:$K$817)), ROW(108:108))), "")</f>
        <v/>
      </c>
      <c r="P111" s="11">
        <f t="array" ref="P111">IFERROR(INDEX('Bank Schedule'!Q:Q, SMALL(IF('Bank Schedule'!$K$2:$K$817="Vacant", ROW('Bank Schedule'!$K$2:$K$817)), ROW(108:108))), "")</f>
        <v/>
      </c>
      <c r="Q111" s="11">
        <f t="array" ref="Q111">IFERROR(INDEX('Bank Schedule'!R:R, SMALL(IF('Bank Schedule'!$K$2:$K$817="Vacant", ROW('Bank Schedule'!$K$2:$K$817)), ROW(108:108))), "")</f>
        <v/>
      </c>
      <c r="R111" s="11">
        <f t="array" ref="R111">IFERROR(INDEX('Bank Schedule'!S:S, SMALL(IF('Bank Schedule'!$K$2:$K$817="Vacant", ROW('Bank Schedule'!$K$2:$K$817)), ROW(108:108))), "")</f>
        <v/>
      </c>
      <c r="S111" s="301">
        <f t="array" ref="S111">IFERROR(INDEX('Bank Schedule'!T:T, SMALL(IF('Bank Schedule'!$K$2:$K$817="Vacant", ROW('Bank Schedule'!$K$2:$K$817)), ROW(108:108))), "")</f>
        <v/>
      </c>
      <c r="T111" s="301">
        <f t="array" ref="T111">IFERROR(INDEX('Bank Schedule'!U:U, SMALL(IF('Bank Schedule'!$K$2:$K$817="Vacant", ROW('Bank Schedule'!$K$2:$K$817)), ROW(108:108))), "")</f>
        <v/>
      </c>
      <c r="U111" s="301">
        <f t="array" ref="U111">IFERROR(INDEX('Bank Schedule'!V:V, SMALL(IF('Bank Schedule'!$K$2:$K$817="Vacant", ROW('Bank Schedule'!$K$2:$K$817)), ROW(108:108))), "")</f>
        <v/>
      </c>
      <c r="V111" s="301">
        <f t="array" ref="V111">IFERROR(INDEX('Bank Schedule'!W:W, SMALL(IF('Bank Schedule'!$K$2:$K$817="Vacant", ROW('Bank Schedule'!$K$2:$K$817)), ROW(108:108))), "")</f>
        <v/>
      </c>
      <c r="W111" s="300">
        <f t="array" ref="W111">IFERROR(INDEX('Bank Schedule'!X:X, SMALL(IF('Bank Schedule'!$K$2:$K$817="Vacant", ROW('Bank Schedule'!$K$2:$K$817)), ROW(108:108))), "")</f>
        <v/>
      </c>
      <c r="X111" s="11">
        <f t="array" ref="X111">IFERROR(INDEX('Bank Schedule'!Y:Y, SMALL(IF('Bank Schedule'!$K$2:$K$817="Vacant", ROW('Bank Schedule'!$K$2:$K$817)), ROW(108:108))), "")</f>
        <v/>
      </c>
      <c r="Y111" s="11">
        <f t="array" ref="Y111">IFERROR(INDEX('Bank Schedule'!Z:Z, SMALL(IF('Bank Schedule'!$K$2:$K$817="Vacant", ROW('Bank Schedule'!$K$2:$K$817)), ROW(108:108))), "")</f>
        <v/>
      </c>
      <c r="Z111" s="11">
        <f t="array" ref="Z111">IFERROR(INDEX('Bank Schedule'!AA:AA, SMALL(IF('Bank Schedule'!$K$2:$K$817="Vacant", ROW('Bank Schedule'!$K$2:$K$817)), ROW(108:108))), "")</f>
        <v/>
      </c>
      <c r="AA111" s="11">
        <f t="array" ref="AA111">IFERROR(INDEX('Bank Schedule'!AB:AB, SMALL(IF('Bank Schedule'!$K$2:$K$817="Vacant", ROW('Bank Schedule'!$K$2:$K$817)), ROW(108:108))), "")</f>
        <v/>
      </c>
      <c r="AB111" s="25">
        <f t="array" ref="AB111">IFERROR(INDEX('Bank Schedule'!AC:AC, SMALL(IF('Bank Schedule'!$K$2:$K$817="Vacant", ROW('Bank Schedule'!$K$2:$K$817)), ROW(108:108))), "")</f>
        <v/>
      </c>
      <c r="AC111" s="277">
        <f t="array" ref="AC111">IFERROR(INDEX('Bank Schedule'!AD:AD, SMALL(IF('Bank Schedule'!$K$2:$K$817="Vacant", ROW('Bank Schedule'!$K$2:$K$817)), ROW(108:108))), "")</f>
        <v/>
      </c>
      <c r="AD111" s="11">
        <f t="array" ref="AD111">IFERROR(INDEX('Bank Schedule'!AE:AE, SMALL(IF('Bank Schedule'!$K$2:$K$817="Vacant", ROW('Bank Schedule'!$K$2:$K$817)), ROW(108:108))), "")</f>
        <v/>
      </c>
      <c r="AE111" s="11">
        <f t="array" ref="AE111">IFERROR(INDEX('Bank Schedule'!AF:AF, SMALL(IF('Bank Schedule'!$K$2:$K$817="Vacant", ROW('Bank Schedule'!$K$2:$K$817)), ROW(108:108))), "")</f>
        <v/>
      </c>
      <c r="AF111" s="11">
        <f t="array" ref="AF111">IFERROR(INDEX('Bank Schedule'!AG:AG, SMALL(IF('Bank Schedule'!$K$2:$K$817="Vacant", ROW('Bank Schedule'!$K$2:$K$817)), ROW(108:108))), "")</f>
        <v/>
      </c>
      <c r="AG111" s="4" t="n"/>
    </row>
    <row r="112" ht="28.5" customHeight="1">
      <c r="A112" s="2">
        <f t="array" ref="A112">IFERROR(INDEX('Bank Schedule'!A:A, SMALL(IF('Bank Schedule'!$K$2:$K$817="Vacant", ROW('Bank Schedule'!$K$2:$K$817)), ROW(109:109))), "")</f>
        <v/>
      </c>
      <c r="B112" s="11">
        <f t="array" ref="B112">IFERROR(INDEX('Bank Schedule'!B:B, SMALL(IF('Bank Schedule'!$K$2:$K$817="Vacant", ROW('Bank Schedule'!$K$2:$K$817)), ROW(109:109))), "")</f>
        <v/>
      </c>
      <c r="C112" s="11">
        <f t="array" ref="C112">IFERROR(INDEX('Bank Schedule'!C:C, SMALL(IF('Bank Schedule'!$K$2:$K$817="Vacant", ROW('Bank Schedule'!$K$2:$K$817)), ROW(109:109))), "")</f>
        <v/>
      </c>
      <c r="D112" s="11">
        <f t="array" ref="D112">IFERROR(INDEX('Bank Schedule'!D:D, SMALL(IF('Bank Schedule'!$K$2:$K$817="Vacant", ROW('Bank Schedule'!$K$2:$K$817)), ROW(109:109))), "")</f>
        <v/>
      </c>
      <c r="E112" s="25">
        <f t="array" ref="E112">IFERROR(INDEX('Bank Schedule'!E:E, SMALL(IF('Bank Schedule'!$K$2:$K$817="Vacant", ROW('Bank Schedule'!$K$2:$K$817)), ROW(109:109))), "")</f>
        <v/>
      </c>
      <c r="F112" s="25">
        <f t="array" ref="F112">IFERROR(INDEX('Bank Schedule'!F:F, SMALL(IF('Bank Schedule'!$K$2:$K$817="Vacant", ROW('Bank Schedule'!$K$2:$K$817)), ROW(109:109))), "")</f>
        <v/>
      </c>
      <c r="G112" s="25">
        <f t="array" ref="G112">IFERROR(INDEX('Bank Schedule'!G:G, SMALL(IF('Bank Schedule'!$K$2:$K$817="Vacant", ROW('Bank Schedule'!$K$2:$K$817)), ROW(109:109))), "")</f>
        <v/>
      </c>
      <c r="H112" s="53">
        <f t="array" ref="H112">IFERROR(INDEX('Bank Schedule'!H:H, SMALL(IF('Bank Schedule'!$K$2:$K$817="Vacant", ROW('Bank Schedule'!$K$2:$K$817)), ROW(109:109))), "")</f>
        <v/>
      </c>
      <c r="I112" s="53">
        <f t="array" ref="I112">IFERROR(INDEX('Bank Schedule'!I:I, SMALL(IF('Bank Schedule'!$K$2:$K$817="Vacant", ROW('Bank Schedule'!$K$2:$K$817)), ROW(109:109))), "")</f>
        <v/>
      </c>
      <c r="J112" s="11">
        <f t="array" ref="J112">IFERROR(INDEX('Bank Schedule'!K:K, SMALL(IF('Bank Schedule'!$K$2:$K$817="Vacant", ROW('Bank Schedule'!$K$2:$K$817)), ROW(109:109))), "")</f>
        <v/>
      </c>
      <c r="K112" s="11">
        <f t="array" ref="K112">IFERROR(INDEX('Bank Schedule'!L:L, SMALL(IF('Bank Schedule'!$K$2:$K$817="Vacant", ROW('Bank Schedule'!$K$2:$K$817)), ROW(109:109))), "")</f>
        <v/>
      </c>
      <c r="L112" s="11">
        <f t="array" ref="L112">IFERROR(INDEX('Bank Schedule'!M:M, SMALL(IF('Bank Schedule'!$K$2:$K$817="Vacant", ROW('Bank Schedule'!$K$2:$K$817)), ROW(109:109))), "")</f>
        <v/>
      </c>
      <c r="M112" s="106">
        <f t="array" ref="M112">IFERROR(INDEX('Bank Schedule'!N:N, SMALL(IF('Bank Schedule'!$K$2:$K$817="Vacant", ROW('Bank Schedule'!$K$2:$K$817)), ROW(109:109))), "")</f>
        <v/>
      </c>
      <c r="N112" s="11">
        <f t="array" ref="N112">IFERROR(INDEX('Bank Schedule'!O:O, SMALL(IF('Bank Schedule'!$K$2:$K$817="Vacant", ROW('Bank Schedule'!$K$2:$K$817)), ROW(109:109))), "")</f>
        <v/>
      </c>
      <c r="O112" s="11">
        <f t="array" ref="O112">IFERROR(INDEX('Bank Schedule'!P:P, SMALL(IF('Bank Schedule'!$K$2:$K$817="Vacant", ROW('Bank Schedule'!$K$2:$K$817)), ROW(109:109))), "")</f>
        <v/>
      </c>
      <c r="P112" s="11">
        <f t="array" ref="P112">IFERROR(INDEX('Bank Schedule'!Q:Q, SMALL(IF('Bank Schedule'!$K$2:$K$817="Vacant", ROW('Bank Schedule'!$K$2:$K$817)), ROW(109:109))), "")</f>
        <v/>
      </c>
      <c r="Q112" s="11">
        <f t="array" ref="Q112">IFERROR(INDEX('Bank Schedule'!R:R, SMALL(IF('Bank Schedule'!$K$2:$K$817="Vacant", ROW('Bank Schedule'!$K$2:$K$817)), ROW(109:109))), "")</f>
        <v/>
      </c>
      <c r="R112" s="11">
        <f t="array" ref="R112">IFERROR(INDEX('Bank Schedule'!S:S, SMALL(IF('Bank Schedule'!$K$2:$K$817="Vacant", ROW('Bank Schedule'!$K$2:$K$817)), ROW(109:109))), "")</f>
        <v/>
      </c>
      <c r="S112" s="301">
        <f t="array" ref="S112">IFERROR(INDEX('Bank Schedule'!T:T, SMALL(IF('Bank Schedule'!$K$2:$K$817="Vacant", ROW('Bank Schedule'!$K$2:$K$817)), ROW(109:109))), "")</f>
        <v/>
      </c>
      <c r="T112" s="301">
        <f t="array" ref="T112">IFERROR(INDEX('Bank Schedule'!U:U, SMALL(IF('Bank Schedule'!$K$2:$K$817="Vacant", ROW('Bank Schedule'!$K$2:$K$817)), ROW(109:109))), "")</f>
        <v/>
      </c>
      <c r="U112" s="301">
        <f t="array" ref="U112">IFERROR(INDEX('Bank Schedule'!V:V, SMALL(IF('Bank Schedule'!$K$2:$K$817="Vacant", ROW('Bank Schedule'!$K$2:$K$817)), ROW(109:109))), "")</f>
        <v/>
      </c>
      <c r="V112" s="301">
        <f t="array" ref="V112">IFERROR(INDEX('Bank Schedule'!W:W, SMALL(IF('Bank Schedule'!$K$2:$K$817="Vacant", ROW('Bank Schedule'!$K$2:$K$817)), ROW(109:109))), "")</f>
        <v/>
      </c>
      <c r="W112" s="300">
        <f t="array" ref="W112">IFERROR(INDEX('Bank Schedule'!X:X, SMALL(IF('Bank Schedule'!$K$2:$K$817="Vacant", ROW('Bank Schedule'!$K$2:$K$817)), ROW(109:109))), "")</f>
        <v/>
      </c>
      <c r="X112" s="11">
        <f t="array" ref="X112">IFERROR(INDEX('Bank Schedule'!Y:Y, SMALL(IF('Bank Schedule'!$K$2:$K$817="Vacant", ROW('Bank Schedule'!$K$2:$K$817)), ROW(109:109))), "")</f>
        <v/>
      </c>
      <c r="Y112" s="11">
        <f t="array" ref="Y112">IFERROR(INDEX('Bank Schedule'!Z:Z, SMALL(IF('Bank Schedule'!$K$2:$K$817="Vacant", ROW('Bank Schedule'!$K$2:$K$817)), ROW(109:109))), "")</f>
        <v/>
      </c>
      <c r="Z112" s="11">
        <f t="array" ref="Z112">IFERROR(INDEX('Bank Schedule'!AA:AA, SMALL(IF('Bank Schedule'!$K$2:$K$817="Vacant", ROW('Bank Schedule'!$K$2:$K$817)), ROW(109:109))), "")</f>
        <v/>
      </c>
      <c r="AA112" s="11">
        <f t="array" ref="AA112">IFERROR(INDEX('Bank Schedule'!AB:AB, SMALL(IF('Bank Schedule'!$K$2:$K$817="Vacant", ROW('Bank Schedule'!$K$2:$K$817)), ROW(109:109))), "")</f>
        <v/>
      </c>
      <c r="AB112" s="25">
        <f t="array" ref="AB112">IFERROR(INDEX('Bank Schedule'!AC:AC, SMALL(IF('Bank Schedule'!$K$2:$K$817="Vacant", ROW('Bank Schedule'!$K$2:$K$817)), ROW(109:109))), "")</f>
        <v/>
      </c>
      <c r="AC112" s="277">
        <f t="array" ref="AC112">IFERROR(INDEX('Bank Schedule'!AD:AD, SMALL(IF('Bank Schedule'!$K$2:$K$817="Vacant", ROW('Bank Schedule'!$K$2:$K$817)), ROW(109:109))), "")</f>
        <v/>
      </c>
      <c r="AD112" s="11">
        <f t="array" ref="AD112">IFERROR(INDEX('Bank Schedule'!AE:AE, SMALL(IF('Bank Schedule'!$K$2:$K$817="Vacant", ROW('Bank Schedule'!$K$2:$K$817)), ROW(109:109))), "")</f>
        <v/>
      </c>
      <c r="AE112" s="11">
        <f t="array" ref="AE112">IFERROR(INDEX('Bank Schedule'!AF:AF, SMALL(IF('Bank Schedule'!$K$2:$K$817="Vacant", ROW('Bank Schedule'!$K$2:$K$817)), ROW(109:109))), "")</f>
        <v/>
      </c>
      <c r="AF112" s="11">
        <f t="array" ref="AF112">IFERROR(INDEX('Bank Schedule'!AG:AG, SMALL(IF('Bank Schedule'!$K$2:$K$817="Vacant", ROW('Bank Schedule'!$K$2:$K$817)), ROW(109:109))), "")</f>
        <v/>
      </c>
      <c r="AG112" s="4" t="n"/>
    </row>
    <row r="113" ht="28.5" customHeight="1">
      <c r="A113" s="2">
        <f t="array" ref="A113">IFERROR(INDEX('Bank Schedule'!A:A, SMALL(IF('Bank Schedule'!$K$2:$K$817="Vacant", ROW('Bank Schedule'!$K$2:$K$817)), ROW(110:110))), "")</f>
        <v/>
      </c>
      <c r="B113" s="11">
        <f t="array" ref="B113">IFERROR(INDEX('Bank Schedule'!B:B, SMALL(IF('Bank Schedule'!$K$2:$K$817="Vacant", ROW('Bank Schedule'!$K$2:$K$817)), ROW(110:110))), "")</f>
        <v/>
      </c>
      <c r="C113" s="11">
        <f t="array" ref="C113">IFERROR(INDEX('Bank Schedule'!C:C, SMALL(IF('Bank Schedule'!$K$2:$K$817="Vacant", ROW('Bank Schedule'!$K$2:$K$817)), ROW(110:110))), "")</f>
        <v/>
      </c>
      <c r="D113" s="11">
        <f t="array" ref="D113">IFERROR(INDEX('Bank Schedule'!D:D, SMALL(IF('Bank Schedule'!$K$2:$K$817="Vacant", ROW('Bank Schedule'!$K$2:$K$817)), ROW(110:110))), "")</f>
        <v/>
      </c>
      <c r="E113" s="25">
        <f t="array" ref="E113">IFERROR(INDEX('Bank Schedule'!E:E, SMALL(IF('Bank Schedule'!$K$2:$K$817="Vacant", ROW('Bank Schedule'!$K$2:$K$817)), ROW(110:110))), "")</f>
        <v/>
      </c>
      <c r="F113" s="25">
        <f t="array" ref="F113">IFERROR(INDEX('Bank Schedule'!F:F, SMALL(IF('Bank Schedule'!$K$2:$K$817="Vacant", ROW('Bank Schedule'!$K$2:$K$817)), ROW(110:110))), "")</f>
        <v/>
      </c>
      <c r="G113" s="25">
        <f t="array" ref="G113">IFERROR(INDEX('Bank Schedule'!G:G, SMALL(IF('Bank Schedule'!$K$2:$K$817="Vacant", ROW('Bank Schedule'!$K$2:$K$817)), ROW(110:110))), "")</f>
        <v/>
      </c>
      <c r="H113" s="53">
        <f t="array" ref="H113">IFERROR(INDEX('Bank Schedule'!H:H, SMALL(IF('Bank Schedule'!$K$2:$K$817="Vacant", ROW('Bank Schedule'!$K$2:$K$817)), ROW(110:110))), "")</f>
        <v/>
      </c>
      <c r="I113" s="53">
        <f t="array" ref="I113">IFERROR(INDEX('Bank Schedule'!I:I, SMALL(IF('Bank Schedule'!$K$2:$K$817="Vacant", ROW('Bank Schedule'!$K$2:$K$817)), ROW(110:110))), "")</f>
        <v/>
      </c>
      <c r="J113" s="11">
        <f t="array" ref="J113">IFERROR(INDEX('Bank Schedule'!K:K, SMALL(IF('Bank Schedule'!$K$2:$K$817="Vacant", ROW('Bank Schedule'!$K$2:$K$817)), ROW(110:110))), "")</f>
        <v/>
      </c>
      <c r="K113" s="11">
        <f t="array" ref="K113">IFERROR(INDEX('Bank Schedule'!L:L, SMALL(IF('Bank Schedule'!$K$2:$K$817="Vacant", ROW('Bank Schedule'!$K$2:$K$817)), ROW(110:110))), "")</f>
        <v/>
      </c>
      <c r="L113" s="11">
        <f t="array" ref="L113">IFERROR(INDEX('Bank Schedule'!M:M, SMALL(IF('Bank Schedule'!$K$2:$K$817="Vacant", ROW('Bank Schedule'!$K$2:$K$817)), ROW(110:110))), "")</f>
        <v/>
      </c>
      <c r="M113" s="106">
        <f t="array" ref="M113">IFERROR(INDEX('Bank Schedule'!N:N, SMALL(IF('Bank Schedule'!$K$2:$K$817="Vacant", ROW('Bank Schedule'!$K$2:$K$817)), ROW(110:110))), "")</f>
        <v/>
      </c>
      <c r="N113" s="11">
        <f t="array" ref="N113">IFERROR(INDEX('Bank Schedule'!O:O, SMALL(IF('Bank Schedule'!$K$2:$K$817="Vacant", ROW('Bank Schedule'!$K$2:$K$817)), ROW(110:110))), "")</f>
        <v/>
      </c>
      <c r="O113" s="11">
        <f t="array" ref="O113">IFERROR(INDEX('Bank Schedule'!P:P, SMALL(IF('Bank Schedule'!$K$2:$K$817="Vacant", ROW('Bank Schedule'!$K$2:$K$817)), ROW(110:110))), "")</f>
        <v/>
      </c>
      <c r="P113" s="11">
        <f t="array" ref="P113">IFERROR(INDEX('Bank Schedule'!Q:Q, SMALL(IF('Bank Schedule'!$K$2:$K$817="Vacant", ROW('Bank Schedule'!$K$2:$K$817)), ROW(110:110))), "")</f>
        <v/>
      </c>
      <c r="Q113" s="11">
        <f t="array" ref="Q113">IFERROR(INDEX('Bank Schedule'!R:R, SMALL(IF('Bank Schedule'!$K$2:$K$817="Vacant", ROW('Bank Schedule'!$K$2:$K$817)), ROW(110:110))), "")</f>
        <v/>
      </c>
      <c r="R113" s="11">
        <f t="array" ref="R113">IFERROR(INDEX('Bank Schedule'!S:S, SMALL(IF('Bank Schedule'!$K$2:$K$817="Vacant", ROW('Bank Schedule'!$K$2:$K$817)), ROW(110:110))), "")</f>
        <v/>
      </c>
      <c r="S113" s="301">
        <f t="array" ref="S113">IFERROR(INDEX('Bank Schedule'!T:T, SMALL(IF('Bank Schedule'!$K$2:$K$817="Vacant", ROW('Bank Schedule'!$K$2:$K$817)), ROW(110:110))), "")</f>
        <v/>
      </c>
      <c r="T113" s="301">
        <f t="array" ref="T113">IFERROR(INDEX('Bank Schedule'!U:U, SMALL(IF('Bank Schedule'!$K$2:$K$817="Vacant", ROW('Bank Schedule'!$K$2:$K$817)), ROW(110:110))), "")</f>
        <v/>
      </c>
      <c r="U113" s="301">
        <f t="array" ref="U113">IFERROR(INDEX('Bank Schedule'!V:V, SMALL(IF('Bank Schedule'!$K$2:$K$817="Vacant", ROW('Bank Schedule'!$K$2:$K$817)), ROW(110:110))), "")</f>
        <v/>
      </c>
      <c r="V113" s="301">
        <f t="array" ref="V113">IFERROR(INDEX('Bank Schedule'!W:W, SMALL(IF('Bank Schedule'!$K$2:$K$817="Vacant", ROW('Bank Schedule'!$K$2:$K$817)), ROW(110:110))), "")</f>
        <v/>
      </c>
      <c r="W113" s="300">
        <f t="array" ref="W113">IFERROR(INDEX('Bank Schedule'!X:X, SMALL(IF('Bank Schedule'!$K$2:$K$817="Vacant", ROW('Bank Schedule'!$K$2:$K$817)), ROW(110:110))), "")</f>
        <v/>
      </c>
      <c r="X113" s="11">
        <f t="array" ref="X113">IFERROR(INDEX('Bank Schedule'!Y:Y, SMALL(IF('Bank Schedule'!$K$2:$K$817="Vacant", ROW('Bank Schedule'!$K$2:$K$817)), ROW(110:110))), "")</f>
        <v/>
      </c>
      <c r="Y113" s="11">
        <f t="array" ref="Y113">IFERROR(INDEX('Bank Schedule'!Z:Z, SMALL(IF('Bank Schedule'!$K$2:$K$817="Vacant", ROW('Bank Schedule'!$K$2:$K$817)), ROW(110:110))), "")</f>
        <v/>
      </c>
      <c r="Z113" s="11">
        <f t="array" ref="Z113">IFERROR(INDEX('Bank Schedule'!AA:AA, SMALL(IF('Bank Schedule'!$K$2:$K$817="Vacant", ROW('Bank Schedule'!$K$2:$K$817)), ROW(110:110))), "")</f>
        <v/>
      </c>
      <c r="AA113" s="11">
        <f t="array" ref="AA113">IFERROR(INDEX('Bank Schedule'!AB:AB, SMALL(IF('Bank Schedule'!$K$2:$K$817="Vacant", ROW('Bank Schedule'!$K$2:$K$817)), ROW(110:110))), "")</f>
        <v/>
      </c>
      <c r="AB113" s="25">
        <f t="array" ref="AB113">IFERROR(INDEX('Bank Schedule'!AC:AC, SMALL(IF('Bank Schedule'!$K$2:$K$817="Vacant", ROW('Bank Schedule'!$K$2:$K$817)), ROW(110:110))), "")</f>
        <v/>
      </c>
      <c r="AC113" s="277">
        <f t="array" ref="AC113">IFERROR(INDEX('Bank Schedule'!AD:AD, SMALL(IF('Bank Schedule'!$K$2:$K$817="Vacant", ROW('Bank Schedule'!$K$2:$K$817)), ROW(110:110))), "")</f>
        <v/>
      </c>
      <c r="AD113" s="11">
        <f t="array" ref="AD113">IFERROR(INDEX('Bank Schedule'!AE:AE, SMALL(IF('Bank Schedule'!$K$2:$K$817="Vacant", ROW('Bank Schedule'!$K$2:$K$817)), ROW(110:110))), "")</f>
        <v/>
      </c>
      <c r="AE113" s="11">
        <f t="array" ref="AE113">IFERROR(INDEX('Bank Schedule'!AF:AF, SMALL(IF('Bank Schedule'!$K$2:$K$817="Vacant", ROW('Bank Schedule'!$K$2:$K$817)), ROW(110:110))), "")</f>
        <v/>
      </c>
      <c r="AF113" s="11">
        <f t="array" ref="AF113">IFERROR(INDEX('Bank Schedule'!AG:AG, SMALL(IF('Bank Schedule'!$K$2:$K$817="Vacant", ROW('Bank Schedule'!$K$2:$K$817)), ROW(110:110))), "")</f>
        <v/>
      </c>
      <c r="AG113" s="4" t="n"/>
    </row>
    <row r="114" ht="28.5" customHeight="1">
      <c r="A114" s="2">
        <f t="array" ref="A114">IFERROR(INDEX('Bank Schedule'!A:A, SMALL(IF('Bank Schedule'!$K$2:$K$817="Vacant", ROW('Bank Schedule'!$K$2:$K$817)), ROW(111:111))), "")</f>
        <v/>
      </c>
      <c r="B114" s="11">
        <f t="array" ref="B114">IFERROR(INDEX('Bank Schedule'!B:B, SMALL(IF('Bank Schedule'!$K$2:$K$817="Vacant", ROW('Bank Schedule'!$K$2:$K$817)), ROW(111:111))), "")</f>
        <v/>
      </c>
      <c r="C114" s="11">
        <f t="array" ref="C114">IFERROR(INDEX('Bank Schedule'!C:C, SMALL(IF('Bank Schedule'!$K$2:$K$817="Vacant", ROW('Bank Schedule'!$K$2:$K$817)), ROW(111:111))), "")</f>
        <v/>
      </c>
      <c r="D114" s="11">
        <f t="array" ref="D114">IFERROR(INDEX('Bank Schedule'!D:D, SMALL(IF('Bank Schedule'!$K$2:$K$817="Vacant", ROW('Bank Schedule'!$K$2:$K$817)), ROW(111:111))), "")</f>
        <v/>
      </c>
      <c r="E114" s="25">
        <f t="array" ref="E114">IFERROR(INDEX('Bank Schedule'!E:E, SMALL(IF('Bank Schedule'!$K$2:$K$817="Vacant", ROW('Bank Schedule'!$K$2:$K$817)), ROW(111:111))), "")</f>
        <v/>
      </c>
      <c r="F114" s="25">
        <f t="array" ref="F114">IFERROR(INDEX('Bank Schedule'!F:F, SMALL(IF('Bank Schedule'!$K$2:$K$817="Vacant", ROW('Bank Schedule'!$K$2:$K$817)), ROW(111:111))), "")</f>
        <v/>
      </c>
      <c r="G114" s="25">
        <f t="array" ref="G114">IFERROR(INDEX('Bank Schedule'!G:G, SMALL(IF('Bank Schedule'!$K$2:$K$817="Vacant", ROW('Bank Schedule'!$K$2:$K$817)), ROW(111:111))), "")</f>
        <v/>
      </c>
      <c r="H114" s="53">
        <f t="array" ref="H114">IFERROR(INDEX('Bank Schedule'!H:H, SMALL(IF('Bank Schedule'!$K$2:$K$817="Vacant", ROW('Bank Schedule'!$K$2:$K$817)), ROW(111:111))), "")</f>
        <v/>
      </c>
      <c r="I114" s="53">
        <f t="array" ref="I114">IFERROR(INDEX('Bank Schedule'!I:I, SMALL(IF('Bank Schedule'!$K$2:$K$817="Vacant", ROW('Bank Schedule'!$K$2:$K$817)), ROW(111:111))), "")</f>
        <v/>
      </c>
      <c r="J114" s="11">
        <f t="array" ref="J114">IFERROR(INDEX('Bank Schedule'!K:K, SMALL(IF('Bank Schedule'!$K$2:$K$817="Vacant", ROW('Bank Schedule'!$K$2:$K$817)), ROW(111:111))), "")</f>
        <v/>
      </c>
      <c r="K114" s="11">
        <f t="array" ref="K114">IFERROR(INDEX('Bank Schedule'!L:L, SMALL(IF('Bank Schedule'!$K$2:$K$817="Vacant", ROW('Bank Schedule'!$K$2:$K$817)), ROW(111:111))), "")</f>
        <v/>
      </c>
      <c r="L114" s="11">
        <f t="array" ref="L114">IFERROR(INDEX('Bank Schedule'!M:M, SMALL(IF('Bank Schedule'!$K$2:$K$817="Vacant", ROW('Bank Schedule'!$K$2:$K$817)), ROW(111:111))), "")</f>
        <v/>
      </c>
      <c r="M114" s="106">
        <f t="array" ref="M114">IFERROR(INDEX('Bank Schedule'!N:N, SMALL(IF('Bank Schedule'!$K$2:$K$817="Vacant", ROW('Bank Schedule'!$K$2:$K$817)), ROW(111:111))), "")</f>
        <v/>
      </c>
      <c r="N114" s="11">
        <f t="array" ref="N114">IFERROR(INDEX('Bank Schedule'!O:O, SMALL(IF('Bank Schedule'!$K$2:$K$817="Vacant", ROW('Bank Schedule'!$K$2:$K$817)), ROW(111:111))), "")</f>
        <v/>
      </c>
      <c r="O114" s="11">
        <f t="array" ref="O114">IFERROR(INDEX('Bank Schedule'!P:P, SMALL(IF('Bank Schedule'!$K$2:$K$817="Vacant", ROW('Bank Schedule'!$K$2:$K$817)), ROW(111:111))), "")</f>
        <v/>
      </c>
      <c r="P114" s="11">
        <f t="array" ref="P114">IFERROR(INDEX('Bank Schedule'!Q:Q, SMALL(IF('Bank Schedule'!$K$2:$K$817="Vacant", ROW('Bank Schedule'!$K$2:$K$817)), ROW(111:111))), "")</f>
        <v/>
      </c>
      <c r="Q114" s="11">
        <f t="array" ref="Q114">IFERROR(INDEX('Bank Schedule'!R:R, SMALL(IF('Bank Schedule'!$K$2:$K$817="Vacant", ROW('Bank Schedule'!$K$2:$K$817)), ROW(111:111))), "")</f>
        <v/>
      </c>
      <c r="R114" s="11">
        <f t="array" ref="R114">IFERROR(INDEX('Bank Schedule'!S:S, SMALL(IF('Bank Schedule'!$K$2:$K$817="Vacant", ROW('Bank Schedule'!$K$2:$K$817)), ROW(111:111))), "")</f>
        <v/>
      </c>
      <c r="S114" s="301">
        <f t="array" ref="S114">IFERROR(INDEX('Bank Schedule'!T:T, SMALL(IF('Bank Schedule'!$K$2:$K$817="Vacant", ROW('Bank Schedule'!$K$2:$K$817)), ROW(111:111))), "")</f>
        <v/>
      </c>
      <c r="T114" s="301">
        <f t="array" ref="T114">IFERROR(INDEX('Bank Schedule'!U:U, SMALL(IF('Bank Schedule'!$K$2:$K$817="Vacant", ROW('Bank Schedule'!$K$2:$K$817)), ROW(111:111))), "")</f>
        <v/>
      </c>
      <c r="U114" s="301">
        <f t="array" ref="U114">IFERROR(INDEX('Bank Schedule'!V:V, SMALL(IF('Bank Schedule'!$K$2:$K$817="Vacant", ROW('Bank Schedule'!$K$2:$K$817)), ROW(111:111))), "")</f>
        <v/>
      </c>
      <c r="V114" s="301">
        <f t="array" ref="V114">IFERROR(INDEX('Bank Schedule'!W:W, SMALL(IF('Bank Schedule'!$K$2:$K$817="Vacant", ROW('Bank Schedule'!$K$2:$K$817)), ROW(111:111))), "")</f>
        <v/>
      </c>
      <c r="W114" s="300">
        <f t="array" ref="W114">IFERROR(INDEX('Bank Schedule'!X:X, SMALL(IF('Bank Schedule'!$K$2:$K$817="Vacant", ROW('Bank Schedule'!$K$2:$K$817)), ROW(111:111))), "")</f>
        <v/>
      </c>
      <c r="X114" s="11">
        <f t="array" ref="X114">IFERROR(INDEX('Bank Schedule'!Y:Y, SMALL(IF('Bank Schedule'!$K$2:$K$817="Vacant", ROW('Bank Schedule'!$K$2:$K$817)), ROW(111:111))), "")</f>
        <v/>
      </c>
      <c r="Y114" s="11">
        <f t="array" ref="Y114">IFERROR(INDEX('Bank Schedule'!Z:Z, SMALL(IF('Bank Schedule'!$K$2:$K$817="Vacant", ROW('Bank Schedule'!$K$2:$K$817)), ROW(111:111))), "")</f>
        <v/>
      </c>
      <c r="Z114" s="11">
        <f t="array" ref="Z114">IFERROR(INDEX('Bank Schedule'!AA:AA, SMALL(IF('Bank Schedule'!$K$2:$K$817="Vacant", ROW('Bank Schedule'!$K$2:$K$817)), ROW(111:111))), "")</f>
        <v/>
      </c>
      <c r="AA114" s="11">
        <f t="array" ref="AA114">IFERROR(INDEX('Bank Schedule'!AB:AB, SMALL(IF('Bank Schedule'!$K$2:$K$817="Vacant", ROW('Bank Schedule'!$K$2:$K$817)), ROW(111:111))), "")</f>
        <v/>
      </c>
      <c r="AB114" s="25">
        <f t="array" ref="AB114">IFERROR(INDEX('Bank Schedule'!AC:AC, SMALL(IF('Bank Schedule'!$K$2:$K$817="Vacant", ROW('Bank Schedule'!$K$2:$K$817)), ROW(111:111))), "")</f>
        <v/>
      </c>
      <c r="AC114" s="277">
        <f t="array" ref="AC114">IFERROR(INDEX('Bank Schedule'!AD:AD, SMALL(IF('Bank Schedule'!$K$2:$K$817="Vacant", ROW('Bank Schedule'!$K$2:$K$817)), ROW(111:111))), "")</f>
        <v/>
      </c>
      <c r="AD114" s="11">
        <f t="array" ref="AD114">IFERROR(INDEX('Bank Schedule'!AE:AE, SMALL(IF('Bank Schedule'!$K$2:$K$817="Vacant", ROW('Bank Schedule'!$K$2:$K$817)), ROW(111:111))), "")</f>
        <v/>
      </c>
      <c r="AE114" s="11">
        <f t="array" ref="AE114">IFERROR(INDEX('Bank Schedule'!AF:AF, SMALL(IF('Bank Schedule'!$K$2:$K$817="Vacant", ROW('Bank Schedule'!$K$2:$K$817)), ROW(111:111))), "")</f>
        <v/>
      </c>
      <c r="AF114" s="11">
        <f t="array" ref="AF114">IFERROR(INDEX('Bank Schedule'!AG:AG, SMALL(IF('Bank Schedule'!$K$2:$K$817="Vacant", ROW('Bank Schedule'!$K$2:$K$817)), ROW(111:111))), "")</f>
        <v/>
      </c>
      <c r="AG114" s="4" t="n"/>
    </row>
    <row r="115" ht="28.5" customHeight="1">
      <c r="A115" s="2">
        <f t="array" ref="A115">IFERROR(INDEX('Bank Schedule'!A:A, SMALL(IF('Bank Schedule'!$K$2:$K$817="Vacant", ROW('Bank Schedule'!$K$2:$K$817)), ROW(112:112))), "")</f>
        <v/>
      </c>
      <c r="B115" s="11">
        <f t="array" ref="B115">IFERROR(INDEX('Bank Schedule'!B:B, SMALL(IF('Bank Schedule'!$K$2:$K$817="Vacant", ROW('Bank Schedule'!$K$2:$K$817)), ROW(112:112))), "")</f>
        <v/>
      </c>
      <c r="C115" s="11">
        <f t="array" ref="C115">IFERROR(INDEX('Bank Schedule'!C:C, SMALL(IF('Bank Schedule'!$K$2:$K$817="Vacant", ROW('Bank Schedule'!$K$2:$K$817)), ROW(112:112))), "")</f>
        <v/>
      </c>
      <c r="D115" s="11">
        <f t="array" ref="D115">IFERROR(INDEX('Bank Schedule'!D:D, SMALL(IF('Bank Schedule'!$K$2:$K$817="Vacant", ROW('Bank Schedule'!$K$2:$K$817)), ROW(112:112))), "")</f>
        <v/>
      </c>
      <c r="E115" s="25">
        <f t="array" ref="E115">IFERROR(INDEX('Bank Schedule'!E:E, SMALL(IF('Bank Schedule'!$K$2:$K$817="Vacant", ROW('Bank Schedule'!$K$2:$K$817)), ROW(112:112))), "")</f>
        <v/>
      </c>
      <c r="F115" s="25">
        <f t="array" ref="F115">IFERROR(INDEX('Bank Schedule'!F:F, SMALL(IF('Bank Schedule'!$K$2:$K$817="Vacant", ROW('Bank Schedule'!$K$2:$K$817)), ROW(112:112))), "")</f>
        <v/>
      </c>
      <c r="G115" s="25">
        <f t="array" ref="G115">IFERROR(INDEX('Bank Schedule'!G:G, SMALL(IF('Bank Schedule'!$K$2:$K$817="Vacant", ROW('Bank Schedule'!$K$2:$K$817)), ROW(112:112))), "")</f>
        <v/>
      </c>
      <c r="H115" s="53">
        <f t="array" ref="H115">IFERROR(INDEX('Bank Schedule'!H:H, SMALL(IF('Bank Schedule'!$K$2:$K$817="Vacant", ROW('Bank Schedule'!$K$2:$K$817)), ROW(112:112))), "")</f>
        <v/>
      </c>
      <c r="I115" s="53">
        <f t="array" ref="I115">IFERROR(INDEX('Bank Schedule'!I:I, SMALL(IF('Bank Schedule'!$K$2:$K$817="Vacant", ROW('Bank Schedule'!$K$2:$K$817)), ROW(112:112))), "")</f>
        <v/>
      </c>
      <c r="J115" s="11">
        <f t="array" ref="J115">IFERROR(INDEX('Bank Schedule'!K:K, SMALL(IF('Bank Schedule'!$K$2:$K$817="Vacant", ROW('Bank Schedule'!$K$2:$K$817)), ROW(112:112))), "")</f>
        <v/>
      </c>
      <c r="K115" s="11">
        <f t="array" ref="K115">IFERROR(INDEX('Bank Schedule'!L:L, SMALL(IF('Bank Schedule'!$K$2:$K$817="Vacant", ROW('Bank Schedule'!$K$2:$K$817)), ROW(112:112))), "")</f>
        <v/>
      </c>
      <c r="L115" s="11">
        <f t="array" ref="L115">IFERROR(INDEX('Bank Schedule'!M:M, SMALL(IF('Bank Schedule'!$K$2:$K$817="Vacant", ROW('Bank Schedule'!$K$2:$K$817)), ROW(112:112))), "")</f>
        <v/>
      </c>
      <c r="M115" s="106">
        <f t="array" ref="M115">IFERROR(INDEX('Bank Schedule'!N:N, SMALL(IF('Bank Schedule'!$K$2:$K$817="Vacant", ROW('Bank Schedule'!$K$2:$K$817)), ROW(112:112))), "")</f>
        <v/>
      </c>
      <c r="N115" s="11">
        <f t="array" ref="N115">IFERROR(INDEX('Bank Schedule'!O:O, SMALL(IF('Bank Schedule'!$K$2:$K$817="Vacant", ROW('Bank Schedule'!$K$2:$K$817)), ROW(112:112))), "")</f>
        <v/>
      </c>
      <c r="O115" s="11">
        <f t="array" ref="O115">IFERROR(INDEX('Bank Schedule'!P:P, SMALL(IF('Bank Schedule'!$K$2:$K$817="Vacant", ROW('Bank Schedule'!$K$2:$K$817)), ROW(112:112))), "")</f>
        <v/>
      </c>
      <c r="P115" s="11">
        <f t="array" ref="P115">IFERROR(INDEX('Bank Schedule'!Q:Q, SMALL(IF('Bank Schedule'!$K$2:$K$817="Vacant", ROW('Bank Schedule'!$K$2:$K$817)), ROW(112:112))), "")</f>
        <v/>
      </c>
      <c r="Q115" s="11">
        <f t="array" ref="Q115">IFERROR(INDEX('Bank Schedule'!R:R, SMALL(IF('Bank Schedule'!$K$2:$K$817="Vacant", ROW('Bank Schedule'!$K$2:$K$817)), ROW(112:112))), "")</f>
        <v/>
      </c>
      <c r="R115" s="11">
        <f t="array" ref="R115">IFERROR(INDEX('Bank Schedule'!S:S, SMALL(IF('Bank Schedule'!$K$2:$K$817="Vacant", ROW('Bank Schedule'!$K$2:$K$817)), ROW(112:112))), "")</f>
        <v/>
      </c>
      <c r="S115" s="301">
        <f t="array" ref="S115">IFERROR(INDEX('Bank Schedule'!T:T, SMALL(IF('Bank Schedule'!$K$2:$K$817="Vacant", ROW('Bank Schedule'!$K$2:$K$817)), ROW(112:112))), "")</f>
        <v/>
      </c>
      <c r="T115" s="301">
        <f t="array" ref="T115">IFERROR(INDEX('Bank Schedule'!U:U, SMALL(IF('Bank Schedule'!$K$2:$K$817="Vacant", ROW('Bank Schedule'!$K$2:$K$817)), ROW(112:112))), "")</f>
        <v/>
      </c>
      <c r="U115" s="301">
        <f t="array" ref="U115">IFERROR(INDEX('Bank Schedule'!V:V, SMALL(IF('Bank Schedule'!$K$2:$K$817="Vacant", ROW('Bank Schedule'!$K$2:$K$817)), ROW(112:112))), "")</f>
        <v/>
      </c>
      <c r="V115" s="301">
        <f t="array" ref="V115">IFERROR(INDEX('Bank Schedule'!W:W, SMALL(IF('Bank Schedule'!$K$2:$K$817="Vacant", ROW('Bank Schedule'!$K$2:$K$817)), ROW(112:112))), "")</f>
        <v/>
      </c>
      <c r="W115" s="300">
        <f t="array" ref="W115">IFERROR(INDEX('Bank Schedule'!X:X, SMALL(IF('Bank Schedule'!$K$2:$K$817="Vacant", ROW('Bank Schedule'!$K$2:$K$817)), ROW(112:112))), "")</f>
        <v/>
      </c>
      <c r="X115" s="11">
        <f t="array" ref="X115">IFERROR(INDEX('Bank Schedule'!Y:Y, SMALL(IF('Bank Schedule'!$K$2:$K$817="Vacant", ROW('Bank Schedule'!$K$2:$K$817)), ROW(112:112))), "")</f>
        <v/>
      </c>
      <c r="Y115" s="11">
        <f t="array" ref="Y115">IFERROR(INDEX('Bank Schedule'!Z:Z, SMALL(IF('Bank Schedule'!$K$2:$K$817="Vacant", ROW('Bank Schedule'!$K$2:$K$817)), ROW(112:112))), "")</f>
        <v/>
      </c>
      <c r="Z115" s="11">
        <f t="array" ref="Z115">IFERROR(INDEX('Bank Schedule'!AA:AA, SMALL(IF('Bank Schedule'!$K$2:$K$817="Vacant", ROW('Bank Schedule'!$K$2:$K$817)), ROW(112:112))), "")</f>
        <v/>
      </c>
      <c r="AA115" s="11">
        <f t="array" ref="AA115">IFERROR(INDEX('Bank Schedule'!AB:AB, SMALL(IF('Bank Schedule'!$K$2:$K$817="Vacant", ROW('Bank Schedule'!$K$2:$K$817)), ROW(112:112))), "")</f>
        <v/>
      </c>
      <c r="AB115" s="25">
        <f t="array" ref="AB115">IFERROR(INDEX('Bank Schedule'!AC:AC, SMALL(IF('Bank Schedule'!$K$2:$K$817="Vacant", ROW('Bank Schedule'!$K$2:$K$817)), ROW(112:112))), "")</f>
        <v/>
      </c>
      <c r="AC115" s="277">
        <f t="array" ref="AC115">IFERROR(INDEX('Bank Schedule'!AD:AD, SMALL(IF('Bank Schedule'!$K$2:$K$817="Vacant", ROW('Bank Schedule'!$K$2:$K$817)), ROW(112:112))), "")</f>
        <v/>
      </c>
      <c r="AD115" s="11">
        <f t="array" ref="AD115">IFERROR(INDEX('Bank Schedule'!AE:AE, SMALL(IF('Bank Schedule'!$K$2:$K$817="Vacant", ROW('Bank Schedule'!$K$2:$K$817)), ROW(112:112))), "")</f>
        <v/>
      </c>
      <c r="AE115" s="11">
        <f t="array" ref="AE115">IFERROR(INDEX('Bank Schedule'!AF:AF, SMALL(IF('Bank Schedule'!$K$2:$K$817="Vacant", ROW('Bank Schedule'!$K$2:$K$817)), ROW(112:112))), "")</f>
        <v/>
      </c>
      <c r="AF115" s="11">
        <f t="array" ref="AF115">IFERROR(INDEX('Bank Schedule'!AG:AG, SMALL(IF('Bank Schedule'!$K$2:$K$817="Vacant", ROW('Bank Schedule'!$K$2:$K$817)), ROW(112:112))), "")</f>
        <v/>
      </c>
      <c r="AG115" s="4" t="n"/>
    </row>
    <row r="116" ht="28.5" customHeight="1">
      <c r="A116" s="2">
        <f t="array" ref="A116">IFERROR(INDEX('Bank Schedule'!A:A, SMALL(IF('Bank Schedule'!$K$2:$K$817="Vacant", ROW('Bank Schedule'!$K$2:$K$817)), ROW(113:113))), "")</f>
        <v/>
      </c>
      <c r="B116" s="11">
        <f t="array" ref="B116">IFERROR(INDEX('Bank Schedule'!B:B, SMALL(IF('Bank Schedule'!$K$2:$K$817="Vacant", ROW('Bank Schedule'!$K$2:$K$817)), ROW(113:113))), "")</f>
        <v/>
      </c>
      <c r="C116" s="11">
        <f t="array" ref="C116">IFERROR(INDEX('Bank Schedule'!C:C, SMALL(IF('Bank Schedule'!$K$2:$K$817="Vacant", ROW('Bank Schedule'!$K$2:$K$817)), ROW(113:113))), "")</f>
        <v/>
      </c>
      <c r="D116" s="11">
        <f t="array" ref="D116">IFERROR(INDEX('Bank Schedule'!D:D, SMALL(IF('Bank Schedule'!$K$2:$K$817="Vacant", ROW('Bank Schedule'!$K$2:$K$817)), ROW(113:113))), "")</f>
        <v/>
      </c>
      <c r="E116" s="25">
        <f t="array" ref="E116">IFERROR(INDEX('Bank Schedule'!E:E, SMALL(IF('Bank Schedule'!$K$2:$K$817="Vacant", ROW('Bank Schedule'!$K$2:$K$817)), ROW(113:113))), "")</f>
        <v/>
      </c>
      <c r="F116" s="25">
        <f t="array" ref="F116">IFERROR(INDEX('Bank Schedule'!F:F, SMALL(IF('Bank Schedule'!$K$2:$K$817="Vacant", ROW('Bank Schedule'!$K$2:$K$817)), ROW(113:113))), "")</f>
        <v/>
      </c>
      <c r="G116" s="25">
        <f t="array" ref="G116">IFERROR(INDEX('Bank Schedule'!G:G, SMALL(IF('Bank Schedule'!$K$2:$K$817="Vacant", ROW('Bank Schedule'!$K$2:$K$817)), ROW(113:113))), "")</f>
        <v/>
      </c>
      <c r="H116" s="53">
        <f t="array" ref="H116">IFERROR(INDEX('Bank Schedule'!H:H, SMALL(IF('Bank Schedule'!$K$2:$K$817="Vacant", ROW('Bank Schedule'!$K$2:$K$817)), ROW(113:113))), "")</f>
        <v/>
      </c>
      <c r="I116" s="53">
        <f t="array" ref="I116">IFERROR(INDEX('Bank Schedule'!I:I, SMALL(IF('Bank Schedule'!$K$2:$K$817="Vacant", ROW('Bank Schedule'!$K$2:$K$817)), ROW(113:113))), "")</f>
        <v/>
      </c>
      <c r="J116" s="11">
        <f t="array" ref="J116">IFERROR(INDEX('Bank Schedule'!K:K, SMALL(IF('Bank Schedule'!$K$2:$K$817="Vacant", ROW('Bank Schedule'!$K$2:$K$817)), ROW(113:113))), "")</f>
        <v/>
      </c>
      <c r="K116" s="11">
        <f t="array" ref="K116">IFERROR(INDEX('Bank Schedule'!L:L, SMALL(IF('Bank Schedule'!$K$2:$K$817="Vacant", ROW('Bank Schedule'!$K$2:$K$817)), ROW(113:113))), "")</f>
        <v/>
      </c>
      <c r="L116" s="11">
        <f t="array" ref="L116">IFERROR(INDEX('Bank Schedule'!M:M, SMALL(IF('Bank Schedule'!$K$2:$K$817="Vacant", ROW('Bank Schedule'!$K$2:$K$817)), ROW(113:113))), "")</f>
        <v/>
      </c>
      <c r="M116" s="106">
        <f t="array" ref="M116">IFERROR(INDEX('Bank Schedule'!N:N, SMALL(IF('Bank Schedule'!$K$2:$K$817="Vacant", ROW('Bank Schedule'!$K$2:$K$817)), ROW(113:113))), "")</f>
        <v/>
      </c>
      <c r="N116" s="11">
        <f t="array" ref="N116">IFERROR(INDEX('Bank Schedule'!O:O, SMALL(IF('Bank Schedule'!$K$2:$K$817="Vacant", ROW('Bank Schedule'!$K$2:$K$817)), ROW(113:113))), "")</f>
        <v/>
      </c>
      <c r="O116" s="11">
        <f t="array" ref="O116">IFERROR(INDEX('Bank Schedule'!P:P, SMALL(IF('Bank Schedule'!$K$2:$K$817="Vacant", ROW('Bank Schedule'!$K$2:$K$817)), ROW(113:113))), "")</f>
        <v/>
      </c>
      <c r="P116" s="11">
        <f t="array" ref="P116">IFERROR(INDEX('Bank Schedule'!Q:Q, SMALL(IF('Bank Schedule'!$K$2:$K$817="Vacant", ROW('Bank Schedule'!$K$2:$K$817)), ROW(113:113))), "")</f>
        <v/>
      </c>
      <c r="Q116" s="11">
        <f t="array" ref="Q116">IFERROR(INDEX('Bank Schedule'!R:R, SMALL(IF('Bank Schedule'!$K$2:$K$817="Vacant", ROW('Bank Schedule'!$K$2:$K$817)), ROW(113:113))), "")</f>
        <v/>
      </c>
      <c r="R116" s="11">
        <f t="array" ref="R116">IFERROR(INDEX('Bank Schedule'!S:S, SMALL(IF('Bank Schedule'!$K$2:$K$817="Vacant", ROW('Bank Schedule'!$K$2:$K$817)), ROW(113:113))), "")</f>
        <v/>
      </c>
      <c r="S116" s="301">
        <f t="array" ref="S116">IFERROR(INDEX('Bank Schedule'!T:T, SMALL(IF('Bank Schedule'!$K$2:$K$817="Vacant", ROW('Bank Schedule'!$K$2:$K$817)), ROW(113:113))), "")</f>
        <v/>
      </c>
      <c r="T116" s="301">
        <f t="array" ref="T116">IFERROR(INDEX('Bank Schedule'!U:U, SMALL(IF('Bank Schedule'!$K$2:$K$817="Vacant", ROW('Bank Schedule'!$K$2:$K$817)), ROW(113:113))), "")</f>
        <v/>
      </c>
      <c r="U116" s="301">
        <f t="array" ref="U116">IFERROR(INDEX('Bank Schedule'!V:V, SMALL(IF('Bank Schedule'!$K$2:$K$817="Vacant", ROW('Bank Schedule'!$K$2:$K$817)), ROW(113:113))), "")</f>
        <v/>
      </c>
      <c r="V116" s="301">
        <f t="array" ref="V116">IFERROR(INDEX('Bank Schedule'!W:W, SMALL(IF('Bank Schedule'!$K$2:$K$817="Vacant", ROW('Bank Schedule'!$K$2:$K$817)), ROW(113:113))), "")</f>
        <v/>
      </c>
      <c r="W116" s="300">
        <f t="array" ref="W116">IFERROR(INDEX('Bank Schedule'!X:X, SMALL(IF('Bank Schedule'!$K$2:$K$817="Vacant", ROW('Bank Schedule'!$K$2:$K$817)), ROW(113:113))), "")</f>
        <v/>
      </c>
      <c r="X116" s="11">
        <f t="array" ref="X116">IFERROR(INDEX('Bank Schedule'!Y:Y, SMALL(IF('Bank Schedule'!$K$2:$K$817="Vacant", ROW('Bank Schedule'!$K$2:$K$817)), ROW(113:113))), "")</f>
        <v/>
      </c>
      <c r="Y116" s="11">
        <f t="array" ref="Y116">IFERROR(INDEX('Bank Schedule'!Z:Z, SMALL(IF('Bank Schedule'!$K$2:$K$817="Vacant", ROW('Bank Schedule'!$K$2:$K$817)), ROW(113:113))), "")</f>
        <v/>
      </c>
      <c r="Z116" s="11">
        <f t="array" ref="Z116">IFERROR(INDEX('Bank Schedule'!AA:AA, SMALL(IF('Bank Schedule'!$K$2:$K$817="Vacant", ROW('Bank Schedule'!$K$2:$K$817)), ROW(113:113))), "")</f>
        <v/>
      </c>
      <c r="AA116" s="11">
        <f t="array" ref="AA116">IFERROR(INDEX('Bank Schedule'!AB:AB, SMALL(IF('Bank Schedule'!$K$2:$K$817="Vacant", ROW('Bank Schedule'!$K$2:$K$817)), ROW(113:113))), "")</f>
        <v/>
      </c>
      <c r="AB116" s="25">
        <f t="array" ref="AB116">IFERROR(INDEX('Bank Schedule'!AC:AC, SMALL(IF('Bank Schedule'!$K$2:$K$817="Vacant", ROW('Bank Schedule'!$K$2:$K$817)), ROW(113:113))), "")</f>
        <v/>
      </c>
      <c r="AC116" s="277">
        <f t="array" ref="AC116">IFERROR(INDEX('Bank Schedule'!AD:AD, SMALL(IF('Bank Schedule'!$K$2:$K$817="Vacant", ROW('Bank Schedule'!$K$2:$K$817)), ROW(113:113))), "")</f>
        <v/>
      </c>
      <c r="AD116" s="11">
        <f t="array" ref="AD116">IFERROR(INDEX('Bank Schedule'!AE:AE, SMALL(IF('Bank Schedule'!$K$2:$K$817="Vacant", ROW('Bank Schedule'!$K$2:$K$817)), ROW(113:113))), "")</f>
        <v/>
      </c>
      <c r="AE116" s="11">
        <f t="array" ref="AE116">IFERROR(INDEX('Bank Schedule'!AF:AF, SMALL(IF('Bank Schedule'!$K$2:$K$817="Vacant", ROW('Bank Schedule'!$K$2:$K$817)), ROW(113:113))), "")</f>
        <v/>
      </c>
      <c r="AF116" s="11">
        <f t="array" ref="AF116">IFERROR(INDEX('Bank Schedule'!AG:AG, SMALL(IF('Bank Schedule'!$K$2:$K$817="Vacant", ROW('Bank Schedule'!$K$2:$K$817)), ROW(113:113))), "")</f>
        <v/>
      </c>
      <c r="AG116" s="4" t="n"/>
    </row>
    <row r="117" ht="28.5" customHeight="1">
      <c r="A117" s="2">
        <f t="array" ref="A117">IFERROR(INDEX('Bank Schedule'!A:A, SMALL(IF('Bank Schedule'!$K$2:$K$817="Vacant", ROW('Bank Schedule'!$K$2:$K$817)), ROW(114:114))), "")</f>
        <v/>
      </c>
      <c r="B117" s="11">
        <f t="array" ref="B117">IFERROR(INDEX('Bank Schedule'!B:B, SMALL(IF('Bank Schedule'!$K$2:$K$817="Vacant", ROW('Bank Schedule'!$K$2:$K$817)), ROW(114:114))), "")</f>
        <v/>
      </c>
      <c r="C117" s="11">
        <f t="array" ref="C117">IFERROR(INDEX('Bank Schedule'!C:C, SMALL(IF('Bank Schedule'!$K$2:$K$817="Vacant", ROW('Bank Schedule'!$K$2:$K$817)), ROW(114:114))), "")</f>
        <v/>
      </c>
      <c r="D117" s="11">
        <f t="array" ref="D117">IFERROR(INDEX('Bank Schedule'!D:D, SMALL(IF('Bank Schedule'!$K$2:$K$817="Vacant", ROW('Bank Schedule'!$K$2:$K$817)), ROW(114:114))), "")</f>
        <v/>
      </c>
      <c r="E117" s="25">
        <f t="array" ref="E117">IFERROR(INDEX('Bank Schedule'!E:E, SMALL(IF('Bank Schedule'!$K$2:$K$817="Vacant", ROW('Bank Schedule'!$K$2:$K$817)), ROW(114:114))), "")</f>
        <v/>
      </c>
      <c r="F117" s="25">
        <f t="array" ref="F117">IFERROR(INDEX('Bank Schedule'!F:F, SMALL(IF('Bank Schedule'!$K$2:$K$817="Vacant", ROW('Bank Schedule'!$K$2:$K$817)), ROW(114:114))), "")</f>
        <v/>
      </c>
      <c r="G117" s="25">
        <f t="array" ref="G117">IFERROR(INDEX('Bank Schedule'!G:G, SMALL(IF('Bank Schedule'!$K$2:$K$817="Vacant", ROW('Bank Schedule'!$K$2:$K$817)), ROW(114:114))), "")</f>
        <v/>
      </c>
      <c r="H117" s="53">
        <f t="array" ref="H117">IFERROR(INDEX('Bank Schedule'!H:H, SMALL(IF('Bank Schedule'!$K$2:$K$817="Vacant", ROW('Bank Schedule'!$K$2:$K$817)), ROW(114:114))), "")</f>
        <v/>
      </c>
      <c r="I117" s="53">
        <f t="array" ref="I117">IFERROR(INDEX('Bank Schedule'!I:I, SMALL(IF('Bank Schedule'!$K$2:$K$817="Vacant", ROW('Bank Schedule'!$K$2:$K$817)), ROW(114:114))), "")</f>
        <v/>
      </c>
      <c r="J117" s="11">
        <f t="array" ref="J117">IFERROR(INDEX('Bank Schedule'!K:K, SMALL(IF('Bank Schedule'!$K$2:$K$817="Vacant", ROW('Bank Schedule'!$K$2:$K$817)), ROW(114:114))), "")</f>
        <v/>
      </c>
      <c r="K117" s="11">
        <f t="array" ref="K117">IFERROR(INDEX('Bank Schedule'!L:L, SMALL(IF('Bank Schedule'!$K$2:$K$817="Vacant", ROW('Bank Schedule'!$K$2:$K$817)), ROW(114:114))), "")</f>
        <v/>
      </c>
      <c r="L117" s="11">
        <f t="array" ref="L117">IFERROR(INDEX('Bank Schedule'!M:M, SMALL(IF('Bank Schedule'!$K$2:$K$817="Vacant", ROW('Bank Schedule'!$K$2:$K$817)), ROW(114:114))), "")</f>
        <v/>
      </c>
      <c r="M117" s="106">
        <f t="array" ref="M117">IFERROR(INDEX('Bank Schedule'!N:N, SMALL(IF('Bank Schedule'!$K$2:$K$817="Vacant", ROW('Bank Schedule'!$K$2:$K$817)), ROW(114:114))), "")</f>
        <v/>
      </c>
      <c r="N117" s="11">
        <f t="array" ref="N117">IFERROR(INDEX('Bank Schedule'!O:O, SMALL(IF('Bank Schedule'!$K$2:$K$817="Vacant", ROW('Bank Schedule'!$K$2:$K$817)), ROW(114:114))), "")</f>
        <v/>
      </c>
      <c r="O117" s="11">
        <f t="array" ref="O117">IFERROR(INDEX('Bank Schedule'!P:P, SMALL(IF('Bank Schedule'!$K$2:$K$817="Vacant", ROW('Bank Schedule'!$K$2:$K$817)), ROW(114:114))), "")</f>
        <v/>
      </c>
      <c r="P117" s="11">
        <f t="array" ref="P117">IFERROR(INDEX('Bank Schedule'!Q:Q, SMALL(IF('Bank Schedule'!$K$2:$K$817="Vacant", ROW('Bank Schedule'!$K$2:$K$817)), ROW(114:114))), "")</f>
        <v/>
      </c>
      <c r="Q117" s="11">
        <f t="array" ref="Q117">IFERROR(INDEX('Bank Schedule'!R:R, SMALL(IF('Bank Schedule'!$K$2:$K$817="Vacant", ROW('Bank Schedule'!$K$2:$K$817)), ROW(114:114))), "")</f>
        <v/>
      </c>
      <c r="R117" s="11">
        <f t="array" ref="R117">IFERROR(INDEX('Bank Schedule'!S:S, SMALL(IF('Bank Schedule'!$K$2:$K$817="Vacant", ROW('Bank Schedule'!$K$2:$K$817)), ROW(114:114))), "")</f>
        <v/>
      </c>
      <c r="S117" s="301">
        <f t="array" ref="S117">IFERROR(INDEX('Bank Schedule'!T:T, SMALL(IF('Bank Schedule'!$K$2:$K$817="Vacant", ROW('Bank Schedule'!$K$2:$K$817)), ROW(114:114))), "")</f>
        <v/>
      </c>
      <c r="T117" s="301">
        <f t="array" ref="T117">IFERROR(INDEX('Bank Schedule'!U:U, SMALL(IF('Bank Schedule'!$K$2:$K$817="Vacant", ROW('Bank Schedule'!$K$2:$K$817)), ROW(114:114))), "")</f>
        <v/>
      </c>
      <c r="U117" s="301">
        <f t="array" ref="U117">IFERROR(INDEX('Bank Schedule'!V:V, SMALL(IF('Bank Schedule'!$K$2:$K$817="Vacant", ROW('Bank Schedule'!$K$2:$K$817)), ROW(114:114))), "")</f>
        <v/>
      </c>
      <c r="V117" s="301">
        <f t="array" ref="V117">IFERROR(INDEX('Bank Schedule'!W:W, SMALL(IF('Bank Schedule'!$K$2:$K$817="Vacant", ROW('Bank Schedule'!$K$2:$K$817)), ROW(114:114))), "")</f>
        <v/>
      </c>
      <c r="W117" s="300">
        <f t="array" ref="W117">IFERROR(INDEX('Bank Schedule'!X:X, SMALL(IF('Bank Schedule'!$K$2:$K$817="Vacant", ROW('Bank Schedule'!$K$2:$K$817)), ROW(114:114))), "")</f>
        <v/>
      </c>
      <c r="X117" s="11">
        <f t="array" ref="X117">IFERROR(INDEX('Bank Schedule'!Y:Y, SMALL(IF('Bank Schedule'!$K$2:$K$817="Vacant", ROW('Bank Schedule'!$K$2:$K$817)), ROW(114:114))), "")</f>
        <v/>
      </c>
      <c r="Y117" s="11">
        <f t="array" ref="Y117">IFERROR(INDEX('Bank Schedule'!Z:Z, SMALL(IF('Bank Schedule'!$K$2:$K$817="Vacant", ROW('Bank Schedule'!$K$2:$K$817)), ROW(114:114))), "")</f>
        <v/>
      </c>
      <c r="Z117" s="11">
        <f t="array" ref="Z117">IFERROR(INDEX('Bank Schedule'!AA:AA, SMALL(IF('Bank Schedule'!$K$2:$K$817="Vacant", ROW('Bank Schedule'!$K$2:$K$817)), ROW(114:114))), "")</f>
        <v/>
      </c>
      <c r="AA117" s="11">
        <f t="array" ref="AA117">IFERROR(INDEX('Bank Schedule'!AB:AB, SMALL(IF('Bank Schedule'!$K$2:$K$817="Vacant", ROW('Bank Schedule'!$K$2:$K$817)), ROW(114:114))), "")</f>
        <v/>
      </c>
      <c r="AB117" s="25">
        <f t="array" ref="AB117">IFERROR(INDEX('Bank Schedule'!AC:AC, SMALL(IF('Bank Schedule'!$K$2:$K$817="Vacant", ROW('Bank Schedule'!$K$2:$K$817)), ROW(114:114))), "")</f>
        <v/>
      </c>
      <c r="AC117" s="277">
        <f t="array" ref="AC117">IFERROR(INDEX('Bank Schedule'!AD:AD, SMALL(IF('Bank Schedule'!$K$2:$K$817="Vacant", ROW('Bank Schedule'!$K$2:$K$817)), ROW(114:114))), "")</f>
        <v/>
      </c>
      <c r="AD117" s="11">
        <f t="array" ref="AD117">IFERROR(INDEX('Bank Schedule'!AE:AE, SMALL(IF('Bank Schedule'!$K$2:$K$817="Vacant", ROW('Bank Schedule'!$K$2:$K$817)), ROW(114:114))), "")</f>
        <v/>
      </c>
      <c r="AE117" s="11">
        <f t="array" ref="AE117">IFERROR(INDEX('Bank Schedule'!AF:AF, SMALL(IF('Bank Schedule'!$K$2:$K$817="Vacant", ROW('Bank Schedule'!$K$2:$K$817)), ROW(114:114))), "")</f>
        <v/>
      </c>
      <c r="AF117" s="11">
        <f t="array" ref="AF117">IFERROR(INDEX('Bank Schedule'!AG:AG, SMALL(IF('Bank Schedule'!$K$2:$K$817="Vacant", ROW('Bank Schedule'!$K$2:$K$817)), ROW(114:114))), "")</f>
        <v/>
      </c>
      <c r="AG117" s="4" t="n"/>
    </row>
    <row r="118" ht="28.5" customHeight="1">
      <c r="A118" s="2">
        <f t="array" ref="A118">IFERROR(INDEX('Bank Schedule'!A:A, SMALL(IF('Bank Schedule'!$K$2:$K$817="Vacant", ROW('Bank Schedule'!$K$2:$K$817)), ROW(115:115))), "")</f>
        <v/>
      </c>
      <c r="B118" s="11">
        <f t="array" ref="B118">IFERROR(INDEX('Bank Schedule'!B:B, SMALL(IF('Bank Schedule'!$K$2:$K$817="Vacant", ROW('Bank Schedule'!$K$2:$K$817)), ROW(115:115))), "")</f>
        <v/>
      </c>
      <c r="C118" s="11">
        <f t="array" ref="C118">IFERROR(INDEX('Bank Schedule'!C:C, SMALL(IF('Bank Schedule'!$K$2:$K$817="Vacant", ROW('Bank Schedule'!$K$2:$K$817)), ROW(115:115))), "")</f>
        <v/>
      </c>
      <c r="D118" s="11">
        <f t="array" ref="D118">IFERROR(INDEX('Bank Schedule'!D:D, SMALL(IF('Bank Schedule'!$K$2:$K$817="Vacant", ROW('Bank Schedule'!$K$2:$K$817)), ROW(115:115))), "")</f>
        <v/>
      </c>
      <c r="E118" s="25">
        <f t="array" ref="E118">IFERROR(INDEX('Bank Schedule'!E:E, SMALL(IF('Bank Schedule'!$K$2:$K$817="Vacant", ROW('Bank Schedule'!$K$2:$K$817)), ROW(115:115))), "")</f>
        <v/>
      </c>
      <c r="F118" s="25">
        <f t="array" ref="F118">IFERROR(INDEX('Bank Schedule'!F:F, SMALL(IF('Bank Schedule'!$K$2:$K$817="Vacant", ROW('Bank Schedule'!$K$2:$K$817)), ROW(115:115))), "")</f>
        <v/>
      </c>
      <c r="G118" s="25">
        <f t="array" ref="G118">IFERROR(INDEX('Bank Schedule'!G:G, SMALL(IF('Bank Schedule'!$K$2:$K$817="Vacant", ROW('Bank Schedule'!$K$2:$K$817)), ROW(115:115))), "")</f>
        <v/>
      </c>
      <c r="H118" s="53">
        <f t="array" ref="H118">IFERROR(INDEX('Bank Schedule'!H:H, SMALL(IF('Bank Schedule'!$K$2:$K$817="Vacant", ROW('Bank Schedule'!$K$2:$K$817)), ROW(115:115))), "")</f>
        <v/>
      </c>
      <c r="I118" s="53">
        <f t="array" ref="I118">IFERROR(INDEX('Bank Schedule'!I:I, SMALL(IF('Bank Schedule'!$K$2:$K$817="Vacant", ROW('Bank Schedule'!$K$2:$K$817)), ROW(115:115))), "")</f>
        <v/>
      </c>
      <c r="J118" s="11">
        <f t="array" ref="J118">IFERROR(INDEX('Bank Schedule'!K:K, SMALL(IF('Bank Schedule'!$K$2:$K$817="Vacant", ROW('Bank Schedule'!$K$2:$K$817)), ROW(115:115))), "")</f>
        <v/>
      </c>
      <c r="K118" s="11">
        <f t="array" ref="K118">IFERROR(INDEX('Bank Schedule'!L:L, SMALL(IF('Bank Schedule'!$K$2:$K$817="Vacant", ROW('Bank Schedule'!$K$2:$K$817)), ROW(115:115))), "")</f>
        <v/>
      </c>
      <c r="L118" s="11">
        <f t="array" ref="L118">IFERROR(INDEX('Bank Schedule'!M:M, SMALL(IF('Bank Schedule'!$K$2:$K$817="Vacant", ROW('Bank Schedule'!$K$2:$K$817)), ROW(115:115))), "")</f>
        <v/>
      </c>
      <c r="M118" s="106">
        <f t="array" ref="M118">IFERROR(INDEX('Bank Schedule'!N:N, SMALL(IF('Bank Schedule'!$K$2:$K$817="Vacant", ROW('Bank Schedule'!$K$2:$K$817)), ROW(115:115))), "")</f>
        <v/>
      </c>
      <c r="N118" s="11">
        <f t="array" ref="N118">IFERROR(INDEX('Bank Schedule'!O:O, SMALL(IF('Bank Schedule'!$K$2:$K$817="Vacant", ROW('Bank Schedule'!$K$2:$K$817)), ROW(115:115))), "")</f>
        <v/>
      </c>
      <c r="O118" s="11">
        <f t="array" ref="O118">IFERROR(INDEX('Bank Schedule'!P:P, SMALL(IF('Bank Schedule'!$K$2:$K$817="Vacant", ROW('Bank Schedule'!$K$2:$K$817)), ROW(115:115))), "")</f>
        <v/>
      </c>
      <c r="P118" s="11">
        <f t="array" ref="P118">IFERROR(INDEX('Bank Schedule'!Q:Q, SMALL(IF('Bank Schedule'!$K$2:$K$817="Vacant", ROW('Bank Schedule'!$K$2:$K$817)), ROW(115:115))), "")</f>
        <v/>
      </c>
      <c r="Q118" s="11">
        <f t="array" ref="Q118">IFERROR(INDEX('Bank Schedule'!R:R, SMALL(IF('Bank Schedule'!$K$2:$K$817="Vacant", ROW('Bank Schedule'!$K$2:$K$817)), ROW(115:115))), "")</f>
        <v/>
      </c>
      <c r="R118" s="11">
        <f t="array" ref="R118">IFERROR(INDEX('Bank Schedule'!S:S, SMALL(IF('Bank Schedule'!$K$2:$K$817="Vacant", ROW('Bank Schedule'!$K$2:$K$817)), ROW(115:115))), "")</f>
        <v/>
      </c>
      <c r="S118" s="301">
        <f t="array" ref="S118">IFERROR(INDEX('Bank Schedule'!T:T, SMALL(IF('Bank Schedule'!$K$2:$K$817="Vacant", ROW('Bank Schedule'!$K$2:$K$817)), ROW(115:115))), "")</f>
        <v/>
      </c>
      <c r="T118" s="301">
        <f t="array" ref="T118">IFERROR(INDEX('Bank Schedule'!U:U, SMALL(IF('Bank Schedule'!$K$2:$K$817="Vacant", ROW('Bank Schedule'!$K$2:$K$817)), ROW(115:115))), "")</f>
        <v/>
      </c>
      <c r="U118" s="301">
        <f t="array" ref="U118">IFERROR(INDEX('Bank Schedule'!V:V, SMALL(IF('Bank Schedule'!$K$2:$K$817="Vacant", ROW('Bank Schedule'!$K$2:$K$817)), ROW(115:115))), "")</f>
        <v/>
      </c>
      <c r="V118" s="301">
        <f t="array" ref="V118">IFERROR(INDEX('Bank Schedule'!W:W, SMALL(IF('Bank Schedule'!$K$2:$K$817="Vacant", ROW('Bank Schedule'!$K$2:$K$817)), ROW(115:115))), "")</f>
        <v/>
      </c>
      <c r="W118" s="300">
        <f t="array" ref="W118">IFERROR(INDEX('Bank Schedule'!X:X, SMALL(IF('Bank Schedule'!$K$2:$K$817="Vacant", ROW('Bank Schedule'!$K$2:$K$817)), ROW(115:115))), "")</f>
        <v/>
      </c>
      <c r="X118" s="11">
        <f t="array" ref="X118">IFERROR(INDEX('Bank Schedule'!Y:Y, SMALL(IF('Bank Schedule'!$K$2:$K$817="Vacant", ROW('Bank Schedule'!$K$2:$K$817)), ROW(115:115))), "")</f>
        <v/>
      </c>
      <c r="Y118" s="11">
        <f t="array" ref="Y118">IFERROR(INDEX('Bank Schedule'!Z:Z, SMALL(IF('Bank Schedule'!$K$2:$K$817="Vacant", ROW('Bank Schedule'!$K$2:$K$817)), ROW(115:115))), "")</f>
        <v/>
      </c>
      <c r="Z118" s="11">
        <f t="array" ref="Z118">IFERROR(INDEX('Bank Schedule'!AA:AA, SMALL(IF('Bank Schedule'!$K$2:$K$817="Vacant", ROW('Bank Schedule'!$K$2:$K$817)), ROW(115:115))), "")</f>
        <v/>
      </c>
      <c r="AA118" s="11">
        <f t="array" ref="AA118">IFERROR(INDEX('Bank Schedule'!AB:AB, SMALL(IF('Bank Schedule'!$K$2:$K$817="Vacant", ROW('Bank Schedule'!$K$2:$K$817)), ROW(115:115))), "")</f>
        <v/>
      </c>
      <c r="AB118" s="25">
        <f t="array" ref="AB118">IFERROR(INDEX('Bank Schedule'!AC:AC, SMALL(IF('Bank Schedule'!$K$2:$K$817="Vacant", ROW('Bank Schedule'!$K$2:$K$817)), ROW(115:115))), "")</f>
        <v/>
      </c>
      <c r="AC118" s="277">
        <f t="array" ref="AC118">IFERROR(INDEX('Bank Schedule'!AD:AD, SMALL(IF('Bank Schedule'!$K$2:$K$817="Vacant", ROW('Bank Schedule'!$K$2:$K$817)), ROW(115:115))), "")</f>
        <v/>
      </c>
      <c r="AD118" s="11">
        <f t="array" ref="AD118">IFERROR(INDEX('Bank Schedule'!AE:AE, SMALL(IF('Bank Schedule'!$K$2:$K$817="Vacant", ROW('Bank Schedule'!$K$2:$K$817)), ROW(115:115))), "")</f>
        <v/>
      </c>
      <c r="AE118" s="11">
        <f t="array" ref="AE118">IFERROR(INDEX('Bank Schedule'!AF:AF, SMALL(IF('Bank Schedule'!$K$2:$K$817="Vacant", ROW('Bank Schedule'!$K$2:$K$817)), ROW(115:115))), "")</f>
        <v/>
      </c>
      <c r="AF118" s="11">
        <f t="array" ref="AF118">IFERROR(INDEX('Bank Schedule'!AG:AG, SMALL(IF('Bank Schedule'!$K$2:$K$817="Vacant", ROW('Bank Schedule'!$K$2:$K$817)), ROW(115:115))), "")</f>
        <v/>
      </c>
      <c r="AG118" s="4" t="n"/>
    </row>
    <row r="119" ht="28.5" customHeight="1">
      <c r="A119" s="2">
        <f t="array" ref="A119">IFERROR(INDEX('Bank Schedule'!A:A, SMALL(IF('Bank Schedule'!$K$2:$K$817="Vacant", ROW('Bank Schedule'!$K$2:$K$817)), ROW(116:116))), "")</f>
        <v/>
      </c>
      <c r="B119" s="11">
        <f t="array" ref="B119">IFERROR(INDEX('Bank Schedule'!B:B, SMALL(IF('Bank Schedule'!$K$2:$K$817="Vacant", ROW('Bank Schedule'!$K$2:$K$817)), ROW(116:116))), "")</f>
        <v/>
      </c>
      <c r="C119" s="11">
        <f t="array" ref="C119">IFERROR(INDEX('Bank Schedule'!C:C, SMALL(IF('Bank Schedule'!$K$2:$K$817="Vacant", ROW('Bank Schedule'!$K$2:$K$817)), ROW(116:116))), "")</f>
        <v/>
      </c>
      <c r="D119" s="11">
        <f t="array" ref="D119">IFERROR(INDEX('Bank Schedule'!D:D, SMALL(IF('Bank Schedule'!$K$2:$K$817="Vacant", ROW('Bank Schedule'!$K$2:$K$817)), ROW(116:116))), "")</f>
        <v/>
      </c>
      <c r="E119" s="25">
        <f t="array" ref="E119">IFERROR(INDEX('Bank Schedule'!E:E, SMALL(IF('Bank Schedule'!$K$2:$K$817="Vacant", ROW('Bank Schedule'!$K$2:$K$817)), ROW(116:116))), "")</f>
        <v/>
      </c>
      <c r="F119" s="25">
        <f t="array" ref="F119">IFERROR(INDEX('Bank Schedule'!F:F, SMALL(IF('Bank Schedule'!$K$2:$K$817="Vacant", ROW('Bank Schedule'!$K$2:$K$817)), ROW(116:116))), "")</f>
        <v/>
      </c>
      <c r="G119" s="25">
        <f t="array" ref="G119">IFERROR(INDEX('Bank Schedule'!G:G, SMALL(IF('Bank Schedule'!$K$2:$K$817="Vacant", ROW('Bank Schedule'!$K$2:$K$817)), ROW(116:116))), "")</f>
        <v/>
      </c>
      <c r="H119" s="53">
        <f t="array" ref="H119">IFERROR(INDEX('Bank Schedule'!H:H, SMALL(IF('Bank Schedule'!$K$2:$K$817="Vacant", ROW('Bank Schedule'!$K$2:$K$817)), ROW(116:116))), "")</f>
        <v/>
      </c>
      <c r="I119" s="53">
        <f t="array" ref="I119">IFERROR(INDEX('Bank Schedule'!I:I, SMALL(IF('Bank Schedule'!$K$2:$K$817="Vacant", ROW('Bank Schedule'!$K$2:$K$817)), ROW(116:116))), "")</f>
        <v/>
      </c>
      <c r="J119" s="11">
        <f t="array" ref="J119">IFERROR(INDEX('Bank Schedule'!K:K, SMALL(IF('Bank Schedule'!$K$2:$K$817="Vacant", ROW('Bank Schedule'!$K$2:$K$817)), ROW(116:116))), "")</f>
        <v/>
      </c>
      <c r="K119" s="11">
        <f t="array" ref="K119">IFERROR(INDEX('Bank Schedule'!L:L, SMALL(IF('Bank Schedule'!$K$2:$K$817="Vacant", ROW('Bank Schedule'!$K$2:$K$817)), ROW(116:116))), "")</f>
        <v/>
      </c>
      <c r="L119" s="11">
        <f t="array" ref="L119">IFERROR(INDEX('Bank Schedule'!M:M, SMALL(IF('Bank Schedule'!$K$2:$K$817="Vacant", ROW('Bank Schedule'!$K$2:$K$817)), ROW(116:116))), "")</f>
        <v/>
      </c>
      <c r="M119" s="106">
        <f t="array" ref="M119">IFERROR(INDEX('Bank Schedule'!N:N, SMALL(IF('Bank Schedule'!$K$2:$K$817="Vacant", ROW('Bank Schedule'!$K$2:$K$817)), ROW(116:116))), "")</f>
        <v/>
      </c>
      <c r="N119" s="11">
        <f t="array" ref="N119">IFERROR(INDEX('Bank Schedule'!O:O, SMALL(IF('Bank Schedule'!$K$2:$K$817="Vacant", ROW('Bank Schedule'!$K$2:$K$817)), ROW(116:116))), "")</f>
        <v/>
      </c>
      <c r="O119" s="11">
        <f t="array" ref="O119">IFERROR(INDEX('Bank Schedule'!P:P, SMALL(IF('Bank Schedule'!$K$2:$K$817="Vacant", ROW('Bank Schedule'!$K$2:$K$817)), ROW(116:116))), "")</f>
        <v/>
      </c>
      <c r="P119" s="11">
        <f t="array" ref="P119">IFERROR(INDEX('Bank Schedule'!Q:Q, SMALL(IF('Bank Schedule'!$K$2:$K$817="Vacant", ROW('Bank Schedule'!$K$2:$K$817)), ROW(116:116))), "")</f>
        <v/>
      </c>
      <c r="Q119" s="11">
        <f t="array" ref="Q119">IFERROR(INDEX('Bank Schedule'!R:R, SMALL(IF('Bank Schedule'!$K$2:$K$817="Vacant", ROW('Bank Schedule'!$K$2:$K$817)), ROW(116:116))), "")</f>
        <v/>
      </c>
      <c r="R119" s="11">
        <f t="array" ref="R119">IFERROR(INDEX('Bank Schedule'!S:S, SMALL(IF('Bank Schedule'!$K$2:$K$817="Vacant", ROW('Bank Schedule'!$K$2:$K$817)), ROW(116:116))), "")</f>
        <v/>
      </c>
      <c r="S119" s="301">
        <f t="array" ref="S119">IFERROR(INDEX('Bank Schedule'!T:T, SMALL(IF('Bank Schedule'!$K$2:$K$817="Vacant", ROW('Bank Schedule'!$K$2:$K$817)), ROW(116:116))), "")</f>
        <v/>
      </c>
      <c r="T119" s="301">
        <f t="array" ref="T119">IFERROR(INDEX('Bank Schedule'!U:U, SMALL(IF('Bank Schedule'!$K$2:$K$817="Vacant", ROW('Bank Schedule'!$K$2:$K$817)), ROW(116:116))), "")</f>
        <v/>
      </c>
      <c r="U119" s="301">
        <f t="array" ref="U119">IFERROR(INDEX('Bank Schedule'!V:V, SMALL(IF('Bank Schedule'!$K$2:$K$817="Vacant", ROW('Bank Schedule'!$K$2:$K$817)), ROW(116:116))), "")</f>
        <v/>
      </c>
      <c r="V119" s="301">
        <f t="array" ref="V119">IFERROR(INDEX('Bank Schedule'!W:W, SMALL(IF('Bank Schedule'!$K$2:$K$817="Vacant", ROW('Bank Schedule'!$K$2:$K$817)), ROW(116:116))), "")</f>
        <v/>
      </c>
      <c r="W119" s="300">
        <f t="array" ref="W119">IFERROR(INDEX('Bank Schedule'!X:X, SMALL(IF('Bank Schedule'!$K$2:$K$817="Vacant", ROW('Bank Schedule'!$K$2:$K$817)), ROW(116:116))), "")</f>
        <v/>
      </c>
      <c r="X119" s="11">
        <f t="array" ref="X119">IFERROR(INDEX('Bank Schedule'!Y:Y, SMALL(IF('Bank Schedule'!$K$2:$K$817="Vacant", ROW('Bank Schedule'!$K$2:$K$817)), ROW(116:116))), "")</f>
        <v/>
      </c>
      <c r="Y119" s="11">
        <f t="array" ref="Y119">IFERROR(INDEX('Bank Schedule'!Z:Z, SMALL(IF('Bank Schedule'!$K$2:$K$817="Vacant", ROW('Bank Schedule'!$K$2:$K$817)), ROW(116:116))), "")</f>
        <v/>
      </c>
      <c r="Z119" s="11">
        <f t="array" ref="Z119">IFERROR(INDEX('Bank Schedule'!AA:AA, SMALL(IF('Bank Schedule'!$K$2:$K$817="Vacant", ROW('Bank Schedule'!$K$2:$K$817)), ROW(116:116))), "")</f>
        <v/>
      </c>
      <c r="AA119" s="11">
        <f t="array" ref="AA119">IFERROR(INDEX('Bank Schedule'!AB:AB, SMALL(IF('Bank Schedule'!$K$2:$K$817="Vacant", ROW('Bank Schedule'!$K$2:$K$817)), ROW(116:116))), "")</f>
        <v/>
      </c>
      <c r="AB119" s="25">
        <f t="array" ref="AB119">IFERROR(INDEX('Bank Schedule'!AC:AC, SMALL(IF('Bank Schedule'!$K$2:$K$817="Vacant", ROW('Bank Schedule'!$K$2:$K$817)), ROW(116:116))), "")</f>
        <v/>
      </c>
      <c r="AC119" s="277">
        <f t="array" ref="AC119">IFERROR(INDEX('Bank Schedule'!AD:AD, SMALL(IF('Bank Schedule'!$K$2:$K$817="Vacant", ROW('Bank Schedule'!$K$2:$K$817)), ROW(116:116))), "")</f>
        <v/>
      </c>
      <c r="AD119" s="11">
        <f t="array" ref="AD119">IFERROR(INDEX('Bank Schedule'!AE:AE, SMALL(IF('Bank Schedule'!$K$2:$K$817="Vacant", ROW('Bank Schedule'!$K$2:$K$817)), ROW(116:116))), "")</f>
        <v/>
      </c>
      <c r="AE119" s="11">
        <f t="array" ref="AE119">IFERROR(INDEX('Bank Schedule'!AF:AF, SMALL(IF('Bank Schedule'!$K$2:$K$817="Vacant", ROW('Bank Schedule'!$K$2:$K$817)), ROW(116:116))), "")</f>
        <v/>
      </c>
      <c r="AF119" s="11">
        <f t="array" ref="AF119">IFERROR(INDEX('Bank Schedule'!AG:AG, SMALL(IF('Bank Schedule'!$K$2:$K$817="Vacant", ROW('Bank Schedule'!$K$2:$K$817)), ROW(116:116))), "")</f>
        <v/>
      </c>
      <c r="AG119" s="4" t="n"/>
    </row>
    <row r="120" ht="28.5" customHeight="1">
      <c r="A120" s="2">
        <f t="array" ref="A120">IFERROR(INDEX('Bank Schedule'!A:A, SMALL(IF('Bank Schedule'!$K$2:$K$817="Vacant", ROW('Bank Schedule'!$K$2:$K$817)), ROW(117:117))), "")</f>
        <v/>
      </c>
      <c r="B120" s="11">
        <f t="array" ref="B120">IFERROR(INDEX('Bank Schedule'!B:B, SMALL(IF('Bank Schedule'!$K$2:$K$817="Vacant", ROW('Bank Schedule'!$K$2:$K$817)), ROW(117:117))), "")</f>
        <v/>
      </c>
      <c r="C120" s="11">
        <f t="array" ref="C120">IFERROR(INDEX('Bank Schedule'!C:C, SMALL(IF('Bank Schedule'!$K$2:$K$817="Vacant", ROW('Bank Schedule'!$K$2:$K$817)), ROW(117:117))), "")</f>
        <v/>
      </c>
      <c r="D120" s="11">
        <f t="array" ref="D120">IFERROR(INDEX('Bank Schedule'!D:D, SMALL(IF('Bank Schedule'!$K$2:$K$817="Vacant", ROW('Bank Schedule'!$K$2:$K$817)), ROW(117:117))), "")</f>
        <v/>
      </c>
      <c r="E120" s="25">
        <f t="array" ref="E120">IFERROR(INDEX('Bank Schedule'!E:E, SMALL(IF('Bank Schedule'!$K$2:$K$817="Vacant", ROW('Bank Schedule'!$K$2:$K$817)), ROW(117:117))), "")</f>
        <v/>
      </c>
      <c r="F120" s="25">
        <f t="array" ref="F120">IFERROR(INDEX('Bank Schedule'!F:F, SMALL(IF('Bank Schedule'!$K$2:$K$817="Vacant", ROW('Bank Schedule'!$K$2:$K$817)), ROW(117:117))), "")</f>
        <v/>
      </c>
      <c r="G120" s="25">
        <f t="array" ref="G120">IFERROR(INDEX('Bank Schedule'!G:G, SMALL(IF('Bank Schedule'!$K$2:$K$817="Vacant", ROW('Bank Schedule'!$K$2:$K$817)), ROW(117:117))), "")</f>
        <v/>
      </c>
      <c r="H120" s="53">
        <f t="array" ref="H120">IFERROR(INDEX('Bank Schedule'!H:H, SMALL(IF('Bank Schedule'!$K$2:$K$817="Vacant", ROW('Bank Schedule'!$K$2:$K$817)), ROW(117:117))), "")</f>
        <v/>
      </c>
      <c r="I120" s="53">
        <f t="array" ref="I120">IFERROR(INDEX('Bank Schedule'!I:I, SMALL(IF('Bank Schedule'!$K$2:$K$817="Vacant", ROW('Bank Schedule'!$K$2:$K$817)), ROW(117:117))), "")</f>
        <v/>
      </c>
      <c r="J120" s="11">
        <f t="array" ref="J120">IFERROR(INDEX('Bank Schedule'!K:K, SMALL(IF('Bank Schedule'!$K$2:$K$817="Vacant", ROW('Bank Schedule'!$K$2:$K$817)), ROW(117:117))), "")</f>
        <v/>
      </c>
      <c r="K120" s="11">
        <f t="array" ref="K120">IFERROR(INDEX('Bank Schedule'!L:L, SMALL(IF('Bank Schedule'!$K$2:$K$817="Vacant", ROW('Bank Schedule'!$K$2:$K$817)), ROW(117:117))), "")</f>
        <v/>
      </c>
      <c r="L120" s="11">
        <f t="array" ref="L120">IFERROR(INDEX('Bank Schedule'!M:M, SMALL(IF('Bank Schedule'!$K$2:$K$817="Vacant", ROW('Bank Schedule'!$K$2:$K$817)), ROW(117:117))), "")</f>
        <v/>
      </c>
      <c r="M120" s="106">
        <f t="array" ref="M120">IFERROR(INDEX('Bank Schedule'!N:N, SMALL(IF('Bank Schedule'!$K$2:$K$817="Vacant", ROW('Bank Schedule'!$K$2:$K$817)), ROW(117:117))), "")</f>
        <v/>
      </c>
      <c r="N120" s="11">
        <f t="array" ref="N120">IFERROR(INDEX('Bank Schedule'!O:O, SMALL(IF('Bank Schedule'!$K$2:$K$817="Vacant", ROW('Bank Schedule'!$K$2:$K$817)), ROW(117:117))), "")</f>
        <v/>
      </c>
      <c r="O120" s="11">
        <f t="array" ref="O120">IFERROR(INDEX('Bank Schedule'!P:P, SMALL(IF('Bank Schedule'!$K$2:$K$817="Vacant", ROW('Bank Schedule'!$K$2:$K$817)), ROW(117:117))), "")</f>
        <v/>
      </c>
      <c r="P120" s="11">
        <f t="array" ref="P120">IFERROR(INDEX('Bank Schedule'!Q:Q, SMALL(IF('Bank Schedule'!$K$2:$K$817="Vacant", ROW('Bank Schedule'!$K$2:$K$817)), ROW(117:117))), "")</f>
        <v/>
      </c>
      <c r="Q120" s="11">
        <f t="array" ref="Q120">IFERROR(INDEX('Bank Schedule'!R:R, SMALL(IF('Bank Schedule'!$K$2:$K$817="Vacant", ROW('Bank Schedule'!$K$2:$K$817)), ROW(117:117))), "")</f>
        <v/>
      </c>
      <c r="R120" s="11">
        <f t="array" ref="R120">IFERROR(INDEX('Bank Schedule'!S:S, SMALL(IF('Bank Schedule'!$K$2:$K$817="Vacant", ROW('Bank Schedule'!$K$2:$K$817)), ROW(117:117))), "")</f>
        <v/>
      </c>
      <c r="S120" s="301">
        <f t="array" ref="S120">IFERROR(INDEX('Bank Schedule'!T:T, SMALL(IF('Bank Schedule'!$K$2:$K$817="Vacant", ROW('Bank Schedule'!$K$2:$K$817)), ROW(117:117))), "")</f>
        <v/>
      </c>
      <c r="T120" s="301">
        <f t="array" ref="T120">IFERROR(INDEX('Bank Schedule'!U:U, SMALL(IF('Bank Schedule'!$K$2:$K$817="Vacant", ROW('Bank Schedule'!$K$2:$K$817)), ROW(117:117))), "")</f>
        <v/>
      </c>
      <c r="U120" s="301">
        <f t="array" ref="U120">IFERROR(INDEX('Bank Schedule'!V:V, SMALL(IF('Bank Schedule'!$K$2:$K$817="Vacant", ROW('Bank Schedule'!$K$2:$K$817)), ROW(117:117))), "")</f>
        <v/>
      </c>
      <c r="V120" s="301">
        <f t="array" ref="V120">IFERROR(INDEX('Bank Schedule'!W:W, SMALL(IF('Bank Schedule'!$K$2:$K$817="Vacant", ROW('Bank Schedule'!$K$2:$K$817)), ROW(117:117))), "")</f>
        <v/>
      </c>
      <c r="W120" s="300">
        <f t="array" ref="W120">IFERROR(INDEX('Bank Schedule'!X:X, SMALL(IF('Bank Schedule'!$K$2:$K$817="Vacant", ROW('Bank Schedule'!$K$2:$K$817)), ROW(117:117))), "")</f>
        <v/>
      </c>
      <c r="X120" s="11">
        <f t="array" ref="X120">IFERROR(INDEX('Bank Schedule'!Y:Y, SMALL(IF('Bank Schedule'!$K$2:$K$817="Vacant", ROW('Bank Schedule'!$K$2:$K$817)), ROW(117:117))), "")</f>
        <v/>
      </c>
      <c r="Y120" s="11">
        <f t="array" ref="Y120">IFERROR(INDEX('Bank Schedule'!Z:Z, SMALL(IF('Bank Schedule'!$K$2:$K$817="Vacant", ROW('Bank Schedule'!$K$2:$K$817)), ROW(117:117))), "")</f>
        <v/>
      </c>
      <c r="Z120" s="11">
        <f t="array" ref="Z120">IFERROR(INDEX('Bank Schedule'!AA:AA, SMALL(IF('Bank Schedule'!$K$2:$K$817="Vacant", ROW('Bank Schedule'!$K$2:$K$817)), ROW(117:117))), "")</f>
        <v/>
      </c>
      <c r="AA120" s="11">
        <f t="array" ref="AA120">IFERROR(INDEX('Bank Schedule'!AB:AB, SMALL(IF('Bank Schedule'!$K$2:$K$817="Vacant", ROW('Bank Schedule'!$K$2:$K$817)), ROW(117:117))), "")</f>
        <v/>
      </c>
      <c r="AB120" s="25">
        <f t="array" ref="AB120">IFERROR(INDEX('Bank Schedule'!AC:AC, SMALL(IF('Bank Schedule'!$K$2:$K$817="Vacant", ROW('Bank Schedule'!$K$2:$K$817)), ROW(117:117))), "")</f>
        <v/>
      </c>
      <c r="AC120" s="277">
        <f t="array" ref="AC120">IFERROR(INDEX('Bank Schedule'!AD:AD, SMALL(IF('Bank Schedule'!$K$2:$K$817="Vacant", ROW('Bank Schedule'!$K$2:$K$817)), ROW(117:117))), "")</f>
        <v/>
      </c>
      <c r="AD120" s="11">
        <f t="array" ref="AD120">IFERROR(INDEX('Bank Schedule'!AE:AE, SMALL(IF('Bank Schedule'!$K$2:$K$817="Vacant", ROW('Bank Schedule'!$K$2:$K$817)), ROW(117:117))), "")</f>
        <v/>
      </c>
      <c r="AE120" s="11">
        <f t="array" ref="AE120">IFERROR(INDEX('Bank Schedule'!AF:AF, SMALL(IF('Bank Schedule'!$K$2:$K$817="Vacant", ROW('Bank Schedule'!$K$2:$K$817)), ROW(117:117))), "")</f>
        <v/>
      </c>
      <c r="AF120" s="11">
        <f t="array" ref="AF120">IFERROR(INDEX('Bank Schedule'!AG:AG, SMALL(IF('Bank Schedule'!$K$2:$K$817="Vacant", ROW('Bank Schedule'!$K$2:$K$817)), ROW(117:117))), "")</f>
        <v/>
      </c>
      <c r="AG120" s="4" t="n"/>
    </row>
    <row r="121" ht="28.5" customHeight="1">
      <c r="A121" s="2">
        <f t="array" ref="A121">IFERROR(INDEX('Bank Schedule'!A:A, SMALL(IF('Bank Schedule'!$K$2:$K$817="Vacant", ROW('Bank Schedule'!$K$2:$K$817)), ROW(118:118))), "")</f>
        <v/>
      </c>
      <c r="B121" s="11">
        <f t="array" ref="B121">IFERROR(INDEX('Bank Schedule'!B:B, SMALL(IF('Bank Schedule'!$K$2:$K$817="Vacant", ROW('Bank Schedule'!$K$2:$K$817)), ROW(118:118))), "")</f>
        <v/>
      </c>
      <c r="C121" s="11">
        <f t="array" ref="C121">IFERROR(INDEX('Bank Schedule'!C:C, SMALL(IF('Bank Schedule'!$K$2:$K$817="Vacant", ROW('Bank Schedule'!$K$2:$K$817)), ROW(118:118))), "")</f>
        <v/>
      </c>
      <c r="D121" s="11">
        <f t="array" ref="D121">IFERROR(INDEX('Bank Schedule'!D:D, SMALL(IF('Bank Schedule'!$K$2:$K$817="Vacant", ROW('Bank Schedule'!$K$2:$K$817)), ROW(118:118))), "")</f>
        <v/>
      </c>
      <c r="E121" s="25">
        <f t="array" ref="E121">IFERROR(INDEX('Bank Schedule'!E:E, SMALL(IF('Bank Schedule'!$K$2:$K$817="Vacant", ROW('Bank Schedule'!$K$2:$K$817)), ROW(118:118))), "")</f>
        <v/>
      </c>
      <c r="F121" s="25">
        <f t="array" ref="F121">IFERROR(INDEX('Bank Schedule'!F:F, SMALL(IF('Bank Schedule'!$K$2:$K$817="Vacant", ROW('Bank Schedule'!$K$2:$K$817)), ROW(118:118))), "")</f>
        <v/>
      </c>
      <c r="G121" s="25">
        <f t="array" ref="G121">IFERROR(INDEX('Bank Schedule'!G:G, SMALL(IF('Bank Schedule'!$K$2:$K$817="Vacant", ROW('Bank Schedule'!$K$2:$K$817)), ROW(118:118))), "")</f>
        <v/>
      </c>
      <c r="H121" s="53">
        <f t="array" ref="H121">IFERROR(INDEX('Bank Schedule'!H:H, SMALL(IF('Bank Schedule'!$K$2:$K$817="Vacant", ROW('Bank Schedule'!$K$2:$K$817)), ROW(118:118))), "")</f>
        <v/>
      </c>
      <c r="I121" s="53">
        <f t="array" ref="I121">IFERROR(INDEX('Bank Schedule'!I:I, SMALL(IF('Bank Schedule'!$K$2:$K$817="Vacant", ROW('Bank Schedule'!$K$2:$K$817)), ROW(118:118))), "")</f>
        <v/>
      </c>
      <c r="J121" s="11">
        <f t="array" ref="J121">IFERROR(INDEX('Bank Schedule'!K:K, SMALL(IF('Bank Schedule'!$K$2:$K$817="Vacant", ROW('Bank Schedule'!$K$2:$K$817)), ROW(118:118))), "")</f>
        <v/>
      </c>
      <c r="K121" s="11">
        <f t="array" ref="K121">IFERROR(INDEX('Bank Schedule'!L:L, SMALL(IF('Bank Schedule'!$K$2:$K$817="Vacant", ROW('Bank Schedule'!$K$2:$K$817)), ROW(118:118))), "")</f>
        <v/>
      </c>
      <c r="L121" s="11">
        <f t="array" ref="L121">IFERROR(INDEX('Bank Schedule'!M:M, SMALL(IF('Bank Schedule'!$K$2:$K$817="Vacant", ROW('Bank Schedule'!$K$2:$K$817)), ROW(118:118))), "")</f>
        <v/>
      </c>
      <c r="M121" s="106">
        <f t="array" ref="M121">IFERROR(INDEX('Bank Schedule'!N:N, SMALL(IF('Bank Schedule'!$K$2:$K$817="Vacant", ROW('Bank Schedule'!$K$2:$K$817)), ROW(118:118))), "")</f>
        <v/>
      </c>
      <c r="N121" s="11">
        <f t="array" ref="N121">IFERROR(INDEX('Bank Schedule'!O:O, SMALL(IF('Bank Schedule'!$K$2:$K$817="Vacant", ROW('Bank Schedule'!$K$2:$K$817)), ROW(118:118))), "")</f>
        <v/>
      </c>
      <c r="O121" s="11">
        <f t="array" ref="O121">IFERROR(INDEX('Bank Schedule'!P:P, SMALL(IF('Bank Schedule'!$K$2:$K$817="Vacant", ROW('Bank Schedule'!$K$2:$K$817)), ROW(118:118))), "")</f>
        <v/>
      </c>
      <c r="P121" s="11">
        <f t="array" ref="P121">IFERROR(INDEX('Bank Schedule'!Q:Q, SMALL(IF('Bank Schedule'!$K$2:$K$817="Vacant", ROW('Bank Schedule'!$K$2:$K$817)), ROW(118:118))), "")</f>
        <v/>
      </c>
      <c r="Q121" s="11">
        <f t="array" ref="Q121">IFERROR(INDEX('Bank Schedule'!R:R, SMALL(IF('Bank Schedule'!$K$2:$K$817="Vacant", ROW('Bank Schedule'!$K$2:$K$817)), ROW(118:118))), "")</f>
        <v/>
      </c>
      <c r="R121" s="11">
        <f t="array" ref="R121">IFERROR(INDEX('Bank Schedule'!S:S, SMALL(IF('Bank Schedule'!$K$2:$K$817="Vacant", ROW('Bank Schedule'!$K$2:$K$817)), ROW(118:118))), "")</f>
        <v/>
      </c>
      <c r="S121" s="301">
        <f t="array" ref="S121">IFERROR(INDEX('Bank Schedule'!T:T, SMALL(IF('Bank Schedule'!$K$2:$K$817="Vacant", ROW('Bank Schedule'!$K$2:$K$817)), ROW(118:118))), "")</f>
        <v/>
      </c>
      <c r="T121" s="301">
        <f t="array" ref="T121">IFERROR(INDEX('Bank Schedule'!U:U, SMALL(IF('Bank Schedule'!$K$2:$K$817="Vacant", ROW('Bank Schedule'!$K$2:$K$817)), ROW(118:118))), "")</f>
        <v/>
      </c>
      <c r="U121" s="301">
        <f t="array" ref="U121">IFERROR(INDEX('Bank Schedule'!V:V, SMALL(IF('Bank Schedule'!$K$2:$K$817="Vacant", ROW('Bank Schedule'!$K$2:$K$817)), ROW(118:118))), "")</f>
        <v/>
      </c>
      <c r="V121" s="301">
        <f t="array" ref="V121">IFERROR(INDEX('Bank Schedule'!W:W, SMALL(IF('Bank Schedule'!$K$2:$K$817="Vacant", ROW('Bank Schedule'!$K$2:$K$817)), ROW(118:118))), "")</f>
        <v/>
      </c>
      <c r="W121" s="300">
        <f t="array" ref="W121">IFERROR(INDEX('Bank Schedule'!X:X, SMALL(IF('Bank Schedule'!$K$2:$K$817="Vacant", ROW('Bank Schedule'!$K$2:$K$817)), ROW(118:118))), "")</f>
        <v/>
      </c>
      <c r="X121" s="11">
        <f t="array" ref="X121">IFERROR(INDEX('Bank Schedule'!Y:Y, SMALL(IF('Bank Schedule'!$K$2:$K$817="Vacant", ROW('Bank Schedule'!$K$2:$K$817)), ROW(118:118))), "")</f>
        <v/>
      </c>
      <c r="Y121" s="11">
        <f t="array" ref="Y121">IFERROR(INDEX('Bank Schedule'!Z:Z, SMALL(IF('Bank Schedule'!$K$2:$K$817="Vacant", ROW('Bank Schedule'!$K$2:$K$817)), ROW(118:118))), "")</f>
        <v/>
      </c>
      <c r="Z121" s="11">
        <f t="array" ref="Z121">IFERROR(INDEX('Bank Schedule'!AA:AA, SMALL(IF('Bank Schedule'!$K$2:$K$817="Vacant", ROW('Bank Schedule'!$K$2:$K$817)), ROW(118:118))), "")</f>
        <v/>
      </c>
      <c r="AA121" s="11">
        <f t="array" ref="AA121">IFERROR(INDEX('Bank Schedule'!AB:AB, SMALL(IF('Bank Schedule'!$K$2:$K$817="Vacant", ROW('Bank Schedule'!$K$2:$K$817)), ROW(118:118))), "")</f>
        <v/>
      </c>
      <c r="AB121" s="25">
        <f t="array" ref="AB121">IFERROR(INDEX('Bank Schedule'!AC:AC, SMALL(IF('Bank Schedule'!$K$2:$K$817="Vacant", ROW('Bank Schedule'!$K$2:$K$817)), ROW(118:118))), "")</f>
        <v/>
      </c>
      <c r="AC121" s="277">
        <f t="array" ref="AC121">IFERROR(INDEX('Bank Schedule'!AD:AD, SMALL(IF('Bank Schedule'!$K$2:$K$817="Vacant", ROW('Bank Schedule'!$K$2:$K$817)), ROW(118:118))), "")</f>
        <v/>
      </c>
      <c r="AD121" s="11">
        <f t="array" ref="AD121">IFERROR(INDEX('Bank Schedule'!AE:AE, SMALL(IF('Bank Schedule'!$K$2:$K$817="Vacant", ROW('Bank Schedule'!$K$2:$K$817)), ROW(118:118))), "")</f>
        <v/>
      </c>
      <c r="AE121" s="11">
        <f t="array" ref="AE121">IFERROR(INDEX('Bank Schedule'!AF:AF, SMALL(IF('Bank Schedule'!$K$2:$K$817="Vacant", ROW('Bank Schedule'!$K$2:$K$817)), ROW(118:118))), "")</f>
        <v/>
      </c>
      <c r="AF121" s="11">
        <f t="array" ref="AF121">IFERROR(INDEX('Bank Schedule'!AG:AG, SMALL(IF('Bank Schedule'!$K$2:$K$817="Vacant", ROW('Bank Schedule'!$K$2:$K$817)), ROW(118:118))), "")</f>
        <v/>
      </c>
      <c r="AG121" s="4" t="n"/>
    </row>
    <row r="122" ht="28.5" customHeight="1">
      <c r="A122" s="2">
        <f t="array" ref="A122">IFERROR(INDEX('Bank Schedule'!A:A, SMALL(IF('Bank Schedule'!$K$2:$K$817="Vacant", ROW('Bank Schedule'!$K$2:$K$817)), ROW(119:119))), "")</f>
        <v/>
      </c>
      <c r="B122" s="11">
        <f t="array" ref="B122">IFERROR(INDEX('Bank Schedule'!B:B, SMALL(IF('Bank Schedule'!$K$2:$K$817="Vacant", ROW('Bank Schedule'!$K$2:$K$817)), ROW(119:119))), "")</f>
        <v/>
      </c>
      <c r="C122" s="11">
        <f t="array" ref="C122">IFERROR(INDEX('Bank Schedule'!C:C, SMALL(IF('Bank Schedule'!$K$2:$K$817="Vacant", ROW('Bank Schedule'!$K$2:$K$817)), ROW(119:119))), "")</f>
        <v/>
      </c>
      <c r="D122" s="11">
        <f t="array" ref="D122">IFERROR(INDEX('Bank Schedule'!D:D, SMALL(IF('Bank Schedule'!$K$2:$K$817="Vacant", ROW('Bank Schedule'!$K$2:$K$817)), ROW(119:119))), "")</f>
        <v/>
      </c>
      <c r="E122" s="25">
        <f t="array" ref="E122">IFERROR(INDEX('Bank Schedule'!E:E, SMALL(IF('Bank Schedule'!$K$2:$K$817="Vacant", ROW('Bank Schedule'!$K$2:$K$817)), ROW(119:119))), "")</f>
        <v/>
      </c>
      <c r="F122" s="25">
        <f t="array" ref="F122">IFERROR(INDEX('Bank Schedule'!F:F, SMALL(IF('Bank Schedule'!$K$2:$K$817="Vacant", ROW('Bank Schedule'!$K$2:$K$817)), ROW(119:119))), "")</f>
        <v/>
      </c>
      <c r="G122" s="25">
        <f t="array" ref="G122">IFERROR(INDEX('Bank Schedule'!G:G, SMALL(IF('Bank Schedule'!$K$2:$K$817="Vacant", ROW('Bank Schedule'!$K$2:$K$817)), ROW(119:119))), "")</f>
        <v/>
      </c>
      <c r="H122" s="53">
        <f t="array" ref="H122">IFERROR(INDEX('Bank Schedule'!H:H, SMALL(IF('Bank Schedule'!$K$2:$K$817="Vacant", ROW('Bank Schedule'!$K$2:$K$817)), ROW(119:119))), "")</f>
        <v/>
      </c>
      <c r="I122" s="53">
        <f t="array" ref="I122">IFERROR(INDEX('Bank Schedule'!I:I, SMALL(IF('Bank Schedule'!$K$2:$K$817="Vacant", ROW('Bank Schedule'!$K$2:$K$817)), ROW(119:119))), "")</f>
        <v/>
      </c>
      <c r="J122" s="11">
        <f t="array" ref="J122">IFERROR(INDEX('Bank Schedule'!K:K, SMALL(IF('Bank Schedule'!$K$2:$K$817="Vacant", ROW('Bank Schedule'!$K$2:$K$817)), ROW(119:119))), "")</f>
        <v/>
      </c>
      <c r="K122" s="11">
        <f t="array" ref="K122">IFERROR(INDEX('Bank Schedule'!L:L, SMALL(IF('Bank Schedule'!$K$2:$K$817="Vacant", ROW('Bank Schedule'!$K$2:$K$817)), ROW(119:119))), "")</f>
        <v/>
      </c>
      <c r="L122" s="11">
        <f t="array" ref="L122">IFERROR(INDEX('Bank Schedule'!M:M, SMALL(IF('Bank Schedule'!$K$2:$K$817="Vacant", ROW('Bank Schedule'!$K$2:$K$817)), ROW(119:119))), "")</f>
        <v/>
      </c>
      <c r="M122" s="106">
        <f t="array" ref="M122">IFERROR(INDEX('Bank Schedule'!N:N, SMALL(IF('Bank Schedule'!$K$2:$K$817="Vacant", ROW('Bank Schedule'!$K$2:$K$817)), ROW(119:119))), "")</f>
        <v/>
      </c>
      <c r="N122" s="11">
        <f t="array" ref="N122">IFERROR(INDEX('Bank Schedule'!O:O, SMALL(IF('Bank Schedule'!$K$2:$K$817="Vacant", ROW('Bank Schedule'!$K$2:$K$817)), ROW(119:119))), "")</f>
        <v/>
      </c>
      <c r="O122" s="11">
        <f t="array" ref="O122">IFERROR(INDEX('Bank Schedule'!P:P, SMALL(IF('Bank Schedule'!$K$2:$K$817="Vacant", ROW('Bank Schedule'!$K$2:$K$817)), ROW(119:119))), "")</f>
        <v/>
      </c>
      <c r="P122" s="11">
        <f t="array" ref="P122">IFERROR(INDEX('Bank Schedule'!Q:Q, SMALL(IF('Bank Schedule'!$K$2:$K$817="Vacant", ROW('Bank Schedule'!$K$2:$K$817)), ROW(119:119))), "")</f>
        <v/>
      </c>
      <c r="Q122" s="11">
        <f t="array" ref="Q122">IFERROR(INDEX('Bank Schedule'!R:R, SMALL(IF('Bank Schedule'!$K$2:$K$817="Vacant", ROW('Bank Schedule'!$K$2:$K$817)), ROW(119:119))), "")</f>
        <v/>
      </c>
      <c r="R122" s="11">
        <f t="array" ref="R122">IFERROR(INDEX('Bank Schedule'!S:S, SMALL(IF('Bank Schedule'!$K$2:$K$817="Vacant", ROW('Bank Schedule'!$K$2:$K$817)), ROW(119:119))), "")</f>
        <v/>
      </c>
      <c r="S122" s="301">
        <f t="array" ref="S122">IFERROR(INDEX('Bank Schedule'!T:T, SMALL(IF('Bank Schedule'!$K$2:$K$817="Vacant", ROW('Bank Schedule'!$K$2:$K$817)), ROW(119:119))), "")</f>
        <v/>
      </c>
      <c r="T122" s="301">
        <f t="array" ref="T122">IFERROR(INDEX('Bank Schedule'!U:U, SMALL(IF('Bank Schedule'!$K$2:$K$817="Vacant", ROW('Bank Schedule'!$K$2:$K$817)), ROW(119:119))), "")</f>
        <v/>
      </c>
      <c r="U122" s="301">
        <f t="array" ref="U122">IFERROR(INDEX('Bank Schedule'!V:V, SMALL(IF('Bank Schedule'!$K$2:$K$817="Vacant", ROW('Bank Schedule'!$K$2:$K$817)), ROW(119:119))), "")</f>
        <v/>
      </c>
      <c r="V122" s="301">
        <f t="array" ref="V122">IFERROR(INDEX('Bank Schedule'!W:W, SMALL(IF('Bank Schedule'!$K$2:$K$817="Vacant", ROW('Bank Schedule'!$K$2:$K$817)), ROW(119:119))), "")</f>
        <v/>
      </c>
      <c r="W122" s="300">
        <f t="array" ref="W122">IFERROR(INDEX('Bank Schedule'!X:X, SMALL(IF('Bank Schedule'!$K$2:$K$817="Vacant", ROW('Bank Schedule'!$K$2:$K$817)), ROW(119:119))), "")</f>
        <v/>
      </c>
      <c r="X122" s="11">
        <f t="array" ref="X122">IFERROR(INDEX('Bank Schedule'!Y:Y, SMALL(IF('Bank Schedule'!$K$2:$K$817="Vacant", ROW('Bank Schedule'!$K$2:$K$817)), ROW(119:119))), "")</f>
        <v/>
      </c>
      <c r="Y122" s="11">
        <f t="array" ref="Y122">IFERROR(INDEX('Bank Schedule'!Z:Z, SMALL(IF('Bank Schedule'!$K$2:$K$817="Vacant", ROW('Bank Schedule'!$K$2:$K$817)), ROW(119:119))), "")</f>
        <v/>
      </c>
      <c r="Z122" s="11">
        <f t="array" ref="Z122">IFERROR(INDEX('Bank Schedule'!AA:AA, SMALL(IF('Bank Schedule'!$K$2:$K$817="Vacant", ROW('Bank Schedule'!$K$2:$K$817)), ROW(119:119))), "")</f>
        <v/>
      </c>
      <c r="AA122" s="11">
        <f t="array" ref="AA122">IFERROR(INDEX('Bank Schedule'!AB:AB, SMALL(IF('Bank Schedule'!$K$2:$K$817="Vacant", ROW('Bank Schedule'!$K$2:$K$817)), ROW(119:119))), "")</f>
        <v/>
      </c>
      <c r="AB122" s="25">
        <f t="array" ref="AB122">IFERROR(INDEX('Bank Schedule'!AC:AC, SMALL(IF('Bank Schedule'!$K$2:$K$817="Vacant", ROW('Bank Schedule'!$K$2:$K$817)), ROW(119:119))), "")</f>
        <v/>
      </c>
      <c r="AC122" s="277">
        <f t="array" ref="AC122">IFERROR(INDEX('Bank Schedule'!AD:AD, SMALL(IF('Bank Schedule'!$K$2:$K$817="Vacant", ROW('Bank Schedule'!$K$2:$K$817)), ROW(119:119))), "")</f>
        <v/>
      </c>
      <c r="AD122" s="11">
        <f t="array" ref="AD122">IFERROR(INDEX('Bank Schedule'!AE:AE, SMALL(IF('Bank Schedule'!$K$2:$K$817="Vacant", ROW('Bank Schedule'!$K$2:$K$817)), ROW(119:119))), "")</f>
        <v/>
      </c>
      <c r="AE122" s="11">
        <f t="array" ref="AE122">IFERROR(INDEX('Bank Schedule'!AF:AF, SMALL(IF('Bank Schedule'!$K$2:$K$817="Vacant", ROW('Bank Schedule'!$K$2:$K$817)), ROW(119:119))), "")</f>
        <v/>
      </c>
      <c r="AF122" s="11">
        <f t="array" ref="AF122">IFERROR(INDEX('Bank Schedule'!AG:AG, SMALL(IF('Bank Schedule'!$K$2:$K$817="Vacant", ROW('Bank Schedule'!$K$2:$K$817)), ROW(119:119))), "")</f>
        <v/>
      </c>
      <c r="AG122" s="4" t="n"/>
    </row>
    <row r="123" ht="28.5" customHeight="1">
      <c r="A123" s="2">
        <f t="array" ref="A123">IFERROR(INDEX('Bank Schedule'!A:A, SMALL(IF('Bank Schedule'!$K$2:$K$817="Vacant", ROW('Bank Schedule'!$K$2:$K$817)), ROW(120:120))), "")</f>
        <v/>
      </c>
      <c r="B123" s="11">
        <f t="array" ref="B123">IFERROR(INDEX('Bank Schedule'!B:B, SMALL(IF('Bank Schedule'!$K$2:$K$817="Vacant", ROW('Bank Schedule'!$K$2:$K$817)), ROW(120:120))), "")</f>
        <v/>
      </c>
      <c r="C123" s="11">
        <f t="array" ref="C123">IFERROR(INDEX('Bank Schedule'!C:C, SMALL(IF('Bank Schedule'!$K$2:$K$817="Vacant", ROW('Bank Schedule'!$K$2:$K$817)), ROW(120:120))), "")</f>
        <v/>
      </c>
      <c r="D123" s="11">
        <f t="array" ref="D123">IFERROR(INDEX('Bank Schedule'!D:D, SMALL(IF('Bank Schedule'!$K$2:$K$817="Vacant", ROW('Bank Schedule'!$K$2:$K$817)), ROW(120:120))), "")</f>
        <v/>
      </c>
      <c r="E123" s="25">
        <f t="array" ref="E123">IFERROR(INDEX('Bank Schedule'!E:E, SMALL(IF('Bank Schedule'!$K$2:$K$817="Vacant", ROW('Bank Schedule'!$K$2:$K$817)), ROW(120:120))), "")</f>
        <v/>
      </c>
      <c r="F123" s="25">
        <f t="array" ref="F123">IFERROR(INDEX('Bank Schedule'!F:F, SMALL(IF('Bank Schedule'!$K$2:$K$817="Vacant", ROW('Bank Schedule'!$K$2:$K$817)), ROW(120:120))), "")</f>
        <v/>
      </c>
      <c r="G123" s="25">
        <f t="array" ref="G123">IFERROR(INDEX('Bank Schedule'!G:G, SMALL(IF('Bank Schedule'!$K$2:$K$817="Vacant", ROW('Bank Schedule'!$K$2:$K$817)), ROW(120:120))), "")</f>
        <v/>
      </c>
      <c r="H123" s="53">
        <f t="array" ref="H123">IFERROR(INDEX('Bank Schedule'!H:H, SMALL(IF('Bank Schedule'!$K$2:$K$817="Vacant", ROW('Bank Schedule'!$K$2:$K$817)), ROW(120:120))), "")</f>
        <v/>
      </c>
      <c r="I123" s="53">
        <f t="array" ref="I123">IFERROR(INDEX('Bank Schedule'!I:I, SMALL(IF('Bank Schedule'!$K$2:$K$817="Vacant", ROW('Bank Schedule'!$K$2:$K$817)), ROW(120:120))), "")</f>
        <v/>
      </c>
      <c r="J123" s="11">
        <f t="array" ref="J123">IFERROR(INDEX('Bank Schedule'!K:K, SMALL(IF('Bank Schedule'!$K$2:$K$817="Vacant", ROW('Bank Schedule'!$K$2:$K$817)), ROW(120:120))), "")</f>
        <v/>
      </c>
      <c r="K123" s="11">
        <f t="array" ref="K123">IFERROR(INDEX('Bank Schedule'!L:L, SMALL(IF('Bank Schedule'!$K$2:$K$817="Vacant", ROW('Bank Schedule'!$K$2:$K$817)), ROW(120:120))), "")</f>
        <v/>
      </c>
      <c r="L123" s="11">
        <f t="array" ref="L123">IFERROR(INDEX('Bank Schedule'!M:M, SMALL(IF('Bank Schedule'!$K$2:$K$817="Vacant", ROW('Bank Schedule'!$K$2:$K$817)), ROW(120:120))), "")</f>
        <v/>
      </c>
      <c r="M123" s="106">
        <f t="array" ref="M123">IFERROR(INDEX('Bank Schedule'!N:N, SMALL(IF('Bank Schedule'!$K$2:$K$817="Vacant", ROW('Bank Schedule'!$K$2:$K$817)), ROW(120:120))), "")</f>
        <v/>
      </c>
      <c r="N123" s="11">
        <f t="array" ref="N123">IFERROR(INDEX('Bank Schedule'!O:O, SMALL(IF('Bank Schedule'!$K$2:$K$817="Vacant", ROW('Bank Schedule'!$K$2:$K$817)), ROW(120:120))), "")</f>
        <v/>
      </c>
      <c r="O123" s="11">
        <f t="array" ref="O123">IFERROR(INDEX('Bank Schedule'!P:P, SMALL(IF('Bank Schedule'!$K$2:$K$817="Vacant", ROW('Bank Schedule'!$K$2:$K$817)), ROW(120:120))), "")</f>
        <v/>
      </c>
      <c r="P123" s="11">
        <f t="array" ref="P123">IFERROR(INDEX('Bank Schedule'!Q:Q, SMALL(IF('Bank Schedule'!$K$2:$K$817="Vacant", ROW('Bank Schedule'!$K$2:$K$817)), ROW(120:120))), "")</f>
        <v/>
      </c>
      <c r="Q123" s="11">
        <f t="array" ref="Q123">IFERROR(INDEX('Bank Schedule'!R:R, SMALL(IF('Bank Schedule'!$K$2:$K$817="Vacant", ROW('Bank Schedule'!$K$2:$K$817)), ROW(120:120))), "")</f>
        <v/>
      </c>
      <c r="R123" s="11">
        <f t="array" ref="R123">IFERROR(INDEX('Bank Schedule'!S:S, SMALL(IF('Bank Schedule'!$K$2:$K$817="Vacant", ROW('Bank Schedule'!$K$2:$K$817)), ROW(120:120))), "")</f>
        <v/>
      </c>
      <c r="S123" s="301">
        <f t="array" ref="S123">IFERROR(INDEX('Bank Schedule'!T:T, SMALL(IF('Bank Schedule'!$K$2:$K$817="Vacant", ROW('Bank Schedule'!$K$2:$K$817)), ROW(120:120))), "")</f>
        <v/>
      </c>
      <c r="T123" s="301">
        <f t="array" ref="T123">IFERROR(INDEX('Bank Schedule'!U:U, SMALL(IF('Bank Schedule'!$K$2:$K$817="Vacant", ROW('Bank Schedule'!$K$2:$K$817)), ROW(120:120))), "")</f>
        <v/>
      </c>
      <c r="U123" s="301">
        <f t="array" ref="U123">IFERROR(INDEX('Bank Schedule'!V:V, SMALL(IF('Bank Schedule'!$K$2:$K$817="Vacant", ROW('Bank Schedule'!$K$2:$K$817)), ROW(120:120))), "")</f>
        <v/>
      </c>
      <c r="V123" s="301">
        <f t="array" ref="V123">IFERROR(INDEX('Bank Schedule'!W:W, SMALL(IF('Bank Schedule'!$K$2:$K$817="Vacant", ROW('Bank Schedule'!$K$2:$K$817)), ROW(120:120))), "")</f>
        <v/>
      </c>
      <c r="W123" s="300">
        <f t="array" ref="W123">IFERROR(INDEX('Bank Schedule'!X:X, SMALL(IF('Bank Schedule'!$K$2:$K$817="Vacant", ROW('Bank Schedule'!$K$2:$K$817)), ROW(120:120))), "")</f>
        <v/>
      </c>
      <c r="X123" s="11">
        <f t="array" ref="X123">IFERROR(INDEX('Bank Schedule'!Y:Y, SMALL(IF('Bank Schedule'!$K$2:$K$817="Vacant", ROW('Bank Schedule'!$K$2:$K$817)), ROW(120:120))), "")</f>
        <v/>
      </c>
      <c r="Y123" s="11">
        <f t="array" ref="Y123">IFERROR(INDEX('Bank Schedule'!Z:Z, SMALL(IF('Bank Schedule'!$K$2:$K$817="Vacant", ROW('Bank Schedule'!$K$2:$K$817)), ROW(120:120))), "")</f>
        <v/>
      </c>
      <c r="Z123" s="11">
        <f t="array" ref="Z123">IFERROR(INDEX('Bank Schedule'!AA:AA, SMALL(IF('Bank Schedule'!$K$2:$K$817="Vacant", ROW('Bank Schedule'!$K$2:$K$817)), ROW(120:120))), "")</f>
        <v/>
      </c>
      <c r="AA123" s="11">
        <f t="array" ref="AA123">IFERROR(INDEX('Bank Schedule'!AB:AB, SMALL(IF('Bank Schedule'!$K$2:$K$817="Vacant", ROW('Bank Schedule'!$K$2:$K$817)), ROW(120:120))), "")</f>
        <v/>
      </c>
      <c r="AB123" s="25">
        <f t="array" ref="AB123">IFERROR(INDEX('Bank Schedule'!AC:AC, SMALL(IF('Bank Schedule'!$K$2:$K$817="Vacant", ROW('Bank Schedule'!$K$2:$K$817)), ROW(120:120))), "")</f>
        <v/>
      </c>
      <c r="AC123" s="277">
        <f t="array" ref="AC123">IFERROR(INDEX('Bank Schedule'!AD:AD, SMALL(IF('Bank Schedule'!$K$2:$K$817="Vacant", ROW('Bank Schedule'!$K$2:$K$817)), ROW(120:120))), "")</f>
        <v/>
      </c>
      <c r="AD123" s="11">
        <f t="array" ref="AD123">IFERROR(INDEX('Bank Schedule'!AE:AE, SMALL(IF('Bank Schedule'!$K$2:$K$817="Vacant", ROW('Bank Schedule'!$K$2:$K$817)), ROW(120:120))), "")</f>
        <v/>
      </c>
      <c r="AE123" s="11">
        <f t="array" ref="AE123">IFERROR(INDEX('Bank Schedule'!AF:AF, SMALL(IF('Bank Schedule'!$K$2:$K$817="Vacant", ROW('Bank Schedule'!$K$2:$K$817)), ROW(120:120))), "")</f>
        <v/>
      </c>
      <c r="AF123" s="11">
        <f t="array" ref="AF123">IFERROR(INDEX('Bank Schedule'!AG:AG, SMALL(IF('Bank Schedule'!$K$2:$K$817="Vacant", ROW('Bank Schedule'!$K$2:$K$817)), ROW(120:120))), "")</f>
        <v/>
      </c>
      <c r="AG123" s="4" t="n"/>
    </row>
    <row r="124" ht="28.5" customHeight="1">
      <c r="A124" s="2">
        <f t="array" ref="A124">IFERROR(INDEX('Bank Schedule'!A:A, SMALL(IF('Bank Schedule'!$K$2:$K$817="Vacant", ROW('Bank Schedule'!$K$2:$K$817)), ROW(121:121))), "")</f>
        <v/>
      </c>
      <c r="B124" s="11">
        <f t="array" ref="B124">IFERROR(INDEX('Bank Schedule'!B:B, SMALL(IF('Bank Schedule'!$K$2:$K$817="Vacant", ROW('Bank Schedule'!$K$2:$K$817)), ROW(121:121))), "")</f>
        <v/>
      </c>
      <c r="C124" s="11">
        <f t="array" ref="C124">IFERROR(INDEX('Bank Schedule'!C:C, SMALL(IF('Bank Schedule'!$K$2:$K$817="Vacant", ROW('Bank Schedule'!$K$2:$K$817)), ROW(121:121))), "")</f>
        <v/>
      </c>
      <c r="D124" s="11">
        <f t="array" ref="D124">IFERROR(INDEX('Bank Schedule'!D:D, SMALL(IF('Bank Schedule'!$K$2:$K$817="Vacant", ROW('Bank Schedule'!$K$2:$K$817)), ROW(121:121))), "")</f>
        <v/>
      </c>
      <c r="E124" s="25">
        <f t="array" ref="E124">IFERROR(INDEX('Bank Schedule'!E:E, SMALL(IF('Bank Schedule'!$K$2:$K$817="Vacant", ROW('Bank Schedule'!$K$2:$K$817)), ROW(121:121))), "")</f>
        <v/>
      </c>
      <c r="F124" s="25">
        <f t="array" ref="F124">IFERROR(INDEX('Bank Schedule'!F:F, SMALL(IF('Bank Schedule'!$K$2:$K$817="Vacant", ROW('Bank Schedule'!$K$2:$K$817)), ROW(121:121))), "")</f>
        <v/>
      </c>
      <c r="G124" s="25">
        <f t="array" ref="G124">IFERROR(INDEX('Bank Schedule'!G:G, SMALL(IF('Bank Schedule'!$K$2:$K$817="Vacant", ROW('Bank Schedule'!$K$2:$K$817)), ROW(121:121))), "")</f>
        <v/>
      </c>
      <c r="H124" s="53">
        <f t="array" ref="H124">IFERROR(INDEX('Bank Schedule'!H:H, SMALL(IF('Bank Schedule'!$K$2:$K$817="Vacant", ROW('Bank Schedule'!$K$2:$K$817)), ROW(121:121))), "")</f>
        <v/>
      </c>
      <c r="I124" s="53">
        <f t="array" ref="I124">IFERROR(INDEX('Bank Schedule'!I:I, SMALL(IF('Bank Schedule'!$K$2:$K$817="Vacant", ROW('Bank Schedule'!$K$2:$K$817)), ROW(121:121))), "")</f>
        <v/>
      </c>
      <c r="J124" s="11">
        <f t="array" ref="J124">IFERROR(INDEX('Bank Schedule'!K:K, SMALL(IF('Bank Schedule'!$K$2:$K$817="Vacant", ROW('Bank Schedule'!$K$2:$K$817)), ROW(121:121))), "")</f>
        <v/>
      </c>
      <c r="K124" s="11">
        <f t="array" ref="K124">IFERROR(INDEX('Bank Schedule'!L:L, SMALL(IF('Bank Schedule'!$K$2:$K$817="Vacant", ROW('Bank Schedule'!$K$2:$K$817)), ROW(121:121))), "")</f>
        <v/>
      </c>
      <c r="L124" s="11">
        <f t="array" ref="L124">IFERROR(INDEX('Bank Schedule'!M:M, SMALL(IF('Bank Schedule'!$K$2:$K$817="Vacant", ROW('Bank Schedule'!$K$2:$K$817)), ROW(121:121))), "")</f>
        <v/>
      </c>
      <c r="M124" s="106">
        <f t="array" ref="M124">IFERROR(INDEX('Bank Schedule'!N:N, SMALL(IF('Bank Schedule'!$K$2:$K$817="Vacant", ROW('Bank Schedule'!$K$2:$K$817)), ROW(121:121))), "")</f>
        <v/>
      </c>
      <c r="N124" s="11">
        <f t="array" ref="N124">IFERROR(INDEX('Bank Schedule'!O:O, SMALL(IF('Bank Schedule'!$K$2:$K$817="Vacant", ROW('Bank Schedule'!$K$2:$K$817)), ROW(121:121))), "")</f>
        <v/>
      </c>
      <c r="O124" s="11">
        <f t="array" ref="O124">IFERROR(INDEX('Bank Schedule'!P:P, SMALL(IF('Bank Schedule'!$K$2:$K$817="Vacant", ROW('Bank Schedule'!$K$2:$K$817)), ROW(121:121))), "")</f>
        <v/>
      </c>
      <c r="P124" s="11">
        <f t="array" ref="P124">IFERROR(INDEX('Bank Schedule'!Q:Q, SMALL(IF('Bank Schedule'!$K$2:$K$817="Vacant", ROW('Bank Schedule'!$K$2:$K$817)), ROW(121:121))), "")</f>
        <v/>
      </c>
      <c r="Q124" s="11">
        <f t="array" ref="Q124">IFERROR(INDEX('Bank Schedule'!R:R, SMALL(IF('Bank Schedule'!$K$2:$K$817="Vacant", ROW('Bank Schedule'!$K$2:$K$817)), ROW(121:121))), "")</f>
        <v/>
      </c>
      <c r="R124" s="11">
        <f t="array" ref="R124">IFERROR(INDEX('Bank Schedule'!S:S, SMALL(IF('Bank Schedule'!$K$2:$K$817="Vacant", ROW('Bank Schedule'!$K$2:$K$817)), ROW(121:121))), "")</f>
        <v/>
      </c>
      <c r="S124" s="301">
        <f t="array" ref="S124">IFERROR(INDEX('Bank Schedule'!T:T, SMALL(IF('Bank Schedule'!$K$2:$K$817="Vacant", ROW('Bank Schedule'!$K$2:$K$817)), ROW(121:121))), "")</f>
        <v/>
      </c>
      <c r="T124" s="301">
        <f t="array" ref="T124">IFERROR(INDEX('Bank Schedule'!U:U, SMALL(IF('Bank Schedule'!$K$2:$K$817="Vacant", ROW('Bank Schedule'!$K$2:$K$817)), ROW(121:121))), "")</f>
        <v/>
      </c>
      <c r="U124" s="301">
        <f t="array" ref="U124">IFERROR(INDEX('Bank Schedule'!V:V, SMALL(IF('Bank Schedule'!$K$2:$K$817="Vacant", ROW('Bank Schedule'!$K$2:$K$817)), ROW(121:121))), "")</f>
        <v/>
      </c>
      <c r="V124" s="301">
        <f t="array" ref="V124">IFERROR(INDEX('Bank Schedule'!W:W, SMALL(IF('Bank Schedule'!$K$2:$K$817="Vacant", ROW('Bank Schedule'!$K$2:$K$817)), ROW(121:121))), "")</f>
        <v/>
      </c>
      <c r="W124" s="300">
        <f t="array" ref="W124">IFERROR(INDEX('Bank Schedule'!X:X, SMALL(IF('Bank Schedule'!$K$2:$K$817="Vacant", ROW('Bank Schedule'!$K$2:$K$817)), ROW(121:121))), "")</f>
        <v/>
      </c>
      <c r="X124" s="11">
        <f t="array" ref="X124">IFERROR(INDEX('Bank Schedule'!Y:Y, SMALL(IF('Bank Schedule'!$K$2:$K$817="Vacant", ROW('Bank Schedule'!$K$2:$K$817)), ROW(121:121))), "")</f>
        <v/>
      </c>
      <c r="Y124" s="11">
        <f t="array" ref="Y124">IFERROR(INDEX('Bank Schedule'!Z:Z, SMALL(IF('Bank Schedule'!$K$2:$K$817="Vacant", ROW('Bank Schedule'!$K$2:$K$817)), ROW(121:121))), "")</f>
        <v/>
      </c>
      <c r="Z124" s="11">
        <f t="array" ref="Z124">IFERROR(INDEX('Bank Schedule'!AA:AA, SMALL(IF('Bank Schedule'!$K$2:$K$817="Vacant", ROW('Bank Schedule'!$K$2:$K$817)), ROW(121:121))), "")</f>
        <v/>
      </c>
      <c r="AA124" s="11">
        <f t="array" ref="AA124">IFERROR(INDEX('Bank Schedule'!AB:AB, SMALL(IF('Bank Schedule'!$K$2:$K$817="Vacant", ROW('Bank Schedule'!$K$2:$K$817)), ROW(121:121))), "")</f>
        <v/>
      </c>
      <c r="AB124" s="25">
        <f t="array" ref="AB124">IFERROR(INDEX('Bank Schedule'!AC:AC, SMALL(IF('Bank Schedule'!$K$2:$K$817="Vacant", ROW('Bank Schedule'!$K$2:$K$817)), ROW(121:121))), "")</f>
        <v/>
      </c>
      <c r="AC124" s="277">
        <f t="array" ref="AC124">IFERROR(INDEX('Bank Schedule'!AD:AD, SMALL(IF('Bank Schedule'!$K$2:$K$817="Vacant", ROW('Bank Schedule'!$K$2:$K$817)), ROW(121:121))), "")</f>
        <v/>
      </c>
      <c r="AD124" s="11">
        <f t="array" ref="AD124">IFERROR(INDEX('Bank Schedule'!AE:AE, SMALL(IF('Bank Schedule'!$K$2:$K$817="Vacant", ROW('Bank Schedule'!$K$2:$K$817)), ROW(121:121))), "")</f>
        <v/>
      </c>
      <c r="AE124" s="11">
        <f t="array" ref="AE124">IFERROR(INDEX('Bank Schedule'!AF:AF, SMALL(IF('Bank Schedule'!$K$2:$K$817="Vacant", ROW('Bank Schedule'!$K$2:$K$817)), ROW(121:121))), "")</f>
        <v/>
      </c>
      <c r="AF124" s="11">
        <f t="array" ref="AF124">IFERROR(INDEX('Bank Schedule'!AG:AG, SMALL(IF('Bank Schedule'!$K$2:$K$817="Vacant", ROW('Bank Schedule'!$K$2:$K$817)), ROW(121:121))), "")</f>
        <v/>
      </c>
      <c r="AG124" s="4" t="n"/>
    </row>
    <row r="125" ht="28.5" customHeight="1">
      <c r="A125" s="2">
        <f t="array" ref="A125">IFERROR(INDEX('Bank Schedule'!A:A, SMALL(IF('Bank Schedule'!$K$2:$K$817="Vacant", ROW('Bank Schedule'!$K$2:$K$817)), ROW(122:122))), "")</f>
        <v/>
      </c>
      <c r="B125" s="11">
        <f t="array" ref="B125">IFERROR(INDEX('Bank Schedule'!B:B, SMALL(IF('Bank Schedule'!$K$2:$K$817="Vacant", ROW('Bank Schedule'!$K$2:$K$817)), ROW(122:122))), "")</f>
        <v/>
      </c>
      <c r="C125" s="11">
        <f t="array" ref="C125">IFERROR(INDEX('Bank Schedule'!C:C, SMALL(IF('Bank Schedule'!$K$2:$K$817="Vacant", ROW('Bank Schedule'!$K$2:$K$817)), ROW(122:122))), "")</f>
        <v/>
      </c>
      <c r="D125" s="11">
        <f t="array" ref="D125">IFERROR(INDEX('Bank Schedule'!D:D, SMALL(IF('Bank Schedule'!$K$2:$K$817="Vacant", ROW('Bank Schedule'!$K$2:$K$817)), ROW(122:122))), "")</f>
        <v/>
      </c>
      <c r="E125" s="25">
        <f t="array" ref="E125">IFERROR(INDEX('Bank Schedule'!E:E, SMALL(IF('Bank Schedule'!$K$2:$K$817="Vacant", ROW('Bank Schedule'!$K$2:$K$817)), ROW(122:122))), "")</f>
        <v/>
      </c>
      <c r="F125" s="25">
        <f t="array" ref="F125">IFERROR(INDEX('Bank Schedule'!F:F, SMALL(IF('Bank Schedule'!$K$2:$K$817="Vacant", ROW('Bank Schedule'!$K$2:$K$817)), ROW(122:122))), "")</f>
        <v/>
      </c>
      <c r="G125" s="25">
        <f t="array" ref="G125">IFERROR(INDEX('Bank Schedule'!G:G, SMALL(IF('Bank Schedule'!$K$2:$K$817="Vacant", ROW('Bank Schedule'!$K$2:$K$817)), ROW(122:122))), "")</f>
        <v/>
      </c>
      <c r="H125" s="53">
        <f t="array" ref="H125">IFERROR(INDEX('Bank Schedule'!H:H, SMALL(IF('Bank Schedule'!$K$2:$K$817="Vacant", ROW('Bank Schedule'!$K$2:$K$817)), ROW(122:122))), "")</f>
        <v/>
      </c>
      <c r="I125" s="53">
        <f t="array" ref="I125">IFERROR(INDEX('Bank Schedule'!I:I, SMALL(IF('Bank Schedule'!$K$2:$K$817="Vacant", ROW('Bank Schedule'!$K$2:$K$817)), ROW(122:122))), "")</f>
        <v/>
      </c>
      <c r="J125" s="11">
        <f t="array" ref="J125">IFERROR(INDEX('Bank Schedule'!K:K, SMALL(IF('Bank Schedule'!$K$2:$K$817="Vacant", ROW('Bank Schedule'!$K$2:$K$817)), ROW(122:122))), "")</f>
        <v/>
      </c>
      <c r="K125" s="11">
        <f t="array" ref="K125">IFERROR(INDEX('Bank Schedule'!L:L, SMALL(IF('Bank Schedule'!$K$2:$K$817="Vacant", ROW('Bank Schedule'!$K$2:$K$817)), ROW(122:122))), "")</f>
        <v/>
      </c>
      <c r="L125" s="11">
        <f t="array" ref="L125">IFERROR(INDEX('Bank Schedule'!M:M, SMALL(IF('Bank Schedule'!$K$2:$K$817="Vacant", ROW('Bank Schedule'!$K$2:$K$817)), ROW(122:122))), "")</f>
        <v/>
      </c>
      <c r="M125" s="106">
        <f t="array" ref="M125">IFERROR(INDEX('Bank Schedule'!N:N, SMALL(IF('Bank Schedule'!$K$2:$K$817="Vacant", ROW('Bank Schedule'!$K$2:$K$817)), ROW(122:122))), "")</f>
        <v/>
      </c>
      <c r="N125" s="11">
        <f t="array" ref="N125">IFERROR(INDEX('Bank Schedule'!O:O, SMALL(IF('Bank Schedule'!$K$2:$K$817="Vacant", ROW('Bank Schedule'!$K$2:$K$817)), ROW(122:122))), "")</f>
        <v/>
      </c>
      <c r="O125" s="11">
        <f t="array" ref="O125">IFERROR(INDEX('Bank Schedule'!P:P, SMALL(IF('Bank Schedule'!$K$2:$K$817="Vacant", ROW('Bank Schedule'!$K$2:$K$817)), ROW(122:122))), "")</f>
        <v/>
      </c>
      <c r="P125" s="11">
        <f t="array" ref="P125">IFERROR(INDEX('Bank Schedule'!Q:Q, SMALL(IF('Bank Schedule'!$K$2:$K$817="Vacant", ROW('Bank Schedule'!$K$2:$K$817)), ROW(122:122))), "")</f>
        <v/>
      </c>
      <c r="Q125" s="11">
        <f t="array" ref="Q125">IFERROR(INDEX('Bank Schedule'!R:R, SMALL(IF('Bank Schedule'!$K$2:$K$817="Vacant", ROW('Bank Schedule'!$K$2:$K$817)), ROW(122:122))), "")</f>
        <v/>
      </c>
      <c r="R125" s="11">
        <f t="array" ref="R125">IFERROR(INDEX('Bank Schedule'!S:S, SMALL(IF('Bank Schedule'!$K$2:$K$817="Vacant", ROW('Bank Schedule'!$K$2:$K$817)), ROW(122:122))), "")</f>
        <v/>
      </c>
      <c r="S125" s="301">
        <f t="array" ref="S125">IFERROR(INDEX('Bank Schedule'!T:T, SMALL(IF('Bank Schedule'!$K$2:$K$817="Vacant", ROW('Bank Schedule'!$K$2:$K$817)), ROW(122:122))), "")</f>
        <v/>
      </c>
      <c r="T125" s="301">
        <f t="array" ref="T125">IFERROR(INDEX('Bank Schedule'!U:U, SMALL(IF('Bank Schedule'!$K$2:$K$817="Vacant", ROW('Bank Schedule'!$K$2:$K$817)), ROW(122:122))), "")</f>
        <v/>
      </c>
      <c r="U125" s="301">
        <f t="array" ref="U125">IFERROR(INDEX('Bank Schedule'!V:V, SMALL(IF('Bank Schedule'!$K$2:$K$817="Vacant", ROW('Bank Schedule'!$K$2:$K$817)), ROW(122:122))), "")</f>
        <v/>
      </c>
      <c r="V125" s="301">
        <f t="array" ref="V125">IFERROR(INDEX('Bank Schedule'!W:W, SMALL(IF('Bank Schedule'!$K$2:$K$817="Vacant", ROW('Bank Schedule'!$K$2:$K$817)), ROW(122:122))), "")</f>
        <v/>
      </c>
      <c r="W125" s="300">
        <f t="array" ref="W125">IFERROR(INDEX('Bank Schedule'!X:X, SMALL(IF('Bank Schedule'!$K$2:$K$817="Vacant", ROW('Bank Schedule'!$K$2:$K$817)), ROW(122:122))), "")</f>
        <v/>
      </c>
      <c r="X125" s="11">
        <f t="array" ref="X125">IFERROR(INDEX('Bank Schedule'!Y:Y, SMALL(IF('Bank Schedule'!$K$2:$K$817="Vacant", ROW('Bank Schedule'!$K$2:$K$817)), ROW(122:122))), "")</f>
        <v/>
      </c>
      <c r="Y125" s="11">
        <f t="array" ref="Y125">IFERROR(INDEX('Bank Schedule'!Z:Z, SMALL(IF('Bank Schedule'!$K$2:$K$817="Vacant", ROW('Bank Schedule'!$K$2:$K$817)), ROW(122:122))), "")</f>
        <v/>
      </c>
      <c r="Z125" s="11">
        <f t="array" ref="Z125">IFERROR(INDEX('Bank Schedule'!AA:AA, SMALL(IF('Bank Schedule'!$K$2:$K$817="Vacant", ROW('Bank Schedule'!$K$2:$K$817)), ROW(122:122))), "")</f>
        <v/>
      </c>
      <c r="AA125" s="11">
        <f t="array" ref="AA125">IFERROR(INDEX('Bank Schedule'!AB:AB, SMALL(IF('Bank Schedule'!$K$2:$K$817="Vacant", ROW('Bank Schedule'!$K$2:$K$817)), ROW(122:122))), "")</f>
        <v/>
      </c>
      <c r="AB125" s="25">
        <f t="array" ref="AB125">IFERROR(INDEX('Bank Schedule'!AC:AC, SMALL(IF('Bank Schedule'!$K$2:$K$817="Vacant", ROW('Bank Schedule'!$K$2:$K$817)), ROW(122:122))), "")</f>
        <v/>
      </c>
      <c r="AC125" s="277">
        <f t="array" ref="AC125">IFERROR(INDEX('Bank Schedule'!AD:AD, SMALL(IF('Bank Schedule'!$K$2:$K$817="Vacant", ROW('Bank Schedule'!$K$2:$K$817)), ROW(122:122))), "")</f>
        <v/>
      </c>
      <c r="AD125" s="11">
        <f t="array" ref="AD125">IFERROR(INDEX('Bank Schedule'!AE:AE, SMALL(IF('Bank Schedule'!$K$2:$K$817="Vacant", ROW('Bank Schedule'!$K$2:$K$817)), ROW(122:122))), "")</f>
        <v/>
      </c>
      <c r="AE125" s="11">
        <f t="array" ref="AE125">IFERROR(INDEX('Bank Schedule'!AF:AF, SMALL(IF('Bank Schedule'!$K$2:$K$817="Vacant", ROW('Bank Schedule'!$K$2:$K$817)), ROW(122:122))), "")</f>
        <v/>
      </c>
      <c r="AF125" s="11">
        <f t="array" ref="AF125">IFERROR(INDEX('Bank Schedule'!AG:AG, SMALL(IF('Bank Schedule'!$K$2:$K$817="Vacant", ROW('Bank Schedule'!$K$2:$K$817)), ROW(122:122))), "")</f>
        <v/>
      </c>
      <c r="AG125" s="4" t="n"/>
    </row>
    <row r="126" ht="28.5" customHeight="1">
      <c r="A126" s="2">
        <f t="array" ref="A126">IFERROR(INDEX('Bank Schedule'!A:A, SMALL(IF('Bank Schedule'!$K$2:$K$817="Vacant", ROW('Bank Schedule'!$K$2:$K$817)), ROW(123:123))), "")</f>
        <v/>
      </c>
      <c r="B126" s="11">
        <f t="array" ref="B126">IFERROR(INDEX('Bank Schedule'!B:B, SMALL(IF('Bank Schedule'!$K$2:$K$817="Vacant", ROW('Bank Schedule'!$K$2:$K$817)), ROW(123:123))), "")</f>
        <v/>
      </c>
      <c r="C126" s="11">
        <f t="array" ref="C126">IFERROR(INDEX('Bank Schedule'!C:C, SMALL(IF('Bank Schedule'!$K$2:$K$817="Vacant", ROW('Bank Schedule'!$K$2:$K$817)), ROW(123:123))), "")</f>
        <v/>
      </c>
      <c r="D126" s="11">
        <f t="array" ref="D126">IFERROR(INDEX('Bank Schedule'!D:D, SMALL(IF('Bank Schedule'!$K$2:$K$817="Vacant", ROW('Bank Schedule'!$K$2:$K$817)), ROW(123:123))), "")</f>
        <v/>
      </c>
      <c r="E126" s="25">
        <f t="array" ref="E126">IFERROR(INDEX('Bank Schedule'!E:E, SMALL(IF('Bank Schedule'!$K$2:$K$817="Vacant", ROW('Bank Schedule'!$K$2:$K$817)), ROW(123:123))), "")</f>
        <v/>
      </c>
      <c r="F126" s="25">
        <f t="array" ref="F126">IFERROR(INDEX('Bank Schedule'!F:F, SMALL(IF('Bank Schedule'!$K$2:$K$817="Vacant", ROW('Bank Schedule'!$K$2:$K$817)), ROW(123:123))), "")</f>
        <v/>
      </c>
      <c r="G126" s="25">
        <f t="array" ref="G126">IFERROR(INDEX('Bank Schedule'!G:G, SMALL(IF('Bank Schedule'!$K$2:$K$817="Vacant", ROW('Bank Schedule'!$K$2:$K$817)), ROW(123:123))), "")</f>
        <v/>
      </c>
      <c r="H126" s="53">
        <f t="array" ref="H126">IFERROR(INDEX('Bank Schedule'!H:H, SMALL(IF('Bank Schedule'!$K$2:$K$817="Vacant", ROW('Bank Schedule'!$K$2:$K$817)), ROW(123:123))), "")</f>
        <v/>
      </c>
      <c r="I126" s="53">
        <f t="array" ref="I126">IFERROR(INDEX('Bank Schedule'!I:I, SMALL(IF('Bank Schedule'!$K$2:$K$817="Vacant", ROW('Bank Schedule'!$K$2:$K$817)), ROW(123:123))), "")</f>
        <v/>
      </c>
      <c r="J126" s="11">
        <f t="array" ref="J126">IFERROR(INDEX('Bank Schedule'!K:K, SMALL(IF('Bank Schedule'!$K$2:$K$817="Vacant", ROW('Bank Schedule'!$K$2:$K$817)), ROW(123:123))), "")</f>
        <v/>
      </c>
      <c r="K126" s="11">
        <f t="array" ref="K126">IFERROR(INDEX('Bank Schedule'!L:L, SMALL(IF('Bank Schedule'!$K$2:$K$817="Vacant", ROW('Bank Schedule'!$K$2:$K$817)), ROW(123:123))), "")</f>
        <v/>
      </c>
      <c r="L126" s="11">
        <f t="array" ref="L126">IFERROR(INDEX('Bank Schedule'!M:M, SMALL(IF('Bank Schedule'!$K$2:$K$817="Vacant", ROW('Bank Schedule'!$K$2:$K$817)), ROW(123:123))), "")</f>
        <v/>
      </c>
      <c r="M126" s="106">
        <f t="array" ref="M126">IFERROR(INDEX('Bank Schedule'!N:N, SMALL(IF('Bank Schedule'!$K$2:$K$817="Vacant", ROW('Bank Schedule'!$K$2:$K$817)), ROW(123:123))), "")</f>
        <v/>
      </c>
      <c r="N126" s="11">
        <f t="array" ref="N126">IFERROR(INDEX('Bank Schedule'!O:O, SMALL(IF('Bank Schedule'!$K$2:$K$817="Vacant", ROW('Bank Schedule'!$K$2:$K$817)), ROW(123:123))), "")</f>
        <v/>
      </c>
      <c r="O126" s="11">
        <f t="array" ref="O126">IFERROR(INDEX('Bank Schedule'!P:P, SMALL(IF('Bank Schedule'!$K$2:$K$817="Vacant", ROW('Bank Schedule'!$K$2:$K$817)), ROW(123:123))), "")</f>
        <v/>
      </c>
      <c r="P126" s="11">
        <f t="array" ref="P126">IFERROR(INDEX('Bank Schedule'!Q:Q, SMALL(IF('Bank Schedule'!$K$2:$K$817="Vacant", ROW('Bank Schedule'!$K$2:$K$817)), ROW(123:123))), "")</f>
        <v/>
      </c>
      <c r="Q126" s="11">
        <f t="array" ref="Q126">IFERROR(INDEX('Bank Schedule'!R:R, SMALL(IF('Bank Schedule'!$K$2:$K$817="Vacant", ROW('Bank Schedule'!$K$2:$K$817)), ROW(123:123))), "")</f>
        <v/>
      </c>
      <c r="R126" s="11">
        <f t="array" ref="R126">IFERROR(INDEX('Bank Schedule'!S:S, SMALL(IF('Bank Schedule'!$K$2:$K$817="Vacant", ROW('Bank Schedule'!$K$2:$K$817)), ROW(123:123))), "")</f>
        <v/>
      </c>
      <c r="S126" s="301">
        <f t="array" ref="S126">IFERROR(INDEX('Bank Schedule'!T:T, SMALL(IF('Bank Schedule'!$K$2:$K$817="Vacant", ROW('Bank Schedule'!$K$2:$K$817)), ROW(123:123))), "")</f>
        <v/>
      </c>
      <c r="T126" s="301">
        <f t="array" ref="T126">IFERROR(INDEX('Bank Schedule'!U:U, SMALL(IF('Bank Schedule'!$K$2:$K$817="Vacant", ROW('Bank Schedule'!$K$2:$K$817)), ROW(123:123))), "")</f>
        <v/>
      </c>
      <c r="U126" s="301">
        <f t="array" ref="U126">IFERROR(INDEX('Bank Schedule'!V:V, SMALL(IF('Bank Schedule'!$K$2:$K$817="Vacant", ROW('Bank Schedule'!$K$2:$K$817)), ROW(123:123))), "")</f>
        <v/>
      </c>
      <c r="V126" s="301">
        <f t="array" ref="V126">IFERROR(INDEX('Bank Schedule'!W:W, SMALL(IF('Bank Schedule'!$K$2:$K$817="Vacant", ROW('Bank Schedule'!$K$2:$K$817)), ROW(123:123))), "")</f>
        <v/>
      </c>
      <c r="W126" s="300">
        <f t="array" ref="W126">IFERROR(INDEX('Bank Schedule'!X:X, SMALL(IF('Bank Schedule'!$K$2:$K$817="Vacant", ROW('Bank Schedule'!$K$2:$K$817)), ROW(123:123))), "")</f>
        <v/>
      </c>
      <c r="X126" s="11">
        <f t="array" ref="X126">IFERROR(INDEX('Bank Schedule'!Y:Y, SMALL(IF('Bank Schedule'!$K$2:$K$817="Vacant", ROW('Bank Schedule'!$K$2:$K$817)), ROW(123:123))), "")</f>
        <v/>
      </c>
      <c r="Y126" s="11">
        <f t="array" ref="Y126">IFERROR(INDEX('Bank Schedule'!Z:Z, SMALL(IF('Bank Schedule'!$K$2:$K$817="Vacant", ROW('Bank Schedule'!$K$2:$K$817)), ROW(123:123))), "")</f>
        <v/>
      </c>
      <c r="Z126" s="11">
        <f t="array" ref="Z126">IFERROR(INDEX('Bank Schedule'!AA:AA, SMALL(IF('Bank Schedule'!$K$2:$K$817="Vacant", ROW('Bank Schedule'!$K$2:$K$817)), ROW(123:123))), "")</f>
        <v/>
      </c>
      <c r="AA126" s="11">
        <f t="array" ref="AA126">IFERROR(INDEX('Bank Schedule'!AB:AB, SMALL(IF('Bank Schedule'!$K$2:$K$817="Vacant", ROW('Bank Schedule'!$K$2:$K$817)), ROW(123:123))), "")</f>
        <v/>
      </c>
      <c r="AB126" s="25">
        <f t="array" ref="AB126">IFERROR(INDEX('Bank Schedule'!AC:AC, SMALL(IF('Bank Schedule'!$K$2:$K$817="Vacant", ROW('Bank Schedule'!$K$2:$K$817)), ROW(123:123))), "")</f>
        <v/>
      </c>
      <c r="AC126" s="277">
        <f t="array" ref="AC126">IFERROR(INDEX('Bank Schedule'!AD:AD, SMALL(IF('Bank Schedule'!$K$2:$K$817="Vacant", ROW('Bank Schedule'!$K$2:$K$817)), ROW(123:123))), "")</f>
        <v/>
      </c>
      <c r="AD126" s="11">
        <f t="array" ref="AD126">IFERROR(INDEX('Bank Schedule'!AE:AE, SMALL(IF('Bank Schedule'!$K$2:$K$817="Vacant", ROW('Bank Schedule'!$K$2:$K$817)), ROW(123:123))), "")</f>
        <v/>
      </c>
      <c r="AE126" s="11">
        <f t="array" ref="AE126">IFERROR(INDEX('Bank Schedule'!AF:AF, SMALL(IF('Bank Schedule'!$K$2:$K$817="Vacant", ROW('Bank Schedule'!$K$2:$K$817)), ROW(123:123))), "")</f>
        <v/>
      </c>
      <c r="AF126" s="11">
        <f t="array" ref="AF126">IFERROR(INDEX('Bank Schedule'!AG:AG, SMALL(IF('Bank Schedule'!$K$2:$K$817="Vacant", ROW('Bank Schedule'!$K$2:$K$817)), ROW(123:123))), "")</f>
        <v/>
      </c>
      <c r="AG126" s="4" t="n"/>
    </row>
    <row r="127" ht="28.5" customHeight="1">
      <c r="A127" s="2">
        <f t="array" ref="A127">IFERROR(INDEX('Bank Schedule'!A:A, SMALL(IF('Bank Schedule'!$K$2:$K$817="Vacant", ROW('Bank Schedule'!$K$2:$K$817)), ROW(124:124))), "")</f>
        <v/>
      </c>
      <c r="B127" s="11">
        <f t="array" ref="B127">IFERROR(INDEX('Bank Schedule'!B:B, SMALL(IF('Bank Schedule'!$K$2:$K$817="Vacant", ROW('Bank Schedule'!$K$2:$K$817)), ROW(124:124))), "")</f>
        <v/>
      </c>
      <c r="C127" s="11">
        <f t="array" ref="C127">IFERROR(INDEX('Bank Schedule'!C:C, SMALL(IF('Bank Schedule'!$K$2:$K$817="Vacant", ROW('Bank Schedule'!$K$2:$K$817)), ROW(124:124))), "")</f>
        <v/>
      </c>
      <c r="D127" s="11">
        <f t="array" ref="D127">IFERROR(INDEX('Bank Schedule'!D:D, SMALL(IF('Bank Schedule'!$K$2:$K$817="Vacant", ROW('Bank Schedule'!$K$2:$K$817)), ROW(124:124))), "")</f>
        <v/>
      </c>
      <c r="E127" s="25">
        <f t="array" ref="E127">IFERROR(INDEX('Bank Schedule'!E:E, SMALL(IF('Bank Schedule'!$K$2:$K$817="Vacant", ROW('Bank Schedule'!$K$2:$K$817)), ROW(124:124))), "")</f>
        <v/>
      </c>
      <c r="F127" s="25">
        <f t="array" ref="F127">IFERROR(INDEX('Bank Schedule'!F:F, SMALL(IF('Bank Schedule'!$K$2:$K$817="Vacant", ROW('Bank Schedule'!$K$2:$K$817)), ROW(124:124))), "")</f>
        <v/>
      </c>
      <c r="G127" s="25">
        <f t="array" ref="G127">IFERROR(INDEX('Bank Schedule'!G:G, SMALL(IF('Bank Schedule'!$K$2:$K$817="Vacant", ROW('Bank Schedule'!$K$2:$K$817)), ROW(124:124))), "")</f>
        <v/>
      </c>
      <c r="H127" s="53">
        <f t="array" ref="H127">IFERROR(INDEX('Bank Schedule'!H:H, SMALL(IF('Bank Schedule'!$K$2:$K$817="Vacant", ROW('Bank Schedule'!$K$2:$K$817)), ROW(124:124))), "")</f>
        <v/>
      </c>
      <c r="I127" s="53">
        <f t="array" ref="I127">IFERROR(INDEX('Bank Schedule'!I:I, SMALL(IF('Bank Schedule'!$K$2:$K$817="Vacant", ROW('Bank Schedule'!$K$2:$K$817)), ROW(124:124))), "")</f>
        <v/>
      </c>
      <c r="J127" s="11">
        <f t="array" ref="J127">IFERROR(INDEX('Bank Schedule'!K:K, SMALL(IF('Bank Schedule'!$K$2:$K$817="Vacant", ROW('Bank Schedule'!$K$2:$K$817)), ROW(124:124))), "")</f>
        <v/>
      </c>
      <c r="K127" s="11">
        <f t="array" ref="K127">IFERROR(INDEX('Bank Schedule'!L:L, SMALL(IF('Bank Schedule'!$K$2:$K$817="Vacant", ROW('Bank Schedule'!$K$2:$K$817)), ROW(124:124))), "")</f>
        <v/>
      </c>
      <c r="L127" s="11">
        <f t="array" ref="L127">IFERROR(INDEX('Bank Schedule'!M:M, SMALL(IF('Bank Schedule'!$K$2:$K$817="Vacant", ROW('Bank Schedule'!$K$2:$K$817)), ROW(124:124))), "")</f>
        <v/>
      </c>
      <c r="M127" s="106">
        <f t="array" ref="M127">IFERROR(INDEX('Bank Schedule'!N:N, SMALL(IF('Bank Schedule'!$K$2:$K$817="Vacant", ROW('Bank Schedule'!$K$2:$K$817)), ROW(124:124))), "")</f>
        <v/>
      </c>
      <c r="N127" s="11">
        <f t="array" ref="N127">IFERROR(INDEX('Bank Schedule'!O:O, SMALL(IF('Bank Schedule'!$K$2:$K$817="Vacant", ROW('Bank Schedule'!$K$2:$K$817)), ROW(124:124))), "")</f>
        <v/>
      </c>
      <c r="O127" s="11">
        <f t="array" ref="O127">IFERROR(INDEX('Bank Schedule'!P:P, SMALL(IF('Bank Schedule'!$K$2:$K$817="Vacant", ROW('Bank Schedule'!$K$2:$K$817)), ROW(124:124))), "")</f>
        <v/>
      </c>
      <c r="P127" s="11">
        <f t="array" ref="P127">IFERROR(INDEX('Bank Schedule'!Q:Q, SMALL(IF('Bank Schedule'!$K$2:$K$817="Vacant", ROW('Bank Schedule'!$K$2:$K$817)), ROW(124:124))), "")</f>
        <v/>
      </c>
      <c r="Q127" s="11">
        <f t="array" ref="Q127">IFERROR(INDEX('Bank Schedule'!R:R, SMALL(IF('Bank Schedule'!$K$2:$K$817="Vacant", ROW('Bank Schedule'!$K$2:$K$817)), ROW(124:124))), "")</f>
        <v/>
      </c>
      <c r="R127" s="11">
        <f t="array" ref="R127">IFERROR(INDEX('Bank Schedule'!S:S, SMALL(IF('Bank Schedule'!$K$2:$K$817="Vacant", ROW('Bank Schedule'!$K$2:$K$817)), ROW(124:124))), "")</f>
        <v/>
      </c>
      <c r="S127" s="301">
        <f t="array" ref="S127">IFERROR(INDEX('Bank Schedule'!T:T, SMALL(IF('Bank Schedule'!$K$2:$K$817="Vacant", ROW('Bank Schedule'!$K$2:$K$817)), ROW(124:124))), "")</f>
        <v/>
      </c>
      <c r="T127" s="301">
        <f t="array" ref="T127">IFERROR(INDEX('Bank Schedule'!U:U, SMALL(IF('Bank Schedule'!$K$2:$K$817="Vacant", ROW('Bank Schedule'!$K$2:$K$817)), ROW(124:124))), "")</f>
        <v/>
      </c>
      <c r="U127" s="301">
        <f t="array" ref="U127">IFERROR(INDEX('Bank Schedule'!V:V, SMALL(IF('Bank Schedule'!$K$2:$K$817="Vacant", ROW('Bank Schedule'!$K$2:$K$817)), ROW(124:124))), "")</f>
        <v/>
      </c>
      <c r="V127" s="301">
        <f t="array" ref="V127">IFERROR(INDEX('Bank Schedule'!W:W, SMALL(IF('Bank Schedule'!$K$2:$K$817="Vacant", ROW('Bank Schedule'!$K$2:$K$817)), ROW(124:124))), "")</f>
        <v/>
      </c>
      <c r="W127" s="300">
        <f t="array" ref="W127">IFERROR(INDEX('Bank Schedule'!X:X, SMALL(IF('Bank Schedule'!$K$2:$K$817="Vacant", ROW('Bank Schedule'!$K$2:$K$817)), ROW(124:124))), "")</f>
        <v/>
      </c>
      <c r="X127" s="11">
        <f t="array" ref="X127">IFERROR(INDEX('Bank Schedule'!Y:Y, SMALL(IF('Bank Schedule'!$K$2:$K$817="Vacant", ROW('Bank Schedule'!$K$2:$K$817)), ROW(124:124))), "")</f>
        <v/>
      </c>
      <c r="Y127" s="11">
        <f t="array" ref="Y127">IFERROR(INDEX('Bank Schedule'!Z:Z, SMALL(IF('Bank Schedule'!$K$2:$K$817="Vacant", ROW('Bank Schedule'!$K$2:$K$817)), ROW(124:124))), "")</f>
        <v/>
      </c>
      <c r="Z127" s="11">
        <f t="array" ref="Z127">IFERROR(INDEX('Bank Schedule'!AA:AA, SMALL(IF('Bank Schedule'!$K$2:$K$817="Vacant", ROW('Bank Schedule'!$K$2:$K$817)), ROW(124:124))), "")</f>
        <v/>
      </c>
      <c r="AA127" s="11">
        <f t="array" ref="AA127">IFERROR(INDEX('Bank Schedule'!AB:AB, SMALL(IF('Bank Schedule'!$K$2:$K$817="Vacant", ROW('Bank Schedule'!$K$2:$K$817)), ROW(124:124))), "")</f>
        <v/>
      </c>
      <c r="AB127" s="25">
        <f t="array" ref="AB127">IFERROR(INDEX('Bank Schedule'!AC:AC, SMALL(IF('Bank Schedule'!$K$2:$K$817="Vacant", ROW('Bank Schedule'!$K$2:$K$817)), ROW(124:124))), "")</f>
        <v/>
      </c>
      <c r="AC127" s="277">
        <f t="array" ref="AC127">IFERROR(INDEX('Bank Schedule'!AD:AD, SMALL(IF('Bank Schedule'!$K$2:$K$817="Vacant", ROW('Bank Schedule'!$K$2:$K$817)), ROW(124:124))), "")</f>
        <v/>
      </c>
      <c r="AD127" s="11">
        <f t="array" ref="AD127">IFERROR(INDEX('Bank Schedule'!AE:AE, SMALL(IF('Bank Schedule'!$K$2:$K$817="Vacant", ROW('Bank Schedule'!$K$2:$K$817)), ROW(124:124))), "")</f>
        <v/>
      </c>
      <c r="AE127" s="11">
        <f t="array" ref="AE127">IFERROR(INDEX('Bank Schedule'!AF:AF, SMALL(IF('Bank Schedule'!$K$2:$K$817="Vacant", ROW('Bank Schedule'!$K$2:$K$817)), ROW(124:124))), "")</f>
        <v/>
      </c>
      <c r="AF127" s="11">
        <f t="array" ref="AF127">IFERROR(INDEX('Bank Schedule'!AG:AG, SMALL(IF('Bank Schedule'!$K$2:$K$817="Vacant", ROW('Bank Schedule'!$K$2:$K$817)), ROW(124:124))), "")</f>
        <v/>
      </c>
      <c r="AG127" s="4" t="n"/>
    </row>
    <row r="128" ht="28.5" customHeight="1">
      <c r="A128" s="2">
        <f t="array" ref="A128">IFERROR(INDEX('Bank Schedule'!A:A, SMALL(IF('Bank Schedule'!$K$2:$K$817="Vacant", ROW('Bank Schedule'!$K$2:$K$817)), ROW(125:125))), "")</f>
        <v/>
      </c>
      <c r="B128" s="11">
        <f t="array" ref="B128">IFERROR(INDEX('Bank Schedule'!B:B, SMALL(IF('Bank Schedule'!$K$2:$K$817="Vacant", ROW('Bank Schedule'!$K$2:$K$817)), ROW(125:125))), "")</f>
        <v/>
      </c>
      <c r="C128" s="11">
        <f t="array" ref="C128">IFERROR(INDEX('Bank Schedule'!C:C, SMALL(IF('Bank Schedule'!$K$2:$K$817="Vacant", ROW('Bank Schedule'!$K$2:$K$817)), ROW(125:125))), "")</f>
        <v/>
      </c>
      <c r="D128" s="11">
        <f t="array" ref="D128">IFERROR(INDEX('Bank Schedule'!D:D, SMALL(IF('Bank Schedule'!$K$2:$K$817="Vacant", ROW('Bank Schedule'!$K$2:$K$817)), ROW(125:125))), "")</f>
        <v/>
      </c>
      <c r="E128" s="25">
        <f t="array" ref="E128">IFERROR(INDEX('Bank Schedule'!E:E, SMALL(IF('Bank Schedule'!$K$2:$K$817="Vacant", ROW('Bank Schedule'!$K$2:$K$817)), ROW(125:125))), "")</f>
        <v/>
      </c>
      <c r="F128" s="25">
        <f t="array" ref="F128">IFERROR(INDEX('Bank Schedule'!F:F, SMALL(IF('Bank Schedule'!$K$2:$K$817="Vacant", ROW('Bank Schedule'!$K$2:$K$817)), ROW(125:125))), "")</f>
        <v/>
      </c>
      <c r="G128" s="25">
        <f t="array" ref="G128">IFERROR(INDEX('Bank Schedule'!G:G, SMALL(IF('Bank Schedule'!$K$2:$K$817="Vacant", ROW('Bank Schedule'!$K$2:$K$817)), ROW(125:125))), "")</f>
        <v/>
      </c>
      <c r="H128" s="53">
        <f t="array" ref="H128">IFERROR(INDEX('Bank Schedule'!H:H, SMALL(IF('Bank Schedule'!$K$2:$K$817="Vacant", ROW('Bank Schedule'!$K$2:$K$817)), ROW(125:125))), "")</f>
        <v/>
      </c>
      <c r="I128" s="53">
        <f t="array" ref="I128">IFERROR(INDEX('Bank Schedule'!I:I, SMALL(IF('Bank Schedule'!$K$2:$K$817="Vacant", ROW('Bank Schedule'!$K$2:$K$817)), ROW(125:125))), "")</f>
        <v/>
      </c>
      <c r="J128" s="11">
        <f t="array" ref="J128">IFERROR(INDEX('Bank Schedule'!K:K, SMALL(IF('Bank Schedule'!$K$2:$K$817="Vacant", ROW('Bank Schedule'!$K$2:$K$817)), ROW(125:125))), "")</f>
        <v/>
      </c>
      <c r="K128" s="11">
        <f t="array" ref="K128">IFERROR(INDEX('Bank Schedule'!L:L, SMALL(IF('Bank Schedule'!$K$2:$K$817="Vacant", ROW('Bank Schedule'!$K$2:$K$817)), ROW(125:125))), "")</f>
        <v/>
      </c>
      <c r="L128" s="11">
        <f t="array" ref="L128">IFERROR(INDEX('Bank Schedule'!M:M, SMALL(IF('Bank Schedule'!$K$2:$K$817="Vacant", ROW('Bank Schedule'!$K$2:$K$817)), ROW(125:125))), "")</f>
        <v/>
      </c>
      <c r="M128" s="106">
        <f t="array" ref="M128">IFERROR(INDEX('Bank Schedule'!N:N, SMALL(IF('Bank Schedule'!$K$2:$K$817="Vacant", ROW('Bank Schedule'!$K$2:$K$817)), ROW(125:125))), "")</f>
        <v/>
      </c>
      <c r="N128" s="11">
        <f t="array" ref="N128">IFERROR(INDEX('Bank Schedule'!O:O, SMALL(IF('Bank Schedule'!$K$2:$K$817="Vacant", ROW('Bank Schedule'!$K$2:$K$817)), ROW(125:125))), "")</f>
        <v/>
      </c>
      <c r="O128" s="11">
        <f t="array" ref="O128">IFERROR(INDEX('Bank Schedule'!P:P, SMALL(IF('Bank Schedule'!$K$2:$K$817="Vacant", ROW('Bank Schedule'!$K$2:$K$817)), ROW(125:125))), "")</f>
        <v/>
      </c>
      <c r="P128" s="11">
        <f t="array" ref="P128">IFERROR(INDEX('Bank Schedule'!Q:Q, SMALL(IF('Bank Schedule'!$K$2:$K$817="Vacant", ROW('Bank Schedule'!$K$2:$K$817)), ROW(125:125))), "")</f>
        <v/>
      </c>
      <c r="Q128" s="11">
        <f t="array" ref="Q128">IFERROR(INDEX('Bank Schedule'!R:R, SMALL(IF('Bank Schedule'!$K$2:$K$817="Vacant", ROW('Bank Schedule'!$K$2:$K$817)), ROW(125:125))), "")</f>
        <v/>
      </c>
      <c r="R128" s="11">
        <f t="array" ref="R128">IFERROR(INDEX('Bank Schedule'!S:S, SMALL(IF('Bank Schedule'!$K$2:$K$817="Vacant", ROW('Bank Schedule'!$K$2:$K$817)), ROW(125:125))), "")</f>
        <v/>
      </c>
      <c r="S128" s="301">
        <f t="array" ref="S128">IFERROR(INDEX('Bank Schedule'!T:T, SMALL(IF('Bank Schedule'!$K$2:$K$817="Vacant", ROW('Bank Schedule'!$K$2:$K$817)), ROW(125:125))), "")</f>
        <v/>
      </c>
      <c r="T128" s="301">
        <f t="array" ref="T128">IFERROR(INDEX('Bank Schedule'!U:U, SMALL(IF('Bank Schedule'!$K$2:$K$817="Vacant", ROW('Bank Schedule'!$K$2:$K$817)), ROW(125:125))), "")</f>
        <v/>
      </c>
      <c r="U128" s="301">
        <f t="array" ref="U128">IFERROR(INDEX('Bank Schedule'!V:V, SMALL(IF('Bank Schedule'!$K$2:$K$817="Vacant", ROW('Bank Schedule'!$K$2:$K$817)), ROW(125:125))), "")</f>
        <v/>
      </c>
      <c r="V128" s="301">
        <f t="array" ref="V128">IFERROR(INDEX('Bank Schedule'!W:W, SMALL(IF('Bank Schedule'!$K$2:$K$817="Vacant", ROW('Bank Schedule'!$K$2:$K$817)), ROW(125:125))), "")</f>
        <v/>
      </c>
      <c r="W128" s="300">
        <f t="array" ref="W128">IFERROR(INDEX('Bank Schedule'!X:X, SMALL(IF('Bank Schedule'!$K$2:$K$817="Vacant", ROW('Bank Schedule'!$K$2:$K$817)), ROW(125:125))), "")</f>
        <v/>
      </c>
      <c r="X128" s="11">
        <f t="array" ref="X128">IFERROR(INDEX('Bank Schedule'!Y:Y, SMALL(IF('Bank Schedule'!$K$2:$K$817="Vacant", ROW('Bank Schedule'!$K$2:$K$817)), ROW(125:125))), "")</f>
        <v/>
      </c>
      <c r="Y128" s="11">
        <f t="array" ref="Y128">IFERROR(INDEX('Bank Schedule'!Z:Z, SMALL(IF('Bank Schedule'!$K$2:$K$817="Vacant", ROW('Bank Schedule'!$K$2:$K$817)), ROW(125:125))), "")</f>
        <v/>
      </c>
      <c r="Z128" s="11">
        <f t="array" ref="Z128">IFERROR(INDEX('Bank Schedule'!AA:AA, SMALL(IF('Bank Schedule'!$K$2:$K$817="Vacant", ROW('Bank Schedule'!$K$2:$K$817)), ROW(125:125))), "")</f>
        <v/>
      </c>
      <c r="AA128" s="11">
        <f t="array" ref="AA128">IFERROR(INDEX('Bank Schedule'!AB:AB, SMALL(IF('Bank Schedule'!$K$2:$K$817="Vacant", ROW('Bank Schedule'!$K$2:$K$817)), ROW(125:125))), "")</f>
        <v/>
      </c>
      <c r="AB128" s="25">
        <f t="array" ref="AB128">IFERROR(INDEX('Bank Schedule'!AC:AC, SMALL(IF('Bank Schedule'!$K$2:$K$817="Vacant", ROW('Bank Schedule'!$K$2:$K$817)), ROW(125:125))), "")</f>
        <v/>
      </c>
      <c r="AC128" s="277">
        <f t="array" ref="AC128">IFERROR(INDEX('Bank Schedule'!AD:AD, SMALL(IF('Bank Schedule'!$K$2:$K$817="Vacant", ROW('Bank Schedule'!$K$2:$K$817)), ROW(125:125))), "")</f>
        <v/>
      </c>
      <c r="AD128" s="11">
        <f t="array" ref="AD128">IFERROR(INDEX('Bank Schedule'!AE:AE, SMALL(IF('Bank Schedule'!$K$2:$K$817="Vacant", ROW('Bank Schedule'!$K$2:$K$817)), ROW(125:125))), "")</f>
        <v/>
      </c>
      <c r="AE128" s="11">
        <f t="array" ref="AE128">IFERROR(INDEX('Bank Schedule'!AF:AF, SMALL(IF('Bank Schedule'!$K$2:$K$817="Vacant", ROW('Bank Schedule'!$K$2:$K$817)), ROW(125:125))), "")</f>
        <v/>
      </c>
      <c r="AF128" s="11">
        <f t="array" ref="AF128">IFERROR(INDEX('Bank Schedule'!AG:AG, SMALL(IF('Bank Schedule'!$K$2:$K$817="Vacant", ROW('Bank Schedule'!$K$2:$K$817)), ROW(125:125))), "")</f>
        <v/>
      </c>
      <c r="AG128" s="4" t="n"/>
    </row>
    <row r="129" ht="28.5" customHeight="1">
      <c r="A129" s="2">
        <f t="array" ref="A129">IFERROR(INDEX('Bank Schedule'!A:A, SMALL(IF('Bank Schedule'!$K$2:$K$817="Vacant", ROW('Bank Schedule'!$K$2:$K$817)), ROW(126:126))), "")</f>
        <v/>
      </c>
      <c r="B129" s="11">
        <f t="array" ref="B129">IFERROR(INDEX('Bank Schedule'!B:B, SMALL(IF('Bank Schedule'!$K$2:$K$817="Vacant", ROW('Bank Schedule'!$K$2:$K$817)), ROW(126:126))), "")</f>
        <v/>
      </c>
      <c r="C129" s="11">
        <f t="array" ref="C129">IFERROR(INDEX('Bank Schedule'!C:C, SMALL(IF('Bank Schedule'!$K$2:$K$817="Vacant", ROW('Bank Schedule'!$K$2:$K$817)), ROW(126:126))), "")</f>
        <v/>
      </c>
      <c r="D129" s="11">
        <f t="array" ref="D129">IFERROR(INDEX('Bank Schedule'!D:D, SMALL(IF('Bank Schedule'!$K$2:$K$817="Vacant", ROW('Bank Schedule'!$K$2:$K$817)), ROW(126:126))), "")</f>
        <v/>
      </c>
      <c r="E129" s="25">
        <f t="array" ref="E129">IFERROR(INDEX('Bank Schedule'!E:E, SMALL(IF('Bank Schedule'!$K$2:$K$817="Vacant", ROW('Bank Schedule'!$K$2:$K$817)), ROW(126:126))), "")</f>
        <v/>
      </c>
      <c r="F129" s="25">
        <f t="array" ref="F129">IFERROR(INDEX('Bank Schedule'!F:F, SMALL(IF('Bank Schedule'!$K$2:$K$817="Vacant", ROW('Bank Schedule'!$K$2:$K$817)), ROW(126:126))), "")</f>
        <v/>
      </c>
      <c r="G129" s="25">
        <f t="array" ref="G129">IFERROR(INDEX('Bank Schedule'!G:G, SMALL(IF('Bank Schedule'!$K$2:$K$817="Vacant", ROW('Bank Schedule'!$K$2:$K$817)), ROW(126:126))), "")</f>
        <v/>
      </c>
      <c r="H129" s="53">
        <f t="array" ref="H129">IFERROR(INDEX('Bank Schedule'!H:H, SMALL(IF('Bank Schedule'!$K$2:$K$817="Vacant", ROW('Bank Schedule'!$K$2:$K$817)), ROW(126:126))), "")</f>
        <v/>
      </c>
      <c r="I129" s="53">
        <f t="array" ref="I129">IFERROR(INDEX('Bank Schedule'!I:I, SMALL(IF('Bank Schedule'!$K$2:$K$817="Vacant", ROW('Bank Schedule'!$K$2:$K$817)), ROW(126:126))), "")</f>
        <v/>
      </c>
      <c r="J129" s="11">
        <f t="array" ref="J129">IFERROR(INDEX('Bank Schedule'!K:K, SMALL(IF('Bank Schedule'!$K$2:$K$817="Vacant", ROW('Bank Schedule'!$K$2:$K$817)), ROW(126:126))), "")</f>
        <v/>
      </c>
      <c r="K129" s="11">
        <f t="array" ref="K129">IFERROR(INDEX('Bank Schedule'!L:L, SMALL(IF('Bank Schedule'!$K$2:$K$817="Vacant", ROW('Bank Schedule'!$K$2:$K$817)), ROW(126:126))), "")</f>
        <v/>
      </c>
      <c r="L129" s="11">
        <f t="array" ref="L129">IFERROR(INDEX('Bank Schedule'!M:M, SMALL(IF('Bank Schedule'!$K$2:$K$817="Vacant", ROW('Bank Schedule'!$K$2:$K$817)), ROW(126:126))), "")</f>
        <v/>
      </c>
      <c r="M129" s="106">
        <f t="array" ref="M129">IFERROR(INDEX('Bank Schedule'!N:N, SMALL(IF('Bank Schedule'!$K$2:$K$817="Vacant", ROW('Bank Schedule'!$K$2:$K$817)), ROW(126:126))), "")</f>
        <v/>
      </c>
      <c r="N129" s="11">
        <f t="array" ref="N129">IFERROR(INDEX('Bank Schedule'!O:O, SMALL(IF('Bank Schedule'!$K$2:$K$817="Vacant", ROW('Bank Schedule'!$K$2:$K$817)), ROW(126:126))), "")</f>
        <v/>
      </c>
      <c r="O129" s="11">
        <f t="array" ref="O129">IFERROR(INDEX('Bank Schedule'!P:P, SMALL(IF('Bank Schedule'!$K$2:$K$817="Vacant", ROW('Bank Schedule'!$K$2:$K$817)), ROW(126:126))), "")</f>
        <v/>
      </c>
      <c r="P129" s="11">
        <f t="array" ref="P129">IFERROR(INDEX('Bank Schedule'!Q:Q, SMALL(IF('Bank Schedule'!$K$2:$K$817="Vacant", ROW('Bank Schedule'!$K$2:$K$817)), ROW(126:126))), "")</f>
        <v/>
      </c>
      <c r="Q129" s="11">
        <f t="array" ref="Q129">IFERROR(INDEX('Bank Schedule'!R:R, SMALL(IF('Bank Schedule'!$K$2:$K$817="Vacant", ROW('Bank Schedule'!$K$2:$K$817)), ROW(126:126))), "")</f>
        <v/>
      </c>
      <c r="R129" s="11">
        <f t="array" ref="R129">IFERROR(INDEX('Bank Schedule'!S:S, SMALL(IF('Bank Schedule'!$K$2:$K$817="Vacant", ROW('Bank Schedule'!$K$2:$K$817)), ROW(126:126))), "")</f>
        <v/>
      </c>
      <c r="S129" s="301">
        <f t="array" ref="S129">IFERROR(INDEX('Bank Schedule'!T:T, SMALL(IF('Bank Schedule'!$K$2:$K$817="Vacant", ROW('Bank Schedule'!$K$2:$K$817)), ROW(126:126))), "")</f>
        <v/>
      </c>
      <c r="T129" s="301">
        <f t="array" ref="T129">IFERROR(INDEX('Bank Schedule'!U:U, SMALL(IF('Bank Schedule'!$K$2:$K$817="Vacant", ROW('Bank Schedule'!$K$2:$K$817)), ROW(126:126))), "")</f>
        <v/>
      </c>
      <c r="U129" s="301">
        <f t="array" ref="U129">IFERROR(INDEX('Bank Schedule'!V:V, SMALL(IF('Bank Schedule'!$K$2:$K$817="Vacant", ROW('Bank Schedule'!$K$2:$K$817)), ROW(126:126))), "")</f>
        <v/>
      </c>
      <c r="V129" s="301">
        <f t="array" ref="V129">IFERROR(INDEX('Bank Schedule'!W:W, SMALL(IF('Bank Schedule'!$K$2:$K$817="Vacant", ROW('Bank Schedule'!$K$2:$K$817)), ROW(126:126))), "")</f>
        <v/>
      </c>
      <c r="W129" s="300">
        <f t="array" ref="W129">IFERROR(INDEX('Bank Schedule'!X:X, SMALL(IF('Bank Schedule'!$K$2:$K$817="Vacant", ROW('Bank Schedule'!$K$2:$K$817)), ROW(126:126))), "")</f>
        <v/>
      </c>
      <c r="X129" s="11">
        <f t="array" ref="X129">IFERROR(INDEX('Bank Schedule'!Y:Y, SMALL(IF('Bank Schedule'!$K$2:$K$817="Vacant", ROW('Bank Schedule'!$K$2:$K$817)), ROW(126:126))), "")</f>
        <v/>
      </c>
      <c r="Y129" s="11">
        <f t="array" ref="Y129">IFERROR(INDEX('Bank Schedule'!Z:Z, SMALL(IF('Bank Schedule'!$K$2:$K$817="Vacant", ROW('Bank Schedule'!$K$2:$K$817)), ROW(126:126))), "")</f>
        <v/>
      </c>
      <c r="Z129" s="11">
        <f t="array" ref="Z129">IFERROR(INDEX('Bank Schedule'!AA:AA, SMALL(IF('Bank Schedule'!$K$2:$K$817="Vacant", ROW('Bank Schedule'!$K$2:$K$817)), ROW(126:126))), "")</f>
        <v/>
      </c>
      <c r="AA129" s="11">
        <f t="array" ref="AA129">IFERROR(INDEX('Bank Schedule'!AB:AB, SMALL(IF('Bank Schedule'!$K$2:$K$817="Vacant", ROW('Bank Schedule'!$K$2:$K$817)), ROW(126:126))), "")</f>
        <v/>
      </c>
      <c r="AB129" s="25">
        <f t="array" ref="AB129">IFERROR(INDEX('Bank Schedule'!AC:AC, SMALL(IF('Bank Schedule'!$K$2:$K$817="Vacant", ROW('Bank Schedule'!$K$2:$K$817)), ROW(126:126))), "")</f>
        <v/>
      </c>
      <c r="AC129" s="277">
        <f t="array" ref="AC129">IFERROR(INDEX('Bank Schedule'!AD:AD, SMALL(IF('Bank Schedule'!$K$2:$K$817="Vacant", ROW('Bank Schedule'!$K$2:$K$817)), ROW(126:126))), "")</f>
        <v/>
      </c>
      <c r="AD129" s="11">
        <f t="array" ref="AD129">IFERROR(INDEX('Bank Schedule'!AE:AE, SMALL(IF('Bank Schedule'!$K$2:$K$817="Vacant", ROW('Bank Schedule'!$K$2:$K$817)), ROW(126:126))), "")</f>
        <v/>
      </c>
      <c r="AE129" s="11">
        <f t="array" ref="AE129">IFERROR(INDEX('Bank Schedule'!AF:AF, SMALL(IF('Bank Schedule'!$K$2:$K$817="Vacant", ROW('Bank Schedule'!$K$2:$K$817)), ROW(126:126))), "")</f>
        <v/>
      </c>
      <c r="AF129" s="11">
        <f t="array" ref="AF129">IFERROR(INDEX('Bank Schedule'!AG:AG, SMALL(IF('Bank Schedule'!$K$2:$K$817="Vacant", ROW('Bank Schedule'!$K$2:$K$817)), ROW(126:126))), "")</f>
        <v/>
      </c>
      <c r="AG129" s="4" t="n"/>
    </row>
    <row r="130" ht="28.5" customHeight="1">
      <c r="A130" s="2">
        <f t="array" ref="A130">IFERROR(INDEX('Bank Schedule'!A:A, SMALL(IF('Bank Schedule'!$K$2:$K$817="Vacant", ROW('Bank Schedule'!$K$2:$K$817)), ROW(127:127))), "")</f>
        <v/>
      </c>
      <c r="B130" s="11">
        <f t="array" ref="B130">IFERROR(INDEX('Bank Schedule'!B:B, SMALL(IF('Bank Schedule'!$K$2:$K$817="Vacant", ROW('Bank Schedule'!$K$2:$K$817)), ROW(127:127))), "")</f>
        <v/>
      </c>
      <c r="C130" s="11">
        <f t="array" ref="C130">IFERROR(INDEX('Bank Schedule'!C:C, SMALL(IF('Bank Schedule'!$K$2:$K$817="Vacant", ROW('Bank Schedule'!$K$2:$K$817)), ROW(127:127))), "")</f>
        <v/>
      </c>
      <c r="D130" s="11">
        <f t="array" ref="D130">IFERROR(INDEX('Bank Schedule'!D:D, SMALL(IF('Bank Schedule'!$K$2:$K$817="Vacant", ROW('Bank Schedule'!$K$2:$K$817)), ROW(127:127))), "")</f>
        <v/>
      </c>
      <c r="E130" s="25">
        <f t="array" ref="E130">IFERROR(INDEX('Bank Schedule'!E:E, SMALL(IF('Bank Schedule'!$K$2:$K$817="Vacant", ROW('Bank Schedule'!$K$2:$K$817)), ROW(127:127))), "")</f>
        <v/>
      </c>
      <c r="F130" s="25">
        <f t="array" ref="F130">IFERROR(INDEX('Bank Schedule'!F:F, SMALL(IF('Bank Schedule'!$K$2:$K$817="Vacant", ROW('Bank Schedule'!$K$2:$K$817)), ROW(127:127))), "")</f>
        <v/>
      </c>
      <c r="G130" s="25">
        <f t="array" ref="G130">IFERROR(INDEX('Bank Schedule'!G:G, SMALL(IF('Bank Schedule'!$K$2:$K$817="Vacant", ROW('Bank Schedule'!$K$2:$K$817)), ROW(127:127))), "")</f>
        <v/>
      </c>
      <c r="H130" s="53">
        <f t="array" ref="H130">IFERROR(INDEX('Bank Schedule'!H:H, SMALL(IF('Bank Schedule'!$K$2:$K$817="Vacant", ROW('Bank Schedule'!$K$2:$K$817)), ROW(127:127))), "")</f>
        <v/>
      </c>
      <c r="I130" s="53">
        <f t="array" ref="I130">IFERROR(INDEX('Bank Schedule'!I:I, SMALL(IF('Bank Schedule'!$K$2:$K$817="Vacant", ROW('Bank Schedule'!$K$2:$K$817)), ROW(127:127))), "")</f>
        <v/>
      </c>
      <c r="J130" s="11">
        <f t="array" ref="J130">IFERROR(INDEX('Bank Schedule'!K:K, SMALL(IF('Bank Schedule'!$K$2:$K$817="Vacant", ROW('Bank Schedule'!$K$2:$K$817)), ROW(127:127))), "")</f>
        <v/>
      </c>
      <c r="K130" s="11">
        <f t="array" ref="K130">IFERROR(INDEX('Bank Schedule'!L:L, SMALL(IF('Bank Schedule'!$K$2:$K$817="Vacant", ROW('Bank Schedule'!$K$2:$K$817)), ROW(127:127))), "")</f>
        <v/>
      </c>
      <c r="L130" s="11">
        <f t="array" ref="L130">IFERROR(INDEX('Bank Schedule'!M:M, SMALL(IF('Bank Schedule'!$K$2:$K$817="Vacant", ROW('Bank Schedule'!$K$2:$K$817)), ROW(127:127))), "")</f>
        <v/>
      </c>
      <c r="M130" s="106">
        <f t="array" ref="M130">IFERROR(INDEX('Bank Schedule'!N:N, SMALL(IF('Bank Schedule'!$K$2:$K$817="Vacant", ROW('Bank Schedule'!$K$2:$K$817)), ROW(127:127))), "")</f>
        <v/>
      </c>
      <c r="N130" s="11">
        <f t="array" ref="N130">IFERROR(INDEX('Bank Schedule'!O:O, SMALL(IF('Bank Schedule'!$K$2:$K$817="Vacant", ROW('Bank Schedule'!$K$2:$K$817)), ROW(127:127))), "")</f>
        <v/>
      </c>
      <c r="O130" s="11">
        <f t="array" ref="O130">IFERROR(INDEX('Bank Schedule'!P:P, SMALL(IF('Bank Schedule'!$K$2:$K$817="Vacant", ROW('Bank Schedule'!$K$2:$K$817)), ROW(127:127))), "")</f>
        <v/>
      </c>
      <c r="P130" s="11">
        <f t="array" ref="P130">IFERROR(INDEX('Bank Schedule'!Q:Q, SMALL(IF('Bank Schedule'!$K$2:$K$817="Vacant", ROW('Bank Schedule'!$K$2:$K$817)), ROW(127:127))), "")</f>
        <v/>
      </c>
      <c r="Q130" s="11">
        <f t="array" ref="Q130">IFERROR(INDEX('Bank Schedule'!R:R, SMALL(IF('Bank Schedule'!$K$2:$K$817="Vacant", ROW('Bank Schedule'!$K$2:$K$817)), ROW(127:127))), "")</f>
        <v/>
      </c>
      <c r="R130" s="11">
        <f t="array" ref="R130">IFERROR(INDEX('Bank Schedule'!S:S, SMALL(IF('Bank Schedule'!$K$2:$K$817="Vacant", ROW('Bank Schedule'!$K$2:$K$817)), ROW(127:127))), "")</f>
        <v/>
      </c>
      <c r="S130" s="301">
        <f t="array" ref="S130">IFERROR(INDEX('Bank Schedule'!T:T, SMALL(IF('Bank Schedule'!$K$2:$K$817="Vacant", ROW('Bank Schedule'!$K$2:$K$817)), ROW(127:127))), "")</f>
        <v/>
      </c>
      <c r="T130" s="301">
        <f t="array" ref="T130">IFERROR(INDEX('Bank Schedule'!U:U, SMALL(IF('Bank Schedule'!$K$2:$K$817="Vacant", ROW('Bank Schedule'!$K$2:$K$817)), ROW(127:127))), "")</f>
        <v/>
      </c>
      <c r="U130" s="301">
        <f t="array" ref="U130">IFERROR(INDEX('Bank Schedule'!V:V, SMALL(IF('Bank Schedule'!$K$2:$K$817="Vacant", ROW('Bank Schedule'!$K$2:$K$817)), ROW(127:127))), "")</f>
        <v/>
      </c>
      <c r="V130" s="301">
        <f t="array" ref="V130">IFERROR(INDEX('Bank Schedule'!W:W, SMALL(IF('Bank Schedule'!$K$2:$K$817="Vacant", ROW('Bank Schedule'!$K$2:$K$817)), ROW(127:127))), "")</f>
        <v/>
      </c>
      <c r="W130" s="300">
        <f t="array" ref="W130">IFERROR(INDEX('Bank Schedule'!X:X, SMALL(IF('Bank Schedule'!$K$2:$K$817="Vacant", ROW('Bank Schedule'!$K$2:$K$817)), ROW(127:127))), "")</f>
        <v/>
      </c>
      <c r="X130" s="11">
        <f t="array" ref="X130">IFERROR(INDEX('Bank Schedule'!Y:Y, SMALL(IF('Bank Schedule'!$K$2:$K$817="Vacant", ROW('Bank Schedule'!$K$2:$K$817)), ROW(127:127))), "")</f>
        <v/>
      </c>
      <c r="Y130" s="11">
        <f t="array" ref="Y130">IFERROR(INDEX('Bank Schedule'!Z:Z, SMALL(IF('Bank Schedule'!$K$2:$K$817="Vacant", ROW('Bank Schedule'!$K$2:$K$817)), ROW(127:127))), "")</f>
        <v/>
      </c>
      <c r="Z130" s="11">
        <f t="array" ref="Z130">IFERROR(INDEX('Bank Schedule'!AA:AA, SMALL(IF('Bank Schedule'!$K$2:$K$817="Vacant", ROW('Bank Schedule'!$K$2:$K$817)), ROW(127:127))), "")</f>
        <v/>
      </c>
      <c r="AA130" s="11">
        <f t="array" ref="AA130">IFERROR(INDEX('Bank Schedule'!AB:AB, SMALL(IF('Bank Schedule'!$K$2:$K$817="Vacant", ROW('Bank Schedule'!$K$2:$K$817)), ROW(127:127))), "")</f>
        <v/>
      </c>
      <c r="AB130" s="25">
        <f t="array" ref="AB130">IFERROR(INDEX('Bank Schedule'!AC:AC, SMALL(IF('Bank Schedule'!$K$2:$K$817="Vacant", ROW('Bank Schedule'!$K$2:$K$817)), ROW(127:127))), "")</f>
        <v/>
      </c>
      <c r="AC130" s="277">
        <f t="array" ref="AC130">IFERROR(INDEX('Bank Schedule'!AD:AD, SMALL(IF('Bank Schedule'!$K$2:$K$817="Vacant", ROW('Bank Schedule'!$K$2:$K$817)), ROW(127:127))), "")</f>
        <v/>
      </c>
      <c r="AD130" s="11">
        <f t="array" ref="AD130">IFERROR(INDEX('Bank Schedule'!AE:AE, SMALL(IF('Bank Schedule'!$K$2:$K$817="Vacant", ROW('Bank Schedule'!$K$2:$K$817)), ROW(127:127))), "")</f>
        <v/>
      </c>
      <c r="AE130" s="11">
        <f t="array" ref="AE130">IFERROR(INDEX('Bank Schedule'!AF:AF, SMALL(IF('Bank Schedule'!$K$2:$K$817="Vacant", ROW('Bank Schedule'!$K$2:$K$817)), ROW(127:127))), "")</f>
        <v/>
      </c>
      <c r="AF130" s="11">
        <f t="array" ref="AF130">IFERROR(INDEX('Bank Schedule'!AG:AG, SMALL(IF('Bank Schedule'!$K$2:$K$817="Vacant", ROW('Bank Schedule'!$K$2:$K$817)), ROW(127:127))), "")</f>
        <v/>
      </c>
      <c r="AG130" s="4" t="n"/>
    </row>
    <row r="131" ht="28.5" customHeight="1">
      <c r="A131" s="2">
        <f t="array" ref="A131">IFERROR(INDEX('Bank Schedule'!A:A, SMALL(IF('Bank Schedule'!$K$2:$K$817="Vacant", ROW('Bank Schedule'!$K$2:$K$817)), ROW(128:128))), "")</f>
        <v/>
      </c>
      <c r="B131" s="11">
        <f t="array" ref="B131">IFERROR(INDEX('Bank Schedule'!B:B, SMALL(IF('Bank Schedule'!$K$2:$K$817="Vacant", ROW('Bank Schedule'!$K$2:$K$817)), ROW(128:128))), "")</f>
        <v/>
      </c>
      <c r="C131" s="11">
        <f t="array" ref="C131">IFERROR(INDEX('Bank Schedule'!C:C, SMALL(IF('Bank Schedule'!$K$2:$K$817="Vacant", ROW('Bank Schedule'!$K$2:$K$817)), ROW(128:128))), "")</f>
        <v/>
      </c>
      <c r="D131" s="11">
        <f t="array" ref="D131">IFERROR(INDEX('Bank Schedule'!D:D, SMALL(IF('Bank Schedule'!$K$2:$K$817="Vacant", ROW('Bank Schedule'!$K$2:$K$817)), ROW(128:128))), "")</f>
        <v/>
      </c>
      <c r="E131" s="25">
        <f t="array" ref="E131">IFERROR(INDEX('Bank Schedule'!E:E, SMALL(IF('Bank Schedule'!$K$2:$K$817="Vacant", ROW('Bank Schedule'!$K$2:$K$817)), ROW(128:128))), "")</f>
        <v/>
      </c>
      <c r="F131" s="25">
        <f t="array" ref="F131">IFERROR(INDEX('Bank Schedule'!F:F, SMALL(IF('Bank Schedule'!$K$2:$K$817="Vacant", ROW('Bank Schedule'!$K$2:$K$817)), ROW(128:128))), "")</f>
        <v/>
      </c>
      <c r="G131" s="25">
        <f t="array" ref="G131">IFERROR(INDEX('Bank Schedule'!G:G, SMALL(IF('Bank Schedule'!$K$2:$K$817="Vacant", ROW('Bank Schedule'!$K$2:$K$817)), ROW(128:128))), "")</f>
        <v/>
      </c>
      <c r="H131" s="53">
        <f t="array" ref="H131">IFERROR(INDEX('Bank Schedule'!H:H, SMALL(IF('Bank Schedule'!$K$2:$K$817="Vacant", ROW('Bank Schedule'!$K$2:$K$817)), ROW(128:128))), "")</f>
        <v/>
      </c>
      <c r="I131" s="53">
        <f t="array" ref="I131">IFERROR(INDEX('Bank Schedule'!I:I, SMALL(IF('Bank Schedule'!$K$2:$K$817="Vacant", ROW('Bank Schedule'!$K$2:$K$817)), ROW(128:128))), "")</f>
        <v/>
      </c>
      <c r="J131" s="11">
        <f t="array" ref="J131">IFERROR(INDEX('Bank Schedule'!K:K, SMALL(IF('Bank Schedule'!$K$2:$K$817="Vacant", ROW('Bank Schedule'!$K$2:$K$817)), ROW(128:128))), "")</f>
        <v/>
      </c>
      <c r="K131" s="11">
        <f t="array" ref="K131">IFERROR(INDEX('Bank Schedule'!L:L, SMALL(IF('Bank Schedule'!$K$2:$K$817="Vacant", ROW('Bank Schedule'!$K$2:$K$817)), ROW(128:128))), "")</f>
        <v/>
      </c>
      <c r="L131" s="11">
        <f t="array" ref="L131">IFERROR(INDEX('Bank Schedule'!M:M, SMALL(IF('Bank Schedule'!$K$2:$K$817="Vacant", ROW('Bank Schedule'!$K$2:$K$817)), ROW(128:128))), "")</f>
        <v/>
      </c>
      <c r="M131" s="106">
        <f t="array" ref="M131">IFERROR(INDEX('Bank Schedule'!N:N, SMALL(IF('Bank Schedule'!$K$2:$K$817="Vacant", ROW('Bank Schedule'!$K$2:$K$817)), ROW(128:128))), "")</f>
        <v/>
      </c>
      <c r="N131" s="11">
        <f t="array" ref="N131">IFERROR(INDEX('Bank Schedule'!O:O, SMALL(IF('Bank Schedule'!$K$2:$K$817="Vacant", ROW('Bank Schedule'!$K$2:$K$817)), ROW(128:128))), "")</f>
        <v/>
      </c>
      <c r="O131" s="11">
        <f t="array" ref="O131">IFERROR(INDEX('Bank Schedule'!P:P, SMALL(IF('Bank Schedule'!$K$2:$K$817="Vacant", ROW('Bank Schedule'!$K$2:$K$817)), ROW(128:128))), "")</f>
        <v/>
      </c>
      <c r="P131" s="11">
        <f t="array" ref="P131">IFERROR(INDEX('Bank Schedule'!Q:Q, SMALL(IF('Bank Schedule'!$K$2:$K$817="Vacant", ROW('Bank Schedule'!$K$2:$K$817)), ROW(128:128))), "")</f>
        <v/>
      </c>
      <c r="Q131" s="11">
        <f t="array" ref="Q131">IFERROR(INDEX('Bank Schedule'!R:R, SMALL(IF('Bank Schedule'!$K$2:$K$817="Vacant", ROW('Bank Schedule'!$K$2:$K$817)), ROW(128:128))), "")</f>
        <v/>
      </c>
      <c r="R131" s="11">
        <f t="array" ref="R131">IFERROR(INDEX('Bank Schedule'!S:S, SMALL(IF('Bank Schedule'!$K$2:$K$817="Vacant", ROW('Bank Schedule'!$K$2:$K$817)), ROW(128:128))), "")</f>
        <v/>
      </c>
      <c r="S131" s="301">
        <f t="array" ref="S131">IFERROR(INDEX('Bank Schedule'!T:T, SMALL(IF('Bank Schedule'!$K$2:$K$817="Vacant", ROW('Bank Schedule'!$K$2:$K$817)), ROW(128:128))), "")</f>
        <v/>
      </c>
      <c r="T131" s="301">
        <f t="array" ref="T131">IFERROR(INDEX('Bank Schedule'!U:U, SMALL(IF('Bank Schedule'!$K$2:$K$817="Vacant", ROW('Bank Schedule'!$K$2:$K$817)), ROW(128:128))), "")</f>
        <v/>
      </c>
      <c r="U131" s="301">
        <f t="array" ref="U131">IFERROR(INDEX('Bank Schedule'!V:V, SMALL(IF('Bank Schedule'!$K$2:$K$817="Vacant", ROW('Bank Schedule'!$K$2:$K$817)), ROW(128:128))), "")</f>
        <v/>
      </c>
      <c r="V131" s="301">
        <f t="array" ref="V131">IFERROR(INDEX('Bank Schedule'!W:W, SMALL(IF('Bank Schedule'!$K$2:$K$817="Vacant", ROW('Bank Schedule'!$K$2:$K$817)), ROW(128:128))), "")</f>
        <v/>
      </c>
      <c r="W131" s="300">
        <f t="array" ref="W131">IFERROR(INDEX('Bank Schedule'!X:X, SMALL(IF('Bank Schedule'!$K$2:$K$817="Vacant", ROW('Bank Schedule'!$K$2:$K$817)), ROW(128:128))), "")</f>
        <v/>
      </c>
      <c r="X131" s="11">
        <f t="array" ref="X131">IFERROR(INDEX('Bank Schedule'!Y:Y, SMALL(IF('Bank Schedule'!$K$2:$K$817="Vacant", ROW('Bank Schedule'!$K$2:$K$817)), ROW(128:128))), "")</f>
        <v/>
      </c>
      <c r="Y131" s="11">
        <f t="array" ref="Y131">IFERROR(INDEX('Bank Schedule'!Z:Z, SMALL(IF('Bank Schedule'!$K$2:$K$817="Vacant", ROW('Bank Schedule'!$K$2:$K$817)), ROW(128:128))), "")</f>
        <v/>
      </c>
      <c r="Z131" s="11">
        <f t="array" ref="Z131">IFERROR(INDEX('Bank Schedule'!AA:AA, SMALL(IF('Bank Schedule'!$K$2:$K$817="Vacant", ROW('Bank Schedule'!$K$2:$K$817)), ROW(128:128))), "")</f>
        <v/>
      </c>
      <c r="AA131" s="11">
        <f t="array" ref="AA131">IFERROR(INDEX('Bank Schedule'!AB:AB, SMALL(IF('Bank Schedule'!$K$2:$K$817="Vacant", ROW('Bank Schedule'!$K$2:$K$817)), ROW(128:128))), "")</f>
        <v/>
      </c>
      <c r="AB131" s="25">
        <f t="array" ref="AB131">IFERROR(INDEX('Bank Schedule'!AC:AC, SMALL(IF('Bank Schedule'!$K$2:$K$817="Vacant", ROW('Bank Schedule'!$K$2:$K$817)), ROW(128:128))), "")</f>
        <v/>
      </c>
      <c r="AC131" s="277">
        <f t="array" ref="AC131">IFERROR(INDEX('Bank Schedule'!AD:AD, SMALL(IF('Bank Schedule'!$K$2:$K$817="Vacant", ROW('Bank Schedule'!$K$2:$K$817)), ROW(128:128))), "")</f>
        <v/>
      </c>
      <c r="AD131" s="11">
        <f t="array" ref="AD131">IFERROR(INDEX('Bank Schedule'!AE:AE, SMALL(IF('Bank Schedule'!$K$2:$K$817="Vacant", ROW('Bank Schedule'!$K$2:$K$817)), ROW(128:128))), "")</f>
        <v/>
      </c>
      <c r="AE131" s="11">
        <f t="array" ref="AE131">IFERROR(INDEX('Bank Schedule'!AF:AF, SMALL(IF('Bank Schedule'!$K$2:$K$817="Vacant", ROW('Bank Schedule'!$K$2:$K$817)), ROW(128:128))), "")</f>
        <v/>
      </c>
      <c r="AF131" s="11">
        <f t="array" ref="AF131">IFERROR(INDEX('Bank Schedule'!AG:AG, SMALL(IF('Bank Schedule'!$K$2:$K$817="Vacant", ROW('Bank Schedule'!$K$2:$K$817)), ROW(128:128))), "")</f>
        <v/>
      </c>
      <c r="AG131" s="4" t="n"/>
    </row>
    <row r="132" ht="28.5" customHeight="1">
      <c r="A132" s="2">
        <f t="array" ref="A132">IFERROR(INDEX('Bank Schedule'!A:A, SMALL(IF('Bank Schedule'!$K$2:$K$817="Vacant", ROW('Bank Schedule'!$K$2:$K$817)), ROW(129:129))), "")</f>
        <v/>
      </c>
      <c r="B132" s="11">
        <f t="array" ref="B132">IFERROR(INDEX('Bank Schedule'!B:B, SMALL(IF('Bank Schedule'!$K$2:$K$817="Vacant", ROW('Bank Schedule'!$K$2:$K$817)), ROW(129:129))), "")</f>
        <v/>
      </c>
      <c r="C132" s="11">
        <f t="array" ref="C132">IFERROR(INDEX('Bank Schedule'!C:C, SMALL(IF('Bank Schedule'!$K$2:$K$817="Vacant", ROW('Bank Schedule'!$K$2:$K$817)), ROW(129:129))), "")</f>
        <v/>
      </c>
      <c r="D132" s="11">
        <f t="array" ref="D132">IFERROR(INDEX('Bank Schedule'!D:D, SMALL(IF('Bank Schedule'!$K$2:$K$817="Vacant", ROW('Bank Schedule'!$K$2:$K$817)), ROW(129:129))), "")</f>
        <v/>
      </c>
      <c r="E132" s="25">
        <f t="array" ref="E132">IFERROR(INDEX('Bank Schedule'!E:E, SMALL(IF('Bank Schedule'!$K$2:$K$817="Vacant", ROW('Bank Schedule'!$K$2:$K$817)), ROW(129:129))), "")</f>
        <v/>
      </c>
      <c r="F132" s="25">
        <f t="array" ref="F132">IFERROR(INDEX('Bank Schedule'!F:F, SMALL(IF('Bank Schedule'!$K$2:$K$817="Vacant", ROW('Bank Schedule'!$K$2:$K$817)), ROW(129:129))), "")</f>
        <v/>
      </c>
      <c r="G132" s="25">
        <f t="array" ref="G132">IFERROR(INDEX('Bank Schedule'!G:G, SMALL(IF('Bank Schedule'!$K$2:$K$817="Vacant", ROW('Bank Schedule'!$K$2:$K$817)), ROW(129:129))), "")</f>
        <v/>
      </c>
      <c r="H132" s="53">
        <f t="array" ref="H132">IFERROR(INDEX('Bank Schedule'!H:H, SMALL(IF('Bank Schedule'!$K$2:$K$817="Vacant", ROW('Bank Schedule'!$K$2:$K$817)), ROW(129:129))), "")</f>
        <v/>
      </c>
      <c r="I132" s="53">
        <f t="array" ref="I132">IFERROR(INDEX('Bank Schedule'!I:I, SMALL(IF('Bank Schedule'!$K$2:$K$817="Vacant", ROW('Bank Schedule'!$K$2:$K$817)), ROW(129:129))), "")</f>
        <v/>
      </c>
      <c r="J132" s="11">
        <f t="array" ref="J132">IFERROR(INDEX('Bank Schedule'!K:K, SMALL(IF('Bank Schedule'!$K$2:$K$817="Vacant", ROW('Bank Schedule'!$K$2:$K$817)), ROW(129:129))), "")</f>
        <v/>
      </c>
      <c r="K132" s="11">
        <f t="array" ref="K132">IFERROR(INDEX('Bank Schedule'!L:L, SMALL(IF('Bank Schedule'!$K$2:$K$817="Vacant", ROW('Bank Schedule'!$K$2:$K$817)), ROW(129:129))), "")</f>
        <v/>
      </c>
      <c r="L132" s="11">
        <f t="array" ref="L132">IFERROR(INDEX('Bank Schedule'!M:M, SMALL(IF('Bank Schedule'!$K$2:$K$817="Vacant", ROW('Bank Schedule'!$K$2:$K$817)), ROW(129:129))), "")</f>
        <v/>
      </c>
      <c r="M132" s="106">
        <f t="array" ref="M132">IFERROR(INDEX('Bank Schedule'!N:N, SMALL(IF('Bank Schedule'!$K$2:$K$817="Vacant", ROW('Bank Schedule'!$K$2:$K$817)), ROW(129:129))), "")</f>
        <v/>
      </c>
      <c r="N132" s="11">
        <f t="array" ref="N132">IFERROR(INDEX('Bank Schedule'!O:O, SMALL(IF('Bank Schedule'!$K$2:$K$817="Vacant", ROW('Bank Schedule'!$K$2:$K$817)), ROW(129:129))), "")</f>
        <v/>
      </c>
      <c r="O132" s="11">
        <f t="array" ref="O132">IFERROR(INDEX('Bank Schedule'!P:P, SMALL(IF('Bank Schedule'!$K$2:$K$817="Vacant", ROW('Bank Schedule'!$K$2:$K$817)), ROW(129:129))), "")</f>
        <v/>
      </c>
      <c r="P132" s="11">
        <f t="array" ref="P132">IFERROR(INDEX('Bank Schedule'!Q:Q, SMALL(IF('Bank Schedule'!$K$2:$K$817="Vacant", ROW('Bank Schedule'!$K$2:$K$817)), ROW(129:129))), "")</f>
        <v/>
      </c>
      <c r="Q132" s="11">
        <f t="array" ref="Q132">IFERROR(INDEX('Bank Schedule'!R:R, SMALL(IF('Bank Schedule'!$K$2:$K$817="Vacant", ROW('Bank Schedule'!$K$2:$K$817)), ROW(129:129))), "")</f>
        <v/>
      </c>
      <c r="R132" s="11">
        <f t="array" ref="R132">IFERROR(INDEX('Bank Schedule'!S:S, SMALL(IF('Bank Schedule'!$K$2:$K$817="Vacant", ROW('Bank Schedule'!$K$2:$K$817)), ROW(129:129))), "")</f>
        <v/>
      </c>
      <c r="S132" s="301">
        <f t="array" ref="S132">IFERROR(INDEX('Bank Schedule'!T:T, SMALL(IF('Bank Schedule'!$K$2:$K$817="Vacant", ROW('Bank Schedule'!$K$2:$K$817)), ROW(129:129))), "")</f>
        <v/>
      </c>
      <c r="T132" s="301">
        <f t="array" ref="T132">IFERROR(INDEX('Bank Schedule'!U:U, SMALL(IF('Bank Schedule'!$K$2:$K$817="Vacant", ROW('Bank Schedule'!$K$2:$K$817)), ROW(129:129))), "")</f>
        <v/>
      </c>
      <c r="U132" s="301">
        <f t="array" ref="U132">IFERROR(INDEX('Bank Schedule'!V:V, SMALL(IF('Bank Schedule'!$K$2:$K$817="Vacant", ROW('Bank Schedule'!$K$2:$K$817)), ROW(129:129))), "")</f>
        <v/>
      </c>
      <c r="V132" s="301">
        <f t="array" ref="V132">IFERROR(INDEX('Bank Schedule'!W:W, SMALL(IF('Bank Schedule'!$K$2:$K$817="Vacant", ROW('Bank Schedule'!$K$2:$K$817)), ROW(129:129))), "")</f>
        <v/>
      </c>
      <c r="W132" s="300">
        <f t="array" ref="W132">IFERROR(INDEX('Bank Schedule'!X:X, SMALL(IF('Bank Schedule'!$K$2:$K$817="Vacant", ROW('Bank Schedule'!$K$2:$K$817)), ROW(129:129))), "")</f>
        <v/>
      </c>
      <c r="X132" s="11">
        <f t="array" ref="X132">IFERROR(INDEX('Bank Schedule'!Y:Y, SMALL(IF('Bank Schedule'!$K$2:$K$817="Vacant", ROW('Bank Schedule'!$K$2:$K$817)), ROW(129:129))), "")</f>
        <v/>
      </c>
      <c r="Y132" s="11">
        <f t="array" ref="Y132">IFERROR(INDEX('Bank Schedule'!Z:Z, SMALL(IF('Bank Schedule'!$K$2:$K$817="Vacant", ROW('Bank Schedule'!$K$2:$K$817)), ROW(129:129))), "")</f>
        <v/>
      </c>
      <c r="Z132" s="11">
        <f t="array" ref="Z132">IFERROR(INDEX('Bank Schedule'!AA:AA, SMALL(IF('Bank Schedule'!$K$2:$K$817="Vacant", ROW('Bank Schedule'!$K$2:$K$817)), ROW(129:129))), "")</f>
        <v/>
      </c>
      <c r="AA132" s="11">
        <f t="array" ref="AA132">IFERROR(INDEX('Bank Schedule'!AB:AB, SMALL(IF('Bank Schedule'!$K$2:$K$817="Vacant", ROW('Bank Schedule'!$K$2:$K$817)), ROW(129:129))), "")</f>
        <v/>
      </c>
      <c r="AB132" s="25">
        <f t="array" ref="AB132">IFERROR(INDEX('Bank Schedule'!AC:AC, SMALL(IF('Bank Schedule'!$K$2:$K$817="Vacant", ROW('Bank Schedule'!$K$2:$K$817)), ROW(129:129))), "")</f>
        <v/>
      </c>
      <c r="AC132" s="277">
        <f t="array" ref="AC132">IFERROR(INDEX('Bank Schedule'!AD:AD, SMALL(IF('Bank Schedule'!$K$2:$K$817="Vacant", ROW('Bank Schedule'!$K$2:$K$817)), ROW(129:129))), "")</f>
        <v/>
      </c>
      <c r="AD132" s="11">
        <f t="array" ref="AD132">IFERROR(INDEX('Bank Schedule'!AE:AE, SMALL(IF('Bank Schedule'!$K$2:$K$817="Vacant", ROW('Bank Schedule'!$K$2:$K$817)), ROW(129:129))), "")</f>
        <v/>
      </c>
      <c r="AE132" s="11">
        <f t="array" ref="AE132">IFERROR(INDEX('Bank Schedule'!AF:AF, SMALL(IF('Bank Schedule'!$K$2:$K$817="Vacant", ROW('Bank Schedule'!$K$2:$K$817)), ROW(129:129))), "")</f>
        <v/>
      </c>
      <c r="AF132" s="11">
        <f t="array" ref="AF132">IFERROR(INDEX('Bank Schedule'!AG:AG, SMALL(IF('Bank Schedule'!$K$2:$K$817="Vacant", ROW('Bank Schedule'!$K$2:$K$817)), ROW(129:129))), "")</f>
        <v/>
      </c>
      <c r="AG132" s="4" t="n"/>
    </row>
    <row r="133" ht="28.5" customHeight="1">
      <c r="A133" s="2">
        <f t="array" ref="A133">IFERROR(INDEX('Bank Schedule'!A:A, SMALL(IF('Bank Schedule'!$K$2:$K$817="Vacant", ROW('Bank Schedule'!$K$2:$K$817)), ROW(130:130))), "")</f>
        <v/>
      </c>
      <c r="B133" s="11">
        <f t="array" ref="B133">IFERROR(INDEX('Bank Schedule'!B:B, SMALL(IF('Bank Schedule'!$K$2:$K$817="Vacant", ROW('Bank Schedule'!$K$2:$K$817)), ROW(130:130))), "")</f>
        <v/>
      </c>
      <c r="C133" s="11">
        <f t="array" ref="C133">IFERROR(INDEX('Bank Schedule'!C:C, SMALL(IF('Bank Schedule'!$K$2:$K$817="Vacant", ROW('Bank Schedule'!$K$2:$K$817)), ROW(130:130))), "")</f>
        <v/>
      </c>
      <c r="D133" s="11">
        <f t="array" ref="D133">IFERROR(INDEX('Bank Schedule'!D:D, SMALL(IF('Bank Schedule'!$K$2:$K$817="Vacant", ROW('Bank Schedule'!$K$2:$K$817)), ROW(130:130))), "")</f>
        <v/>
      </c>
      <c r="E133" s="25">
        <f t="array" ref="E133">IFERROR(INDEX('Bank Schedule'!E:E, SMALL(IF('Bank Schedule'!$K$2:$K$817="Vacant", ROW('Bank Schedule'!$K$2:$K$817)), ROW(130:130))), "")</f>
        <v/>
      </c>
      <c r="F133" s="25">
        <f t="array" ref="F133">IFERROR(INDEX('Bank Schedule'!F:F, SMALL(IF('Bank Schedule'!$K$2:$K$817="Vacant", ROW('Bank Schedule'!$K$2:$K$817)), ROW(130:130))), "")</f>
        <v/>
      </c>
      <c r="G133" s="25">
        <f t="array" ref="G133">IFERROR(INDEX('Bank Schedule'!G:G, SMALL(IF('Bank Schedule'!$K$2:$K$817="Vacant", ROW('Bank Schedule'!$K$2:$K$817)), ROW(130:130))), "")</f>
        <v/>
      </c>
      <c r="H133" s="53">
        <f t="array" ref="H133">IFERROR(INDEX('Bank Schedule'!H:H, SMALL(IF('Bank Schedule'!$K$2:$K$817="Vacant", ROW('Bank Schedule'!$K$2:$K$817)), ROW(130:130))), "")</f>
        <v/>
      </c>
      <c r="I133" s="53">
        <f t="array" ref="I133">IFERROR(INDEX('Bank Schedule'!I:I, SMALL(IF('Bank Schedule'!$K$2:$K$817="Vacant", ROW('Bank Schedule'!$K$2:$K$817)), ROW(130:130))), "")</f>
        <v/>
      </c>
      <c r="J133" s="11">
        <f t="array" ref="J133">IFERROR(INDEX('Bank Schedule'!K:K, SMALL(IF('Bank Schedule'!$K$2:$K$817="Vacant", ROW('Bank Schedule'!$K$2:$K$817)), ROW(130:130))), "")</f>
        <v/>
      </c>
      <c r="K133" s="11">
        <f t="array" ref="K133">IFERROR(INDEX('Bank Schedule'!L:L, SMALL(IF('Bank Schedule'!$K$2:$K$817="Vacant", ROW('Bank Schedule'!$K$2:$K$817)), ROW(130:130))), "")</f>
        <v/>
      </c>
      <c r="L133" s="11">
        <f t="array" ref="L133">IFERROR(INDEX('Bank Schedule'!M:M, SMALL(IF('Bank Schedule'!$K$2:$K$817="Vacant", ROW('Bank Schedule'!$K$2:$K$817)), ROW(130:130))), "")</f>
        <v/>
      </c>
      <c r="M133" s="106">
        <f t="array" ref="M133">IFERROR(INDEX('Bank Schedule'!N:N, SMALL(IF('Bank Schedule'!$K$2:$K$817="Vacant", ROW('Bank Schedule'!$K$2:$K$817)), ROW(130:130))), "")</f>
        <v/>
      </c>
      <c r="N133" s="11">
        <f t="array" ref="N133">IFERROR(INDEX('Bank Schedule'!O:O, SMALL(IF('Bank Schedule'!$K$2:$K$817="Vacant", ROW('Bank Schedule'!$K$2:$K$817)), ROW(130:130))), "")</f>
        <v/>
      </c>
      <c r="O133" s="11">
        <f t="array" ref="O133">IFERROR(INDEX('Bank Schedule'!P:P, SMALL(IF('Bank Schedule'!$K$2:$K$817="Vacant", ROW('Bank Schedule'!$K$2:$K$817)), ROW(130:130))), "")</f>
        <v/>
      </c>
      <c r="P133" s="11">
        <f t="array" ref="P133">IFERROR(INDEX('Bank Schedule'!Q:Q, SMALL(IF('Bank Schedule'!$K$2:$K$817="Vacant", ROW('Bank Schedule'!$K$2:$K$817)), ROW(130:130))), "")</f>
        <v/>
      </c>
      <c r="Q133" s="11">
        <f t="array" ref="Q133">IFERROR(INDEX('Bank Schedule'!R:R, SMALL(IF('Bank Schedule'!$K$2:$K$817="Vacant", ROW('Bank Schedule'!$K$2:$K$817)), ROW(130:130))), "")</f>
        <v/>
      </c>
      <c r="R133" s="11">
        <f t="array" ref="R133">IFERROR(INDEX('Bank Schedule'!S:S, SMALL(IF('Bank Schedule'!$K$2:$K$817="Vacant", ROW('Bank Schedule'!$K$2:$K$817)), ROW(130:130))), "")</f>
        <v/>
      </c>
      <c r="S133" s="301">
        <f t="array" ref="S133">IFERROR(INDEX('Bank Schedule'!T:T, SMALL(IF('Bank Schedule'!$K$2:$K$817="Vacant", ROW('Bank Schedule'!$K$2:$K$817)), ROW(130:130))), "")</f>
        <v/>
      </c>
      <c r="T133" s="301">
        <f t="array" ref="T133">IFERROR(INDEX('Bank Schedule'!U:U, SMALL(IF('Bank Schedule'!$K$2:$K$817="Vacant", ROW('Bank Schedule'!$K$2:$K$817)), ROW(130:130))), "")</f>
        <v/>
      </c>
      <c r="U133" s="301">
        <f t="array" ref="U133">IFERROR(INDEX('Bank Schedule'!V:V, SMALL(IF('Bank Schedule'!$K$2:$K$817="Vacant", ROW('Bank Schedule'!$K$2:$K$817)), ROW(130:130))), "")</f>
        <v/>
      </c>
      <c r="V133" s="301">
        <f t="array" ref="V133">IFERROR(INDEX('Bank Schedule'!W:W, SMALL(IF('Bank Schedule'!$K$2:$K$817="Vacant", ROW('Bank Schedule'!$K$2:$K$817)), ROW(130:130))), "")</f>
        <v/>
      </c>
      <c r="W133" s="300">
        <f t="array" ref="W133">IFERROR(INDEX('Bank Schedule'!X:X, SMALL(IF('Bank Schedule'!$K$2:$K$817="Vacant", ROW('Bank Schedule'!$K$2:$K$817)), ROW(130:130))), "")</f>
        <v/>
      </c>
      <c r="X133" s="11">
        <f t="array" ref="X133">IFERROR(INDEX('Bank Schedule'!Y:Y, SMALL(IF('Bank Schedule'!$K$2:$K$817="Vacant", ROW('Bank Schedule'!$K$2:$K$817)), ROW(130:130))), "")</f>
        <v/>
      </c>
      <c r="Y133" s="11">
        <f t="array" ref="Y133">IFERROR(INDEX('Bank Schedule'!Z:Z, SMALL(IF('Bank Schedule'!$K$2:$K$817="Vacant", ROW('Bank Schedule'!$K$2:$K$817)), ROW(130:130))), "")</f>
        <v/>
      </c>
      <c r="Z133" s="11">
        <f t="array" ref="Z133">IFERROR(INDEX('Bank Schedule'!AA:AA, SMALL(IF('Bank Schedule'!$K$2:$K$817="Vacant", ROW('Bank Schedule'!$K$2:$K$817)), ROW(130:130))), "")</f>
        <v/>
      </c>
      <c r="AA133" s="11">
        <f t="array" ref="AA133">IFERROR(INDEX('Bank Schedule'!AB:AB, SMALL(IF('Bank Schedule'!$K$2:$K$817="Vacant", ROW('Bank Schedule'!$K$2:$K$817)), ROW(130:130))), "")</f>
        <v/>
      </c>
      <c r="AB133" s="25">
        <f t="array" ref="AB133">IFERROR(INDEX('Bank Schedule'!AC:AC, SMALL(IF('Bank Schedule'!$K$2:$K$817="Vacant", ROW('Bank Schedule'!$K$2:$K$817)), ROW(130:130))), "")</f>
        <v/>
      </c>
      <c r="AC133" s="277">
        <f t="array" ref="AC133">IFERROR(INDEX('Bank Schedule'!AD:AD, SMALL(IF('Bank Schedule'!$K$2:$K$817="Vacant", ROW('Bank Schedule'!$K$2:$K$817)), ROW(130:130))), "")</f>
        <v/>
      </c>
      <c r="AD133" s="11">
        <f t="array" ref="AD133">IFERROR(INDEX('Bank Schedule'!AE:AE, SMALL(IF('Bank Schedule'!$K$2:$K$817="Vacant", ROW('Bank Schedule'!$K$2:$K$817)), ROW(130:130))), "")</f>
        <v/>
      </c>
      <c r="AE133" s="11">
        <f t="array" ref="AE133">IFERROR(INDEX('Bank Schedule'!AF:AF, SMALL(IF('Bank Schedule'!$K$2:$K$817="Vacant", ROW('Bank Schedule'!$K$2:$K$817)), ROW(130:130))), "")</f>
        <v/>
      </c>
      <c r="AF133" s="11">
        <f t="array" ref="AF133">IFERROR(INDEX('Bank Schedule'!AG:AG, SMALL(IF('Bank Schedule'!$K$2:$K$817="Vacant", ROW('Bank Schedule'!$K$2:$K$817)), ROW(130:130))), "")</f>
        <v/>
      </c>
      <c r="AG133" s="4" t="n"/>
    </row>
    <row r="134" ht="28.5" customHeight="1">
      <c r="A134" s="2">
        <f t="array" ref="A134">IFERROR(INDEX('Bank Schedule'!A:A, SMALL(IF('Bank Schedule'!$K$2:$K$817="Vacant", ROW('Bank Schedule'!$K$2:$K$817)), ROW(131:131))), "")</f>
        <v/>
      </c>
      <c r="B134" s="11">
        <f t="array" ref="B134">IFERROR(INDEX('Bank Schedule'!B:B, SMALL(IF('Bank Schedule'!$K$2:$K$817="Vacant", ROW('Bank Schedule'!$K$2:$K$817)), ROW(131:131))), "")</f>
        <v/>
      </c>
      <c r="C134" s="11">
        <f t="array" ref="C134">IFERROR(INDEX('Bank Schedule'!C:C, SMALL(IF('Bank Schedule'!$K$2:$K$817="Vacant", ROW('Bank Schedule'!$K$2:$K$817)), ROW(131:131))), "")</f>
        <v/>
      </c>
      <c r="D134" s="11">
        <f t="array" ref="D134">IFERROR(INDEX('Bank Schedule'!D:D, SMALL(IF('Bank Schedule'!$K$2:$K$817="Vacant", ROW('Bank Schedule'!$K$2:$K$817)), ROW(131:131))), "")</f>
        <v/>
      </c>
      <c r="E134" s="25">
        <f t="array" ref="E134">IFERROR(INDEX('Bank Schedule'!E:E, SMALL(IF('Bank Schedule'!$K$2:$K$817="Vacant", ROW('Bank Schedule'!$K$2:$K$817)), ROW(131:131))), "")</f>
        <v/>
      </c>
      <c r="F134" s="25">
        <f t="array" ref="F134">IFERROR(INDEX('Bank Schedule'!F:F, SMALL(IF('Bank Schedule'!$K$2:$K$817="Vacant", ROW('Bank Schedule'!$K$2:$K$817)), ROW(131:131))), "")</f>
        <v/>
      </c>
      <c r="G134" s="25">
        <f t="array" ref="G134">IFERROR(INDEX('Bank Schedule'!G:G, SMALL(IF('Bank Schedule'!$K$2:$K$817="Vacant", ROW('Bank Schedule'!$K$2:$K$817)), ROW(131:131))), "")</f>
        <v/>
      </c>
      <c r="H134" s="53">
        <f t="array" ref="H134">IFERROR(INDEX('Bank Schedule'!H:H, SMALL(IF('Bank Schedule'!$K$2:$K$817="Vacant", ROW('Bank Schedule'!$K$2:$K$817)), ROW(131:131))), "")</f>
        <v/>
      </c>
      <c r="I134" s="53">
        <f t="array" ref="I134">IFERROR(INDEX('Bank Schedule'!I:I, SMALL(IF('Bank Schedule'!$K$2:$K$817="Vacant", ROW('Bank Schedule'!$K$2:$K$817)), ROW(131:131))), "")</f>
        <v/>
      </c>
      <c r="J134" s="11">
        <f t="array" ref="J134">IFERROR(INDEX('Bank Schedule'!K:K, SMALL(IF('Bank Schedule'!$K$2:$K$817="Vacant", ROW('Bank Schedule'!$K$2:$K$817)), ROW(131:131))), "")</f>
        <v/>
      </c>
      <c r="K134" s="11">
        <f t="array" ref="K134">IFERROR(INDEX('Bank Schedule'!L:L, SMALL(IF('Bank Schedule'!$K$2:$K$817="Vacant", ROW('Bank Schedule'!$K$2:$K$817)), ROW(131:131))), "")</f>
        <v/>
      </c>
      <c r="L134" s="11">
        <f t="array" ref="L134">IFERROR(INDEX('Bank Schedule'!M:M, SMALL(IF('Bank Schedule'!$K$2:$K$817="Vacant", ROW('Bank Schedule'!$K$2:$K$817)), ROW(131:131))), "")</f>
        <v/>
      </c>
      <c r="M134" s="106">
        <f t="array" ref="M134">IFERROR(INDEX('Bank Schedule'!N:N, SMALL(IF('Bank Schedule'!$K$2:$K$817="Vacant", ROW('Bank Schedule'!$K$2:$K$817)), ROW(131:131))), "")</f>
        <v/>
      </c>
      <c r="N134" s="11">
        <f t="array" ref="N134">IFERROR(INDEX('Bank Schedule'!O:O, SMALL(IF('Bank Schedule'!$K$2:$K$817="Vacant", ROW('Bank Schedule'!$K$2:$K$817)), ROW(131:131))), "")</f>
        <v/>
      </c>
      <c r="O134" s="11">
        <f t="array" ref="O134">IFERROR(INDEX('Bank Schedule'!P:P, SMALL(IF('Bank Schedule'!$K$2:$K$817="Vacant", ROW('Bank Schedule'!$K$2:$K$817)), ROW(131:131))), "")</f>
        <v/>
      </c>
      <c r="P134" s="11">
        <f t="array" ref="P134">IFERROR(INDEX('Bank Schedule'!Q:Q, SMALL(IF('Bank Schedule'!$K$2:$K$817="Vacant", ROW('Bank Schedule'!$K$2:$K$817)), ROW(131:131))), "")</f>
        <v/>
      </c>
      <c r="Q134" s="11">
        <f t="array" ref="Q134">IFERROR(INDEX('Bank Schedule'!R:R, SMALL(IF('Bank Schedule'!$K$2:$K$817="Vacant", ROW('Bank Schedule'!$K$2:$K$817)), ROW(131:131))), "")</f>
        <v/>
      </c>
      <c r="R134" s="11">
        <f t="array" ref="R134">IFERROR(INDEX('Bank Schedule'!S:S, SMALL(IF('Bank Schedule'!$K$2:$K$817="Vacant", ROW('Bank Schedule'!$K$2:$K$817)), ROW(131:131))), "")</f>
        <v/>
      </c>
      <c r="S134" s="301">
        <f t="array" ref="S134">IFERROR(INDEX('Bank Schedule'!T:T, SMALL(IF('Bank Schedule'!$K$2:$K$817="Vacant", ROW('Bank Schedule'!$K$2:$K$817)), ROW(131:131))), "")</f>
        <v/>
      </c>
      <c r="T134" s="301">
        <f t="array" ref="T134">IFERROR(INDEX('Bank Schedule'!U:U, SMALL(IF('Bank Schedule'!$K$2:$K$817="Vacant", ROW('Bank Schedule'!$K$2:$K$817)), ROW(131:131))), "")</f>
        <v/>
      </c>
      <c r="U134" s="301">
        <f t="array" ref="U134">IFERROR(INDEX('Bank Schedule'!V:V, SMALL(IF('Bank Schedule'!$K$2:$K$817="Vacant", ROW('Bank Schedule'!$K$2:$K$817)), ROW(131:131))), "")</f>
        <v/>
      </c>
      <c r="V134" s="301">
        <f t="array" ref="V134">IFERROR(INDEX('Bank Schedule'!W:W, SMALL(IF('Bank Schedule'!$K$2:$K$817="Vacant", ROW('Bank Schedule'!$K$2:$K$817)), ROW(131:131))), "")</f>
        <v/>
      </c>
      <c r="W134" s="300">
        <f t="array" ref="W134">IFERROR(INDEX('Bank Schedule'!X:X, SMALL(IF('Bank Schedule'!$K$2:$K$817="Vacant", ROW('Bank Schedule'!$K$2:$K$817)), ROW(131:131))), "")</f>
        <v/>
      </c>
      <c r="X134" s="11">
        <f t="array" ref="X134">IFERROR(INDEX('Bank Schedule'!Y:Y, SMALL(IF('Bank Schedule'!$K$2:$K$817="Vacant", ROW('Bank Schedule'!$K$2:$K$817)), ROW(131:131))), "")</f>
        <v/>
      </c>
      <c r="Y134" s="11">
        <f t="array" ref="Y134">IFERROR(INDEX('Bank Schedule'!Z:Z, SMALL(IF('Bank Schedule'!$K$2:$K$817="Vacant", ROW('Bank Schedule'!$K$2:$K$817)), ROW(131:131))), "")</f>
        <v/>
      </c>
      <c r="Z134" s="11">
        <f t="array" ref="Z134">IFERROR(INDEX('Bank Schedule'!AA:AA, SMALL(IF('Bank Schedule'!$K$2:$K$817="Vacant", ROW('Bank Schedule'!$K$2:$K$817)), ROW(131:131))), "")</f>
        <v/>
      </c>
      <c r="AA134" s="11">
        <f t="array" ref="AA134">IFERROR(INDEX('Bank Schedule'!AB:AB, SMALL(IF('Bank Schedule'!$K$2:$K$817="Vacant", ROW('Bank Schedule'!$K$2:$K$817)), ROW(131:131))), "")</f>
        <v/>
      </c>
      <c r="AB134" s="25">
        <f t="array" ref="AB134">IFERROR(INDEX('Bank Schedule'!AC:AC, SMALL(IF('Bank Schedule'!$K$2:$K$817="Vacant", ROW('Bank Schedule'!$K$2:$K$817)), ROW(131:131))), "")</f>
        <v/>
      </c>
      <c r="AC134" s="277">
        <f t="array" ref="AC134">IFERROR(INDEX('Bank Schedule'!AD:AD, SMALL(IF('Bank Schedule'!$K$2:$K$817="Vacant", ROW('Bank Schedule'!$K$2:$K$817)), ROW(131:131))), "")</f>
        <v/>
      </c>
      <c r="AD134" s="11">
        <f t="array" ref="AD134">IFERROR(INDEX('Bank Schedule'!AE:AE, SMALL(IF('Bank Schedule'!$K$2:$K$817="Vacant", ROW('Bank Schedule'!$K$2:$K$817)), ROW(131:131))), "")</f>
        <v/>
      </c>
      <c r="AE134" s="11">
        <f t="array" ref="AE134">IFERROR(INDEX('Bank Schedule'!AF:AF, SMALL(IF('Bank Schedule'!$K$2:$K$817="Vacant", ROW('Bank Schedule'!$K$2:$K$817)), ROW(131:131))), "")</f>
        <v/>
      </c>
      <c r="AF134" s="11">
        <f t="array" ref="AF134">IFERROR(INDEX('Bank Schedule'!AG:AG, SMALL(IF('Bank Schedule'!$K$2:$K$817="Vacant", ROW('Bank Schedule'!$K$2:$K$817)), ROW(131:131))), "")</f>
        <v/>
      </c>
      <c r="AG134" s="4" t="n"/>
    </row>
    <row r="135" ht="28.5" customHeight="1">
      <c r="A135" s="2">
        <f t="array" ref="A135">IFERROR(INDEX('Bank Schedule'!A:A, SMALL(IF('Bank Schedule'!$K$2:$K$817="Vacant", ROW('Bank Schedule'!$K$2:$K$817)), ROW(132:132))), "")</f>
        <v/>
      </c>
      <c r="B135" s="11">
        <f t="array" ref="B135">IFERROR(INDEX('Bank Schedule'!B:B, SMALL(IF('Bank Schedule'!$K$2:$K$817="Vacant", ROW('Bank Schedule'!$K$2:$K$817)), ROW(132:132))), "")</f>
        <v/>
      </c>
      <c r="C135" s="11">
        <f t="array" ref="C135">IFERROR(INDEX('Bank Schedule'!C:C, SMALL(IF('Bank Schedule'!$K$2:$K$817="Vacant", ROW('Bank Schedule'!$K$2:$K$817)), ROW(132:132))), "")</f>
        <v/>
      </c>
      <c r="D135" s="11">
        <f t="array" ref="D135">IFERROR(INDEX('Bank Schedule'!D:D, SMALL(IF('Bank Schedule'!$K$2:$K$817="Vacant", ROW('Bank Schedule'!$K$2:$K$817)), ROW(132:132))), "")</f>
        <v/>
      </c>
      <c r="E135" s="11">
        <f t="array" ref="E135">IFERROR(INDEX('Bank Schedule'!E:E, SMALL(IF('Bank Schedule'!$K$2:$K$817="Vacant", ROW('Bank Schedule'!$K$2:$K$817)), ROW(132:132))), "")</f>
        <v/>
      </c>
      <c r="F135" s="11">
        <f t="array" ref="F135">IFERROR(INDEX('Bank Schedule'!F:F, SMALL(IF('Bank Schedule'!$K$2:$K$817="Vacant", ROW('Bank Schedule'!$K$2:$K$817)), ROW(132:132))), "")</f>
        <v/>
      </c>
      <c r="G135" s="11">
        <f t="array" ref="G135">IFERROR(INDEX('Bank Schedule'!G:G, SMALL(IF('Bank Schedule'!$K$2:$K$817="Vacant", ROW('Bank Schedule'!$K$2:$K$817)), ROW(132:132))), "")</f>
        <v/>
      </c>
      <c r="H135" s="11">
        <f t="array" ref="H135">IFERROR(INDEX('Bank Schedule'!H:H, SMALL(IF('Bank Schedule'!$K$2:$K$817="Vacant", ROW('Bank Schedule'!$K$2:$K$817)), ROW(132:132))), "")</f>
        <v/>
      </c>
      <c r="I135" s="11">
        <f t="array" ref="I135">IFERROR(INDEX('Bank Schedule'!I:I, SMALL(IF('Bank Schedule'!$K$2:$K$817="Vacant", ROW('Bank Schedule'!$K$2:$K$817)), ROW(132:132))), "")</f>
        <v/>
      </c>
      <c r="J135" s="11">
        <f t="array" ref="J135">IFERROR(INDEX('Bank Schedule'!K:K, SMALL(IF('Bank Schedule'!$K$2:$K$817="Vacant", ROW('Bank Schedule'!$K$2:$K$817)), ROW(132:132))), "")</f>
        <v/>
      </c>
      <c r="K135" s="11">
        <f t="array" ref="K135">IFERROR(INDEX('Bank Schedule'!L:L, SMALL(IF('Bank Schedule'!$K$2:$K$817="Vacant", ROW('Bank Schedule'!$K$2:$K$817)), ROW(132:132))), "")</f>
        <v/>
      </c>
      <c r="L135" s="11">
        <f t="array" ref="L135">IFERROR(INDEX('Bank Schedule'!M:M, SMALL(IF('Bank Schedule'!$K$2:$K$817="Vacant", ROW('Bank Schedule'!$K$2:$K$817)), ROW(132:132))), "")</f>
        <v/>
      </c>
      <c r="M135" s="11">
        <f t="array" ref="M135">IFERROR(INDEX('Bank Schedule'!N:N, SMALL(IF('Bank Schedule'!$K$2:$K$817="Vacant", ROW('Bank Schedule'!$K$2:$K$817)), ROW(132:132))), "")</f>
        <v/>
      </c>
      <c r="N135" s="11">
        <f t="array" ref="N135">IFERROR(INDEX('Bank Schedule'!O:O, SMALL(IF('Bank Schedule'!$K$2:$K$817="Vacant", ROW('Bank Schedule'!$K$2:$K$817)), ROW(132:132))), "")</f>
        <v/>
      </c>
      <c r="O135" s="11">
        <f t="array" ref="O135">IFERROR(INDEX('Bank Schedule'!P:P, SMALL(IF('Bank Schedule'!$K$2:$K$817="Vacant", ROW('Bank Schedule'!$K$2:$K$817)), ROW(132:132))), "")</f>
        <v/>
      </c>
      <c r="P135" s="11">
        <f t="array" ref="P135">IFERROR(INDEX('Bank Schedule'!Q:Q, SMALL(IF('Bank Schedule'!$K$2:$K$817="Vacant", ROW('Bank Schedule'!$K$2:$K$817)), ROW(132:132))), "")</f>
        <v/>
      </c>
      <c r="Q135" s="11">
        <f t="array" ref="Q135">IFERROR(INDEX('Bank Schedule'!R:R, SMALL(IF('Bank Schedule'!$K$2:$K$817="Vacant", ROW('Bank Schedule'!$K$2:$K$817)), ROW(132:132))), "")</f>
        <v/>
      </c>
      <c r="R135" s="11">
        <f t="array" ref="R135">IFERROR(INDEX('Bank Schedule'!S:S, SMALL(IF('Bank Schedule'!$K$2:$K$817="Vacant", ROW('Bank Schedule'!$K$2:$K$817)), ROW(132:132))), "")</f>
        <v/>
      </c>
      <c r="S135" s="11">
        <f t="array" ref="S135">IFERROR(INDEX('Bank Schedule'!T:T, SMALL(IF('Bank Schedule'!$K$2:$K$817="Vacant", ROW('Bank Schedule'!$K$2:$K$817)), ROW(132:132))), "")</f>
        <v/>
      </c>
      <c r="T135" s="11">
        <f t="array" ref="T135">IFERROR(INDEX('Bank Schedule'!U:U, SMALL(IF('Bank Schedule'!$K$2:$K$817="Vacant", ROW('Bank Schedule'!$K$2:$K$817)), ROW(132:132))), "")</f>
        <v/>
      </c>
      <c r="U135" s="11">
        <f t="array" ref="U135">IFERROR(INDEX('Bank Schedule'!V:V, SMALL(IF('Bank Schedule'!$K$2:$K$817="Vacant", ROW('Bank Schedule'!$K$2:$K$817)), ROW(132:132))), "")</f>
        <v/>
      </c>
      <c r="V135" s="11">
        <f t="array" ref="V135">IFERROR(INDEX('Bank Schedule'!W:W, SMALL(IF('Bank Schedule'!$K$2:$K$817="Vacant", ROW('Bank Schedule'!$K$2:$K$817)), ROW(132:132))), "")</f>
        <v/>
      </c>
      <c r="W135" s="11">
        <f t="array" ref="W135">IFERROR(INDEX('Bank Schedule'!X:X, SMALL(IF('Bank Schedule'!$K$2:$K$817="Vacant", ROW('Bank Schedule'!$K$2:$K$817)), ROW(132:132))), "")</f>
        <v/>
      </c>
      <c r="X135" s="11">
        <f t="array" ref="X135">IFERROR(INDEX('Bank Schedule'!Y:Y, SMALL(IF('Bank Schedule'!$K$2:$K$817="Vacant", ROW('Bank Schedule'!$K$2:$K$817)), ROW(132:132))), "")</f>
        <v/>
      </c>
      <c r="Y135" s="11">
        <f t="array" ref="Y135">IFERROR(INDEX('Bank Schedule'!Z:Z, SMALL(IF('Bank Schedule'!$K$2:$K$817="Vacant", ROW('Bank Schedule'!$K$2:$K$817)), ROW(132:132))), "")</f>
        <v/>
      </c>
      <c r="Z135" s="11">
        <f t="array" ref="Z135">IFERROR(INDEX('Bank Schedule'!AA:AA, SMALL(IF('Bank Schedule'!$K$2:$K$817="Vacant", ROW('Bank Schedule'!$K$2:$K$817)), ROW(132:132))), "")</f>
        <v/>
      </c>
      <c r="AA135" s="11">
        <f t="array" ref="AA135">IFERROR(INDEX('Bank Schedule'!AB:AB, SMALL(IF('Bank Schedule'!$K$2:$K$817="Vacant", ROW('Bank Schedule'!$K$2:$K$817)), ROW(132:132))), "")</f>
        <v/>
      </c>
      <c r="AB135" s="11">
        <f t="array" ref="AB135">IFERROR(INDEX('Bank Schedule'!AC:AC, SMALL(IF('Bank Schedule'!$K$2:$K$817="Vacant", ROW('Bank Schedule'!$K$2:$K$817)), ROW(132:132))), "")</f>
        <v/>
      </c>
      <c r="AC135" s="277">
        <f t="array" ref="AC135">IFERROR(INDEX('Bank Schedule'!AD:AD, SMALL(IF('Bank Schedule'!$K$2:$K$817="Vacant", ROW('Bank Schedule'!$K$2:$K$817)), ROW(132:132))), "")</f>
        <v/>
      </c>
      <c r="AD135" s="11">
        <f t="array" ref="AD135">IFERROR(INDEX('Bank Schedule'!AE:AE, SMALL(IF('Bank Schedule'!$K$2:$K$817="Vacant", ROW('Bank Schedule'!$K$2:$K$817)), ROW(132:132))), "")</f>
        <v/>
      </c>
      <c r="AE135" s="11">
        <f t="array" ref="AE135">IFERROR(INDEX('Bank Schedule'!AF:AF, SMALL(IF('Bank Schedule'!$K$2:$K$817="Vacant", ROW('Bank Schedule'!$K$2:$K$817)), ROW(132:132))), "")</f>
        <v/>
      </c>
      <c r="AF135" s="11">
        <f t="array" ref="AF135">IFERROR(INDEX('Bank Schedule'!AG:AG, SMALL(IF('Bank Schedule'!$K$2:$K$817="Vacant", ROW('Bank Schedule'!$K$2:$K$817)), ROW(132:132))), "")</f>
        <v/>
      </c>
      <c r="AG135" s="4" t="n"/>
    </row>
    <row r="136" ht="28.5" customHeight="1">
      <c r="A136" s="2">
        <f t="array" ref="A136">IFERROR(INDEX('Bank Schedule'!A:A, SMALL(IF('Bank Schedule'!$K$2:$K$817="Vacant", ROW('Bank Schedule'!$K$2:$K$817)), ROW(133:133))), "")</f>
        <v/>
      </c>
      <c r="B136" s="11">
        <f t="array" ref="B136">IFERROR(INDEX('Bank Schedule'!B:B, SMALL(IF('Bank Schedule'!$K$2:$K$817="Vacant", ROW('Bank Schedule'!$K$2:$K$817)), ROW(133:133))), "")</f>
        <v/>
      </c>
      <c r="C136" s="11">
        <f t="array" ref="C136">IFERROR(INDEX('Bank Schedule'!C:C, SMALL(IF('Bank Schedule'!$K$2:$K$817="Vacant", ROW('Bank Schedule'!$K$2:$K$817)), ROW(133:133))), "")</f>
        <v/>
      </c>
      <c r="D136" s="11">
        <f t="array" ref="D136">IFERROR(INDEX('Bank Schedule'!D:D, SMALL(IF('Bank Schedule'!$K$2:$K$817="Vacant", ROW('Bank Schedule'!$K$2:$K$817)), ROW(133:133))), "")</f>
        <v/>
      </c>
      <c r="E136" s="11">
        <f t="array" ref="E136">IFERROR(INDEX('Bank Schedule'!E:E, SMALL(IF('Bank Schedule'!$K$2:$K$817="Vacant", ROW('Bank Schedule'!$K$2:$K$817)), ROW(133:133))), "")</f>
        <v/>
      </c>
      <c r="F136" s="11">
        <f t="array" ref="F136">IFERROR(INDEX('Bank Schedule'!F:F, SMALL(IF('Bank Schedule'!$K$2:$K$817="Vacant", ROW('Bank Schedule'!$K$2:$K$817)), ROW(133:133))), "")</f>
        <v/>
      </c>
      <c r="G136" s="11">
        <f t="array" ref="G136">IFERROR(INDEX('Bank Schedule'!G:G, SMALL(IF('Bank Schedule'!$K$2:$K$817="Vacant", ROW('Bank Schedule'!$K$2:$K$817)), ROW(133:133))), "")</f>
        <v/>
      </c>
      <c r="H136" s="11">
        <f t="array" ref="H136">IFERROR(INDEX('Bank Schedule'!H:H, SMALL(IF('Bank Schedule'!$K$2:$K$817="Vacant", ROW('Bank Schedule'!$K$2:$K$817)), ROW(133:133))), "")</f>
        <v/>
      </c>
      <c r="I136" s="11">
        <f t="array" ref="I136">IFERROR(INDEX('Bank Schedule'!I:I, SMALL(IF('Bank Schedule'!$K$2:$K$817="Vacant", ROW('Bank Schedule'!$K$2:$K$817)), ROW(133:133))), "")</f>
        <v/>
      </c>
      <c r="J136" s="11">
        <f t="array" ref="J136">IFERROR(INDEX('Bank Schedule'!K:K, SMALL(IF('Bank Schedule'!$K$2:$K$817="Vacant", ROW('Bank Schedule'!$K$2:$K$817)), ROW(133:133))), "")</f>
        <v/>
      </c>
      <c r="K136" s="11">
        <f t="array" ref="K136">IFERROR(INDEX('Bank Schedule'!L:L, SMALL(IF('Bank Schedule'!$K$2:$K$817="Vacant", ROW('Bank Schedule'!$K$2:$K$817)), ROW(133:133))), "")</f>
        <v/>
      </c>
      <c r="L136" s="11">
        <f t="array" ref="L136">IFERROR(INDEX('Bank Schedule'!M:M, SMALL(IF('Bank Schedule'!$K$2:$K$817="Vacant", ROW('Bank Schedule'!$K$2:$K$817)), ROW(133:133))), "")</f>
        <v/>
      </c>
      <c r="M136" s="11">
        <f t="array" ref="M136">IFERROR(INDEX('Bank Schedule'!N:N, SMALL(IF('Bank Schedule'!$K$2:$K$817="Vacant", ROW('Bank Schedule'!$K$2:$K$817)), ROW(133:133))), "")</f>
        <v/>
      </c>
      <c r="N136" s="11">
        <f t="array" ref="N136">IFERROR(INDEX('Bank Schedule'!O:O, SMALL(IF('Bank Schedule'!$K$2:$K$817="Vacant", ROW('Bank Schedule'!$K$2:$K$817)), ROW(133:133))), "")</f>
        <v/>
      </c>
      <c r="O136" s="11">
        <f t="array" ref="O136">IFERROR(INDEX('Bank Schedule'!P:P, SMALL(IF('Bank Schedule'!$K$2:$K$817="Vacant", ROW('Bank Schedule'!$K$2:$K$817)), ROW(133:133))), "")</f>
        <v/>
      </c>
      <c r="P136" s="11">
        <f t="array" ref="P136">IFERROR(INDEX('Bank Schedule'!Q:Q, SMALL(IF('Bank Schedule'!$K$2:$K$817="Vacant", ROW('Bank Schedule'!$K$2:$K$817)), ROW(133:133))), "")</f>
        <v/>
      </c>
      <c r="Q136" s="11">
        <f t="array" ref="Q136">IFERROR(INDEX('Bank Schedule'!R:R, SMALL(IF('Bank Schedule'!$K$2:$K$817="Vacant", ROW('Bank Schedule'!$K$2:$K$817)), ROW(133:133))), "")</f>
        <v/>
      </c>
      <c r="R136" s="11">
        <f t="array" ref="R136">IFERROR(INDEX('Bank Schedule'!S:S, SMALL(IF('Bank Schedule'!$K$2:$K$817="Vacant", ROW('Bank Schedule'!$K$2:$K$817)), ROW(133:133))), "")</f>
        <v/>
      </c>
      <c r="S136" s="11">
        <f t="array" ref="S136">IFERROR(INDEX('Bank Schedule'!T:T, SMALL(IF('Bank Schedule'!$K$2:$K$817="Vacant", ROW('Bank Schedule'!$K$2:$K$817)), ROW(133:133))), "")</f>
        <v/>
      </c>
      <c r="T136" s="11">
        <f t="array" ref="T136">IFERROR(INDEX('Bank Schedule'!U:U, SMALL(IF('Bank Schedule'!$K$2:$K$817="Vacant", ROW('Bank Schedule'!$K$2:$K$817)), ROW(133:133))), "")</f>
        <v/>
      </c>
      <c r="U136" s="11">
        <f t="array" ref="U136">IFERROR(INDEX('Bank Schedule'!V:V, SMALL(IF('Bank Schedule'!$K$2:$K$817="Vacant", ROW('Bank Schedule'!$K$2:$K$817)), ROW(133:133))), "")</f>
        <v/>
      </c>
      <c r="V136" s="11">
        <f t="array" ref="V136">IFERROR(INDEX('Bank Schedule'!W:W, SMALL(IF('Bank Schedule'!$K$2:$K$817="Vacant", ROW('Bank Schedule'!$K$2:$K$817)), ROW(133:133))), "")</f>
        <v/>
      </c>
      <c r="W136" s="11">
        <f t="array" ref="W136">IFERROR(INDEX('Bank Schedule'!X:X, SMALL(IF('Bank Schedule'!$K$2:$K$817="Vacant", ROW('Bank Schedule'!$K$2:$K$817)), ROW(133:133))), "")</f>
        <v/>
      </c>
      <c r="X136" s="11">
        <f t="array" ref="X136">IFERROR(INDEX('Bank Schedule'!Y:Y, SMALL(IF('Bank Schedule'!$K$2:$K$817="Vacant", ROW('Bank Schedule'!$K$2:$K$817)), ROW(133:133))), "")</f>
        <v/>
      </c>
      <c r="Y136" s="11">
        <f t="array" ref="Y136">IFERROR(INDEX('Bank Schedule'!Z:Z, SMALL(IF('Bank Schedule'!$K$2:$K$817="Vacant", ROW('Bank Schedule'!$K$2:$K$817)), ROW(133:133))), "")</f>
        <v/>
      </c>
      <c r="Z136" s="11">
        <f t="array" ref="Z136">IFERROR(INDEX('Bank Schedule'!AA:AA, SMALL(IF('Bank Schedule'!$K$2:$K$817="Vacant", ROW('Bank Schedule'!$K$2:$K$817)), ROW(133:133))), "")</f>
        <v/>
      </c>
      <c r="AA136" s="11">
        <f t="array" ref="AA136">IFERROR(INDEX('Bank Schedule'!AB:AB, SMALL(IF('Bank Schedule'!$K$2:$K$817="Vacant", ROW('Bank Schedule'!$K$2:$K$817)), ROW(133:133))), "")</f>
        <v/>
      </c>
      <c r="AB136" s="11">
        <f t="array" ref="AB136">IFERROR(INDEX('Bank Schedule'!AC:AC, SMALL(IF('Bank Schedule'!$K$2:$K$817="Vacant", ROW('Bank Schedule'!$K$2:$K$817)), ROW(133:133))), "")</f>
        <v/>
      </c>
      <c r="AC136" s="277">
        <f t="array" ref="AC136">IFERROR(INDEX('Bank Schedule'!AD:AD, SMALL(IF('Bank Schedule'!$K$2:$K$817="Vacant", ROW('Bank Schedule'!$K$2:$K$817)), ROW(133:133))), "")</f>
        <v/>
      </c>
      <c r="AD136" s="11">
        <f t="array" ref="AD136">IFERROR(INDEX('Bank Schedule'!AE:AE, SMALL(IF('Bank Schedule'!$K$2:$K$817="Vacant", ROW('Bank Schedule'!$K$2:$K$817)), ROW(133:133))), "")</f>
        <v/>
      </c>
      <c r="AE136" s="11">
        <f t="array" ref="AE136">IFERROR(INDEX('Bank Schedule'!AF:AF, SMALL(IF('Bank Schedule'!$K$2:$K$817="Vacant", ROW('Bank Schedule'!$K$2:$K$817)), ROW(133:133))), "")</f>
        <v/>
      </c>
      <c r="AF136" s="11">
        <f t="array" ref="AF136">IFERROR(INDEX('Bank Schedule'!AG:AG, SMALL(IF('Bank Schedule'!$K$2:$K$817="Vacant", ROW('Bank Schedule'!$K$2:$K$817)), ROW(133:133))), "")</f>
        <v/>
      </c>
      <c r="AG136" s="4" t="n"/>
    </row>
    <row r="137" ht="28.5" customHeight="1">
      <c r="A137" s="2">
        <f t="array" ref="A137">IFERROR(INDEX('Bank Schedule'!A:A, SMALL(IF('Bank Schedule'!$K$2:$K$817="Vacant", ROW('Bank Schedule'!$K$2:$K$817)), ROW(134:134))), "")</f>
        <v/>
      </c>
      <c r="B137" s="11">
        <f t="array" ref="B137">IFERROR(INDEX('Bank Schedule'!B:B, SMALL(IF('Bank Schedule'!$K$2:$K$817="Vacant", ROW('Bank Schedule'!$K$2:$K$817)), ROW(134:134))), "")</f>
        <v/>
      </c>
      <c r="C137" s="11">
        <f t="array" ref="C137">IFERROR(INDEX('Bank Schedule'!C:C, SMALL(IF('Bank Schedule'!$K$2:$K$817="Vacant", ROW('Bank Schedule'!$K$2:$K$817)), ROW(134:134))), "")</f>
        <v/>
      </c>
      <c r="D137" s="11">
        <f t="array" ref="D137">IFERROR(INDEX('Bank Schedule'!D:D, SMALL(IF('Bank Schedule'!$K$2:$K$817="Vacant", ROW('Bank Schedule'!$K$2:$K$817)), ROW(134:134))), "")</f>
        <v/>
      </c>
      <c r="E137" s="11">
        <f t="array" ref="E137">IFERROR(INDEX('Bank Schedule'!E:E, SMALL(IF('Bank Schedule'!$K$2:$K$817="Vacant", ROW('Bank Schedule'!$K$2:$K$817)), ROW(134:134))), "")</f>
        <v/>
      </c>
      <c r="F137" s="11">
        <f t="array" ref="F137">IFERROR(INDEX('Bank Schedule'!F:F, SMALL(IF('Bank Schedule'!$K$2:$K$817="Vacant", ROW('Bank Schedule'!$K$2:$K$817)), ROW(134:134))), "")</f>
        <v/>
      </c>
      <c r="G137" s="11">
        <f t="array" ref="G137">IFERROR(INDEX('Bank Schedule'!G:G, SMALL(IF('Bank Schedule'!$K$2:$K$817="Vacant", ROW('Bank Schedule'!$K$2:$K$817)), ROW(134:134))), "")</f>
        <v/>
      </c>
      <c r="H137" s="11">
        <f t="array" ref="H137">IFERROR(INDEX('Bank Schedule'!H:H, SMALL(IF('Bank Schedule'!$K$2:$K$817="Vacant", ROW('Bank Schedule'!$K$2:$K$817)), ROW(134:134))), "")</f>
        <v/>
      </c>
      <c r="I137" s="11">
        <f t="array" ref="I137">IFERROR(INDEX('Bank Schedule'!I:I, SMALL(IF('Bank Schedule'!$K$2:$K$817="Vacant", ROW('Bank Schedule'!$K$2:$K$817)), ROW(134:134))), "")</f>
        <v/>
      </c>
      <c r="J137" s="11">
        <f t="array" ref="J137">IFERROR(INDEX('Bank Schedule'!K:K, SMALL(IF('Bank Schedule'!$K$2:$K$817="Vacant", ROW('Bank Schedule'!$K$2:$K$817)), ROW(134:134))), "")</f>
        <v/>
      </c>
      <c r="K137" s="11">
        <f t="array" ref="K137">IFERROR(INDEX('Bank Schedule'!L:L, SMALL(IF('Bank Schedule'!$K$2:$K$817="Vacant", ROW('Bank Schedule'!$K$2:$K$817)), ROW(134:134))), "")</f>
        <v/>
      </c>
      <c r="L137" s="11">
        <f t="array" ref="L137">IFERROR(INDEX('Bank Schedule'!M:M, SMALL(IF('Bank Schedule'!$K$2:$K$817="Vacant", ROW('Bank Schedule'!$K$2:$K$817)), ROW(134:134))), "")</f>
        <v/>
      </c>
      <c r="M137" s="11">
        <f t="array" ref="M137">IFERROR(INDEX('Bank Schedule'!N:N, SMALL(IF('Bank Schedule'!$K$2:$K$817="Vacant", ROW('Bank Schedule'!$K$2:$K$817)), ROW(134:134))), "")</f>
        <v/>
      </c>
      <c r="N137" s="11">
        <f t="array" ref="N137">IFERROR(INDEX('Bank Schedule'!O:O, SMALL(IF('Bank Schedule'!$K$2:$K$817="Vacant", ROW('Bank Schedule'!$K$2:$K$817)), ROW(134:134))), "")</f>
        <v/>
      </c>
      <c r="O137" s="11">
        <f t="array" ref="O137">IFERROR(INDEX('Bank Schedule'!P:P, SMALL(IF('Bank Schedule'!$K$2:$K$817="Vacant", ROW('Bank Schedule'!$K$2:$K$817)), ROW(134:134))), "")</f>
        <v/>
      </c>
      <c r="P137" s="11">
        <f t="array" ref="P137">IFERROR(INDEX('Bank Schedule'!Q:Q, SMALL(IF('Bank Schedule'!$K$2:$K$817="Vacant", ROW('Bank Schedule'!$K$2:$K$817)), ROW(134:134))), "")</f>
        <v/>
      </c>
      <c r="Q137" s="11">
        <f t="array" ref="Q137">IFERROR(INDEX('Bank Schedule'!R:R, SMALL(IF('Bank Schedule'!$K$2:$K$817="Vacant", ROW('Bank Schedule'!$K$2:$K$817)), ROW(134:134))), "")</f>
        <v/>
      </c>
      <c r="R137" s="11">
        <f t="array" ref="R137">IFERROR(INDEX('Bank Schedule'!S:S, SMALL(IF('Bank Schedule'!$K$2:$K$817="Vacant", ROW('Bank Schedule'!$K$2:$K$817)), ROW(134:134))), "")</f>
        <v/>
      </c>
      <c r="S137" s="11">
        <f t="array" ref="S137">IFERROR(INDEX('Bank Schedule'!T:T, SMALL(IF('Bank Schedule'!$K$2:$K$817="Vacant", ROW('Bank Schedule'!$K$2:$K$817)), ROW(134:134))), "")</f>
        <v/>
      </c>
      <c r="T137" s="11">
        <f t="array" ref="T137">IFERROR(INDEX('Bank Schedule'!U:U, SMALL(IF('Bank Schedule'!$K$2:$K$817="Vacant", ROW('Bank Schedule'!$K$2:$K$817)), ROW(134:134))), "")</f>
        <v/>
      </c>
      <c r="U137" s="11">
        <f t="array" ref="U137">IFERROR(INDEX('Bank Schedule'!V:V, SMALL(IF('Bank Schedule'!$K$2:$K$817="Vacant", ROW('Bank Schedule'!$K$2:$K$817)), ROW(134:134))), "")</f>
        <v/>
      </c>
      <c r="V137" s="11">
        <f t="array" ref="V137">IFERROR(INDEX('Bank Schedule'!W:W, SMALL(IF('Bank Schedule'!$K$2:$K$817="Vacant", ROW('Bank Schedule'!$K$2:$K$817)), ROW(134:134))), "")</f>
        <v/>
      </c>
      <c r="W137" s="11">
        <f t="array" ref="W137">IFERROR(INDEX('Bank Schedule'!X:X, SMALL(IF('Bank Schedule'!$K$2:$K$817="Vacant", ROW('Bank Schedule'!$K$2:$K$817)), ROW(134:134))), "")</f>
        <v/>
      </c>
      <c r="X137" s="11">
        <f t="array" ref="X137">IFERROR(INDEX('Bank Schedule'!Y:Y, SMALL(IF('Bank Schedule'!$K$2:$K$817="Vacant", ROW('Bank Schedule'!$K$2:$K$817)), ROW(134:134))), "")</f>
        <v/>
      </c>
      <c r="Y137" s="11">
        <f t="array" ref="Y137">IFERROR(INDEX('Bank Schedule'!Z:Z, SMALL(IF('Bank Schedule'!$K$2:$K$817="Vacant", ROW('Bank Schedule'!$K$2:$K$817)), ROW(134:134))), "")</f>
        <v/>
      </c>
      <c r="Z137" s="11">
        <f t="array" ref="Z137">IFERROR(INDEX('Bank Schedule'!AA:AA, SMALL(IF('Bank Schedule'!$K$2:$K$817="Vacant", ROW('Bank Schedule'!$K$2:$K$817)), ROW(134:134))), "")</f>
        <v/>
      </c>
      <c r="AA137" s="11">
        <f t="array" ref="AA137">IFERROR(INDEX('Bank Schedule'!AB:AB, SMALL(IF('Bank Schedule'!$K$2:$K$817="Vacant", ROW('Bank Schedule'!$K$2:$K$817)), ROW(134:134))), "")</f>
        <v/>
      </c>
      <c r="AB137" s="11">
        <f t="array" ref="AB137">IFERROR(INDEX('Bank Schedule'!AC:AC, SMALL(IF('Bank Schedule'!$K$2:$K$817="Vacant", ROW('Bank Schedule'!$K$2:$K$817)), ROW(134:134))), "")</f>
        <v/>
      </c>
      <c r="AC137" s="277">
        <f t="array" ref="AC137">IFERROR(INDEX('Bank Schedule'!AD:AD, SMALL(IF('Bank Schedule'!$K$2:$K$817="Vacant", ROW('Bank Schedule'!$K$2:$K$817)), ROW(134:134))), "")</f>
        <v/>
      </c>
      <c r="AD137" s="11">
        <f t="array" ref="AD137">IFERROR(INDEX('Bank Schedule'!AE:AE, SMALL(IF('Bank Schedule'!$K$2:$K$817="Vacant", ROW('Bank Schedule'!$K$2:$K$817)), ROW(134:134))), "")</f>
        <v/>
      </c>
      <c r="AE137" s="11">
        <f t="array" ref="AE137">IFERROR(INDEX('Bank Schedule'!AF:AF, SMALL(IF('Bank Schedule'!$K$2:$K$817="Vacant", ROW('Bank Schedule'!$K$2:$K$817)), ROW(134:134))), "")</f>
        <v/>
      </c>
      <c r="AF137" s="11">
        <f t="array" ref="AF137">IFERROR(INDEX('Bank Schedule'!AG:AG, SMALL(IF('Bank Schedule'!$K$2:$K$817="Vacant", ROW('Bank Schedule'!$K$2:$K$817)), ROW(134:134))), "")</f>
        <v/>
      </c>
      <c r="AG137" s="4" t="n"/>
    </row>
    <row r="138" ht="28.5" customHeight="1">
      <c r="A138" s="2">
        <f t="array" ref="A138">IFERROR(INDEX('Bank Schedule'!A:A, SMALL(IF('Bank Schedule'!$K$2:$K$817="Vacant", ROW('Bank Schedule'!$K$2:$K$817)), ROW(135:135))), "")</f>
        <v/>
      </c>
      <c r="B138" s="11">
        <f t="array" ref="B138">IFERROR(INDEX('Bank Schedule'!B:B, SMALL(IF('Bank Schedule'!$K$2:$K$817="Vacant", ROW('Bank Schedule'!$K$2:$K$817)), ROW(135:135))), "")</f>
        <v/>
      </c>
      <c r="C138" s="11">
        <f t="array" ref="C138">IFERROR(INDEX('Bank Schedule'!C:C, SMALL(IF('Bank Schedule'!$K$2:$K$817="Vacant", ROW('Bank Schedule'!$K$2:$K$817)), ROW(135:135))), "")</f>
        <v/>
      </c>
      <c r="D138" s="11">
        <f t="array" ref="D138">IFERROR(INDEX('Bank Schedule'!D:D, SMALL(IF('Bank Schedule'!$K$2:$K$817="Vacant", ROW('Bank Schedule'!$K$2:$K$817)), ROW(135:135))), "")</f>
        <v/>
      </c>
      <c r="E138" s="11">
        <f t="array" ref="E138">IFERROR(INDEX('Bank Schedule'!E:E, SMALL(IF('Bank Schedule'!$K$2:$K$817="Vacant", ROW('Bank Schedule'!$K$2:$K$817)), ROW(135:135))), "")</f>
        <v/>
      </c>
      <c r="F138" s="11">
        <f t="array" ref="F138">IFERROR(INDEX('Bank Schedule'!F:F, SMALL(IF('Bank Schedule'!$K$2:$K$817="Vacant", ROW('Bank Schedule'!$K$2:$K$817)), ROW(135:135))), "")</f>
        <v/>
      </c>
      <c r="G138" s="11">
        <f t="array" ref="G138">IFERROR(INDEX('Bank Schedule'!G:G, SMALL(IF('Bank Schedule'!$K$2:$K$817="Vacant", ROW('Bank Schedule'!$K$2:$K$817)), ROW(135:135))), "")</f>
        <v/>
      </c>
      <c r="H138" s="11">
        <f t="array" ref="H138">IFERROR(INDEX('Bank Schedule'!H:H, SMALL(IF('Bank Schedule'!$K$2:$K$817="Vacant", ROW('Bank Schedule'!$K$2:$K$817)), ROW(135:135))), "")</f>
        <v/>
      </c>
      <c r="I138" s="11">
        <f t="array" ref="I138">IFERROR(INDEX('Bank Schedule'!I:I, SMALL(IF('Bank Schedule'!$K$2:$K$817="Vacant", ROW('Bank Schedule'!$K$2:$K$817)), ROW(135:135))), "")</f>
        <v/>
      </c>
      <c r="J138" s="11">
        <f t="array" ref="J138">IFERROR(INDEX('Bank Schedule'!K:K, SMALL(IF('Bank Schedule'!$K$2:$K$817="Vacant", ROW('Bank Schedule'!$K$2:$K$817)), ROW(135:135))), "")</f>
        <v/>
      </c>
      <c r="K138" s="11">
        <f t="array" ref="K138">IFERROR(INDEX('Bank Schedule'!L:L, SMALL(IF('Bank Schedule'!$K$2:$K$817="Vacant", ROW('Bank Schedule'!$K$2:$K$817)), ROW(135:135))), "")</f>
        <v/>
      </c>
      <c r="L138" s="11">
        <f t="array" ref="L138">IFERROR(INDEX('Bank Schedule'!M:M, SMALL(IF('Bank Schedule'!$K$2:$K$817="Vacant", ROW('Bank Schedule'!$K$2:$K$817)), ROW(135:135))), "")</f>
        <v/>
      </c>
      <c r="M138" s="11">
        <f t="array" ref="M138">IFERROR(INDEX('Bank Schedule'!N:N, SMALL(IF('Bank Schedule'!$K$2:$K$817="Vacant", ROW('Bank Schedule'!$K$2:$K$817)), ROW(135:135))), "")</f>
        <v/>
      </c>
      <c r="N138" s="11">
        <f t="array" ref="N138">IFERROR(INDEX('Bank Schedule'!O:O, SMALL(IF('Bank Schedule'!$K$2:$K$817="Vacant", ROW('Bank Schedule'!$K$2:$K$817)), ROW(135:135))), "")</f>
        <v/>
      </c>
      <c r="O138" s="11">
        <f t="array" ref="O138">IFERROR(INDEX('Bank Schedule'!P:P, SMALL(IF('Bank Schedule'!$K$2:$K$817="Vacant", ROW('Bank Schedule'!$K$2:$K$817)), ROW(135:135))), "")</f>
        <v/>
      </c>
      <c r="P138" s="11">
        <f t="array" ref="P138">IFERROR(INDEX('Bank Schedule'!Q:Q, SMALL(IF('Bank Schedule'!$K$2:$K$817="Vacant", ROW('Bank Schedule'!$K$2:$K$817)), ROW(135:135))), "")</f>
        <v/>
      </c>
      <c r="Q138" s="11">
        <f t="array" ref="Q138">IFERROR(INDEX('Bank Schedule'!R:R, SMALL(IF('Bank Schedule'!$K$2:$K$817="Vacant", ROW('Bank Schedule'!$K$2:$K$817)), ROW(135:135))), "")</f>
        <v/>
      </c>
      <c r="R138" s="11">
        <f t="array" ref="R138">IFERROR(INDEX('Bank Schedule'!S:S, SMALL(IF('Bank Schedule'!$K$2:$K$817="Vacant", ROW('Bank Schedule'!$K$2:$K$817)), ROW(135:135))), "")</f>
        <v/>
      </c>
      <c r="S138" s="11">
        <f t="array" ref="S138">IFERROR(INDEX('Bank Schedule'!T:T, SMALL(IF('Bank Schedule'!$K$2:$K$817="Vacant", ROW('Bank Schedule'!$K$2:$K$817)), ROW(135:135))), "")</f>
        <v/>
      </c>
      <c r="T138" s="11">
        <f t="array" ref="T138">IFERROR(INDEX('Bank Schedule'!U:U, SMALL(IF('Bank Schedule'!$K$2:$K$817="Vacant", ROW('Bank Schedule'!$K$2:$K$817)), ROW(135:135))), "")</f>
        <v/>
      </c>
      <c r="U138" s="11">
        <f t="array" ref="U138">IFERROR(INDEX('Bank Schedule'!V:V, SMALL(IF('Bank Schedule'!$K$2:$K$817="Vacant", ROW('Bank Schedule'!$K$2:$K$817)), ROW(135:135))), "")</f>
        <v/>
      </c>
      <c r="V138" s="11">
        <f t="array" ref="V138">IFERROR(INDEX('Bank Schedule'!W:W, SMALL(IF('Bank Schedule'!$K$2:$K$817="Vacant", ROW('Bank Schedule'!$K$2:$K$817)), ROW(135:135))), "")</f>
        <v/>
      </c>
      <c r="W138" s="11">
        <f t="array" ref="W138">IFERROR(INDEX('Bank Schedule'!X:X, SMALL(IF('Bank Schedule'!$K$2:$K$817="Vacant", ROW('Bank Schedule'!$K$2:$K$817)), ROW(135:135))), "")</f>
        <v/>
      </c>
      <c r="X138" s="11">
        <f t="array" ref="X138">IFERROR(INDEX('Bank Schedule'!Y:Y, SMALL(IF('Bank Schedule'!$K$2:$K$817="Vacant", ROW('Bank Schedule'!$K$2:$K$817)), ROW(135:135))), "")</f>
        <v/>
      </c>
      <c r="Y138" s="11">
        <f t="array" ref="Y138">IFERROR(INDEX('Bank Schedule'!Z:Z, SMALL(IF('Bank Schedule'!$K$2:$K$817="Vacant", ROW('Bank Schedule'!$K$2:$K$817)), ROW(135:135))), "")</f>
        <v/>
      </c>
      <c r="Z138" s="11">
        <f t="array" ref="Z138">IFERROR(INDEX('Bank Schedule'!AA:AA, SMALL(IF('Bank Schedule'!$K$2:$K$817="Vacant", ROW('Bank Schedule'!$K$2:$K$817)), ROW(135:135))), "")</f>
        <v/>
      </c>
      <c r="AA138" s="11">
        <f t="array" ref="AA138">IFERROR(INDEX('Bank Schedule'!AB:AB, SMALL(IF('Bank Schedule'!$K$2:$K$817="Vacant", ROW('Bank Schedule'!$K$2:$K$817)), ROW(135:135))), "")</f>
        <v/>
      </c>
      <c r="AB138" s="11">
        <f t="array" ref="AB138">IFERROR(INDEX('Bank Schedule'!AC:AC, SMALL(IF('Bank Schedule'!$K$2:$K$817="Vacant", ROW('Bank Schedule'!$K$2:$K$817)), ROW(135:135))), "")</f>
        <v/>
      </c>
      <c r="AC138" s="11">
        <f t="array" ref="AC138">IFERROR(INDEX('Bank Schedule'!AD:AD, SMALL(IF('Bank Schedule'!$K$2:$K$817="Vacant", ROW('Bank Schedule'!$K$2:$K$817)), ROW(135:135))), "")</f>
        <v/>
      </c>
      <c r="AD138" s="11">
        <f t="array" ref="AD138">IFERROR(INDEX('Bank Schedule'!AE:AE, SMALL(IF('Bank Schedule'!$K$2:$K$817="Vacant", ROW('Bank Schedule'!$K$2:$K$817)), ROW(135:135))), "")</f>
        <v/>
      </c>
      <c r="AE138" s="11">
        <f t="array" ref="AE138">IFERROR(INDEX('Bank Schedule'!AF:AF, SMALL(IF('Bank Schedule'!$K$2:$K$817="Vacant", ROW('Bank Schedule'!$K$2:$K$817)), ROW(135:135))), "")</f>
        <v/>
      </c>
      <c r="AF138" s="11">
        <f t="array" ref="AF138">IFERROR(INDEX('Bank Schedule'!AG:AG, SMALL(IF('Bank Schedule'!$K$2:$K$817="Vacant", ROW('Bank Schedule'!$K$2:$K$817)), ROW(135:135))), "")</f>
        <v/>
      </c>
      <c r="AG138" s="4" t="n"/>
    </row>
    <row r="139" ht="28.5" customHeight="1">
      <c r="A139" s="2">
        <f t="array" ref="A139">IFERROR(INDEX('Bank Schedule'!A:A, SMALL(IF('Bank Schedule'!$K$2:$K$817="Vacant", ROW('Bank Schedule'!$K$2:$K$817)), ROW(136:136))), "")</f>
        <v/>
      </c>
      <c r="B139" s="11">
        <f t="array" ref="B139">IFERROR(INDEX('Bank Schedule'!B:B, SMALL(IF('Bank Schedule'!$K$2:$K$817="Vacant", ROW('Bank Schedule'!$K$2:$K$817)), ROW(136:136))), "")</f>
        <v/>
      </c>
      <c r="C139" s="11">
        <f t="array" ref="C139">IFERROR(INDEX('Bank Schedule'!C:C, SMALL(IF('Bank Schedule'!$K$2:$K$817="Vacant", ROW('Bank Schedule'!$K$2:$K$817)), ROW(136:136))), "")</f>
        <v/>
      </c>
      <c r="D139" s="11">
        <f t="array" ref="D139">IFERROR(INDEX('Bank Schedule'!D:D, SMALL(IF('Bank Schedule'!$K$2:$K$817="Vacant", ROW('Bank Schedule'!$K$2:$K$817)), ROW(136:136))), "")</f>
        <v/>
      </c>
      <c r="E139" s="11">
        <f t="array" ref="E139">IFERROR(INDEX('Bank Schedule'!E:E, SMALL(IF('Bank Schedule'!$K$2:$K$817="Vacant", ROW('Bank Schedule'!$K$2:$K$817)), ROW(136:136))), "")</f>
        <v/>
      </c>
      <c r="F139" s="11">
        <f t="array" ref="F139">IFERROR(INDEX('Bank Schedule'!F:F, SMALL(IF('Bank Schedule'!$K$2:$K$817="Vacant", ROW('Bank Schedule'!$K$2:$K$817)), ROW(136:136))), "")</f>
        <v/>
      </c>
      <c r="G139" s="11">
        <f t="array" ref="G139">IFERROR(INDEX('Bank Schedule'!G:G, SMALL(IF('Bank Schedule'!$K$2:$K$817="Vacant", ROW('Bank Schedule'!$K$2:$K$817)), ROW(136:136))), "")</f>
        <v/>
      </c>
      <c r="H139" s="11">
        <f t="array" ref="H139">IFERROR(INDEX('Bank Schedule'!H:H, SMALL(IF('Bank Schedule'!$K$2:$K$817="Vacant", ROW('Bank Schedule'!$K$2:$K$817)), ROW(136:136))), "")</f>
        <v/>
      </c>
      <c r="I139" s="11">
        <f t="array" ref="I139">IFERROR(INDEX('Bank Schedule'!I:I, SMALL(IF('Bank Schedule'!$K$2:$K$817="Vacant", ROW('Bank Schedule'!$K$2:$K$817)), ROW(136:136))), "")</f>
        <v/>
      </c>
      <c r="J139" s="11">
        <f t="array" ref="J139">IFERROR(INDEX('Bank Schedule'!K:K, SMALL(IF('Bank Schedule'!$K$2:$K$817="Vacant", ROW('Bank Schedule'!$K$2:$K$817)), ROW(136:136))), "")</f>
        <v/>
      </c>
      <c r="K139" s="11">
        <f t="array" ref="K139">IFERROR(INDEX('Bank Schedule'!L:L, SMALL(IF('Bank Schedule'!$K$2:$K$817="Vacant", ROW('Bank Schedule'!$K$2:$K$817)), ROW(136:136))), "")</f>
        <v/>
      </c>
      <c r="L139" s="11">
        <f t="array" ref="L139">IFERROR(INDEX('Bank Schedule'!M:M, SMALL(IF('Bank Schedule'!$K$2:$K$817="Vacant", ROW('Bank Schedule'!$K$2:$K$817)), ROW(136:136))), "")</f>
        <v/>
      </c>
      <c r="M139" s="11">
        <f t="array" ref="M139">IFERROR(INDEX('Bank Schedule'!N:N, SMALL(IF('Bank Schedule'!$K$2:$K$817="Vacant", ROW('Bank Schedule'!$K$2:$K$817)), ROW(136:136))), "")</f>
        <v/>
      </c>
      <c r="N139" s="11">
        <f t="array" ref="N139">IFERROR(INDEX('Bank Schedule'!O:O, SMALL(IF('Bank Schedule'!$K$2:$K$817="Vacant", ROW('Bank Schedule'!$K$2:$K$817)), ROW(136:136))), "")</f>
        <v/>
      </c>
      <c r="O139" s="11">
        <f t="array" ref="O139">IFERROR(INDEX('Bank Schedule'!P:P, SMALL(IF('Bank Schedule'!$K$2:$K$817="Vacant", ROW('Bank Schedule'!$K$2:$K$817)), ROW(136:136))), "")</f>
        <v/>
      </c>
      <c r="P139" s="11">
        <f t="array" ref="P139">IFERROR(INDEX('Bank Schedule'!Q:Q, SMALL(IF('Bank Schedule'!$K$2:$K$817="Vacant", ROW('Bank Schedule'!$K$2:$K$817)), ROW(136:136))), "")</f>
        <v/>
      </c>
      <c r="Q139" s="11">
        <f t="array" ref="Q139">IFERROR(INDEX('Bank Schedule'!R:R, SMALL(IF('Bank Schedule'!$K$2:$K$817="Vacant", ROW('Bank Schedule'!$K$2:$K$817)), ROW(136:136))), "")</f>
        <v/>
      </c>
      <c r="R139" s="11">
        <f t="array" ref="R139">IFERROR(INDEX('Bank Schedule'!S:S, SMALL(IF('Bank Schedule'!$K$2:$K$817="Vacant", ROW('Bank Schedule'!$K$2:$K$817)), ROW(136:136))), "")</f>
        <v/>
      </c>
      <c r="S139" s="11">
        <f t="array" ref="S139">IFERROR(INDEX('Bank Schedule'!T:T, SMALL(IF('Bank Schedule'!$K$2:$K$817="Vacant", ROW('Bank Schedule'!$K$2:$K$817)), ROW(136:136))), "")</f>
        <v/>
      </c>
      <c r="T139" s="11">
        <f t="array" ref="T139">IFERROR(INDEX('Bank Schedule'!U:U, SMALL(IF('Bank Schedule'!$K$2:$K$817="Vacant", ROW('Bank Schedule'!$K$2:$K$817)), ROW(136:136))), "")</f>
        <v/>
      </c>
      <c r="U139" s="11">
        <f t="array" ref="U139">IFERROR(INDEX('Bank Schedule'!V:V, SMALL(IF('Bank Schedule'!$K$2:$K$817="Vacant", ROW('Bank Schedule'!$K$2:$K$817)), ROW(136:136))), "")</f>
        <v/>
      </c>
      <c r="V139" s="11">
        <f t="array" ref="V139">IFERROR(INDEX('Bank Schedule'!W:W, SMALL(IF('Bank Schedule'!$K$2:$K$817="Vacant", ROW('Bank Schedule'!$K$2:$K$817)), ROW(136:136))), "")</f>
        <v/>
      </c>
      <c r="W139" s="11">
        <f t="array" ref="W139">IFERROR(INDEX('Bank Schedule'!X:X, SMALL(IF('Bank Schedule'!$K$2:$K$817="Vacant", ROW('Bank Schedule'!$K$2:$K$817)), ROW(136:136))), "")</f>
        <v/>
      </c>
      <c r="X139" s="11">
        <f t="array" ref="X139">IFERROR(INDEX('Bank Schedule'!Y:Y, SMALL(IF('Bank Schedule'!$K$2:$K$817="Vacant", ROW('Bank Schedule'!$K$2:$K$817)), ROW(136:136))), "")</f>
        <v/>
      </c>
      <c r="Y139" s="11">
        <f t="array" ref="Y139">IFERROR(INDEX('Bank Schedule'!Z:Z, SMALL(IF('Bank Schedule'!$K$2:$K$817="Vacant", ROW('Bank Schedule'!$K$2:$K$817)), ROW(136:136))), "")</f>
        <v/>
      </c>
      <c r="Z139" s="11">
        <f t="array" ref="Z139">IFERROR(INDEX('Bank Schedule'!AA:AA, SMALL(IF('Bank Schedule'!$K$2:$K$817="Vacant", ROW('Bank Schedule'!$K$2:$K$817)), ROW(136:136))), "")</f>
        <v/>
      </c>
      <c r="AA139" s="11">
        <f t="array" ref="AA139">IFERROR(INDEX('Bank Schedule'!AB:AB, SMALL(IF('Bank Schedule'!$K$2:$K$817="Vacant", ROW('Bank Schedule'!$K$2:$K$817)), ROW(136:136))), "")</f>
        <v/>
      </c>
      <c r="AB139" s="11">
        <f t="array" ref="AB139">IFERROR(INDEX('Bank Schedule'!AC:AC, SMALL(IF('Bank Schedule'!$K$2:$K$817="Vacant", ROW('Bank Schedule'!$K$2:$K$817)), ROW(136:136))), "")</f>
        <v/>
      </c>
      <c r="AC139" s="11">
        <f t="array" ref="AC139">IFERROR(INDEX('Bank Schedule'!AD:AD, SMALL(IF('Bank Schedule'!$K$2:$K$817="Vacant", ROW('Bank Schedule'!$K$2:$K$817)), ROW(136:136))), "")</f>
        <v/>
      </c>
      <c r="AD139" s="11">
        <f t="array" ref="AD139">IFERROR(INDEX('Bank Schedule'!AE:AE, SMALL(IF('Bank Schedule'!$K$2:$K$817="Vacant", ROW('Bank Schedule'!$K$2:$K$817)), ROW(136:136))), "")</f>
        <v/>
      </c>
      <c r="AE139" s="11">
        <f t="array" ref="AE139">IFERROR(INDEX('Bank Schedule'!AF:AF, SMALL(IF('Bank Schedule'!$K$2:$K$817="Vacant", ROW('Bank Schedule'!$K$2:$K$817)), ROW(136:136))), "")</f>
        <v/>
      </c>
      <c r="AF139" s="11">
        <f t="array" ref="AF139">IFERROR(INDEX('Bank Schedule'!AG:AG, SMALL(IF('Bank Schedule'!$K$2:$K$817="Vacant", ROW('Bank Schedule'!$K$2:$K$817)), ROW(136:136))), "")</f>
        <v/>
      </c>
      <c r="AG139" s="4">
        <f t="array" ref="AG139">IFERROR(INDEX('Bank Schedule'!AE:AE, SMALL(IF('Bank Schedule'!$K$2:$K$817="Vacant", ROW('Bank Schedule'!$K$2:$K$817)), ROW(136:136))), "")</f>
        <v/>
      </c>
      <c r="AH139" s="2" t="n"/>
      <c r="AI139" s="110" t="n"/>
    </row>
    <row r="140" ht="28.5" customHeight="1">
      <c r="A140" s="2">
        <f t="array" ref="A140">IFERROR(INDEX('Bank Schedule'!A:A, SMALL(IF('Bank Schedule'!$K$2:$K$817="Vacant", ROW('Bank Schedule'!$K$2:$K$817)), ROW(137:137))), "")</f>
        <v/>
      </c>
      <c r="B140" s="11">
        <f t="array" ref="B140">IFERROR(INDEX('Bank Schedule'!B:B, SMALL(IF('Bank Schedule'!$K$2:$K$817="Vacant", ROW('Bank Schedule'!$K$2:$K$817)), ROW(137:137))), "")</f>
        <v/>
      </c>
      <c r="C140" s="11">
        <f t="array" ref="C140">IFERROR(INDEX('Bank Schedule'!C:C, SMALL(IF('Bank Schedule'!$K$2:$K$817="Vacant", ROW('Bank Schedule'!$K$2:$K$817)), ROW(137:137))), "")</f>
        <v/>
      </c>
      <c r="D140" s="11">
        <f t="array" ref="D140">IFERROR(INDEX('Bank Schedule'!D:D, SMALL(IF('Bank Schedule'!$K$2:$K$817="Vacant", ROW('Bank Schedule'!$K$2:$K$817)), ROW(137:137))), "")</f>
        <v/>
      </c>
      <c r="E140" s="11">
        <f t="array" ref="E140">IFERROR(INDEX('Bank Schedule'!E:E, SMALL(IF('Bank Schedule'!$K$2:$K$817="Vacant", ROW('Bank Schedule'!$K$2:$K$817)), ROW(137:137))), "")</f>
        <v/>
      </c>
      <c r="F140" s="11">
        <f t="array" ref="F140">IFERROR(INDEX('Bank Schedule'!F:F, SMALL(IF('Bank Schedule'!$K$2:$K$817="Vacant", ROW('Bank Schedule'!$K$2:$K$817)), ROW(137:137))), "")</f>
        <v/>
      </c>
      <c r="G140" s="11">
        <f t="array" ref="G140">IFERROR(INDEX('Bank Schedule'!G:G, SMALL(IF('Bank Schedule'!$K$2:$K$817="Vacant", ROW('Bank Schedule'!$K$2:$K$817)), ROW(137:137))), "")</f>
        <v/>
      </c>
      <c r="H140" s="11">
        <f t="array" ref="H140">IFERROR(INDEX('Bank Schedule'!H:H, SMALL(IF('Bank Schedule'!$K$2:$K$817="Vacant", ROW('Bank Schedule'!$K$2:$K$817)), ROW(137:137))), "")</f>
        <v/>
      </c>
      <c r="I140" s="11">
        <f t="array" ref="I140">IFERROR(INDEX('Bank Schedule'!I:I, SMALL(IF('Bank Schedule'!$K$2:$K$817="Vacant", ROW('Bank Schedule'!$K$2:$K$817)), ROW(137:137))), "")</f>
        <v/>
      </c>
      <c r="J140" s="11">
        <f t="array" ref="J140">IFERROR(INDEX('Bank Schedule'!K:K, SMALL(IF('Bank Schedule'!$K$2:$K$817="Vacant", ROW('Bank Schedule'!$K$2:$K$817)), ROW(137:137))), "")</f>
        <v/>
      </c>
      <c r="K140" s="11">
        <f t="array" ref="K140">IFERROR(INDEX('Bank Schedule'!L:L, SMALL(IF('Bank Schedule'!$K$2:$K$817="Vacant", ROW('Bank Schedule'!$K$2:$K$817)), ROW(137:137))), "")</f>
        <v/>
      </c>
      <c r="L140" s="11">
        <f t="array" ref="L140">IFERROR(INDEX('Bank Schedule'!M:M, SMALL(IF('Bank Schedule'!$K$2:$K$817="Vacant", ROW('Bank Schedule'!$K$2:$K$817)), ROW(137:137))), "")</f>
        <v/>
      </c>
      <c r="M140" s="11">
        <f t="array" ref="M140">IFERROR(INDEX('Bank Schedule'!N:N, SMALL(IF('Bank Schedule'!$K$2:$K$817="Vacant", ROW('Bank Schedule'!$K$2:$K$817)), ROW(137:137))), "")</f>
        <v/>
      </c>
      <c r="N140" s="11">
        <f t="array" ref="N140">IFERROR(INDEX('Bank Schedule'!O:O, SMALL(IF('Bank Schedule'!$K$2:$K$817="Vacant", ROW('Bank Schedule'!$K$2:$K$817)), ROW(137:137))), "")</f>
        <v/>
      </c>
      <c r="O140" s="11">
        <f t="array" ref="O140">IFERROR(INDEX('Bank Schedule'!P:P, SMALL(IF('Bank Schedule'!$K$2:$K$817="Vacant", ROW('Bank Schedule'!$K$2:$K$817)), ROW(137:137))), "")</f>
        <v/>
      </c>
      <c r="P140" s="11">
        <f t="array" ref="P140">IFERROR(INDEX('Bank Schedule'!Q:Q, SMALL(IF('Bank Schedule'!$K$2:$K$817="Vacant", ROW('Bank Schedule'!$K$2:$K$817)), ROW(137:137))), "")</f>
        <v/>
      </c>
      <c r="Q140" s="11">
        <f t="array" ref="Q140">IFERROR(INDEX('Bank Schedule'!R:R, SMALL(IF('Bank Schedule'!$K$2:$K$817="Vacant", ROW('Bank Schedule'!$K$2:$K$817)), ROW(137:137))), "")</f>
        <v/>
      </c>
      <c r="R140" s="11">
        <f t="array" ref="R140">IFERROR(INDEX('Bank Schedule'!S:S, SMALL(IF('Bank Schedule'!$K$2:$K$817="Vacant", ROW('Bank Schedule'!$K$2:$K$817)), ROW(137:137))), "")</f>
        <v/>
      </c>
      <c r="S140" s="11">
        <f t="array" ref="S140">IFERROR(INDEX('Bank Schedule'!T:T, SMALL(IF('Bank Schedule'!$K$2:$K$817="Vacant", ROW('Bank Schedule'!$K$2:$K$817)), ROW(137:137))), "")</f>
        <v/>
      </c>
      <c r="T140" s="11">
        <f t="array" ref="T140">IFERROR(INDEX('Bank Schedule'!U:U, SMALL(IF('Bank Schedule'!$K$2:$K$817="Vacant", ROW('Bank Schedule'!$K$2:$K$817)), ROW(137:137))), "")</f>
        <v/>
      </c>
      <c r="U140" s="11">
        <f t="array" ref="U140">IFERROR(INDEX('Bank Schedule'!V:V, SMALL(IF('Bank Schedule'!$K$2:$K$817="Vacant", ROW('Bank Schedule'!$K$2:$K$817)), ROW(137:137))), "")</f>
        <v/>
      </c>
      <c r="V140" s="11">
        <f t="array" ref="V140">IFERROR(INDEX('Bank Schedule'!W:W, SMALL(IF('Bank Schedule'!$K$2:$K$817="Vacant", ROW('Bank Schedule'!$K$2:$K$817)), ROW(137:137))), "")</f>
        <v/>
      </c>
      <c r="W140" s="11">
        <f t="array" ref="W140">IFERROR(INDEX('Bank Schedule'!X:X, SMALL(IF('Bank Schedule'!$K$2:$K$817="Vacant", ROW('Bank Schedule'!$K$2:$K$817)), ROW(137:137))), "")</f>
        <v/>
      </c>
      <c r="X140" s="11">
        <f t="array" ref="X140">IFERROR(INDEX('Bank Schedule'!Y:Y, SMALL(IF('Bank Schedule'!$K$2:$K$817="Vacant", ROW('Bank Schedule'!$K$2:$K$817)), ROW(137:137))), "")</f>
        <v/>
      </c>
      <c r="Y140" s="11">
        <f t="array" ref="Y140">IFERROR(INDEX('Bank Schedule'!Z:Z, SMALL(IF('Bank Schedule'!$K$2:$K$817="Vacant", ROW('Bank Schedule'!$K$2:$K$817)), ROW(137:137))), "")</f>
        <v/>
      </c>
      <c r="Z140" s="11">
        <f t="array" ref="Z140">IFERROR(INDEX('Bank Schedule'!AA:AA, SMALL(IF('Bank Schedule'!$K$2:$K$817="Vacant", ROW('Bank Schedule'!$K$2:$K$817)), ROW(137:137))), "")</f>
        <v/>
      </c>
      <c r="AA140" s="11">
        <f t="array" ref="AA140">IFERROR(INDEX('Bank Schedule'!AB:AB, SMALL(IF('Bank Schedule'!$K$2:$K$817="Vacant", ROW('Bank Schedule'!$K$2:$K$817)), ROW(137:137))), "")</f>
        <v/>
      </c>
      <c r="AB140" s="11">
        <f t="array" ref="AB140">IFERROR(INDEX('Bank Schedule'!AC:AC, SMALL(IF('Bank Schedule'!$K$2:$K$817="Vacant", ROW('Bank Schedule'!$K$2:$K$817)), ROW(137:137))), "")</f>
        <v/>
      </c>
      <c r="AC140" s="11">
        <f t="array" ref="AC140">IFERROR(INDEX('Bank Schedule'!AD:AD, SMALL(IF('Bank Schedule'!$K$2:$K$817="Vacant", ROW('Bank Schedule'!$K$2:$K$817)), ROW(137:137))), "")</f>
        <v/>
      </c>
      <c r="AD140" s="11">
        <f t="array" ref="AD140">IFERROR(INDEX('Bank Schedule'!AE:AE, SMALL(IF('Bank Schedule'!$K$2:$K$817="Vacant", ROW('Bank Schedule'!$K$2:$K$817)), ROW(137:137))), "")</f>
        <v/>
      </c>
      <c r="AE140" s="11">
        <f t="array" ref="AE140">IFERROR(INDEX('Bank Schedule'!AF:AF, SMALL(IF('Bank Schedule'!$K$2:$K$817="Vacant", ROW('Bank Schedule'!$K$2:$K$817)), ROW(137:137))), "")</f>
        <v/>
      </c>
      <c r="AF140" s="11">
        <f t="array" ref="AF140">IFERROR(INDEX('Bank Schedule'!AG:AG, SMALL(IF('Bank Schedule'!$K$2:$K$817="Vacant", ROW('Bank Schedule'!$K$2:$K$817)), ROW(137:137))), "")</f>
        <v/>
      </c>
      <c r="AG140" s="4">
        <f t="array" ref="AG140">IFERROR(INDEX('Bank Schedule'!AE:AE, SMALL(IF('Bank Schedule'!$K$2:$K$817="Vacant", ROW('Bank Schedule'!$K$2:$K$817)), ROW(137:137))), "")</f>
        <v/>
      </c>
      <c r="AH140" s="2" t="n"/>
      <c r="AI140" s="110" t="n"/>
    </row>
    <row r="141" ht="28.5" customHeight="1">
      <c r="A141" s="2">
        <f t="array" ref="A141">IFERROR(INDEX('Bank Schedule'!A:A, SMALL(IF('Bank Schedule'!$K$2:$K$817="Vacant", ROW('Bank Schedule'!$K$2:$K$817)), ROW(138:138))), "")</f>
        <v/>
      </c>
      <c r="B141" s="11">
        <f t="array" ref="B141">IFERROR(INDEX('Bank Schedule'!B:B, SMALL(IF('Bank Schedule'!$K$2:$K$817="Vacant", ROW('Bank Schedule'!$K$2:$K$817)), ROW(138:138))), "")</f>
        <v/>
      </c>
      <c r="C141" s="11">
        <f t="array" ref="C141">IFERROR(INDEX('Bank Schedule'!C:C, SMALL(IF('Bank Schedule'!$K$2:$K$817="Vacant", ROW('Bank Schedule'!$K$2:$K$817)), ROW(138:138))), "")</f>
        <v/>
      </c>
      <c r="D141" s="2">
        <f t="array" ref="D141">IFERROR(INDEX('Bank Schedule'!D:D, SMALL(IF('Bank Schedule'!$K$2:$K$817="Vacant", ROW('Bank Schedule'!$K$2:$K$817)), ROW(138:138))), "")</f>
        <v/>
      </c>
      <c r="E141" s="4">
        <f t="array" ref="E141">IFERROR(INDEX('Bank Schedule'!E:E, SMALL(IF('Bank Schedule'!$K$2:$K$817="Vacant", ROW('Bank Schedule'!$K$2:$K$817)), ROW(138:138))), "")</f>
        <v/>
      </c>
      <c r="F141" s="4">
        <f t="array" ref="F141">IFERROR(INDEX('Bank Schedule'!F:F, SMALL(IF('Bank Schedule'!$K$2:$K$817="Vacant", ROW('Bank Schedule'!$K$2:$K$817)), ROW(138:138))), "")</f>
        <v/>
      </c>
      <c r="G141" s="14">
        <f t="array" ref="G141">IFERROR(INDEX('Bank Schedule'!G:G, SMALL(IF('Bank Schedule'!$K$2:$K$817="Vacant", ROW('Bank Schedule'!$K$2:$K$817)), ROW(138:138))), "")</f>
        <v/>
      </c>
      <c r="H141" s="23">
        <f t="array" ref="H141">IFERROR(INDEX('Bank Schedule'!H:H, SMALL(IF('Bank Schedule'!$K$2:$K$817="Vacant", ROW('Bank Schedule'!$K$2:$K$817)), ROW(138:138))), "")</f>
        <v/>
      </c>
      <c r="I141" s="7">
        <f t="array" ref="I141">IFERROR(INDEX('Bank Schedule'!I:I, SMALL(IF('Bank Schedule'!$K$2:$K$817="Vacant", ROW('Bank Schedule'!$K$2:$K$817)), ROW(138:138))), "")</f>
        <v/>
      </c>
      <c r="J141" s="14">
        <f t="array" ref="J141">IFERROR(INDEX('Bank Schedule'!K:K, SMALL(IF('Bank Schedule'!$K$2:$K$817="Vacant", ROW('Bank Schedule'!$K$2:$K$817)), ROW(138:138))), "")</f>
        <v/>
      </c>
      <c r="K141" s="25">
        <f t="array" ref="K141">IFERROR(INDEX('Bank Schedule'!#REF!, SMALL(IF('Bank Schedule'!$K$2:$K$817="Vacant", ROW('Bank Schedule'!$K$2:$K$817)), ROW(138:138))), "")</f>
        <v/>
      </c>
      <c r="L141" s="8">
        <f t="array" ref="L141">IFERROR(INDEX('Bank Schedule'!L:L, SMALL(IF('Bank Schedule'!$K$2:$K$817="Vacant", ROW('Bank Schedule'!$K$2:$K$817)), ROW(138:138))), "")</f>
        <v/>
      </c>
      <c r="M141" s="9">
        <f t="array" ref="M141">IFERROR(INDEX('Bank Schedule'!M:M, SMALL(IF('Bank Schedule'!$K$2:$K$817="Vacant", ROW('Bank Schedule'!$K$2:$K$817)), ROW(138:138))), "")</f>
        <v/>
      </c>
      <c r="N141" s="9">
        <f t="array" ref="N141">IFERROR(INDEX('Bank Schedule'!N:N, SMALL(IF('Bank Schedule'!$K$2:$K$817="Vacant", ROW('Bank Schedule'!$K$2:$K$817)), ROW(138:138))), "")</f>
        <v/>
      </c>
      <c r="O141" s="9">
        <f t="array" ref="O141">IFERROR(INDEX('Bank Schedule'!O:O, SMALL(IF('Bank Schedule'!$K$2:$K$817="Vacant", ROW('Bank Schedule'!$K$2:$K$817)), ROW(138:138))), "")</f>
        <v/>
      </c>
      <c r="P141" s="9">
        <f t="array" ref="P141">IFERROR(INDEX('Bank Schedule'!P:P, SMALL(IF('Bank Schedule'!$K$2:$K$817="Vacant", ROW('Bank Schedule'!$K$2:$K$817)), ROW(138:138))), "")</f>
        <v/>
      </c>
      <c r="Q141" s="9">
        <f t="array" ref="Q141">IFERROR(INDEX('Bank Schedule'!#REF!, SMALL(IF('Bank Schedule'!$K$2:$K$817="Vacant", ROW('Bank Schedule'!$K$2:$K$817)), ROW(138:138))), "")</f>
        <v/>
      </c>
      <c r="R141" s="10">
        <f t="array" ref="R141">IFERROR(INDEX('Bank Schedule'!Q:Q, SMALL(IF('Bank Schedule'!$K$2:$K$817="Vacant", ROW('Bank Schedule'!$K$2:$K$817)), ROW(138:138))), "")</f>
        <v/>
      </c>
      <c r="S141" s="10">
        <f t="array" ref="S141">IFERROR(INDEX('Bank Schedule'!R:R, SMALL(IF('Bank Schedule'!$K$2:$K$817="Vacant", ROW('Bank Schedule'!$K$2:$K$817)), ROW(138:138))), "")</f>
        <v/>
      </c>
      <c r="T141" s="10">
        <f t="array" ref="T141">IFERROR(INDEX('Bank Schedule'!S:S, SMALL(IF('Bank Schedule'!$K$2:$K$817="Vacant", ROW('Bank Schedule'!$K$2:$K$817)), ROW(138:138))), "")</f>
        <v/>
      </c>
      <c r="U141" s="106">
        <f t="array" ref="U141">IFERROR(INDEX('Bank Schedule'!#REF!, SMALL(IF('Bank Schedule'!$K$2:$K$817="Vacant", ROW('Bank Schedule'!$K$2:$K$817)), ROW(138:138))), "")</f>
        <v/>
      </c>
      <c r="V141" s="10">
        <f t="array" ref="V141">IFERROR(INDEX('Bank Schedule'!#REF!, SMALL(IF('Bank Schedule'!$K$2:$K$817="Vacant", ROW('Bank Schedule'!$K$2:$K$817)), ROW(138:138))), "")</f>
        <v/>
      </c>
      <c r="W141" s="10">
        <f t="array" ref="W141">IFERROR(INDEX('Bank Schedule'!#REF!, SMALL(IF('Bank Schedule'!$K$2:$K$817="Vacant", ROW('Bank Schedule'!$K$2:$K$817)), ROW(138:138))), "")</f>
        <v/>
      </c>
      <c r="X141" s="23">
        <f t="array" ref="X141">IFERROR(INDEX('Bank Schedule'!T:T, SMALL(IF('Bank Schedule'!$K$2:$K$817="Vacant", ROW('Bank Schedule'!$K$2:$K$817)), ROW(138:138))), "")</f>
        <v/>
      </c>
      <c r="Y141" s="10">
        <f t="array" ref="Y141">IFERROR(INDEX('Bank Schedule'!U:U, SMALL(IF('Bank Schedule'!$K$2:$K$817="Vacant", ROW('Bank Schedule'!$K$2:$K$817)), ROW(138:138))), "")</f>
        <v/>
      </c>
      <c r="Z141" s="231">
        <f t="array" ref="Z141">IFERROR(INDEX('Bank Schedule'!V:V, SMALL(IF('Bank Schedule'!$K$2:$K$817="Vacant", ROW('Bank Schedule'!$K$2:$K$817)), ROW(138:138))), "")</f>
        <v/>
      </c>
      <c r="AA141" s="10">
        <f t="array" ref="AA141">IFERROR(INDEX('Bank Schedule'!W:W, SMALL(IF('Bank Schedule'!$K$2:$K$817="Vacant", ROW('Bank Schedule'!$K$2:$K$817)), ROW(138:138))), "")</f>
        <v/>
      </c>
      <c r="AB141" s="10">
        <f t="array" ref="AB141">IFERROR(INDEX('Bank Schedule'!Y:Y, SMALL(IF('Bank Schedule'!$K$2:$K$817="Vacant", ROW('Bank Schedule'!$K$2:$K$817)), ROW(138:138))), "")</f>
        <v/>
      </c>
      <c r="AC141" s="60">
        <f t="array" ref="AC141">IFERROR(INDEX('Bank Schedule'!Z:Z, SMALL(IF('Bank Schedule'!$K$2:$K$817="Vacant", ROW('Bank Schedule'!$K$2:$K$817)), ROW(138:138))), "")</f>
        <v/>
      </c>
      <c r="AD141" s="230">
        <f t="array" ref="AD141">IFERROR(INDEX('Bank Schedule'!AA:AA, SMALL(IF('Bank Schedule'!$K$2:$K$817="Vacant", ROW('Bank Schedule'!$K$2:$K$817)), ROW(138:138))), "")</f>
        <v/>
      </c>
      <c r="AE141" s="14">
        <f t="array" ref="AE141">IFERROR(INDEX('Bank Schedule'!AB:AB, SMALL(IF('Bank Schedule'!$K$2:$K$817="Vacant", ROW('Bank Schedule'!$K$2:$K$817)), ROW(138:138))), "")</f>
        <v/>
      </c>
      <c r="AF141" s="4">
        <f t="array" ref="AF141">IFERROR(INDEX('Bank Schedule'!AC:AC, SMALL(IF('Bank Schedule'!$K$2:$K$817="Vacant", ROW('Bank Schedule'!$K$2:$K$817)), ROW(138:138))), "")</f>
        <v/>
      </c>
      <c r="AG141" s="4">
        <f t="array" ref="AG141">IFERROR(INDEX('Bank Schedule'!AE:AE, SMALL(IF('Bank Schedule'!$K$2:$K$817="Vacant", ROW('Bank Schedule'!$K$2:$K$817)), ROW(138:138))), "")</f>
        <v/>
      </c>
      <c r="AH141" s="2" t="n"/>
      <c r="AI141" s="110" t="n"/>
    </row>
    <row r="142" ht="28.5" customHeight="1">
      <c r="A142" s="2">
        <f t="array" ref="A142">IFERROR(INDEX('Bank Schedule'!A:A, SMALL(IF('Bank Schedule'!$K$2:$K$817="Vacant", ROW('Bank Schedule'!$K$2:$K$817)), ROW(139:139))), "")</f>
        <v/>
      </c>
      <c r="B142" s="11">
        <f t="array" ref="B142">IFERROR(INDEX('Bank Schedule'!B:B, SMALL(IF('Bank Schedule'!$K$2:$K$817="Vacant", ROW('Bank Schedule'!$K$2:$K$817)), ROW(139:139))), "")</f>
        <v/>
      </c>
      <c r="C142" s="11">
        <f t="array" ref="C142">IFERROR(INDEX('Bank Schedule'!C:C, SMALL(IF('Bank Schedule'!$K$2:$K$817="Vacant", ROW('Bank Schedule'!$K$2:$K$817)), ROW(139:139))), "")</f>
        <v/>
      </c>
      <c r="D142" s="2">
        <f t="array" ref="D142">IFERROR(INDEX('Bank Schedule'!D:D, SMALL(IF('Bank Schedule'!$K$2:$K$817="Vacant", ROW('Bank Schedule'!$K$2:$K$817)), ROW(139:139))), "")</f>
        <v/>
      </c>
      <c r="E142" s="4">
        <f t="array" ref="E142">IFERROR(INDEX('Bank Schedule'!E:E, SMALL(IF('Bank Schedule'!$K$2:$K$817="Vacant", ROW('Bank Schedule'!$K$2:$K$817)), ROW(139:139))), "")</f>
        <v/>
      </c>
      <c r="F142" s="4">
        <f t="array" ref="F142">IFERROR(INDEX('Bank Schedule'!F:F, SMALL(IF('Bank Schedule'!$K$2:$K$817="Vacant", ROW('Bank Schedule'!$K$2:$K$817)), ROW(139:139))), "")</f>
        <v/>
      </c>
      <c r="G142" s="14">
        <f t="array" ref="G142">IFERROR(INDEX('Bank Schedule'!G:G, SMALL(IF('Bank Schedule'!$K$2:$K$817="Vacant", ROW('Bank Schedule'!$K$2:$K$817)), ROW(139:139))), "")</f>
        <v/>
      </c>
      <c r="H142" s="23">
        <f t="array" ref="H142">IFERROR(INDEX('Bank Schedule'!H:H, SMALL(IF('Bank Schedule'!$K$2:$K$817="Vacant", ROW('Bank Schedule'!$K$2:$K$817)), ROW(139:139))), "")</f>
        <v/>
      </c>
      <c r="I142" s="7">
        <f t="array" ref="I142">IFERROR(INDEX('Bank Schedule'!I:I, SMALL(IF('Bank Schedule'!$K$2:$K$817="Vacant", ROW('Bank Schedule'!$K$2:$K$817)), ROW(139:139))), "")</f>
        <v/>
      </c>
      <c r="J142" s="14">
        <f t="array" ref="J142">IFERROR(INDEX('Bank Schedule'!K:K, SMALL(IF('Bank Schedule'!$K$2:$K$817="Vacant", ROW('Bank Schedule'!$K$2:$K$817)), ROW(139:139))), "")</f>
        <v/>
      </c>
      <c r="K142" s="25">
        <f t="array" ref="K142">IFERROR(INDEX('Bank Schedule'!#REF!, SMALL(IF('Bank Schedule'!$K$2:$K$817="Vacant", ROW('Bank Schedule'!$K$2:$K$817)), ROW(139:139))), "")</f>
        <v/>
      </c>
      <c r="L142" s="8">
        <f t="array" ref="L142">IFERROR(INDEX('Bank Schedule'!L:L, SMALL(IF('Bank Schedule'!$K$2:$K$817="Vacant", ROW('Bank Schedule'!$K$2:$K$817)), ROW(139:139))), "")</f>
        <v/>
      </c>
      <c r="M142" s="9">
        <f t="array" ref="M142">IFERROR(INDEX('Bank Schedule'!M:M, SMALL(IF('Bank Schedule'!$K$2:$K$817="Vacant", ROW('Bank Schedule'!$K$2:$K$817)), ROW(139:139))), "")</f>
        <v/>
      </c>
      <c r="N142" s="9">
        <f t="array" ref="N142">IFERROR(INDEX('Bank Schedule'!N:N, SMALL(IF('Bank Schedule'!$K$2:$K$817="Vacant", ROW('Bank Schedule'!$K$2:$K$817)), ROW(139:139))), "")</f>
        <v/>
      </c>
      <c r="O142" s="9">
        <f t="array" ref="O142">IFERROR(INDEX('Bank Schedule'!O:O, SMALL(IF('Bank Schedule'!$K$2:$K$817="Vacant", ROW('Bank Schedule'!$K$2:$K$817)), ROW(139:139))), "")</f>
        <v/>
      </c>
      <c r="P142" s="9">
        <f t="array" ref="P142">IFERROR(INDEX('Bank Schedule'!P:P, SMALL(IF('Bank Schedule'!$K$2:$K$817="Vacant", ROW('Bank Schedule'!$K$2:$K$817)), ROW(139:139))), "")</f>
        <v/>
      </c>
      <c r="Q142" s="9">
        <f t="array" ref="Q142">IFERROR(INDEX('Bank Schedule'!#REF!, SMALL(IF('Bank Schedule'!$K$2:$K$817="Vacant", ROW('Bank Schedule'!$K$2:$K$817)), ROW(139:139))), "")</f>
        <v/>
      </c>
      <c r="R142" s="10">
        <f t="array" ref="R142">IFERROR(INDEX('Bank Schedule'!Q:Q, SMALL(IF('Bank Schedule'!$K$2:$K$817="Vacant", ROW('Bank Schedule'!$K$2:$K$817)), ROW(139:139))), "")</f>
        <v/>
      </c>
      <c r="S142" s="10">
        <f t="array" ref="S142">IFERROR(INDEX('Bank Schedule'!R:R, SMALL(IF('Bank Schedule'!$K$2:$K$817="Vacant", ROW('Bank Schedule'!$K$2:$K$817)), ROW(139:139))), "")</f>
        <v/>
      </c>
      <c r="T142" s="10">
        <f t="array" ref="T142">IFERROR(INDEX('Bank Schedule'!S:S, SMALL(IF('Bank Schedule'!$K$2:$K$817="Vacant", ROW('Bank Schedule'!$K$2:$K$817)), ROW(139:139))), "")</f>
        <v/>
      </c>
      <c r="U142" s="106">
        <f t="array" ref="U142">IFERROR(INDEX('Bank Schedule'!#REF!, SMALL(IF('Bank Schedule'!$K$2:$K$817="Vacant", ROW('Bank Schedule'!$K$2:$K$817)), ROW(139:139))), "")</f>
        <v/>
      </c>
      <c r="V142" s="10">
        <f t="array" ref="V142">IFERROR(INDEX('Bank Schedule'!#REF!, SMALL(IF('Bank Schedule'!$K$2:$K$817="Vacant", ROW('Bank Schedule'!$K$2:$K$817)), ROW(139:139))), "")</f>
        <v/>
      </c>
      <c r="W142" s="10">
        <f t="array" ref="W142">IFERROR(INDEX('Bank Schedule'!#REF!, SMALL(IF('Bank Schedule'!$K$2:$K$817="Vacant", ROW('Bank Schedule'!$K$2:$K$817)), ROW(139:139))), "")</f>
        <v/>
      </c>
      <c r="X142" s="23">
        <f t="array" ref="X142">IFERROR(INDEX('Bank Schedule'!T:T, SMALL(IF('Bank Schedule'!$K$2:$K$817="Vacant", ROW('Bank Schedule'!$K$2:$K$817)), ROW(139:139))), "")</f>
        <v/>
      </c>
      <c r="Y142" s="10">
        <f t="array" ref="Y142">IFERROR(INDEX('Bank Schedule'!U:U, SMALL(IF('Bank Schedule'!$K$2:$K$817="Vacant", ROW('Bank Schedule'!$K$2:$K$817)), ROW(139:139))), "")</f>
        <v/>
      </c>
      <c r="Z142" s="231">
        <f t="array" ref="Z142">IFERROR(INDEX('Bank Schedule'!V:V, SMALL(IF('Bank Schedule'!$K$2:$K$817="Vacant", ROW('Bank Schedule'!$K$2:$K$817)), ROW(139:139))), "")</f>
        <v/>
      </c>
      <c r="AA142" s="10">
        <f t="array" ref="AA142">IFERROR(INDEX('Bank Schedule'!W:W, SMALL(IF('Bank Schedule'!$K$2:$K$817="Vacant", ROW('Bank Schedule'!$K$2:$K$817)), ROW(139:139))), "")</f>
        <v/>
      </c>
      <c r="AB142" s="10">
        <f t="array" ref="AB142">IFERROR(INDEX('Bank Schedule'!Y:Y, SMALL(IF('Bank Schedule'!$K$2:$K$817="Vacant", ROW('Bank Schedule'!$K$2:$K$817)), ROW(139:139))), "")</f>
        <v/>
      </c>
      <c r="AC142" s="60">
        <f t="array" ref="AC142">IFERROR(INDEX('Bank Schedule'!Z:Z, SMALL(IF('Bank Schedule'!$K$2:$K$817="Vacant", ROW('Bank Schedule'!$K$2:$K$817)), ROW(139:139))), "")</f>
        <v/>
      </c>
      <c r="AD142" s="230">
        <f t="array" ref="AD142">IFERROR(INDEX('Bank Schedule'!AA:AA, SMALL(IF('Bank Schedule'!$K$2:$K$817="Vacant", ROW('Bank Schedule'!$K$2:$K$817)), ROW(139:139))), "")</f>
        <v/>
      </c>
      <c r="AE142" s="14">
        <f t="array" ref="AE142">IFERROR(INDEX('Bank Schedule'!AB:AB, SMALL(IF('Bank Schedule'!$K$2:$K$817="Vacant", ROW('Bank Schedule'!$K$2:$K$817)), ROW(139:139))), "")</f>
        <v/>
      </c>
      <c r="AF142" s="4">
        <f t="array" ref="AF142">IFERROR(INDEX('Bank Schedule'!AC:AC, SMALL(IF('Bank Schedule'!$K$2:$K$817="Vacant", ROW('Bank Schedule'!$K$2:$K$817)), ROW(139:139))), "")</f>
        <v/>
      </c>
      <c r="AG142" s="4">
        <f t="array" ref="AG142">IFERROR(INDEX('Bank Schedule'!AE:AE, SMALL(IF('Bank Schedule'!$K$2:$K$817="Vacant", ROW('Bank Schedule'!$K$2:$K$817)), ROW(139:139))), "")</f>
        <v/>
      </c>
      <c r="AH142" s="2" t="n"/>
      <c r="AI142" s="110" t="n"/>
    </row>
    <row r="143" ht="23.25" customHeight="1" thickBot="1">
      <c r="A143" s="2">
        <f t="array" ref="A143">IFERROR(INDEX('Bank Schedule'!A:A, SMALL(IF('Bank Schedule'!$K$2:$K$817="Vacant", ROW('Bank Schedule'!$K$2:$K$817)), ROW(140:140))), "")</f>
        <v/>
      </c>
      <c r="B143" s="11">
        <f t="array" ref="B143">IFERROR(INDEX('Bank Schedule'!B:B, SMALL(IF('Bank Schedule'!$K$2:$K$817="Vacant", ROW('Bank Schedule'!$K$2:$K$817)), ROW(140:140))), "")</f>
        <v/>
      </c>
      <c r="C143" s="11">
        <f t="array" ref="C143">IFERROR(INDEX('Bank Schedule'!C:C, SMALL(IF('Bank Schedule'!$K$2:$K$817="Vacant", ROW('Bank Schedule'!$K$2:$K$817)), ROW(140:140))), "")</f>
        <v/>
      </c>
      <c r="D143" s="11">
        <f t="array" ref="D143">IFERROR(INDEX('Bank Schedule'!D:D, SMALL(IF('Bank Schedule'!$K$2:$K$817="Vacant", ROW('Bank Schedule'!$K$2:$K$817)), ROW(140:140))), "")</f>
        <v/>
      </c>
      <c r="E143" s="11">
        <f t="array" ref="E143">IFERROR(INDEX('Bank Schedule'!E:E, SMALL(IF('Bank Schedule'!$K$2:$K$817="Vacant", ROW('Bank Schedule'!$K$2:$K$817)), ROW(140:140))), "")</f>
        <v/>
      </c>
      <c r="F143" s="11">
        <f t="array" ref="F143">IFERROR(INDEX('Bank Schedule'!F:F, SMALL(IF('Bank Schedule'!$K$2:$K$817="Vacant", ROW('Bank Schedule'!$K$2:$K$817)), ROW(140:140))), "")</f>
        <v/>
      </c>
      <c r="G143" s="11">
        <f t="array" ref="G143">IFERROR(INDEX('Bank Schedule'!G:G, SMALL(IF('Bank Schedule'!$K$2:$K$817="Vacant", ROW('Bank Schedule'!$K$2:$K$817)), ROW(140:140))), "")</f>
        <v/>
      </c>
      <c r="H143" s="11">
        <f t="array" ref="H143">IFERROR(INDEX('Bank Schedule'!H:H, SMALL(IF('Bank Schedule'!$K$2:$K$817="Vacant", ROW('Bank Schedule'!$K$2:$K$817)), ROW(140:140))), "")</f>
        <v/>
      </c>
      <c r="I143" s="11">
        <f t="array" ref="I143">IFERROR(INDEX('Bank Schedule'!I:I, SMALL(IF('Bank Schedule'!$K$2:$K$817="Vacant", ROW('Bank Schedule'!$K$2:$K$817)), ROW(140:140))), "")</f>
        <v/>
      </c>
      <c r="J143" s="11">
        <f t="array" ref="J143">IFERROR(INDEX('Bank Schedule'!K:K, SMALL(IF('Bank Schedule'!$K$2:$K$817="Vacant", ROW('Bank Schedule'!$K$2:$K$817)), ROW(140:140))), "")</f>
        <v/>
      </c>
      <c r="K143" s="11">
        <f t="array" ref="K143">IFERROR(INDEX('Bank Schedule'!#REF!, SMALL(IF('Bank Schedule'!$K$2:$K$817="Vacant", ROW('Bank Schedule'!$K$2:$K$817)), ROW(140:140))), "")</f>
        <v/>
      </c>
      <c r="L143" s="11">
        <f t="array" ref="L143">IFERROR(INDEX('Bank Schedule'!L:L, SMALL(IF('Bank Schedule'!$K$2:$K$817="Vacant", ROW('Bank Schedule'!$K$2:$K$817)), ROW(140:140))), "")</f>
        <v/>
      </c>
      <c r="M143" s="11">
        <f t="array" ref="M143">IFERROR(INDEX('Bank Schedule'!M:M, SMALL(IF('Bank Schedule'!$K$2:$K$817="Vacant", ROW('Bank Schedule'!$K$2:$K$817)), ROW(140:140))), "")</f>
        <v/>
      </c>
      <c r="N143" s="11">
        <f t="array" ref="N143">IFERROR(INDEX('Bank Schedule'!N:N, SMALL(IF('Bank Schedule'!$K$2:$K$817="Vacant", ROW('Bank Schedule'!$K$2:$K$817)), ROW(140:140))), "")</f>
        <v/>
      </c>
      <c r="O143" s="11">
        <f t="array" ref="O143">IFERROR(INDEX('Bank Schedule'!O:O, SMALL(IF('Bank Schedule'!$K$2:$K$817="Vacant", ROW('Bank Schedule'!$K$2:$K$817)), ROW(140:140))), "")</f>
        <v/>
      </c>
      <c r="P143" s="11">
        <f t="array" ref="P143">IFERROR(INDEX('Bank Schedule'!P:P, SMALL(IF('Bank Schedule'!$K$2:$K$817="Vacant", ROW('Bank Schedule'!$K$2:$K$817)), ROW(140:140))), "")</f>
        <v/>
      </c>
      <c r="Q143" s="11">
        <f t="array" ref="Q143">IFERROR(INDEX('Bank Schedule'!#REF!, SMALL(IF('Bank Schedule'!$K$2:$K$817="Vacant", ROW('Bank Schedule'!$K$2:$K$817)), ROW(140:140))), "")</f>
        <v/>
      </c>
      <c r="R143" s="11">
        <f t="array" ref="R143">IFERROR(INDEX('Bank Schedule'!Q:Q, SMALL(IF('Bank Schedule'!$K$2:$K$817="Vacant", ROW('Bank Schedule'!$K$2:$K$817)), ROW(140:140))), "")</f>
        <v/>
      </c>
      <c r="S143" s="11">
        <f t="array" ref="S143">IFERROR(INDEX('Bank Schedule'!R:R, SMALL(IF('Bank Schedule'!$K$2:$K$817="Vacant", ROW('Bank Schedule'!$K$2:$K$817)), ROW(140:140))), "")</f>
        <v/>
      </c>
      <c r="T143" s="11">
        <f t="array" ref="T143">IFERROR(INDEX('Bank Schedule'!S:S, SMALL(IF('Bank Schedule'!$K$2:$K$817="Vacant", ROW('Bank Schedule'!$K$2:$K$817)), ROW(140:140))), "")</f>
        <v/>
      </c>
      <c r="U143" s="11">
        <f t="array" ref="U143">IFERROR(INDEX('Bank Schedule'!#REF!, SMALL(IF('Bank Schedule'!$K$2:$K$817="Vacant", ROW('Bank Schedule'!$K$2:$K$817)), ROW(140:140))), "")</f>
        <v/>
      </c>
      <c r="V143" s="11">
        <f t="array" ref="V143">IFERROR(INDEX('Bank Schedule'!#REF!, SMALL(IF('Bank Schedule'!$K$2:$K$817="Vacant", ROW('Bank Schedule'!$K$2:$K$817)), ROW(140:140))), "")</f>
        <v/>
      </c>
      <c r="W143" s="11">
        <f t="array" ref="W143">IFERROR(INDEX('Bank Schedule'!#REF!, SMALL(IF('Bank Schedule'!$K$2:$K$817="Vacant", ROW('Bank Schedule'!$K$2:$K$817)), ROW(140:140))), "")</f>
        <v/>
      </c>
      <c r="X143" s="11">
        <f t="array" ref="X143">IFERROR(INDEX('Bank Schedule'!T:T, SMALL(IF('Bank Schedule'!$K$2:$K$817="Vacant", ROW('Bank Schedule'!$K$2:$K$817)), ROW(140:140))), "")</f>
        <v/>
      </c>
      <c r="Y143" s="11">
        <f t="array" ref="Y143">IFERROR(INDEX('Bank Schedule'!U:U, SMALL(IF('Bank Schedule'!$K$2:$K$817="Vacant", ROW('Bank Schedule'!$K$2:$K$817)), ROW(140:140))), "")</f>
        <v/>
      </c>
      <c r="Z143" s="11">
        <f t="array" ref="Z143">IFERROR(INDEX('Bank Schedule'!V:V, SMALL(IF('Bank Schedule'!$K$2:$K$817="Vacant", ROW('Bank Schedule'!$K$2:$K$817)), ROW(140:140))), "")</f>
        <v/>
      </c>
      <c r="AA143" s="11">
        <f t="array" ref="AA143">IFERROR(INDEX('Bank Schedule'!W:W, SMALL(IF('Bank Schedule'!$K$2:$K$817="Vacant", ROW('Bank Schedule'!$K$2:$K$817)), ROW(140:140))), "")</f>
        <v/>
      </c>
      <c r="AB143" s="11">
        <f t="array" ref="AB143">IFERROR(INDEX('Bank Schedule'!Y:Y, SMALL(IF('Bank Schedule'!$K$2:$K$817="Vacant", ROW('Bank Schedule'!$K$2:$K$817)), ROW(140:140))), "")</f>
        <v/>
      </c>
      <c r="AC143" s="11" t="n"/>
      <c r="AD143" s="242" t="n"/>
      <c r="AE143" s="242" t="n"/>
      <c r="AF143" s="11">
        <f t="array" ref="AF143">IFERROR(INDEX('Bank Schedule'!AC:AC, SMALL(IF('Bank Schedule'!$K$2:$K$817="Vacant", ROW('Bank Schedule'!$K$2:$K$817)), ROW(140:140))), "")</f>
        <v/>
      </c>
      <c r="AG143" s="11">
        <f t="array" ref="AG143">IFERROR(INDEX('Bank Schedule'!AE:AE, SMALL(IF('Bank Schedule'!$K$2:$K$817="Vacant", ROW('Bank Schedule'!$K$2:$K$817)), ROW(140:140))), "")</f>
        <v/>
      </c>
    </row>
    <row r="144" ht="23.25" customHeight="1" thickBot="1">
      <c r="A144" s="2">
        <f t="array" ref="A144">IFERROR(INDEX('Bank Schedule'!A:A, SMALL(IF('Bank Schedule'!$K$2:$K$817="Vacant", ROW('Bank Schedule'!$K$2:$K$817)), ROW(141:141))), "")</f>
        <v/>
      </c>
      <c r="B144" s="11">
        <f t="array" ref="B144">IFERROR(INDEX('Bank Schedule'!B:B, SMALL(IF('Bank Schedule'!$K$2:$K$817="Vacant", ROW('Bank Schedule'!$K$2:$K$817)), ROW(141:141))), "")</f>
        <v/>
      </c>
      <c r="C144" s="11">
        <f t="array" ref="C144">IFERROR(INDEX('Bank Schedule'!C:C, SMALL(IF('Bank Schedule'!$K$2:$K$817="Vacant", ROW('Bank Schedule'!$K$2:$K$817)), ROW(141:141))), "")</f>
        <v/>
      </c>
      <c r="D144" s="11">
        <f t="array" ref="D144">IFERROR(INDEX('Bank Schedule'!D:D, SMALL(IF('Bank Schedule'!$K$2:$K$817="Vacant", ROW('Bank Schedule'!$K$2:$K$817)), ROW(141:141))), "")</f>
        <v/>
      </c>
      <c r="E144" s="11" t="n"/>
      <c r="F144" s="11" t="n"/>
      <c r="G144" s="11" t="n"/>
      <c r="H144" s="243">
        <f>SUM(H4:H142)</f>
        <v/>
      </c>
      <c r="I144" s="244" t="n"/>
      <c r="J144" s="245" t="inlineStr">
        <is>
          <t>Area</t>
        </is>
      </c>
      <c r="K144" s="246" t="n">
        <v>0</v>
      </c>
      <c r="L144" s="246" t="n">
        <v>0</v>
      </c>
      <c r="M144" s="247" t="n"/>
      <c r="N144" s="248" t="n"/>
      <c r="O144" s="246" t="n"/>
      <c r="P144" s="246" t="n"/>
      <c r="Q144" s="246" t="n"/>
      <c r="R144" s="246" t="n"/>
      <c r="S144" s="249" t="n"/>
      <c r="T144" s="249" t="n"/>
      <c r="U144" s="250" t="n"/>
      <c r="V144" s="246" t="n"/>
      <c r="W144" s="246" t="n"/>
      <c r="X144" s="245" t="inlineStr">
        <is>
          <t xml:space="preserve">Total </t>
        </is>
      </c>
      <c r="Y144" s="245" t="n"/>
      <c r="Z144" s="251">
        <f>SUM(X4:X144)</f>
        <v/>
      </c>
      <c r="AA144" s="11" t="n"/>
      <c r="AB144" s="251">
        <f>SUM(S3:S143)</f>
        <v/>
      </c>
      <c r="AD144" s="252">
        <f>SUM(AD4:AD143)</f>
        <v/>
      </c>
      <c r="AE144" s="252">
        <f>SUM(AE4:AE143)</f>
        <v/>
      </c>
      <c r="AG144" s="11" t="n"/>
    </row>
    <row r="145" ht="23.25" customHeight="1">
      <c r="A145" s="2">
        <f t="array" ref="A145">IFERROR(INDEX('Bank Schedule'!A:A, SMALL(IF('Bank Schedule'!$K$2:$K$817="Vacant", ROW('Bank Schedule'!$K$2:$K$817)), ROW(142:142))), "")</f>
        <v/>
      </c>
      <c r="B145" s="11">
        <f t="array" ref="B145">IFERROR(INDEX('Bank Schedule'!B:B, SMALL(IF('Bank Schedule'!$K$2:$K$817="Vacant", ROW('Bank Schedule'!$K$2:$K$817)), ROW(142:142))), "")</f>
        <v/>
      </c>
      <c r="C145" s="11">
        <f t="array" ref="C145">IFERROR(INDEX('Bank Schedule'!C:C, SMALL(IF('Bank Schedule'!$K$2:$K$817="Vacant", ROW('Bank Schedule'!$K$2:$K$817)), ROW(142:142))), "")</f>
        <v/>
      </c>
      <c r="D145" s="11">
        <f t="array" ref="D145">IFERROR(INDEX('Bank Schedule'!D:D, SMALL(IF('Bank Schedule'!$K$2:$K$817="Vacant", ROW('Bank Schedule'!$K$2:$K$817)), ROW(142:142))), "")</f>
        <v/>
      </c>
      <c r="E145" s="11" t="n"/>
      <c r="F145" s="11" t="n"/>
      <c r="G145" s="11" t="n"/>
      <c r="AC145" s="11" t="n"/>
      <c r="AD145" s="11" t="n"/>
      <c r="AE145" s="11" t="n"/>
    </row>
    <row r="146" ht="23.25" customHeight="1">
      <c r="A146" s="2">
        <f t="array" ref="A146">IFERROR(INDEX('Bank Schedule'!A:A, SMALL(IF('Bank Schedule'!$K$2:$K$817="Vacant", ROW('Bank Schedule'!$K$2:$K$817)), ROW(143:143))), "")</f>
        <v/>
      </c>
      <c r="B146" s="11">
        <f t="array" ref="B146">IFERROR(INDEX('Bank Schedule'!B:B, SMALL(IF('Bank Schedule'!$K$2:$K$817="Vacant", ROW('Bank Schedule'!$K$2:$K$817)), ROW(143:143))), "")</f>
        <v/>
      </c>
      <c r="C146" s="11">
        <f t="array" ref="C146">IFERROR(INDEX('Bank Schedule'!C:C, SMALL(IF('Bank Schedule'!$K$2:$K$817="Vacant", ROW('Bank Schedule'!$K$2:$K$817)), ROW(143:143))), "")</f>
        <v/>
      </c>
      <c r="D146" s="11">
        <f t="array" ref="D146">IFERROR(INDEX('Bank Schedule'!D:D, SMALL(IF('Bank Schedule'!$K$2:$K$817="Vacant", ROW('Bank Schedule'!$K$2:$K$817)), ROW(143:143))), "")</f>
        <v/>
      </c>
      <c r="E146" s="11" t="n"/>
      <c r="F146" s="11" t="n"/>
      <c r="G146" s="11" t="n"/>
      <c r="H146" s="11" t="n"/>
      <c r="I146" s="11" t="n"/>
      <c r="K146" t="n">
        <v>0</v>
      </c>
      <c r="L146" t="n">
        <v>0</v>
      </c>
      <c r="M146" s="253" t="n">
        <v>43840</v>
      </c>
      <c r="S146" s="254" t="n"/>
      <c r="T146" s="254" t="n"/>
      <c r="U146" s="255" t="n"/>
      <c r="AA146" s="11" t="n"/>
      <c r="AB146" s="11" t="n"/>
      <c r="AC146" s="11" t="n"/>
      <c r="AD146" s="11" t="n"/>
      <c r="AE146" s="11" t="n"/>
      <c r="AF146" s="256" t="inlineStr">
        <is>
          <t>LEM Strategy</t>
        </is>
      </c>
      <c r="AG146" s="257" t="n"/>
      <c r="AH146" s="242" t="n"/>
      <c r="AI146" s="242" t="n"/>
    </row>
    <row r="147" ht="23.25" customHeight="1">
      <c r="A147" s="2">
        <f t="array" ref="A147">IFERROR(INDEX('Bank Schedule'!A:A, SMALL(IF('Bank Schedule'!$K$2:$K$817="Vacant", ROW('Bank Schedule'!$K$2:$K$817)), ROW(144:144))), "")</f>
        <v/>
      </c>
      <c r="B147" s="11">
        <f t="array" ref="B147">IFERROR(INDEX('Bank Schedule'!B:B, SMALL(IF('Bank Schedule'!$K$2:$K$817="Vacant", ROW('Bank Schedule'!$K$2:$K$817)), ROW(144:144))), "")</f>
        <v/>
      </c>
      <c r="C147" s="11">
        <f t="array" ref="C147">IFERROR(INDEX('Bank Schedule'!C:C, SMALL(IF('Bank Schedule'!$K$2:$K$817="Vacant", ROW('Bank Schedule'!$K$2:$K$817)), ROW(144:144))), "")</f>
        <v/>
      </c>
      <c r="D147" s="2">
        <f t="array" ref="D147">IFERROR(INDEX('Bank Schedule'!D:D, SMALL(IF('Bank Schedule'!$K$2:$K$817="Vacant", ROW('Bank Schedule'!$K$2:$K$817)), ROW(144:144))), "")</f>
        <v/>
      </c>
      <c r="E147" s="4" t="n"/>
      <c r="F147" s="4" t="n"/>
      <c r="G147" s="14" t="n"/>
      <c r="H147" s="7" t="n"/>
      <c r="I147" s="7" t="n"/>
      <c r="K147" t="n">
        <v>0</v>
      </c>
      <c r="L147" t="n">
        <v>0</v>
      </c>
      <c r="M147" s="253" t="n">
        <v>45143</v>
      </c>
      <c r="S147" s="254" t="n"/>
      <c r="T147" s="254" t="n"/>
      <c r="U147" s="255" t="n"/>
      <c r="AA147" s="53" t="n"/>
      <c r="AB147" s="53" t="n"/>
      <c r="AC147" s="14" t="n"/>
      <c r="AD147" s="4" t="n"/>
      <c r="AF147" s="258">
        <f>COUNTIF(AB$3:AB$141, AG147)</f>
        <v/>
      </c>
      <c r="AG147" s="259" t="n">
        <v>0</v>
      </c>
      <c r="AH147" s="275" t="inlineStr">
        <is>
          <t xml:space="preserve">blank </t>
        </is>
      </c>
      <c r="AI147" s="242" t="n"/>
    </row>
    <row r="148" ht="23.25" customHeight="1">
      <c r="A148" s="2">
        <f t="array" ref="A148">IFERROR(INDEX('Bank Schedule'!A:A, SMALL(IF('Bank Schedule'!$K$2:$K$817="Vacant", ROW('Bank Schedule'!$K$2:$K$817)), ROW(145:145))), "")</f>
        <v/>
      </c>
      <c r="B148" s="11">
        <f t="array" ref="B148">IFERROR(INDEX('Bank Schedule'!B:B, SMALL(IF('Bank Schedule'!$K$2:$K$817="Vacant", ROW('Bank Schedule'!$K$2:$K$817)), ROW(145:145))), "")</f>
        <v/>
      </c>
      <c r="C148" s="11">
        <f t="array" ref="C148">IFERROR(INDEX('Bank Schedule'!C:C, SMALL(IF('Bank Schedule'!$K$2:$K$817="Vacant", ROW('Bank Schedule'!$K$2:$K$817)), ROW(145:145))), "")</f>
        <v/>
      </c>
      <c r="D148" s="2">
        <f t="array" ref="D148">IFERROR(INDEX('Bank Schedule'!D:D, SMALL(IF('Bank Schedule'!$K$2:$K$817="Vacant", ROW('Bank Schedule'!$K$2:$K$817)), ROW(145:145))), "")</f>
        <v/>
      </c>
      <c r="E148" s="4" t="n"/>
      <c r="F148" s="4" t="n"/>
      <c r="G148" s="14" t="n"/>
      <c r="H148" s="7" t="n"/>
      <c r="I148" s="7" t="n"/>
      <c r="K148" t="n">
        <v>0</v>
      </c>
      <c r="L148" t="n">
        <v>0</v>
      </c>
      <c r="M148" s="253" t="n">
        <v>44577</v>
      </c>
      <c r="S148" s="254" t="n"/>
      <c r="T148" s="254" t="n"/>
      <c r="U148" s="255" t="n"/>
      <c r="AA148" s="53" t="n"/>
      <c r="AB148" s="53" t="n"/>
      <c r="AC148" s="14" t="n"/>
      <c r="AD148" s="4" t="n"/>
      <c r="AF148" s="260">
        <f>COUNTIF(AB$3:AB$142, AG148)</f>
        <v/>
      </c>
      <c r="AG148" s="261" t="inlineStr">
        <is>
          <t>LEM Marketing.</t>
        </is>
      </c>
      <c r="AH148" s="242" t="n"/>
      <c r="AI148" s="242" t="n"/>
    </row>
    <row r="149" ht="23.25" customHeight="1">
      <c r="A149" s="2">
        <f t="array" ref="A149">IFERROR(INDEX('Bank Schedule'!A:A, SMALL(IF('Bank Schedule'!$K$2:$K$817="Vacant", ROW('Bank Schedule'!$K$2:$K$817)), ROW(146:146))), "")</f>
        <v/>
      </c>
      <c r="B149" s="11">
        <f t="array" ref="B149">IFERROR(INDEX('Bank Schedule'!B:B, SMALL(IF('Bank Schedule'!$K$2:$K$817="Vacant", ROW('Bank Schedule'!$K$2:$K$817)), ROW(146:146))), "")</f>
        <v/>
      </c>
      <c r="C149" s="11">
        <f t="array" ref="C149">IFERROR(INDEX('Bank Schedule'!C:C, SMALL(IF('Bank Schedule'!$K$2:$K$817="Vacant", ROW('Bank Schedule'!$K$2:$K$817)), ROW(146:146))), "")</f>
        <v/>
      </c>
      <c r="D149" s="2">
        <f t="array" ref="D149">IFERROR(INDEX('Bank Schedule'!D:D, SMALL(IF('Bank Schedule'!$K$2:$K$817="Vacant", ROW('Bank Schedule'!$K$2:$K$817)), ROW(146:146))), "")</f>
        <v/>
      </c>
      <c r="E149" s="4" t="n"/>
      <c r="F149" s="4" t="n"/>
      <c r="G149" s="14" t="n"/>
      <c r="H149" s="7" t="n"/>
      <c r="I149" s="7" t="n"/>
      <c r="K149" t="n">
        <v>0</v>
      </c>
      <c r="L149" t="n">
        <v>0</v>
      </c>
      <c r="M149" s="253" t="n">
        <v>44603</v>
      </c>
      <c r="S149" s="254" t="n"/>
      <c r="T149" s="254" t="n"/>
      <c r="U149" s="255" t="n"/>
      <c r="AA149" s="53" t="n"/>
      <c r="AB149" s="53" t="n"/>
      <c r="AC149" s="14" t="n"/>
      <c r="AD149" s="4" t="n"/>
      <c r="AF149" s="260">
        <f>COUNTIF(AB$1:AB$144, AG149)</f>
        <v/>
      </c>
      <c r="AG149" s="261" t="inlineStr">
        <is>
          <t>To be refurbished.</t>
        </is>
      </c>
      <c r="AH149" s="242" t="n"/>
      <c r="AI149" s="242" t="n"/>
    </row>
    <row r="150" ht="23.25" customHeight="1">
      <c r="A150" s="2">
        <f t="array" ref="A150">IFERROR(INDEX('Bank Schedule'!A:A, SMALL(IF('Bank Schedule'!$K$2:$K$817="Vacant", ROW('Bank Schedule'!$K$2:$K$817)), ROW(147:147))), "")</f>
        <v/>
      </c>
      <c r="B150" s="11">
        <f t="array" ref="B150">IFERROR(INDEX('Bank Schedule'!B:B, SMALL(IF('Bank Schedule'!$K$2:$K$817="Vacant", ROW('Bank Schedule'!$K$2:$K$817)), ROW(147:147))), "")</f>
        <v/>
      </c>
      <c r="C150" s="11">
        <f t="array" ref="C150">IFERROR(INDEX('Bank Schedule'!C:C, SMALL(IF('Bank Schedule'!$K$2:$K$817="Vacant", ROW('Bank Schedule'!$K$2:$K$817)), ROW(147:147))), "")</f>
        <v/>
      </c>
      <c r="D150" s="2">
        <f t="array" ref="D150">IFERROR(INDEX('Bank Schedule'!D:D, SMALL(IF('Bank Schedule'!$K$2:$K$817="Vacant", ROW('Bank Schedule'!$K$2:$K$817)), ROW(147:147))), "")</f>
        <v/>
      </c>
      <c r="E150" s="4" t="n"/>
      <c r="F150" s="4" t="n"/>
      <c r="G150" s="14" t="n"/>
      <c r="H150" s="7" t="n"/>
      <c r="I150" s="7" t="n"/>
      <c r="K150" t="n">
        <v>45125</v>
      </c>
      <c r="L150" t="n">
        <v>45490</v>
      </c>
      <c r="M150" s="253" t="n">
        <v>0</v>
      </c>
      <c r="S150" s="254" t="n"/>
      <c r="T150" s="254" t="n"/>
      <c r="U150" s="255" t="n"/>
      <c r="AA150" s="53" t="n"/>
      <c r="AB150" s="53" t="n"/>
      <c r="AC150" s="14" t="n"/>
      <c r="AD150" s="4" t="n"/>
      <c r="AF150" s="260">
        <f>COUNTIF(AB$1:AB$143, AG150)</f>
        <v/>
      </c>
      <c r="AG150" s="261" t="inlineStr">
        <is>
          <t>Under Offer.</t>
        </is>
      </c>
      <c r="AH150" s="242" t="n"/>
      <c r="AI150" s="242" t="n"/>
    </row>
    <row r="151" ht="23.25" customHeight="1">
      <c r="A151" s="2">
        <f t="array" ref="A151">IFERROR(INDEX('Bank Schedule'!A:A, SMALL(IF('Bank Schedule'!$K$2:$K$817="Vacant", ROW('Bank Schedule'!$K$2:$K$817)), ROW(148:148))), "")</f>
        <v/>
      </c>
      <c r="B151" s="11">
        <f t="array" ref="B151">IFERROR(INDEX('Bank Schedule'!B:B, SMALL(IF('Bank Schedule'!$K$2:$K$817="Vacant", ROW('Bank Schedule'!$K$2:$K$817)), ROW(148:148))), "")</f>
        <v/>
      </c>
      <c r="C151" s="11">
        <f t="array" ref="C151">IFERROR(INDEX('Bank Schedule'!C:C, SMALL(IF('Bank Schedule'!$K$2:$K$817="Vacant", ROW('Bank Schedule'!$K$2:$K$817)), ROW(148:148))), "")</f>
        <v/>
      </c>
      <c r="D151" s="2">
        <f t="array" ref="D151">IFERROR(INDEX('Bank Schedule'!D:D, SMALL(IF('Bank Schedule'!$K$2:$K$817="Vacant", ROW('Bank Schedule'!$K$2:$K$817)), ROW(148:148))), "")</f>
        <v/>
      </c>
      <c r="E151" s="4" t="n"/>
      <c r="F151" s="4" t="n"/>
      <c r="G151" s="14" t="n"/>
      <c r="H151" s="7" t="n"/>
      <c r="I151" s="7" t="n"/>
      <c r="K151" t="n">
        <v>45463</v>
      </c>
      <c r="L151" t="n">
        <v>0</v>
      </c>
      <c r="M151" s="253" t="n">
        <v>0</v>
      </c>
      <c r="S151" s="254" t="n"/>
      <c r="T151" s="254" t="n"/>
      <c r="U151" s="255" t="n"/>
      <c r="AA151" s="53" t="n"/>
      <c r="AB151" s="53" t="n"/>
      <c r="AC151" s="14" t="n"/>
      <c r="AD151" s="4" t="n"/>
      <c r="AF151" s="260">
        <f>COUNTIF(AB$1:AB$143, AG151)</f>
        <v/>
      </c>
      <c r="AG151" s="261" t="inlineStr">
        <is>
          <t>Mothballed.</t>
        </is>
      </c>
      <c r="AH151" s="242" t="n"/>
      <c r="AI151" s="242" t="n"/>
    </row>
    <row r="152" ht="23.25" customHeight="1">
      <c r="A152" s="2">
        <f t="array" ref="A152">IFERROR(INDEX('Bank Schedule'!A:A, SMALL(IF('Bank Schedule'!$K$2:$K$817="Vacant", ROW('Bank Schedule'!$K$2:$K$817)), ROW(149:149))), "")</f>
        <v/>
      </c>
      <c r="B152" s="11">
        <f t="array" ref="B152">IFERROR(INDEX('Bank Schedule'!B:B, SMALL(IF('Bank Schedule'!$K$2:$K$817="Vacant", ROW('Bank Schedule'!$K$2:$K$817)), ROW(149:149))), "")</f>
        <v/>
      </c>
      <c r="C152" s="11">
        <f t="array" ref="C152">IFERROR(INDEX('Bank Schedule'!C:C, SMALL(IF('Bank Schedule'!$K$2:$K$817="Vacant", ROW('Bank Schedule'!$K$2:$K$817)), ROW(149:149))), "")</f>
        <v/>
      </c>
      <c r="D152" s="2">
        <f t="array" ref="D152">IFERROR(INDEX('Bank Schedule'!D:D, SMALL(IF('Bank Schedule'!$K$2:$K$817="Vacant", ROW('Bank Schedule'!$K$2:$K$817)), ROW(149:149))), "")</f>
        <v/>
      </c>
      <c r="E152" s="4" t="n"/>
      <c r="F152" s="4" t="n"/>
      <c r="G152" s="14" t="n"/>
      <c r="H152" s="7" t="n"/>
      <c r="I152" s="7" t="n"/>
      <c r="M152" s="253" t="n"/>
      <c r="S152" s="254" t="n"/>
      <c r="T152" s="254" t="n"/>
      <c r="U152" s="255" t="n"/>
      <c r="AA152" s="53" t="n"/>
      <c r="AB152" s="53" t="n"/>
      <c r="AC152" s="14" t="n"/>
      <c r="AD152" s="4" t="n"/>
      <c r="AF152" s="260" t="n"/>
      <c r="AG152" s="262" t="n"/>
      <c r="AH152" s="242" t="n"/>
      <c r="AI152" s="242" t="n"/>
    </row>
    <row r="153" ht="23.25" customHeight="1" thickBot="1">
      <c r="A153" s="2">
        <f t="array" ref="A153">IFERROR(INDEX('Bank Schedule'!A:A, SMALL(IF('Bank Schedule'!$K$2:$K$817="Vacant", ROW('Bank Schedule'!$K$2:$K$817)), ROW(150:150))), "")</f>
        <v/>
      </c>
      <c r="B153" s="11">
        <f t="array" ref="B153">IFERROR(INDEX('Bank Schedule'!B:B, SMALL(IF('Bank Schedule'!$K$2:$K$817="Vacant", ROW('Bank Schedule'!$K$2:$K$817)), ROW(150:150))), "")</f>
        <v/>
      </c>
      <c r="C153" s="11">
        <f t="array" ref="C153">IFERROR(INDEX('Bank Schedule'!C:C, SMALL(IF('Bank Schedule'!$K$2:$K$817="Vacant", ROW('Bank Schedule'!$K$2:$K$817)), ROW(150:150))), "")</f>
        <v/>
      </c>
      <c r="D153" s="2">
        <f t="array" ref="D153">IFERROR(INDEX('Bank Schedule'!D:D, SMALL(IF('Bank Schedule'!$K$2:$K$817="Vacant", ROW('Bank Schedule'!$K$2:$K$817)), ROW(150:150))), "")</f>
        <v/>
      </c>
      <c r="E153" s="4" t="n"/>
      <c r="F153" s="4" t="n"/>
      <c r="G153" s="14" t="n"/>
      <c r="H153" s="7" t="n"/>
      <c r="I153" s="7" t="n"/>
      <c r="K153" s="25" t="n"/>
      <c r="L153" s="8" t="n"/>
      <c r="M153" s="9" t="n"/>
      <c r="N153" s="9" t="n"/>
      <c r="O153" s="9" t="n"/>
      <c r="P153" s="9" t="n"/>
      <c r="Q153" s="9" t="n"/>
      <c r="R153" s="10" t="n"/>
      <c r="S153" s="10" t="n"/>
      <c r="T153" s="10" t="n"/>
      <c r="U153" s="106" t="n"/>
      <c r="V153" s="10" t="n"/>
      <c r="W153" s="10" t="n"/>
      <c r="X153" s="10" t="n"/>
      <c r="Y153" s="10" t="n"/>
      <c r="Z153" s="60" t="n"/>
      <c r="AA153" s="53" t="n"/>
      <c r="AB153" s="53" t="n"/>
      <c r="AC153" s="14" t="n"/>
      <c r="AD153" s="4" t="n"/>
      <c r="AF153" s="263">
        <f>SUM(AF147:AF152)</f>
        <v/>
      </c>
      <c r="AG153" s="264" t="inlineStr">
        <is>
          <t xml:space="preserve">Total </t>
        </is>
      </c>
      <c r="AH153" s="242" t="n"/>
      <c r="AI153" s="242" t="n"/>
    </row>
    <row r="154" ht="23.25" customHeight="1" thickTop="1">
      <c r="A154" s="2">
        <f t="array" ref="A154">IFERROR(INDEX('Bank Schedule'!A:A, SMALL(IF('Bank Schedule'!$K$2:$K$817="Vacant", ROW('Bank Schedule'!$K$2:$K$817)), ROW(151:151))), "")</f>
        <v/>
      </c>
      <c r="B154" s="11">
        <f t="array" ref="B154">IFERROR(INDEX('Bank Schedule'!B:B, SMALL(IF('Bank Schedule'!$K$2:$K$817="Vacant", ROW('Bank Schedule'!$K$2:$K$817)), ROW(151:151))), "")</f>
        <v/>
      </c>
      <c r="C154" s="11">
        <f t="array" ref="C154">IFERROR(INDEX('Bank Schedule'!C:C, SMALL(IF('Bank Schedule'!$K$2:$K$817="Vacant", ROW('Bank Schedule'!$K$2:$K$817)), ROW(151:151))), "")</f>
        <v/>
      </c>
      <c r="D154" s="2">
        <f t="array" ref="D154">IFERROR(INDEX('Bank Schedule'!D:D, SMALL(IF('Bank Schedule'!$K$2:$K$817="Vacant", ROW('Bank Schedule'!$K$2:$K$817)), ROW(151:151))), "")</f>
        <v/>
      </c>
      <c r="E154" s="4" t="n"/>
      <c r="F154" s="4" t="n"/>
      <c r="G154" s="14" t="n"/>
      <c r="H154" s="7" t="n"/>
      <c r="I154" s="7" t="n"/>
      <c r="K154" s="25" t="n"/>
      <c r="L154" s="8" t="n"/>
      <c r="M154" s="9" t="n"/>
      <c r="N154" s="9" t="n"/>
      <c r="O154" s="9" t="n"/>
      <c r="P154" s="9" t="n"/>
      <c r="Q154" s="9" t="n"/>
      <c r="R154" s="10" t="n"/>
      <c r="S154" s="10" t="n"/>
      <c r="T154" s="10" t="n"/>
      <c r="U154" s="106" t="n"/>
      <c r="V154" s="10" t="n"/>
      <c r="W154" s="10" t="n"/>
      <c r="X154" s="10" t="n"/>
      <c r="Y154" s="10" t="n"/>
      <c r="Z154" s="60" t="n"/>
      <c r="AA154" s="53" t="n"/>
      <c r="AB154" s="53" t="n"/>
      <c r="AC154" s="14" t="n"/>
      <c r="AD154" s="4" t="n"/>
      <c r="AI154" s="242" t="n"/>
      <c r="AJ154" s="242" t="n"/>
    </row>
    <row r="155" ht="23.25" customHeight="1">
      <c r="A155" s="2">
        <f t="array" ref="A155">IFERROR(INDEX('Bank Schedule'!A:A, SMALL(IF('Bank Schedule'!$K$2:$K$817="Vacant", ROW('Bank Schedule'!$K$2:$K$817)), ROW(152:152))), "")</f>
        <v/>
      </c>
      <c r="B155" s="11">
        <f t="array" ref="B155">IFERROR(INDEX('Bank Schedule'!B:B, SMALL(IF('Bank Schedule'!$K$2:$K$817="Vacant", ROW('Bank Schedule'!$K$2:$K$817)), ROW(152:152))), "")</f>
        <v/>
      </c>
      <c r="C155" s="11">
        <f t="array" ref="C155">IFERROR(INDEX('Bank Schedule'!C:C, SMALL(IF('Bank Schedule'!$K$2:$K$817="Vacant", ROW('Bank Schedule'!$K$2:$K$817)), ROW(152:152))), "")</f>
        <v/>
      </c>
      <c r="D155" s="2">
        <f t="array" ref="D155">IFERROR(INDEX('Bank Schedule'!D:D, SMALL(IF('Bank Schedule'!$K$2:$K$817="Vacant", ROW('Bank Schedule'!$K$2:$K$817)), ROW(152:152))), "")</f>
        <v/>
      </c>
      <c r="E155" s="4" t="n"/>
      <c r="F155" s="4" t="n"/>
      <c r="G155" s="14" t="n"/>
      <c r="H155" s="7" t="n"/>
      <c r="I155" s="7" t="n"/>
      <c r="K155" s="25" t="n"/>
      <c r="L155" s="8" t="n"/>
      <c r="M155" s="9" t="n"/>
      <c r="N155" s="9" t="n"/>
      <c r="O155" s="9" t="n"/>
      <c r="P155" s="9" t="n"/>
      <c r="Q155" s="9" t="n"/>
      <c r="R155" s="10" t="n"/>
      <c r="S155" s="10" t="n"/>
      <c r="T155" s="10" t="n"/>
      <c r="U155" s="106" t="n"/>
      <c r="V155" s="10" t="n"/>
      <c r="W155" s="10" t="n"/>
      <c r="X155" s="10" t="n"/>
      <c r="Y155" s="10" t="n"/>
      <c r="Z155" s="60" t="n"/>
      <c r="AA155" s="53" t="n"/>
      <c r="AB155" s="53" t="n"/>
      <c r="AC155" s="14" t="n"/>
      <c r="AD155" s="4" t="n"/>
      <c r="AF155" s="390" t="n"/>
      <c r="AH155" s="390" t="n"/>
      <c r="AI155" s="242" t="n"/>
      <c r="AJ155" s="242" t="n"/>
    </row>
    <row r="156" ht="23.25" customHeight="1">
      <c r="A156" s="2">
        <f t="array" ref="A156">IFERROR(INDEX('Bank Schedule'!A:A, SMALL(IF('Bank Schedule'!$K$2:$K$817="Vacant", ROW('Bank Schedule'!$K$2:$K$817)), ROW(153:153))), "")</f>
        <v/>
      </c>
      <c r="B156" s="11">
        <f t="array" ref="B156">IFERROR(INDEX('Bank Schedule'!B:B, SMALL(IF('Bank Schedule'!$K$2:$K$817="Vacant", ROW('Bank Schedule'!$K$2:$K$817)), ROW(153:153))), "")</f>
        <v/>
      </c>
      <c r="C156" s="11">
        <f t="array" ref="C156">IFERROR(INDEX('Bank Schedule'!C:C, SMALL(IF('Bank Schedule'!$K$2:$K$817="Vacant", ROW('Bank Schedule'!$K$2:$K$817)), ROW(153:153))), "")</f>
        <v/>
      </c>
      <c r="D156" s="2">
        <f t="array" ref="D156">IFERROR(INDEX('Bank Schedule'!D:D, SMALL(IF('Bank Schedule'!$K$2:$K$817="Vacant", ROW('Bank Schedule'!$K$2:$K$817)), ROW(153:153))), "")</f>
        <v/>
      </c>
      <c r="E156" s="4" t="n"/>
      <c r="F156" s="4" t="n"/>
      <c r="G156" s="14" t="n"/>
      <c r="H156" s="7" t="n"/>
      <c r="I156" s="7" t="n"/>
      <c r="K156" s="25" t="n"/>
      <c r="L156" s="8" t="n"/>
      <c r="M156" s="9" t="n"/>
      <c r="N156" s="9" t="n"/>
      <c r="O156" s="9" t="n"/>
      <c r="P156" s="9" t="n"/>
      <c r="Q156" s="9" t="n"/>
      <c r="R156" s="10" t="n"/>
      <c r="S156" s="10" t="n"/>
      <c r="T156" s="10" t="n"/>
      <c r="U156" s="106" t="n"/>
      <c r="V156" s="10" t="n"/>
      <c r="W156" s="10" t="n"/>
      <c r="X156" s="10" t="n"/>
      <c r="Y156" s="10" t="n"/>
      <c r="Z156" s="60" t="n"/>
      <c r="AA156" s="53" t="n"/>
      <c r="AB156" s="53" t="n"/>
      <c r="AC156" s="14" t="n"/>
      <c r="AD156" s="4" t="n"/>
      <c r="AF156" s="266" t="inlineStr">
        <is>
          <t>EPC Rating</t>
        </is>
      </c>
      <c r="AG156" s="267" t="n"/>
      <c r="AH156" s="326" t="n"/>
      <c r="AJ156" s="242" t="n"/>
    </row>
    <row r="157" ht="23.25" customHeight="1">
      <c r="A157" s="2">
        <f t="array" ref="A157">IFERROR(INDEX('Bank Schedule'!A:A, SMALL(IF('Bank Schedule'!$K$2:$K$817="Vacant", ROW('Bank Schedule'!$K$2:$K$817)), ROW(154:154))), "")</f>
        <v/>
      </c>
      <c r="B157" s="11">
        <f t="array" ref="B157">IFERROR(INDEX('Bank Schedule'!B:B, SMALL(IF('Bank Schedule'!$K$2:$K$817="Vacant", ROW('Bank Schedule'!$K$2:$K$817)), ROW(154:154))), "")</f>
        <v/>
      </c>
      <c r="C157" s="11">
        <f t="array" ref="C157">IFERROR(INDEX('Bank Schedule'!C:C, SMALL(IF('Bank Schedule'!$K$2:$K$817="Vacant", ROW('Bank Schedule'!$K$2:$K$817)), ROW(154:154))), "")</f>
        <v/>
      </c>
      <c r="D157" s="2">
        <f t="array" ref="D157">IFERROR(INDEX('Bank Schedule'!D:D, SMALL(IF('Bank Schedule'!$K$2:$K$817="Vacant", ROW('Bank Schedule'!$K$2:$K$817)), ROW(154:154))), "")</f>
        <v/>
      </c>
      <c r="E157" s="4" t="n"/>
      <c r="F157" s="4" t="n"/>
      <c r="G157" s="14" t="n"/>
      <c r="H157" s="7" t="n"/>
      <c r="I157" s="7" t="n"/>
      <c r="J157" s="14" t="n"/>
      <c r="K157" s="25" t="n"/>
      <c r="L157" s="8" t="n"/>
      <c r="M157" s="9" t="n"/>
      <c r="N157" s="9" t="n"/>
      <c r="O157" s="9" t="n"/>
      <c r="P157" s="9" t="n"/>
      <c r="Q157" s="9" t="n"/>
      <c r="R157" s="10" t="n"/>
      <c r="S157" s="10" t="n"/>
      <c r="T157" s="10" t="n"/>
      <c r="U157" s="106" t="n"/>
      <c r="V157" s="10" t="n"/>
      <c r="W157" s="10" t="n"/>
      <c r="X157" s="10" t="n"/>
      <c r="Y157" s="10" t="n"/>
      <c r="Z157" s="60" t="n"/>
      <c r="AA157" s="53" t="n"/>
      <c r="AB157" s="53" t="n"/>
      <c r="AC157" s="14" t="n"/>
      <c r="AD157" s="4" t="n"/>
      <c r="AF157" s="260">
        <f>COUNTIF(X$4:AA$142, AG157)</f>
        <v/>
      </c>
      <c r="AG157" s="261" t="inlineStr">
        <is>
          <t>A</t>
        </is>
      </c>
      <c r="AH157" s="323">
        <f>AF157/$AF$163</f>
        <v/>
      </c>
      <c r="AJ157" s="242" t="n"/>
    </row>
    <row r="158" ht="23.25" customHeight="1">
      <c r="A158" s="2">
        <f t="array" ref="A158">IFERROR(INDEX('Bank Schedule'!A:A, SMALL(IF('Bank Schedule'!$K$2:$K$817="Vacant", ROW('Bank Schedule'!$K$2:$K$817)), ROW(155:155))), "")</f>
        <v/>
      </c>
      <c r="B158" s="11">
        <f t="array" ref="B158">IFERROR(INDEX('Bank Schedule'!B:B, SMALL(IF('Bank Schedule'!$K$2:$K$817="Vacant", ROW('Bank Schedule'!$K$2:$K$817)), ROW(155:155))), "")</f>
        <v/>
      </c>
      <c r="C158" s="11">
        <f t="array" ref="C158">IFERROR(INDEX('Bank Schedule'!C:C, SMALL(IF('Bank Schedule'!$K$2:$K$817="Vacant", ROW('Bank Schedule'!$K$2:$K$817)), ROW(155:155))), "")</f>
        <v/>
      </c>
      <c r="D158" s="2">
        <f t="array" ref="D158">IFERROR(INDEX('Bank Schedule'!D:D, SMALL(IF('Bank Schedule'!$K$2:$K$817="Vacant", ROW('Bank Schedule'!$K$2:$K$817)), ROW(155:155))), "")</f>
        <v/>
      </c>
      <c r="E158" s="4" t="n"/>
      <c r="F158" s="4" t="n"/>
      <c r="G158" s="14" t="n"/>
      <c r="H158" s="7" t="n"/>
      <c r="I158" s="7" t="n"/>
      <c r="J158" s="14" t="n"/>
      <c r="K158" s="25" t="n"/>
      <c r="L158" s="8" t="n"/>
      <c r="M158" s="9" t="n"/>
      <c r="N158" s="9" t="n"/>
      <c r="O158" s="9" t="n"/>
      <c r="P158" s="9" t="n"/>
      <c r="Q158" s="9" t="n"/>
      <c r="R158" s="10" t="n"/>
      <c r="S158" s="10" t="n"/>
      <c r="T158" s="10" t="n"/>
      <c r="U158" s="106" t="n"/>
      <c r="V158" s="10" t="n"/>
      <c r="W158" s="10" t="n"/>
      <c r="X158" s="10" t="n"/>
      <c r="Y158" s="10" t="n"/>
      <c r="Z158" s="60" t="n"/>
      <c r="AA158" s="53" t="n"/>
      <c r="AB158" s="53" t="n"/>
      <c r="AC158" s="14" t="n"/>
      <c r="AD158" s="4" t="n"/>
      <c r="AF158" s="260">
        <f>COUNTIF(X$4:X$143, AG158)</f>
        <v/>
      </c>
      <c r="AG158" s="261" t="inlineStr">
        <is>
          <t>B</t>
        </is>
      </c>
      <c r="AH158" s="324">
        <f>AF158/$AF$163</f>
        <v/>
      </c>
      <c r="AJ158" s="242" t="n"/>
    </row>
    <row r="159" ht="23.25" customHeight="1">
      <c r="A159" s="2">
        <f t="array" ref="A159">IFERROR(INDEX('Bank Schedule'!A:A, SMALL(IF('Bank Schedule'!$K$2:$K$817="Vacant", ROW('Bank Schedule'!$K$2:$K$817)), ROW(156:156))), "")</f>
        <v/>
      </c>
      <c r="B159" s="11">
        <f t="array" ref="B159">IFERROR(INDEX('Bank Schedule'!B:B, SMALL(IF('Bank Schedule'!$K$2:$K$817="Vacant", ROW('Bank Schedule'!$K$2:$K$817)), ROW(156:156))), "")</f>
        <v/>
      </c>
      <c r="C159" s="11">
        <f t="array" ref="C159">IFERROR(INDEX('Bank Schedule'!C:C, SMALL(IF('Bank Schedule'!$K$2:$K$817="Vacant", ROW('Bank Schedule'!$K$2:$K$817)), ROW(156:156))), "")</f>
        <v/>
      </c>
      <c r="D159" s="2">
        <f t="array" ref="D159">IFERROR(INDEX('Bank Schedule'!D:D, SMALL(IF('Bank Schedule'!$K$2:$K$817="Vacant", ROW('Bank Schedule'!$K$2:$K$817)), ROW(156:156))), "")</f>
        <v/>
      </c>
      <c r="E159" s="4" t="n"/>
      <c r="F159" s="4" t="n"/>
      <c r="G159" s="14" t="n"/>
      <c r="H159" s="7" t="n"/>
      <c r="I159" s="7" t="n"/>
      <c r="J159" s="14" t="n"/>
      <c r="K159" s="25" t="n"/>
      <c r="L159" s="8" t="n"/>
      <c r="M159" s="9" t="n"/>
      <c r="N159" s="9" t="n"/>
      <c r="O159" s="9" t="n"/>
      <c r="P159" s="9" t="n"/>
      <c r="Q159" s="9" t="n"/>
      <c r="R159" s="10" t="n"/>
      <c r="S159" s="10" t="n"/>
      <c r="T159" s="10" t="n"/>
      <c r="U159" s="106" t="n"/>
      <c r="V159" s="10" t="n"/>
      <c r="W159" s="10" t="n"/>
      <c r="X159" s="10" t="n"/>
      <c r="Y159" s="10" t="n"/>
      <c r="Z159" s="60" t="n"/>
      <c r="AA159" s="53" t="n"/>
      <c r="AB159" s="53" t="n"/>
      <c r="AC159" s="14" t="n"/>
      <c r="AD159" s="4" t="n"/>
      <c r="AF159" s="260">
        <f>COUNTIF(X$1:X$144, AG159)</f>
        <v/>
      </c>
      <c r="AG159" s="261" t="inlineStr">
        <is>
          <t>C</t>
        </is>
      </c>
      <c r="AH159" s="324">
        <f>AF159/$AF$163</f>
        <v/>
      </c>
      <c r="AJ159" s="242" t="n"/>
    </row>
    <row r="160" ht="23.25" customHeight="1">
      <c r="A160" s="2">
        <f t="array" ref="A160">IFERROR(INDEX('Bank Schedule'!A:A, SMALL(IF('Bank Schedule'!$K$2:$K$817="Vacant", ROW('Bank Schedule'!$K$2:$K$817)), ROW(157:157))), "")</f>
        <v/>
      </c>
      <c r="B160" s="11">
        <f t="array" ref="B160">IFERROR(INDEX('Bank Schedule'!B:B, SMALL(IF('Bank Schedule'!$K$2:$K$817="Vacant", ROW('Bank Schedule'!$K$2:$K$817)), ROW(157:157))), "")</f>
        <v/>
      </c>
      <c r="C160" s="11">
        <f t="array" ref="C160">IFERROR(INDEX('Bank Schedule'!C:C, SMALL(IF('Bank Schedule'!$K$2:$K$817="Vacant", ROW('Bank Schedule'!$K$2:$K$817)), ROW(157:157))), "")</f>
        <v/>
      </c>
      <c r="D160" s="2">
        <f t="array" ref="D160">IFERROR(INDEX('Bank Schedule'!D:D, SMALL(IF('Bank Schedule'!$K$2:$K$817="Vacant", ROW('Bank Schedule'!$K$2:$K$817)), ROW(157:157))), "")</f>
        <v/>
      </c>
      <c r="E160" s="4" t="n"/>
      <c r="F160" s="4" t="n"/>
      <c r="G160" s="14" t="n"/>
      <c r="H160" s="7" t="n"/>
      <c r="I160" s="7" t="n"/>
      <c r="J160" s="14" t="n"/>
      <c r="K160" s="25" t="n"/>
      <c r="L160" s="8" t="n"/>
      <c r="M160" s="9" t="n"/>
      <c r="N160" s="9" t="n"/>
      <c r="O160" s="9" t="n"/>
      <c r="P160" s="9" t="n"/>
      <c r="Q160" s="9" t="n"/>
      <c r="R160" s="10" t="n"/>
      <c r="S160" s="10" t="n"/>
      <c r="T160" s="10" t="n"/>
      <c r="U160" s="106" t="n"/>
      <c r="V160" s="10" t="n"/>
      <c r="W160" s="10" t="n"/>
      <c r="X160" s="10" t="n"/>
      <c r="Y160" s="10" t="n"/>
      <c r="Z160" s="60" t="n"/>
      <c r="AA160" s="53" t="n"/>
      <c r="AB160" s="53" t="n"/>
      <c r="AC160" s="14" t="n"/>
      <c r="AD160" s="4" t="n"/>
      <c r="AF160" s="260">
        <f>COUNTIF(X$1:X$144, AG160)</f>
        <v/>
      </c>
      <c r="AG160" s="261" t="inlineStr">
        <is>
          <t>D</t>
        </is>
      </c>
      <c r="AH160" s="324">
        <f>AF160/$AF$163</f>
        <v/>
      </c>
      <c r="AJ160" s="242" t="n"/>
    </row>
    <row r="161" ht="23.25" customHeight="1">
      <c r="A161" s="2">
        <f t="array" ref="A161">IFERROR(INDEX('Bank Schedule'!A:A, SMALL(IF('Bank Schedule'!$K$2:$K$817="Vacant", ROW('Bank Schedule'!$K$2:$K$817)), ROW(158:158))), "")</f>
        <v/>
      </c>
      <c r="B161" s="11">
        <f t="array" ref="B161">IFERROR(INDEX('Bank Schedule'!B:B, SMALL(IF('Bank Schedule'!$K$2:$K$817="Vacant", ROW('Bank Schedule'!$K$2:$K$817)), ROW(158:158))), "")</f>
        <v/>
      </c>
      <c r="C161" s="11">
        <f t="array" ref="C161">IFERROR(INDEX('Bank Schedule'!C:C, SMALL(IF('Bank Schedule'!$K$2:$K$817="Vacant", ROW('Bank Schedule'!$K$2:$K$817)), ROW(158:158))), "")</f>
        <v/>
      </c>
      <c r="D161" s="2">
        <f t="array" ref="D161">IFERROR(INDEX('Bank Schedule'!D:D, SMALL(IF('Bank Schedule'!$K$2:$K$817="Vacant", ROW('Bank Schedule'!$K$2:$K$817)), ROW(158:158))), "")</f>
        <v/>
      </c>
      <c r="E161" s="4" t="n"/>
      <c r="F161" s="4" t="n"/>
      <c r="G161" s="14" t="n"/>
      <c r="H161" s="7" t="n"/>
      <c r="I161" s="7" t="n"/>
      <c r="J161" s="14" t="n"/>
      <c r="K161" s="25" t="n"/>
      <c r="L161" s="8" t="n"/>
      <c r="M161" s="9" t="n"/>
      <c r="N161" s="9" t="n"/>
      <c r="O161" s="9" t="n"/>
      <c r="P161" s="9" t="n"/>
      <c r="Q161" s="9" t="n"/>
      <c r="R161" s="10" t="n"/>
      <c r="S161" s="10" t="n"/>
      <c r="T161" s="10" t="n"/>
      <c r="U161" s="106" t="n"/>
      <c r="V161" s="10" t="n"/>
      <c r="W161" s="10" t="n"/>
      <c r="X161" s="10" t="n"/>
      <c r="Y161" s="10" t="n"/>
      <c r="Z161" s="60" t="n"/>
      <c r="AA161" s="53" t="n"/>
      <c r="AB161" s="53" t="n"/>
      <c r="AC161" s="14" t="n"/>
      <c r="AD161" s="4" t="n"/>
      <c r="AF161" s="260">
        <f>COUNTIF(X$1:X$143, AG161)</f>
        <v/>
      </c>
      <c r="AG161" s="261" t="inlineStr">
        <is>
          <t>E</t>
        </is>
      </c>
      <c r="AH161" s="324">
        <f>AF161/$AF$163</f>
        <v/>
      </c>
      <c r="AJ161" s="242" t="n"/>
    </row>
    <row r="162" ht="23.25" customHeight="1">
      <c r="A162" s="2">
        <f t="array" ref="A162">IFERROR(INDEX('Bank Schedule'!A:A, SMALL(IF('Bank Schedule'!$K$2:$K$817="Vacant", ROW('Bank Schedule'!$K$2:$K$817)), ROW(159:159))), "")</f>
        <v/>
      </c>
      <c r="B162" s="11">
        <f t="array" ref="B162">IFERROR(INDEX('Bank Schedule'!B:B, SMALL(IF('Bank Schedule'!$K$2:$K$817="Vacant", ROW('Bank Schedule'!$K$2:$K$817)), ROW(159:159))), "")</f>
        <v/>
      </c>
      <c r="C162" s="11">
        <f t="array" ref="C162">IFERROR(INDEX('Bank Schedule'!C:C, SMALL(IF('Bank Schedule'!$K$2:$K$817="Vacant", ROW('Bank Schedule'!$K$2:$K$817)), ROW(159:159))), "")</f>
        <v/>
      </c>
      <c r="D162" s="2">
        <f t="array" ref="D162">IFERROR(INDEX('Bank Schedule'!D:D, SMALL(IF('Bank Schedule'!$K$2:$K$817="Vacant", ROW('Bank Schedule'!$K$2:$K$817)), ROW(159:159))), "")</f>
        <v/>
      </c>
      <c r="E162" s="4" t="n"/>
      <c r="F162" s="4" t="n"/>
      <c r="G162" s="14" t="n"/>
      <c r="H162" s="7" t="n"/>
      <c r="I162" s="7" t="n"/>
      <c r="J162" s="14" t="n"/>
      <c r="K162" s="25" t="n"/>
      <c r="L162" s="8" t="n"/>
      <c r="M162" s="9" t="n"/>
      <c r="N162" s="9" t="n"/>
      <c r="O162" s="9" t="n"/>
      <c r="P162" s="9" t="n"/>
      <c r="Q162" s="9" t="n"/>
      <c r="R162" s="10" t="n"/>
      <c r="S162" s="10" t="n"/>
      <c r="T162" s="10" t="n"/>
      <c r="U162" s="106" t="n"/>
      <c r="V162" s="10" t="n"/>
      <c r="W162" s="10" t="n"/>
      <c r="X162" s="10" t="n"/>
      <c r="Y162" s="10" t="n"/>
      <c r="Z162" s="60" t="n"/>
      <c r="AA162" s="53" t="n"/>
      <c r="AB162" s="53" t="n"/>
      <c r="AC162" s="14" t="n"/>
      <c r="AD162" s="4" t="n"/>
      <c r="AF162" s="260" t="n"/>
      <c r="AG162" s="262" t="n"/>
      <c r="AH162" s="327" t="n"/>
      <c r="AJ162" s="242" t="n"/>
    </row>
    <row r="163" ht="23.25" customHeight="1">
      <c r="A163" s="2">
        <f t="array" ref="A163">IFERROR(INDEX('Bank Schedule'!A:A, SMALL(IF('Bank Schedule'!$K$2:$K$817="Vacant", ROW('Bank Schedule'!$K$2:$K$817)), ROW(160:160))), "")</f>
        <v/>
      </c>
      <c r="B163" s="11">
        <f t="array" ref="B163">IFERROR(INDEX('Bank Schedule'!B:B, SMALL(IF('Bank Schedule'!$K$2:$K$817="Vacant", ROW('Bank Schedule'!$K$2:$K$817)), ROW(160:160))), "")</f>
        <v/>
      </c>
      <c r="C163" s="11">
        <f t="array" ref="C163">IFERROR(INDEX('Bank Schedule'!C:C, SMALL(IF('Bank Schedule'!$K$2:$K$817="Vacant", ROW('Bank Schedule'!$K$2:$K$817)), ROW(160:160))), "")</f>
        <v/>
      </c>
      <c r="D163" s="2">
        <f t="array" ref="D163">IFERROR(INDEX('Bank Schedule'!D:D, SMALL(IF('Bank Schedule'!$K$2:$K$817="Vacant", ROW('Bank Schedule'!$K$2:$K$817)), ROW(160:160))), "")</f>
        <v/>
      </c>
      <c r="E163" s="4" t="n"/>
      <c r="F163" s="4" t="n"/>
      <c r="G163" s="14" t="n"/>
      <c r="H163" s="7" t="n"/>
      <c r="I163" s="7" t="n"/>
      <c r="J163" s="14" t="n"/>
      <c r="K163" s="25" t="n"/>
      <c r="L163" s="8" t="n"/>
      <c r="M163" s="9" t="n"/>
      <c r="N163" s="9" t="n"/>
      <c r="O163" s="9" t="n"/>
      <c r="P163" s="9" t="n"/>
      <c r="Q163" s="9" t="n"/>
      <c r="R163" s="10" t="n"/>
      <c r="S163" s="10" t="n"/>
      <c r="T163" s="10" t="n"/>
      <c r="U163" s="106" t="n"/>
      <c r="V163" s="10" t="n"/>
      <c r="W163" s="10" t="n"/>
      <c r="X163" s="10" t="n"/>
      <c r="Y163" s="10" t="n"/>
      <c r="Z163" s="60" t="n"/>
      <c r="AA163" s="53" t="n"/>
      <c r="AB163" s="53" t="n"/>
      <c r="AC163" s="14" t="n"/>
      <c r="AD163" s="4" t="n"/>
      <c r="AF163" s="267">
        <f>SUM(AF157:AF162)</f>
        <v/>
      </c>
      <c r="AG163" s="328" t="inlineStr">
        <is>
          <t xml:space="preserve">Total </t>
        </is>
      </c>
      <c r="AH163" s="325">
        <f>SUM(AH157:AH162)</f>
        <v/>
      </c>
      <c r="AJ163" s="242" t="n"/>
    </row>
    <row r="164" ht="23.25" customHeight="1">
      <c r="A164" s="2">
        <f t="array" ref="A164">IFERROR(INDEX('Bank Schedule'!A:A, SMALL(IF('Bank Schedule'!$K$2:$K$817="Vacant", ROW('Bank Schedule'!$K$2:$K$817)), ROW(161:161))), "")</f>
        <v/>
      </c>
      <c r="B164" s="11">
        <f t="array" ref="B164">IFERROR(INDEX('Bank Schedule'!B:B, SMALL(IF('Bank Schedule'!$K$2:$K$817="Vacant", ROW('Bank Schedule'!$K$2:$K$817)), ROW(161:161))), "")</f>
        <v/>
      </c>
      <c r="C164" s="11">
        <f t="array" ref="C164">IFERROR(INDEX('Bank Schedule'!C:C, SMALL(IF('Bank Schedule'!$K$2:$K$817="Vacant", ROW('Bank Schedule'!$K$2:$K$817)), ROW(161:161))), "")</f>
        <v/>
      </c>
      <c r="D164" s="2">
        <f t="array" ref="D164">IFERROR(INDEX('Bank Schedule'!D:D, SMALL(IF('Bank Schedule'!$K$2:$K$817="Vacant", ROW('Bank Schedule'!$K$2:$K$817)), ROW(161:161))), "")</f>
        <v/>
      </c>
      <c r="E164" s="4" t="n"/>
      <c r="F164" s="4" t="n"/>
      <c r="G164" s="14" t="n"/>
      <c r="H164" s="7" t="n"/>
      <c r="I164" s="7" t="n"/>
      <c r="J164" s="14" t="n"/>
      <c r="K164" s="25" t="n"/>
      <c r="L164" s="8" t="n"/>
      <c r="M164" s="9" t="n"/>
      <c r="N164" s="9" t="n"/>
      <c r="O164" s="9" t="n"/>
      <c r="P164" s="9" t="n"/>
      <c r="Q164" s="9" t="n"/>
      <c r="R164" s="10" t="n"/>
      <c r="S164" s="10" t="n"/>
      <c r="T164" s="10" t="n"/>
      <c r="U164" s="106" t="n"/>
      <c r="V164" s="10" t="n"/>
      <c r="W164" s="10" t="n"/>
      <c r="X164" s="10" t="n"/>
      <c r="Y164" s="10" t="n"/>
      <c r="Z164" s="60" t="n"/>
      <c r="AA164" s="53" t="n"/>
      <c r="AB164" s="53" t="n"/>
      <c r="AC164" s="14" t="n"/>
      <c r="AD164" s="4" t="n"/>
      <c r="AF164" s="390" t="n"/>
      <c r="AH164" s="269" t="n"/>
      <c r="AI164" s="242" t="n"/>
      <c r="AJ164" s="242" t="n"/>
    </row>
    <row r="165" ht="23.25" customHeight="1">
      <c r="A165" s="2">
        <f t="array" ref="A165">IFERROR(INDEX('Bank Schedule'!A:A, SMALL(IF('Bank Schedule'!$K$2:$K$817="Vacant", ROW('Bank Schedule'!$K$2:$K$817)), ROW(162:162))), "")</f>
        <v/>
      </c>
      <c r="B165" s="11">
        <f t="array" ref="B165">IFERROR(INDEX('Bank Schedule'!B:B, SMALL(IF('Bank Schedule'!$K$2:$K$817="Vacant", ROW('Bank Schedule'!$K$2:$K$817)), ROW(162:162))), "")</f>
        <v/>
      </c>
      <c r="C165" s="11">
        <f t="array" ref="C165">IFERROR(INDEX('Bank Schedule'!C:C, SMALL(IF('Bank Schedule'!$K$2:$K$817="Vacant", ROW('Bank Schedule'!$K$2:$K$817)), ROW(162:162))), "")</f>
        <v/>
      </c>
      <c r="D165" s="2">
        <f t="array" ref="D165">IFERROR(INDEX('Bank Schedule'!D:D, SMALL(IF('Bank Schedule'!$K$2:$K$817="Vacant", ROW('Bank Schedule'!$K$2:$K$817)), ROW(162:162))), "")</f>
        <v/>
      </c>
      <c r="E165" s="4" t="n"/>
      <c r="F165" s="4" t="n"/>
      <c r="G165" s="14" t="n"/>
      <c r="H165" s="7" t="n"/>
      <c r="I165" s="7" t="n"/>
      <c r="J165" s="14" t="n"/>
      <c r="K165" s="25" t="n"/>
      <c r="L165" s="8" t="n"/>
      <c r="M165" s="9" t="n"/>
      <c r="N165" s="9" t="n"/>
      <c r="O165" s="9" t="n"/>
      <c r="P165" s="9" t="n"/>
      <c r="Q165" s="9" t="n"/>
      <c r="R165" s="10" t="n"/>
      <c r="S165" s="10" t="n"/>
      <c r="T165" s="10" t="n"/>
      <c r="U165" s="106" t="n"/>
      <c r="V165" s="10" t="n"/>
      <c r="W165" s="10" t="n"/>
      <c r="X165" s="10" t="n"/>
      <c r="Y165" s="10" t="n"/>
      <c r="Z165" s="60" t="n"/>
      <c r="AA165" s="53" t="n"/>
      <c r="AB165" s="53" t="n"/>
      <c r="AC165" s="14" t="n"/>
      <c r="AD165" s="4" t="n"/>
      <c r="AF165" s="270" t="inlineStr">
        <is>
          <t>EPC Rating By Floor Area</t>
        </is>
      </c>
      <c r="AG165" s="271" t="n"/>
      <c r="AH165" s="326" t="n"/>
      <c r="AI165" s="242" t="n"/>
    </row>
    <row r="166" ht="23.25" customHeight="1">
      <c r="A166" s="2">
        <f t="array" ref="A166">IFERROR(INDEX('Bank Schedule'!A:A, SMALL(IF('Bank Schedule'!$K$2:$K$817="Vacant", ROW('Bank Schedule'!$K$2:$K$817)), ROW(163:163))), "")</f>
        <v/>
      </c>
      <c r="B166" s="11">
        <f t="array" ref="B166">IFERROR(INDEX('Bank Schedule'!B:B, SMALL(IF('Bank Schedule'!$K$2:$K$817="Vacant", ROW('Bank Schedule'!$K$2:$K$817)), ROW(163:163))), "")</f>
        <v/>
      </c>
      <c r="C166" s="11">
        <f t="array" ref="C166">IFERROR(INDEX('Bank Schedule'!C:C, SMALL(IF('Bank Schedule'!$K$2:$K$817="Vacant", ROW('Bank Schedule'!$K$2:$K$817)), ROW(163:163))), "")</f>
        <v/>
      </c>
      <c r="D166" s="2">
        <f t="array" ref="D166">IFERROR(INDEX('Bank Schedule'!D:D, SMALL(IF('Bank Schedule'!$K$2:$K$817="Vacant", ROW('Bank Schedule'!$K$2:$K$817)), ROW(163:163))), "")</f>
        <v/>
      </c>
      <c r="E166" s="4" t="n"/>
      <c r="F166" s="4" t="n"/>
      <c r="G166" s="14" t="n"/>
      <c r="H166" s="7" t="n"/>
      <c r="I166" s="7" t="n"/>
      <c r="J166" s="14" t="n"/>
      <c r="K166" s="25" t="n"/>
      <c r="L166" s="8" t="n"/>
      <c r="M166" s="9" t="n"/>
      <c r="N166" s="9" t="n"/>
      <c r="O166" s="9" t="n"/>
      <c r="P166" s="9" t="n"/>
      <c r="Q166" s="9" t="n"/>
      <c r="R166" s="10" t="n"/>
      <c r="S166" s="10" t="n"/>
      <c r="T166" s="10" t="n"/>
      <c r="U166" s="106" t="n"/>
      <c r="V166" s="10" t="n"/>
      <c r="W166" s="10" t="n"/>
      <c r="X166" s="10" t="n"/>
      <c r="Y166" s="10" t="n"/>
      <c r="Z166" s="60" t="n"/>
      <c r="AA166" s="53" t="n"/>
      <c r="AB166" s="53" t="n"/>
      <c r="AC166" s="14" t="n"/>
      <c r="AD166" s="4" t="n"/>
      <c r="AF166" s="276">
        <f>SUMIF(X:X, "A", H:H)</f>
        <v/>
      </c>
      <c r="AG166" s="261" t="inlineStr">
        <is>
          <t>A</t>
        </is>
      </c>
      <c r="AH166" s="324">
        <f>AF166/$AF$172</f>
        <v/>
      </c>
    </row>
    <row r="167" ht="23.25" customHeight="1">
      <c r="A167" s="2">
        <f t="array" ref="A167">IFERROR(INDEX('Bank Schedule'!A:A, SMALL(IF('Bank Schedule'!$K$2:$K$817="Vacant", ROW('Bank Schedule'!$K$2:$K$817)), ROW(164:164))), "")</f>
        <v/>
      </c>
      <c r="B167" s="11">
        <f t="array" ref="B167">IFERROR(INDEX('Bank Schedule'!B:B, SMALL(IF('Bank Schedule'!$K$2:$K$817="Vacant", ROW('Bank Schedule'!$K$2:$K$817)), ROW(164:164))), "")</f>
        <v/>
      </c>
      <c r="C167" s="11">
        <f t="array" ref="C167">IFERROR(INDEX('Bank Schedule'!C:C, SMALL(IF('Bank Schedule'!$K$2:$K$817="Vacant", ROW('Bank Schedule'!$K$2:$K$817)), ROW(164:164))), "")</f>
        <v/>
      </c>
      <c r="D167" s="2">
        <f t="array" ref="D167">IFERROR(INDEX('Bank Schedule'!D:D, SMALL(IF('Bank Schedule'!$K$2:$K$817="Vacant", ROW('Bank Schedule'!$K$2:$K$817)), ROW(164:164))), "")</f>
        <v/>
      </c>
      <c r="E167" s="4" t="n"/>
      <c r="F167" s="4" t="n"/>
      <c r="G167" s="14" t="n"/>
      <c r="H167" s="7" t="n"/>
      <c r="I167" s="7" t="n"/>
      <c r="J167" s="14" t="n"/>
      <c r="K167" s="25" t="n"/>
      <c r="L167" s="8" t="n"/>
      <c r="M167" s="9" t="n"/>
      <c r="N167" s="9" t="n"/>
      <c r="O167" s="9" t="n"/>
      <c r="P167" s="9" t="n"/>
      <c r="Q167" s="9" t="n"/>
      <c r="R167" s="10" t="n"/>
      <c r="S167" s="10" t="n"/>
      <c r="T167" s="10" t="n"/>
      <c r="U167" s="106" t="n"/>
      <c r="V167" s="10" t="n"/>
      <c r="W167" s="10" t="n"/>
      <c r="X167" s="10" t="n"/>
      <c r="Y167" s="10" t="n"/>
      <c r="Z167" s="60" t="n"/>
      <c r="AA167" s="53" t="n"/>
      <c r="AB167" s="53" t="n"/>
      <c r="AC167" s="14" t="n"/>
      <c r="AD167" s="4" t="n"/>
      <c r="AF167" s="276">
        <f>SUMIF(X:X, "B", H:H)</f>
        <v/>
      </c>
      <c r="AG167" s="261" t="inlineStr">
        <is>
          <t>B</t>
        </is>
      </c>
      <c r="AH167" s="324">
        <f>AF167/$AF$172</f>
        <v/>
      </c>
      <c r="AI167" s="242" t="n"/>
    </row>
    <row r="168" ht="23.25" customHeight="1">
      <c r="A168" s="2">
        <f t="array" ref="A168">IFERROR(INDEX('Bank Schedule'!A:A, SMALL(IF('Bank Schedule'!$K$2:$K$817="Vacant", ROW('Bank Schedule'!$K$2:$K$817)), ROW(165:165))), "")</f>
        <v/>
      </c>
      <c r="B168" s="11">
        <f t="array" ref="B168">IFERROR(INDEX('Bank Schedule'!B:B, SMALL(IF('Bank Schedule'!$K$2:$K$817="Vacant", ROW('Bank Schedule'!$K$2:$K$817)), ROW(165:165))), "")</f>
        <v/>
      </c>
      <c r="C168" s="11">
        <f t="array" ref="C168">IFERROR(INDEX('Bank Schedule'!C:C, SMALL(IF('Bank Schedule'!$K$2:$K$817="Vacant", ROW('Bank Schedule'!$K$2:$K$817)), ROW(165:165))), "")</f>
        <v/>
      </c>
      <c r="D168" s="2">
        <f t="array" ref="D168">IFERROR(INDEX('Bank Schedule'!D:D, SMALL(IF('Bank Schedule'!$K$2:$K$817="Vacant", ROW('Bank Schedule'!$K$2:$K$817)), ROW(165:165))), "")</f>
        <v/>
      </c>
      <c r="E168" s="4" t="n"/>
      <c r="F168" s="4" t="n"/>
      <c r="G168" s="14" t="n"/>
      <c r="H168" s="7" t="n"/>
      <c r="I168" s="7" t="n"/>
      <c r="J168" s="14" t="n"/>
      <c r="K168" s="25" t="n"/>
      <c r="L168" s="8" t="n"/>
      <c r="M168" s="9" t="n"/>
      <c r="N168" s="9" t="n"/>
      <c r="O168" s="9" t="n"/>
      <c r="P168" s="9" t="n"/>
      <c r="Q168" s="9" t="n"/>
      <c r="R168" s="10" t="n"/>
      <c r="S168" s="10" t="n"/>
      <c r="T168" s="10" t="n"/>
      <c r="U168" s="106" t="n"/>
      <c r="V168" s="10" t="n"/>
      <c r="W168" s="10" t="n"/>
      <c r="X168" s="10" t="n"/>
      <c r="Y168" s="10" t="n"/>
      <c r="Z168" s="60" t="n"/>
      <c r="AA168" s="53" t="n"/>
      <c r="AB168" s="53" t="n"/>
      <c r="AC168" s="14" t="n"/>
      <c r="AD168" s="4" t="n"/>
      <c r="AF168" s="276">
        <f>SUMIF(X:X, "C", H:H)</f>
        <v/>
      </c>
      <c r="AG168" s="261" t="inlineStr">
        <is>
          <t>C</t>
        </is>
      </c>
      <c r="AH168" s="324">
        <f>AF168/$AF$172</f>
        <v/>
      </c>
      <c r="AI168" s="268">
        <f>SUM(AH168:AH170)+AH171</f>
        <v/>
      </c>
    </row>
    <row r="169" ht="23.25" customHeight="1">
      <c r="A169" s="2">
        <f t="array" ref="A169">IFERROR(INDEX('Bank Schedule'!A:A, SMALL(IF('Bank Schedule'!$K$2:$K$817="Vacant", ROW('Bank Schedule'!$K$2:$K$817)), ROW(166:166))), "")</f>
        <v/>
      </c>
      <c r="B169" s="11">
        <f t="array" ref="B169">IFERROR(INDEX('Bank Schedule'!B:B, SMALL(IF('Bank Schedule'!$K$2:$K$817="Vacant", ROW('Bank Schedule'!$K$2:$K$817)), ROW(166:166))), "")</f>
        <v/>
      </c>
      <c r="C169" s="11">
        <f t="array" ref="C169">IFERROR(INDEX('Bank Schedule'!C:C, SMALL(IF('Bank Schedule'!$K$2:$K$817="Vacant", ROW('Bank Schedule'!$K$2:$K$817)), ROW(166:166))), "")</f>
        <v/>
      </c>
      <c r="D169" s="2">
        <f t="array" ref="D169">IFERROR(INDEX('Bank Schedule'!D:D, SMALL(IF('Bank Schedule'!$K$2:$K$817="Vacant", ROW('Bank Schedule'!$K$2:$K$817)), ROW(166:166))), "")</f>
        <v/>
      </c>
      <c r="E169" s="4" t="n"/>
      <c r="F169" s="4" t="n"/>
      <c r="G169" s="14" t="n"/>
      <c r="H169" s="7" t="n"/>
      <c r="I169" s="7" t="n"/>
      <c r="J169" s="14" t="n"/>
      <c r="K169" s="25" t="n"/>
      <c r="L169" s="8" t="n"/>
      <c r="M169" s="9" t="n"/>
      <c r="N169" s="9" t="n"/>
      <c r="O169" s="9" t="n"/>
      <c r="P169" s="9" t="n"/>
      <c r="Q169" s="9" t="n"/>
      <c r="R169" s="10" t="n"/>
      <c r="S169" s="10" t="n"/>
      <c r="T169" s="10" t="n"/>
      <c r="U169" s="106" t="n"/>
      <c r="V169" s="10" t="n"/>
      <c r="W169" s="10" t="n"/>
      <c r="X169" s="10" t="n"/>
      <c r="Y169" s="10" t="n"/>
      <c r="Z169" s="60" t="n"/>
      <c r="AA169" s="53" t="n"/>
      <c r="AB169" s="53" t="n"/>
      <c r="AC169" s="14" t="n"/>
      <c r="AD169" s="4" t="n"/>
      <c r="AF169" s="276">
        <f>SUMIF(X:X, "D", H:H)</f>
        <v/>
      </c>
      <c r="AG169" s="261" t="inlineStr">
        <is>
          <t>D</t>
        </is>
      </c>
      <c r="AH169" s="324">
        <f>AF169/$AF$172</f>
        <v/>
      </c>
      <c r="AI169" s="268" t="n"/>
      <c r="AJ169" s="275" t="inlineStr">
        <is>
          <t>Unlettable under ARES</t>
        </is>
      </c>
      <c r="AK169" s="275" t="n"/>
    </row>
    <row r="170" ht="23.25" customHeight="1">
      <c r="A170" s="2">
        <f t="array" ref="A170">IFERROR(INDEX('Bank Schedule'!A:A, SMALL(IF('Bank Schedule'!$K$2:$K$817="Vacant", ROW('Bank Schedule'!$K$2:$K$817)), ROW(167:167))), "")</f>
        <v/>
      </c>
      <c r="B170" s="11">
        <f t="array" ref="B170">IFERROR(INDEX('Bank Schedule'!B:B, SMALL(IF('Bank Schedule'!$K$2:$K$817="Vacant", ROW('Bank Schedule'!$K$2:$K$817)), ROW(167:167))), "")</f>
        <v/>
      </c>
      <c r="C170" s="11">
        <f t="array" ref="C170">IFERROR(INDEX('Bank Schedule'!C:C, SMALL(IF('Bank Schedule'!$K$2:$K$817="Vacant", ROW('Bank Schedule'!$K$2:$K$817)), ROW(167:167))), "")</f>
        <v/>
      </c>
      <c r="D170" s="2">
        <f t="array" ref="D170">IFERROR(INDEX('Bank Schedule'!D:D, SMALL(IF('Bank Schedule'!$K$2:$K$817="Vacant", ROW('Bank Schedule'!$K$2:$K$817)), ROW(167:167))), "")</f>
        <v/>
      </c>
      <c r="E170" s="4" t="n"/>
      <c r="F170" s="4" t="n"/>
      <c r="G170" s="14" t="n"/>
      <c r="H170" s="7" t="n"/>
      <c r="I170" s="7" t="n"/>
      <c r="J170" s="14" t="n"/>
      <c r="K170" s="25" t="n"/>
      <c r="L170" s="8" t="n"/>
      <c r="M170" s="9" t="n"/>
      <c r="N170" s="9" t="n"/>
      <c r="O170" s="9" t="n"/>
      <c r="P170" s="9" t="n"/>
      <c r="Q170" s="9" t="n"/>
      <c r="R170" s="10" t="n"/>
      <c r="S170" s="10" t="n"/>
      <c r="T170" s="10" t="n"/>
      <c r="U170" s="106" t="n"/>
      <c r="V170" s="10" t="n"/>
      <c r="W170" s="10" t="n"/>
      <c r="X170" s="10" t="n"/>
      <c r="Y170" s="10" t="n"/>
      <c r="Z170" s="60" t="n"/>
      <c r="AA170" s="53" t="n"/>
      <c r="AB170" s="53" t="n"/>
      <c r="AC170" s="14" t="n"/>
      <c r="AD170" s="14" t="n"/>
      <c r="AE170" s="14" t="n"/>
      <c r="AF170" s="276">
        <f>SUMIF(X:X, "E", H:H)</f>
        <v/>
      </c>
      <c r="AG170" s="261" t="inlineStr">
        <is>
          <t>E</t>
        </is>
      </c>
      <c r="AH170" s="324">
        <f>AF170/$AF$172</f>
        <v/>
      </c>
      <c r="AI170" s="268" t="n"/>
      <c r="AJ170" s="275" t="n"/>
      <c r="AK170" s="275" t="n"/>
    </row>
    <row r="171" ht="23.25" customHeight="1">
      <c r="A171" s="2">
        <f t="array" ref="A171">IFERROR(INDEX('Bank Schedule'!A:A, SMALL(IF('Bank Schedule'!$K$2:$K$817="Vacant", ROW('Bank Schedule'!$K$2:$K$817)), ROW(168:168))), "")</f>
        <v/>
      </c>
      <c r="B171" s="11">
        <f t="array" ref="B171">IFERROR(INDEX('Bank Schedule'!B:B, SMALL(IF('Bank Schedule'!$K$2:$K$817="Vacant", ROW('Bank Schedule'!$K$2:$K$817)), ROW(168:168))), "")</f>
        <v/>
      </c>
      <c r="C171" s="11">
        <f t="array" ref="C171">IFERROR(INDEX('Bank Schedule'!C:C, SMALL(IF('Bank Schedule'!$K$2:$K$817="Vacant", ROW('Bank Schedule'!$K$2:$K$817)), ROW(168:168))), "")</f>
        <v/>
      </c>
      <c r="D171" s="2">
        <f t="array" ref="D171">IFERROR(INDEX('Bank Schedule'!D:D, SMALL(IF('Bank Schedule'!$K$2:$K$817="Vacant", ROW('Bank Schedule'!$K$2:$K$817)), ROW(168:168))), "")</f>
        <v/>
      </c>
      <c r="E171" s="4" t="n"/>
      <c r="F171" s="4" t="n"/>
      <c r="G171" s="14" t="n"/>
      <c r="H171" s="7" t="n"/>
      <c r="I171" s="7" t="n"/>
      <c r="J171" s="14" t="n"/>
      <c r="K171" s="25" t="n"/>
      <c r="L171" s="8" t="n"/>
      <c r="M171" s="9" t="n"/>
      <c r="N171" s="9" t="n"/>
      <c r="O171" s="9" t="n"/>
      <c r="P171" s="9" t="n"/>
      <c r="Q171" s="9" t="n"/>
      <c r="R171" s="10" t="n"/>
      <c r="S171" s="10" t="n"/>
      <c r="T171" s="10" t="n"/>
      <c r="U171" s="106" t="n"/>
      <c r="V171" s="10" t="n"/>
      <c r="W171" s="10" t="n"/>
      <c r="X171" s="10" t="n"/>
      <c r="Y171" s="10" t="n"/>
      <c r="Z171" s="60" t="n"/>
      <c r="AA171" s="53" t="n"/>
      <c r="AB171" s="53" t="n"/>
      <c r="AF171" s="276">
        <f>SUMIF(X:X, "0", H:H)</f>
        <v/>
      </c>
      <c r="AG171" s="272" t="n">
        <v>0</v>
      </c>
      <c r="AH171" s="327">
        <f>AF171/$AF$172</f>
        <v/>
      </c>
      <c r="AI171" s="268" t="n"/>
      <c r="AJ171" s="273">
        <f>SUM(AF168:AF171)</f>
        <v/>
      </c>
      <c r="AK171" s="116" t="inlineStr">
        <is>
          <t>sq.ft</t>
        </is>
      </c>
    </row>
    <row r="172" ht="23.25" customHeight="1">
      <c r="A172" s="2">
        <f t="array" ref="A172">IFERROR(INDEX('Bank Schedule'!A:A, SMALL(IF('Bank Schedule'!$K$2:$K$817="Vacant", ROW('Bank Schedule'!$K$2:$K$817)), ROW(169:169))), "")</f>
        <v/>
      </c>
      <c r="B172" s="11">
        <f t="array" ref="B172">IFERROR(INDEX('Bank Schedule'!B:B, SMALL(IF('Bank Schedule'!$K$2:$K$817="Vacant", ROW('Bank Schedule'!$K$2:$K$817)), ROW(169:169))), "")</f>
        <v/>
      </c>
      <c r="C172" s="11">
        <f t="array" ref="C172">IFERROR(INDEX('Bank Schedule'!C:C, SMALL(IF('Bank Schedule'!$K$2:$K$817="Vacant", ROW('Bank Schedule'!$K$2:$K$817)), ROW(169:169))), "")</f>
        <v/>
      </c>
      <c r="D172" s="2">
        <f t="array" ref="D172">IFERROR(INDEX('Bank Schedule'!D:D, SMALL(IF('Bank Schedule'!$K$2:$K$817="Vacant", ROW('Bank Schedule'!$K$2:$K$817)), ROW(169:169))), "")</f>
        <v/>
      </c>
      <c r="E172" s="4" t="n"/>
      <c r="F172" s="4" t="n"/>
      <c r="G172" s="14" t="n"/>
      <c r="H172" s="7" t="n"/>
      <c r="I172" s="7" t="n"/>
      <c r="J172" s="14" t="n"/>
      <c r="K172" s="25" t="n"/>
      <c r="L172" s="8" t="n"/>
      <c r="M172" s="9" t="n"/>
      <c r="N172" s="9" t="n"/>
      <c r="O172" s="9" t="n"/>
      <c r="P172" s="9" t="n"/>
      <c r="Q172" s="9" t="n"/>
      <c r="R172" s="10" t="n"/>
      <c r="S172" s="10" t="n"/>
      <c r="T172" s="10" t="n"/>
      <c r="U172" s="106" t="n"/>
      <c r="V172" s="10" t="n"/>
      <c r="W172" s="10" t="n"/>
      <c r="X172" s="10" t="n"/>
      <c r="Y172" s="10" t="n"/>
      <c r="Z172" s="60" t="n"/>
      <c r="AA172" s="53" t="n"/>
      <c r="AB172" s="53" t="n"/>
      <c r="AD172" s="4" t="n"/>
      <c r="AF172" s="302">
        <f>SUM(AF166:AF171)</f>
        <v/>
      </c>
      <c r="AG172" s="274" t="inlineStr">
        <is>
          <t>Total</t>
        </is>
      </c>
      <c r="AH172" s="325">
        <f>SUM(AH166:AH171)</f>
        <v/>
      </c>
      <c r="AI172" s="242" t="n"/>
    </row>
    <row r="173" ht="23.25" customHeight="1">
      <c r="A173" s="2">
        <f t="array" ref="A173">IFERROR(INDEX('Bank Schedule'!A:A, SMALL(IF('Bank Schedule'!$K$2:$K$817="Vacant", ROW('Bank Schedule'!$K$2:$K$817)), ROW(170:170))), "")</f>
        <v/>
      </c>
      <c r="B173" s="11">
        <f t="array" ref="B173">IFERROR(INDEX('Bank Schedule'!B:B, SMALL(IF('Bank Schedule'!$K$2:$K$817="Vacant", ROW('Bank Schedule'!$K$2:$K$817)), ROW(170:170))), "")</f>
        <v/>
      </c>
      <c r="C173" s="11">
        <f t="array" ref="C173">IFERROR(INDEX('Bank Schedule'!C:C, SMALL(IF('Bank Schedule'!$K$2:$K$817="Vacant", ROW('Bank Schedule'!$K$2:$K$817)), ROW(170:170))), "")</f>
        <v/>
      </c>
      <c r="D173" s="2">
        <f t="array" ref="D173">IFERROR(INDEX('Bank Schedule'!D:D, SMALL(IF('Bank Schedule'!$K$2:$K$817="Vacant", ROW('Bank Schedule'!$K$2:$K$817)), ROW(170:170))), "")</f>
        <v/>
      </c>
      <c r="E173" s="4" t="n"/>
      <c r="F173" s="4" t="n"/>
      <c r="G173" s="14" t="n"/>
      <c r="H173" s="7" t="n"/>
      <c r="I173" s="7" t="n"/>
      <c r="J173" s="14" t="n"/>
      <c r="K173" s="25" t="n"/>
      <c r="L173" s="8" t="n"/>
      <c r="M173" s="9" t="n"/>
      <c r="N173" s="9" t="n"/>
      <c r="O173" s="9" t="n"/>
      <c r="P173" s="9" t="n"/>
      <c r="Q173" s="9" t="n"/>
      <c r="R173" s="10" t="n"/>
      <c r="S173" s="10" t="n"/>
      <c r="T173" s="10" t="n"/>
      <c r="U173" s="106" t="n"/>
      <c r="V173" s="10" t="n"/>
      <c r="W173" s="10" t="n"/>
      <c r="X173" s="10" t="n"/>
      <c r="Y173" s="10" t="n"/>
      <c r="Z173" s="60" t="n"/>
      <c r="AA173" s="53" t="n"/>
      <c r="AB173" s="53" t="n"/>
      <c r="AD173" s="4" t="n"/>
    </row>
    <row r="174" ht="23.25" customHeight="1">
      <c r="A174" s="2">
        <f t="array" ref="A174">IFERROR(INDEX('Bank Schedule'!A:A, SMALL(IF('Bank Schedule'!$K$2:$K$817="Vacant", ROW('Bank Schedule'!$K$2:$K$817)), ROW(171:171))), "")</f>
        <v/>
      </c>
      <c r="B174" s="11">
        <f t="array" ref="B174">IFERROR(INDEX('Bank Schedule'!B:B, SMALL(IF('Bank Schedule'!$K$2:$K$817="Vacant", ROW('Bank Schedule'!$K$2:$K$817)), ROW(171:171))), "")</f>
        <v/>
      </c>
      <c r="C174" s="11">
        <f t="array" ref="C174">IFERROR(INDEX('Bank Schedule'!C:C, SMALL(IF('Bank Schedule'!$K$2:$K$817="Vacant", ROW('Bank Schedule'!$K$2:$K$817)), ROW(171:171))), "")</f>
        <v/>
      </c>
      <c r="D174" s="2">
        <f t="array" ref="D174">IFERROR(INDEX('Bank Schedule'!D:D, SMALL(IF('Bank Schedule'!$K$2:$K$817="Vacant", ROW('Bank Schedule'!$K$2:$K$817)), ROW(171:171))), "")</f>
        <v/>
      </c>
      <c r="E174" s="4" t="n"/>
      <c r="F174" s="4" t="n"/>
      <c r="G174" s="14" t="n"/>
      <c r="H174" s="7" t="n"/>
      <c r="I174" s="7" t="n"/>
      <c r="J174" s="14" t="n"/>
      <c r="K174" s="25" t="n"/>
      <c r="L174" s="8" t="n"/>
      <c r="M174" s="9" t="n"/>
      <c r="N174" s="9" t="n"/>
      <c r="O174" s="9" t="n"/>
      <c r="P174" s="9" t="n"/>
      <c r="Q174" s="9" t="n"/>
      <c r="R174" s="10" t="n"/>
      <c r="S174" s="10" t="n"/>
      <c r="T174" s="10" t="n"/>
      <c r="U174" s="106" t="n"/>
      <c r="V174" s="10" t="n"/>
      <c r="W174" s="10" t="n"/>
      <c r="X174" s="10" t="n"/>
      <c r="Y174" s="10" t="n"/>
      <c r="Z174" s="60" t="n"/>
      <c r="AA174" s="53" t="n"/>
      <c r="AB174" s="53" t="n"/>
      <c r="AC174" s="14" t="n"/>
      <c r="AD174" s="4" t="n"/>
    </row>
    <row r="175" ht="23.25" customHeight="1">
      <c r="A175" s="2">
        <f t="array" ref="A175">IFERROR(INDEX('Bank Schedule'!A:A, SMALL(IF('Bank Schedule'!$K$2:$K$817="Vacant", ROW('Bank Schedule'!$K$2:$K$817)), ROW(172:172))), "")</f>
        <v/>
      </c>
      <c r="B175" s="11">
        <f t="array" ref="B175">IFERROR(INDEX('Bank Schedule'!B:B, SMALL(IF('Bank Schedule'!$K$2:$K$817="Vacant", ROW('Bank Schedule'!$K$2:$K$817)), ROW(172:172))), "")</f>
        <v/>
      </c>
      <c r="C175" s="11">
        <f t="array" ref="C175">IFERROR(INDEX('Bank Schedule'!C:C, SMALL(IF('Bank Schedule'!$K$2:$K$817="Vacant", ROW('Bank Schedule'!$K$2:$K$817)), ROW(172:172))), "")</f>
        <v/>
      </c>
      <c r="D175" s="2">
        <f t="array" ref="D175">IFERROR(INDEX('Bank Schedule'!D:D, SMALL(IF('Bank Schedule'!$K$2:$K$817="Vacant", ROW('Bank Schedule'!$K$2:$K$817)), ROW(172:172))), "")</f>
        <v/>
      </c>
      <c r="E175" s="4" t="n"/>
      <c r="F175" s="4" t="n"/>
      <c r="G175" s="14" t="n"/>
      <c r="H175" s="7" t="n"/>
      <c r="I175" s="7" t="n"/>
      <c r="J175" s="14" t="n"/>
      <c r="K175" s="25" t="n"/>
      <c r="L175" s="8" t="n"/>
      <c r="M175" s="9" t="n"/>
      <c r="N175" s="9" t="n"/>
      <c r="O175" s="9" t="n"/>
      <c r="P175" s="9" t="n"/>
      <c r="Q175" s="9" t="n"/>
      <c r="R175" s="10" t="n"/>
      <c r="S175" s="10" t="n"/>
      <c r="T175" s="10" t="n"/>
      <c r="U175" s="106" t="n"/>
      <c r="V175" s="10" t="n"/>
      <c r="W175" s="10" t="n"/>
      <c r="X175" s="10" t="n"/>
      <c r="Y175" s="10" t="n"/>
      <c r="Z175" s="60" t="n"/>
      <c r="AA175" s="53" t="n"/>
      <c r="AB175" s="53" t="n"/>
      <c r="AC175" s="14" t="n"/>
      <c r="AD175" s="4" t="n"/>
    </row>
    <row r="176" ht="23.25" customHeight="1">
      <c r="A176" s="2">
        <f t="array" ref="A176">IFERROR(INDEX('Bank Schedule'!A:A, SMALL(IF('Bank Schedule'!$K$2:$K$817="Vacant", ROW('Bank Schedule'!$K$2:$K$817)), ROW(173:173))), "")</f>
        <v/>
      </c>
      <c r="B176" s="11">
        <f t="array" ref="B176">IFERROR(INDEX('Bank Schedule'!B:B, SMALL(IF('Bank Schedule'!$K$2:$K$817="Vacant", ROW('Bank Schedule'!$K$2:$K$817)), ROW(173:173))), "")</f>
        <v/>
      </c>
      <c r="C176" s="11">
        <f t="array" ref="C176">IFERROR(INDEX('Bank Schedule'!C:C, SMALL(IF('Bank Schedule'!$K$2:$K$817="Vacant", ROW('Bank Schedule'!$K$2:$K$817)), ROW(173:173))), "")</f>
        <v/>
      </c>
      <c r="D176" s="2">
        <f t="array" ref="D176">IFERROR(INDEX('Bank Schedule'!D:D, SMALL(IF('Bank Schedule'!$K$2:$K$817="Vacant", ROW('Bank Schedule'!$K$2:$K$817)), ROW(173:173))), "")</f>
        <v/>
      </c>
      <c r="E176" s="4" t="n"/>
      <c r="F176" s="4" t="n"/>
      <c r="G176" s="14" t="n"/>
      <c r="H176" s="7" t="n"/>
      <c r="I176" s="7" t="n"/>
      <c r="J176" s="14" t="n"/>
      <c r="K176" s="25" t="n"/>
      <c r="L176" s="8" t="n"/>
      <c r="M176" s="9" t="n"/>
      <c r="N176" s="9" t="n"/>
      <c r="O176" s="9" t="n"/>
      <c r="P176" s="9" t="n"/>
      <c r="Q176" s="9" t="n"/>
      <c r="R176" s="10" t="n"/>
      <c r="S176" s="10" t="n"/>
      <c r="T176" s="10" t="n"/>
      <c r="U176" s="106" t="n"/>
      <c r="V176" s="10" t="n"/>
      <c r="W176" s="10" t="n"/>
      <c r="X176" s="10" t="n"/>
      <c r="Y176" s="10" t="n"/>
      <c r="Z176" s="60" t="n"/>
      <c r="AA176" s="53" t="n"/>
      <c r="AB176" s="53" t="n"/>
      <c r="AC176" s="14" t="n"/>
      <c r="AD176" s="4" t="n"/>
    </row>
    <row r="177" ht="23.25" customHeight="1">
      <c r="A177" s="2">
        <f t="array" ref="A177">IFERROR(INDEX('Bank Schedule'!A:A, SMALL(IF('Bank Schedule'!$K$2:$K$817="Vacant", ROW('Bank Schedule'!$K$2:$K$817)), ROW(174:174))), "")</f>
        <v/>
      </c>
      <c r="B177" s="11">
        <f t="array" ref="B177">IFERROR(INDEX('Bank Schedule'!B:B, SMALL(IF('Bank Schedule'!$K$2:$K$817="Vacant", ROW('Bank Schedule'!$K$2:$K$817)), ROW(174:174))), "")</f>
        <v/>
      </c>
      <c r="C177" s="11">
        <f t="array" ref="C177">IFERROR(INDEX('Bank Schedule'!C:C, SMALL(IF('Bank Schedule'!$K$2:$K$817="Vacant", ROW('Bank Schedule'!$K$2:$K$817)), ROW(174:174))), "")</f>
        <v/>
      </c>
      <c r="D177" s="2">
        <f t="array" ref="D177">IFERROR(INDEX('Bank Schedule'!D:D, SMALL(IF('Bank Schedule'!$K$2:$K$817="Vacant", ROW('Bank Schedule'!$K$2:$K$817)), ROW(174:174))), "")</f>
        <v/>
      </c>
      <c r="E177" s="4" t="n"/>
      <c r="F177" s="4" t="n"/>
      <c r="G177" s="14" t="n"/>
      <c r="H177" s="7" t="n"/>
      <c r="I177" s="7" t="n"/>
      <c r="J177" s="14" t="n"/>
      <c r="K177" s="25" t="n"/>
      <c r="L177" s="8" t="n"/>
      <c r="M177" s="9" t="n"/>
      <c r="N177" s="9" t="n"/>
      <c r="O177" s="9" t="n"/>
      <c r="P177" s="9" t="n"/>
      <c r="Q177" s="9" t="n"/>
      <c r="R177" s="10" t="n"/>
      <c r="S177" s="10" t="n"/>
      <c r="T177" s="10" t="n"/>
      <c r="U177" s="106" t="n"/>
      <c r="V177" s="10" t="n"/>
      <c r="W177" s="10" t="n"/>
      <c r="X177" s="10" t="n"/>
      <c r="Y177" s="10" t="n"/>
      <c r="Z177" s="60" t="n"/>
      <c r="AA177" s="53" t="n"/>
      <c r="AB177" s="53" t="n"/>
      <c r="AC177" s="14" t="n"/>
      <c r="AD177" s="4" t="n"/>
    </row>
    <row r="178" ht="23.25" customHeight="1">
      <c r="A178" s="2">
        <f t="array" ref="A178">IFERROR(INDEX('Bank Schedule'!A:A, SMALL(IF('Bank Schedule'!$K$2:$K$817="Vacant", ROW('Bank Schedule'!$K$2:$K$817)), ROW(175:175))), "")</f>
        <v/>
      </c>
      <c r="B178" s="11">
        <f t="array" ref="B178">IFERROR(INDEX('Bank Schedule'!B:B, SMALL(IF('Bank Schedule'!$K$2:$K$817="Vacant", ROW('Bank Schedule'!$K$2:$K$817)), ROW(175:175))), "")</f>
        <v/>
      </c>
      <c r="C178" s="11">
        <f t="array" ref="C178">IFERROR(INDEX('Bank Schedule'!C:C, SMALL(IF('Bank Schedule'!$K$2:$K$817="Vacant", ROW('Bank Schedule'!$K$2:$K$817)), ROW(175:175))), "")</f>
        <v/>
      </c>
      <c r="D178" s="2">
        <f t="array" ref="D178">IFERROR(INDEX('Bank Schedule'!D:D, SMALL(IF('Bank Schedule'!$K$2:$K$817="Vacant", ROW('Bank Schedule'!$K$2:$K$817)), ROW(175:175))), "")</f>
        <v/>
      </c>
      <c r="E178" s="4" t="n"/>
      <c r="F178" s="4" t="n"/>
      <c r="G178" s="14" t="n"/>
      <c r="H178" s="7" t="n"/>
      <c r="I178" s="7" t="n"/>
      <c r="J178" s="14" t="n"/>
      <c r="K178" s="25" t="n"/>
      <c r="L178" s="8" t="n"/>
      <c r="M178" s="9" t="n"/>
      <c r="N178" s="9" t="n"/>
      <c r="O178" s="9" t="n"/>
      <c r="P178" s="9" t="n"/>
      <c r="Q178" s="9" t="n"/>
      <c r="R178" s="10" t="n"/>
      <c r="S178" s="10" t="n"/>
      <c r="T178" s="10" t="n"/>
      <c r="U178" s="106" t="n"/>
      <c r="V178" s="10" t="n"/>
      <c r="W178" s="10" t="n"/>
      <c r="X178" s="10" t="n"/>
      <c r="Y178" s="10" t="n"/>
      <c r="Z178" s="60" t="n"/>
      <c r="AA178" s="53" t="n"/>
      <c r="AB178" s="53" t="n"/>
      <c r="AC178" s="14" t="n"/>
      <c r="AD178" s="4" t="n"/>
    </row>
    <row r="179" ht="23.25" customHeight="1">
      <c r="A179" s="2">
        <f t="array" ref="A179">IFERROR(INDEX('Bank Schedule'!A:A, SMALL(IF('Bank Schedule'!$K$2:$K$817="Vacant", ROW('Bank Schedule'!$K$2:$K$817)), ROW(176:176))), "")</f>
        <v/>
      </c>
      <c r="B179" s="11">
        <f t="array" ref="B179">IFERROR(INDEX('Bank Schedule'!B:B, SMALL(IF('Bank Schedule'!$K$2:$K$817="Vacant", ROW('Bank Schedule'!$K$2:$K$817)), ROW(176:176))), "")</f>
        <v/>
      </c>
      <c r="C179" s="11">
        <f t="array" ref="C179">IFERROR(INDEX('Bank Schedule'!C:C, SMALL(IF('Bank Schedule'!$K$2:$K$817="Vacant", ROW('Bank Schedule'!$K$2:$K$817)), ROW(176:176))), "")</f>
        <v/>
      </c>
      <c r="D179" s="2">
        <f t="array" ref="D179">IFERROR(INDEX('Bank Schedule'!D:D, SMALL(IF('Bank Schedule'!$K$2:$K$817="Vacant", ROW('Bank Schedule'!$K$2:$K$817)), ROW(176:176))), "")</f>
        <v/>
      </c>
      <c r="E179" s="4" t="n"/>
      <c r="F179" s="4" t="n"/>
      <c r="G179" s="14" t="n"/>
      <c r="H179" s="7" t="n"/>
      <c r="I179" s="7" t="n"/>
      <c r="J179" s="14" t="n"/>
      <c r="K179" s="25" t="n"/>
      <c r="L179" s="8" t="n"/>
      <c r="M179" s="9" t="n"/>
      <c r="N179" s="9" t="n"/>
      <c r="O179" s="9" t="n"/>
      <c r="P179" s="9" t="n"/>
      <c r="Q179" s="9" t="n"/>
      <c r="R179" s="10" t="n"/>
      <c r="S179" s="10" t="n"/>
      <c r="T179" s="10" t="n"/>
      <c r="U179" s="106" t="n"/>
      <c r="V179" s="10" t="n"/>
      <c r="W179" s="10" t="n"/>
      <c r="X179" s="10" t="n"/>
      <c r="Y179" s="10" t="n"/>
      <c r="Z179" s="60" t="n"/>
      <c r="AA179" s="53" t="n"/>
      <c r="AB179" s="53" t="n"/>
      <c r="AC179" s="14" t="n"/>
      <c r="AD179" s="4" t="n"/>
    </row>
    <row r="180" ht="23.25" customHeight="1">
      <c r="A180" s="2">
        <f t="array" ref="A180">IFERROR(INDEX('Bank Schedule'!A:A, SMALL(IF('Bank Schedule'!$K$2:$K$817="Vacant", ROW('Bank Schedule'!$K$2:$K$817)), ROW(177:177))), "")</f>
        <v/>
      </c>
      <c r="B180" s="11">
        <f t="array" ref="B180">IFERROR(INDEX('Bank Schedule'!B:B, SMALL(IF('Bank Schedule'!$K$2:$K$817="Vacant", ROW('Bank Schedule'!$K$2:$K$817)), ROW(177:177))), "")</f>
        <v/>
      </c>
      <c r="C180" s="11">
        <f t="array" ref="C180">IFERROR(INDEX('Bank Schedule'!C:C, SMALL(IF('Bank Schedule'!$K$2:$K$817="Vacant", ROW('Bank Schedule'!$K$2:$K$817)), ROW(177:177))), "")</f>
        <v/>
      </c>
      <c r="D180" s="2">
        <f t="array" ref="D180">IFERROR(INDEX('Bank Schedule'!D:D, SMALL(IF('Bank Schedule'!$K$2:$K$817="Vacant", ROW('Bank Schedule'!$K$2:$K$817)), ROW(177:177))), "")</f>
        <v/>
      </c>
      <c r="E180" s="4" t="n"/>
      <c r="F180" s="4" t="n"/>
      <c r="G180" s="14" t="n"/>
      <c r="H180" s="7" t="n"/>
      <c r="I180" s="7" t="n"/>
      <c r="J180" s="14" t="n"/>
      <c r="K180" s="25" t="n"/>
      <c r="L180" s="8" t="n"/>
      <c r="M180" s="9" t="n"/>
      <c r="N180" s="9" t="n"/>
      <c r="O180" s="9" t="n"/>
      <c r="P180" s="9" t="n"/>
      <c r="Q180" s="9" t="n"/>
      <c r="R180" s="10" t="n"/>
      <c r="S180" s="10" t="n"/>
      <c r="T180" s="10" t="n"/>
      <c r="U180" s="106" t="n"/>
      <c r="V180" s="10" t="n"/>
      <c r="W180" s="10" t="n"/>
      <c r="X180" s="10" t="n"/>
      <c r="Y180" s="10" t="n"/>
      <c r="Z180" s="60" t="n"/>
      <c r="AA180" s="53" t="n"/>
      <c r="AB180" s="53" t="n"/>
      <c r="AC180" s="14" t="n"/>
      <c r="AD180" s="4" t="n"/>
      <c r="AI180" s="242" t="n"/>
      <c r="AJ180" s="242" t="n"/>
    </row>
    <row r="181" ht="23.25" customHeight="1">
      <c r="A181" s="2">
        <f t="array" ref="A181">IFERROR(INDEX('Bank Schedule'!A:A, SMALL(IF('Bank Schedule'!$K$2:$K$817="Vacant", ROW('Bank Schedule'!$K$2:$K$817)), ROW(178:178))), "")</f>
        <v/>
      </c>
      <c r="B181" s="11">
        <f t="array" ref="B181">IFERROR(INDEX('Bank Schedule'!B:B, SMALL(IF('Bank Schedule'!$K$2:$K$817="Vacant", ROW('Bank Schedule'!$K$2:$K$817)), ROW(178:178))), "")</f>
        <v/>
      </c>
      <c r="C181" s="11">
        <f t="array" ref="C181">IFERROR(INDEX('Bank Schedule'!C:C, SMALL(IF('Bank Schedule'!$K$2:$K$817="Vacant", ROW('Bank Schedule'!$K$2:$K$817)), ROW(178:178))), "")</f>
        <v/>
      </c>
      <c r="D181" s="2">
        <f t="array" ref="D181">IFERROR(INDEX('Bank Schedule'!D:D, SMALL(IF('Bank Schedule'!$K$2:$K$817="Vacant", ROW('Bank Schedule'!$K$2:$K$817)), ROW(178:178))), "")</f>
        <v/>
      </c>
      <c r="E181" s="4">
        <f t="array" ref="E181">IFERROR(INDEX('Bank Schedule'!E:E, SMALL(IF('Bank Schedule'!$K$2:$K$817="Vacant", ROW('Bank Schedule'!$K$2:$K$817)), ROW(178:178))), "")</f>
        <v/>
      </c>
      <c r="F181" s="4">
        <f t="array" ref="F181">IFERROR(INDEX('Bank Schedule'!F:F, SMALL(IF('Bank Schedule'!$K$2:$K$817="Vacant", ROW('Bank Schedule'!$K$2:$K$817)), ROW(178:178))), "")</f>
        <v/>
      </c>
      <c r="G181" s="14">
        <f t="array" ref="G181">IFERROR(INDEX('Bank Schedule'!G:G, SMALL(IF('Bank Schedule'!$K$2:$K$817="Vacant", ROW('Bank Schedule'!$K$2:$K$817)), ROW(178:178))), "")</f>
        <v/>
      </c>
      <c r="H181" s="7">
        <f t="array" ref="H181">IFERROR(INDEX('Bank Schedule'!H:H, SMALL(IF('Bank Schedule'!$K$2:$K$817="Vacant", ROW('Bank Schedule'!$K$2:$K$817)), ROW(178:178))), "")</f>
        <v/>
      </c>
      <c r="I181" s="7">
        <f t="array" ref="I181">IFERROR(INDEX('Bank Schedule'!I:I, SMALL(IF('Bank Schedule'!$K$2:$K$817="Vacant", ROW('Bank Schedule'!$K$2:$K$817)), ROW(178:178))), "")</f>
        <v/>
      </c>
      <c r="J181" s="14">
        <f t="array" ref="J181">IFERROR(INDEX('Bank Schedule'!K:K, SMALL(IF('Bank Schedule'!$K$2:$K$817="Vacant", ROW('Bank Schedule'!$K$2:$K$817)), ROW(178:178))), "")</f>
        <v/>
      </c>
      <c r="K181" s="25">
        <f t="array" ref="K181">IFERROR(INDEX('Bank Schedule'!#REF!, SMALL(IF('Bank Schedule'!$K$2:$K$817="Vacant", ROW('Bank Schedule'!$K$2:$K$817)), ROW(178:178))), "")</f>
        <v/>
      </c>
      <c r="L181" s="8">
        <f t="array" ref="L181">IFERROR(INDEX('Bank Schedule'!L:L, SMALL(IF('Bank Schedule'!$K$2:$K$817="Vacant", ROW('Bank Schedule'!$K$2:$K$817)), ROW(178:178))), "")</f>
        <v/>
      </c>
      <c r="M181" s="9">
        <f t="array" ref="M181">IFERROR(INDEX('Bank Schedule'!M:M, SMALL(IF('Bank Schedule'!$K$2:$K$817="Vacant", ROW('Bank Schedule'!$K$2:$K$817)), ROW(178:178))), "")</f>
        <v/>
      </c>
      <c r="N181" s="9">
        <f t="array" ref="N181">IFERROR(INDEX('Bank Schedule'!N:N, SMALL(IF('Bank Schedule'!$K$2:$K$817="Vacant", ROW('Bank Schedule'!$K$2:$K$817)), ROW(178:178))), "")</f>
        <v/>
      </c>
      <c r="O181" s="9">
        <f t="array" ref="O181">IFERROR(INDEX('Bank Schedule'!O:O, SMALL(IF('Bank Schedule'!$K$2:$K$817="Vacant", ROW('Bank Schedule'!$K$2:$K$817)), ROW(178:178))), "")</f>
        <v/>
      </c>
      <c r="P181" s="9">
        <f t="array" ref="P181">IFERROR(INDEX('Bank Schedule'!P:P, SMALL(IF('Bank Schedule'!$K$2:$K$817="Vacant", ROW('Bank Schedule'!$K$2:$K$817)), ROW(178:178))), "")</f>
        <v/>
      </c>
      <c r="Q181" s="9">
        <f t="array" ref="Q181">IFERROR(INDEX('Bank Schedule'!#REF!, SMALL(IF('Bank Schedule'!$K$2:$K$817="Vacant", ROW('Bank Schedule'!$K$2:$K$817)), ROW(178:178))), "")</f>
        <v/>
      </c>
      <c r="R181" s="10">
        <f t="array" ref="R181">IFERROR(INDEX('Bank Schedule'!Q:Q, SMALL(IF('Bank Schedule'!$K$2:$K$817="Vacant", ROW('Bank Schedule'!$K$2:$K$817)), ROW(178:178))), "")</f>
        <v/>
      </c>
      <c r="S181" s="10">
        <f t="array" ref="S181">IFERROR(INDEX('Bank Schedule'!R:R, SMALL(IF('Bank Schedule'!$K$2:$K$817="Vacant", ROW('Bank Schedule'!$K$2:$K$817)), ROW(178:178))), "")</f>
        <v/>
      </c>
      <c r="T181" s="10">
        <f t="array" ref="T181">IFERROR(INDEX('Bank Schedule'!S:S, SMALL(IF('Bank Schedule'!$K$2:$K$817="Vacant", ROW('Bank Schedule'!$K$2:$K$817)), ROW(178:178))), "")</f>
        <v/>
      </c>
      <c r="U181" s="106">
        <f t="array" ref="U181">IFERROR(INDEX('Bank Schedule'!#REF!, SMALL(IF('Bank Schedule'!$K$2:$K$817="Vacant", ROW('Bank Schedule'!$K$2:$K$817)), ROW(178:178))), "")</f>
        <v/>
      </c>
      <c r="V181" s="10">
        <f t="array" ref="V181">IFERROR(INDEX('Bank Schedule'!#REF!, SMALL(IF('Bank Schedule'!$K$2:$K$817="Vacant", ROW('Bank Schedule'!$K$2:$K$817)), ROW(178:178))), "")</f>
        <v/>
      </c>
      <c r="W181" s="10">
        <f t="array" ref="W181">IFERROR(INDEX('Bank Schedule'!#REF!, SMALL(IF('Bank Schedule'!$K$2:$K$817="Vacant", ROW('Bank Schedule'!$K$2:$K$817)), ROW(178:178))), "")</f>
        <v/>
      </c>
      <c r="X181" s="10">
        <f t="array" ref="X181">IFERROR(INDEX('Bank Schedule'!V:V, SMALL(IF('Bank Schedule'!$K$2:$K$817="Vacant", ROW('Bank Schedule'!$K$2:$K$817)), ROW(178:178))), "")</f>
        <v/>
      </c>
      <c r="Y181" s="10">
        <f t="array" ref="Y181">IFERROR(INDEX('Bank Schedule'!W:W, SMALL(IF('Bank Schedule'!$K$2:$K$817="Vacant", ROW('Bank Schedule'!$K$2:$K$817)), ROW(178:178))), "")</f>
        <v/>
      </c>
      <c r="Z181" s="60">
        <f t="array" ref="Z181">IFERROR(INDEX('Bank Schedule'!Z:Z, SMALL(IF('Bank Schedule'!$K$2:$K$817="Vacant", ROW('Bank Schedule'!$K$2:$K$817)), ROW(178:178))), "")</f>
        <v/>
      </c>
      <c r="AA181" s="53">
        <f t="array" ref="AA181">IFERROR(INDEX('Bank Schedule'!AA:AA, SMALL(IF('Bank Schedule'!$K$2:$K$817="Vacant", ROW('Bank Schedule'!$K$2:$K$817)), ROW(178:178))), "")</f>
        <v/>
      </c>
      <c r="AB181" s="14">
        <f t="array" ref="AB181">IFERROR(INDEX('Bank Schedule'!AB:AB, SMALL(IF('Bank Schedule'!$K$2:$K$817="Vacant", ROW('Bank Schedule'!$K$2:$K$817)), ROW(178:178))), "")</f>
        <v/>
      </c>
      <c r="AC181" s="4">
        <f t="array" ref="AC181">IFERROR(INDEX('Bank Schedule'!AC:AC, SMALL(IF('Bank Schedule'!$K$2:$K$817="Vacant", ROW('Bank Schedule'!$K$2:$K$817)), ROW(178:178))), "")</f>
        <v/>
      </c>
    </row>
    <row r="182" ht="23.25" customHeight="1">
      <c r="A182" s="2">
        <f t="array" ref="A182">IFERROR(INDEX('Bank Schedule'!A:A, SMALL(IF('Bank Schedule'!$K$2:$K$817="Vacant", ROW('Bank Schedule'!$K$2:$K$817)), ROW(179:179))), "")</f>
        <v/>
      </c>
      <c r="B182" s="11">
        <f t="array" ref="B182">IFERROR(INDEX('Bank Schedule'!B:B, SMALL(IF('Bank Schedule'!$K$2:$K$817="Vacant", ROW('Bank Schedule'!$K$2:$K$817)), ROW(179:179))), "")</f>
        <v/>
      </c>
      <c r="C182" s="11">
        <f t="array" ref="C182">IFERROR(INDEX('Bank Schedule'!C:C, SMALL(IF('Bank Schedule'!$K$2:$K$817="Vacant", ROW('Bank Schedule'!$K$2:$K$817)), ROW(179:179))), "")</f>
        <v/>
      </c>
      <c r="D182" s="2">
        <f t="array" ref="D182">IFERROR(INDEX('Bank Schedule'!D:D, SMALL(IF('Bank Schedule'!$K$2:$K$817="Vacant", ROW('Bank Schedule'!$K$2:$K$817)), ROW(179:179))), "")</f>
        <v/>
      </c>
      <c r="E182" s="4">
        <f t="array" ref="E182">IFERROR(INDEX('Bank Schedule'!E:E, SMALL(IF('Bank Schedule'!$K$2:$K$817="Vacant", ROW('Bank Schedule'!$K$2:$K$817)), ROW(179:179))), "")</f>
        <v/>
      </c>
      <c r="F182" s="4">
        <f t="array" ref="F182">IFERROR(INDEX('Bank Schedule'!F:F, SMALL(IF('Bank Schedule'!$K$2:$K$817="Vacant", ROW('Bank Schedule'!$K$2:$K$817)), ROW(179:179))), "")</f>
        <v/>
      </c>
      <c r="G182" s="14">
        <f t="array" ref="G182">IFERROR(INDEX('Bank Schedule'!G:G, SMALL(IF('Bank Schedule'!$K$2:$K$817="Vacant", ROW('Bank Schedule'!$K$2:$K$817)), ROW(179:179))), "")</f>
        <v/>
      </c>
      <c r="H182" s="7">
        <f t="array" ref="H182">IFERROR(INDEX('Bank Schedule'!H:H, SMALL(IF('Bank Schedule'!$K$2:$K$817="Vacant", ROW('Bank Schedule'!$K$2:$K$817)), ROW(179:179))), "")</f>
        <v/>
      </c>
      <c r="I182" s="7">
        <f t="array" ref="I182">IFERROR(INDEX('Bank Schedule'!I:I, SMALL(IF('Bank Schedule'!$K$2:$K$817="Vacant", ROW('Bank Schedule'!$K$2:$K$817)), ROW(179:179))), "")</f>
        <v/>
      </c>
      <c r="J182" s="14">
        <f t="array" ref="J182">IFERROR(INDEX('Bank Schedule'!K:K, SMALL(IF('Bank Schedule'!$K$2:$K$817="Vacant", ROW('Bank Schedule'!$K$2:$K$817)), ROW(179:179))), "")</f>
        <v/>
      </c>
      <c r="K182" s="25">
        <f t="array" ref="K182">IFERROR(INDEX('Bank Schedule'!#REF!, SMALL(IF('Bank Schedule'!$K$2:$K$817="Vacant", ROW('Bank Schedule'!$K$2:$K$817)), ROW(179:179))), "")</f>
        <v/>
      </c>
      <c r="L182" s="8">
        <f t="array" ref="L182">IFERROR(INDEX('Bank Schedule'!L:L, SMALL(IF('Bank Schedule'!$K$2:$K$817="Vacant", ROW('Bank Schedule'!$K$2:$K$817)), ROW(179:179))), "")</f>
        <v/>
      </c>
      <c r="M182" s="9">
        <f t="array" ref="M182">IFERROR(INDEX('Bank Schedule'!M:M, SMALL(IF('Bank Schedule'!$K$2:$K$817="Vacant", ROW('Bank Schedule'!$K$2:$K$817)), ROW(179:179))), "")</f>
        <v/>
      </c>
      <c r="N182" s="9">
        <f t="array" ref="N182">IFERROR(INDEX('Bank Schedule'!N:N, SMALL(IF('Bank Schedule'!$K$2:$K$817="Vacant", ROW('Bank Schedule'!$K$2:$K$817)), ROW(179:179))), "")</f>
        <v/>
      </c>
      <c r="O182" s="9">
        <f t="array" ref="O182">IFERROR(INDEX('Bank Schedule'!O:O, SMALL(IF('Bank Schedule'!$K$2:$K$817="Vacant", ROW('Bank Schedule'!$K$2:$K$817)), ROW(179:179))), "")</f>
        <v/>
      </c>
      <c r="P182" s="9">
        <f t="array" ref="P182">IFERROR(INDEX('Bank Schedule'!P:P, SMALL(IF('Bank Schedule'!$K$2:$K$817="Vacant", ROW('Bank Schedule'!$K$2:$K$817)), ROW(179:179))), "")</f>
        <v/>
      </c>
      <c r="Q182" s="9">
        <f t="array" ref="Q182">IFERROR(INDEX('Bank Schedule'!#REF!, SMALL(IF('Bank Schedule'!$K$2:$K$817="Vacant", ROW('Bank Schedule'!$K$2:$K$817)), ROW(179:179))), "")</f>
        <v/>
      </c>
      <c r="R182" s="10">
        <f t="array" ref="R182">IFERROR(INDEX('Bank Schedule'!Q:Q, SMALL(IF('Bank Schedule'!$K$2:$K$817="Vacant", ROW('Bank Schedule'!$K$2:$K$817)), ROW(179:179))), "")</f>
        <v/>
      </c>
      <c r="S182" s="10">
        <f t="array" ref="S182">IFERROR(INDEX('Bank Schedule'!R:R, SMALL(IF('Bank Schedule'!$K$2:$K$817="Vacant", ROW('Bank Schedule'!$K$2:$K$817)), ROW(179:179))), "")</f>
        <v/>
      </c>
      <c r="T182" s="10">
        <f t="array" ref="T182">IFERROR(INDEX('Bank Schedule'!S:S, SMALL(IF('Bank Schedule'!$K$2:$K$817="Vacant", ROW('Bank Schedule'!$K$2:$K$817)), ROW(179:179))), "")</f>
        <v/>
      </c>
      <c r="U182" s="106">
        <f t="array" ref="U182">IFERROR(INDEX('Bank Schedule'!#REF!, SMALL(IF('Bank Schedule'!$K$2:$K$817="Vacant", ROW('Bank Schedule'!$K$2:$K$817)), ROW(179:179))), "")</f>
        <v/>
      </c>
      <c r="V182" s="10">
        <f t="array" ref="V182">IFERROR(INDEX('Bank Schedule'!#REF!, SMALL(IF('Bank Schedule'!$K$2:$K$817="Vacant", ROW('Bank Schedule'!$K$2:$K$817)), ROW(179:179))), "")</f>
        <v/>
      </c>
      <c r="W182" s="10">
        <f t="array" ref="W182">IFERROR(INDEX('Bank Schedule'!#REF!, SMALL(IF('Bank Schedule'!$K$2:$K$817="Vacant", ROW('Bank Schedule'!$K$2:$K$817)), ROW(179:179))), "")</f>
        <v/>
      </c>
      <c r="X182" s="10">
        <f t="array" ref="X182">IFERROR(INDEX('Bank Schedule'!V:V, SMALL(IF('Bank Schedule'!$K$2:$K$817="Vacant", ROW('Bank Schedule'!$K$2:$K$817)), ROW(179:179))), "")</f>
        <v/>
      </c>
      <c r="Y182" s="10">
        <f t="array" ref="Y182">IFERROR(INDEX('Bank Schedule'!W:W, SMALL(IF('Bank Schedule'!$K$2:$K$817="Vacant", ROW('Bank Schedule'!$K$2:$K$817)), ROW(179:179))), "")</f>
        <v/>
      </c>
      <c r="Z182" s="60">
        <f t="array" ref="Z182">IFERROR(INDEX('Bank Schedule'!Z:Z, SMALL(IF('Bank Schedule'!$K$2:$K$817="Vacant", ROW('Bank Schedule'!$K$2:$K$817)), ROW(179:179))), "")</f>
        <v/>
      </c>
      <c r="AA182" s="53">
        <f t="array" ref="AA182">IFERROR(INDEX('Bank Schedule'!AA:AA, SMALL(IF('Bank Schedule'!$K$2:$K$817="Vacant", ROW('Bank Schedule'!$K$2:$K$817)), ROW(179:179))), "")</f>
        <v/>
      </c>
      <c r="AB182" s="14">
        <f t="array" ref="AB182">IFERROR(INDEX('Bank Schedule'!AB:AB, SMALL(IF('Bank Schedule'!$K$2:$K$817="Vacant", ROW('Bank Schedule'!$K$2:$K$817)), ROW(179:179))), "")</f>
        <v/>
      </c>
      <c r="AC182" s="4">
        <f t="array" ref="AC182">IFERROR(INDEX('Bank Schedule'!AC:AC, SMALL(IF('Bank Schedule'!$K$2:$K$817="Vacant", ROW('Bank Schedule'!$K$2:$K$817)), ROW(179:179))), "")</f>
        <v/>
      </c>
    </row>
    <row r="183" ht="23.25" customHeight="1">
      <c r="A183" s="2">
        <f t="array" ref="A183">IFERROR(INDEX('Bank Schedule'!A:A, SMALL(IF('Bank Schedule'!$K$2:$K$817="Vacant", ROW('Bank Schedule'!$K$2:$K$817)), ROW(180:180))), "")</f>
        <v/>
      </c>
      <c r="B183" s="11">
        <f t="array" ref="B183">IFERROR(INDEX('Bank Schedule'!B:B, SMALL(IF('Bank Schedule'!$K$2:$K$817="Vacant", ROW('Bank Schedule'!$K$2:$K$817)), ROW(180:180))), "")</f>
        <v/>
      </c>
      <c r="C183" s="11">
        <f t="array" ref="C183">IFERROR(INDEX('Bank Schedule'!C:C, SMALL(IF('Bank Schedule'!$K$2:$K$817="Vacant", ROW('Bank Schedule'!$K$2:$K$817)), ROW(180:180))), "")</f>
        <v/>
      </c>
      <c r="D183" s="2">
        <f t="array" ref="D183">IFERROR(INDEX('Bank Schedule'!D:D, SMALL(IF('Bank Schedule'!$K$2:$K$817="Vacant", ROW('Bank Schedule'!$K$2:$K$817)), ROW(180:180))), "")</f>
        <v/>
      </c>
      <c r="E183" s="4">
        <f t="array" ref="E183">IFERROR(INDEX('Bank Schedule'!E:E, SMALL(IF('Bank Schedule'!$K$2:$K$817="Vacant", ROW('Bank Schedule'!$K$2:$K$817)), ROW(180:180))), "")</f>
        <v/>
      </c>
      <c r="F183" s="4">
        <f t="array" ref="F183">IFERROR(INDEX('Bank Schedule'!F:F, SMALL(IF('Bank Schedule'!$K$2:$K$817="Vacant", ROW('Bank Schedule'!$K$2:$K$817)), ROW(180:180))), "")</f>
        <v/>
      </c>
      <c r="G183" s="14">
        <f t="array" ref="G183">IFERROR(INDEX('Bank Schedule'!G:G, SMALL(IF('Bank Schedule'!$K$2:$K$817="Vacant", ROW('Bank Schedule'!$K$2:$K$817)), ROW(180:180))), "")</f>
        <v/>
      </c>
      <c r="H183" s="7">
        <f t="array" ref="H183">IFERROR(INDEX('Bank Schedule'!H:H, SMALL(IF('Bank Schedule'!$K$2:$K$817="Vacant", ROW('Bank Schedule'!$K$2:$K$817)), ROW(180:180))), "")</f>
        <v/>
      </c>
      <c r="I183" s="7">
        <f t="array" ref="I183">IFERROR(INDEX('Bank Schedule'!I:I, SMALL(IF('Bank Schedule'!$K$2:$K$817="Vacant", ROW('Bank Schedule'!$K$2:$K$817)), ROW(180:180))), "")</f>
        <v/>
      </c>
      <c r="J183" s="14">
        <f t="array" ref="J183">IFERROR(INDEX('Bank Schedule'!K:K, SMALL(IF('Bank Schedule'!$K$2:$K$817="Vacant", ROW('Bank Schedule'!$K$2:$K$817)), ROW(180:180))), "")</f>
        <v/>
      </c>
      <c r="K183" s="25">
        <f t="array" ref="K183">IFERROR(INDEX('Bank Schedule'!#REF!, SMALL(IF('Bank Schedule'!$K$2:$K$817="Vacant", ROW('Bank Schedule'!$K$2:$K$817)), ROW(180:180))), "")</f>
        <v/>
      </c>
      <c r="L183" s="8">
        <f t="array" ref="L183">IFERROR(INDEX('Bank Schedule'!L:L, SMALL(IF('Bank Schedule'!$K$2:$K$817="Vacant", ROW('Bank Schedule'!$K$2:$K$817)), ROW(180:180))), "")</f>
        <v/>
      </c>
      <c r="M183" s="9">
        <f t="array" ref="M183">IFERROR(INDEX('Bank Schedule'!M:M, SMALL(IF('Bank Schedule'!$K$2:$K$817="Vacant", ROW('Bank Schedule'!$K$2:$K$817)), ROW(180:180))), "")</f>
        <v/>
      </c>
      <c r="N183" s="9">
        <f t="array" ref="N183">IFERROR(INDEX('Bank Schedule'!N:N, SMALL(IF('Bank Schedule'!$K$2:$K$817="Vacant", ROW('Bank Schedule'!$K$2:$K$817)), ROW(180:180))), "")</f>
        <v/>
      </c>
      <c r="O183" s="9">
        <f t="array" ref="O183">IFERROR(INDEX('Bank Schedule'!O:O, SMALL(IF('Bank Schedule'!$K$2:$K$817="Vacant", ROW('Bank Schedule'!$K$2:$K$817)), ROW(180:180))), "")</f>
        <v/>
      </c>
      <c r="P183" s="9">
        <f t="array" ref="P183">IFERROR(INDEX('Bank Schedule'!P:P, SMALL(IF('Bank Schedule'!$K$2:$K$817="Vacant", ROW('Bank Schedule'!$K$2:$K$817)), ROW(180:180))), "")</f>
        <v/>
      </c>
      <c r="Q183" s="9">
        <f t="array" ref="Q183">IFERROR(INDEX('Bank Schedule'!#REF!, SMALL(IF('Bank Schedule'!$K$2:$K$817="Vacant", ROW('Bank Schedule'!$K$2:$K$817)), ROW(180:180))), "")</f>
        <v/>
      </c>
      <c r="R183" s="10">
        <f t="array" ref="R183">IFERROR(INDEX('Bank Schedule'!Q:Q, SMALL(IF('Bank Schedule'!$K$2:$K$817="Vacant", ROW('Bank Schedule'!$K$2:$K$817)), ROW(180:180))), "")</f>
        <v/>
      </c>
      <c r="S183" s="10">
        <f t="array" ref="S183">IFERROR(INDEX('Bank Schedule'!R:R, SMALL(IF('Bank Schedule'!$K$2:$K$817="Vacant", ROW('Bank Schedule'!$K$2:$K$817)), ROW(180:180))), "")</f>
        <v/>
      </c>
      <c r="T183" s="10">
        <f t="array" ref="T183">IFERROR(INDEX('Bank Schedule'!S:S, SMALL(IF('Bank Schedule'!$K$2:$K$817="Vacant", ROW('Bank Schedule'!$K$2:$K$817)), ROW(180:180))), "")</f>
        <v/>
      </c>
      <c r="U183" s="106">
        <f t="array" ref="U183">IFERROR(INDEX('Bank Schedule'!#REF!, SMALL(IF('Bank Schedule'!$K$2:$K$817="Vacant", ROW('Bank Schedule'!$K$2:$K$817)), ROW(180:180))), "")</f>
        <v/>
      </c>
      <c r="V183" s="10">
        <f t="array" ref="V183">IFERROR(INDEX('Bank Schedule'!#REF!, SMALL(IF('Bank Schedule'!$K$2:$K$817="Vacant", ROW('Bank Schedule'!$K$2:$K$817)), ROW(180:180))), "")</f>
        <v/>
      </c>
      <c r="W183" s="10">
        <f t="array" ref="W183">IFERROR(INDEX('Bank Schedule'!#REF!, SMALL(IF('Bank Schedule'!$K$2:$K$817="Vacant", ROW('Bank Schedule'!$K$2:$K$817)), ROW(180:180))), "")</f>
        <v/>
      </c>
      <c r="X183" s="10">
        <f t="array" ref="X183">IFERROR(INDEX('Bank Schedule'!V:V, SMALL(IF('Bank Schedule'!$K$2:$K$817="Vacant", ROW('Bank Schedule'!$K$2:$K$817)), ROW(180:180))), "")</f>
        <v/>
      </c>
      <c r="Y183" s="10">
        <f t="array" ref="Y183">IFERROR(INDEX('Bank Schedule'!W:W, SMALL(IF('Bank Schedule'!$K$2:$K$817="Vacant", ROW('Bank Schedule'!$K$2:$K$817)), ROW(180:180))), "")</f>
        <v/>
      </c>
      <c r="Z183" s="60">
        <f t="array" ref="Z183">IFERROR(INDEX('Bank Schedule'!Z:Z, SMALL(IF('Bank Schedule'!$K$2:$K$817="Vacant", ROW('Bank Schedule'!$K$2:$K$817)), ROW(180:180))), "")</f>
        <v/>
      </c>
      <c r="AA183" s="53">
        <f t="array" ref="AA183">IFERROR(INDEX('Bank Schedule'!AA:AA, SMALL(IF('Bank Schedule'!$K$2:$K$817="Vacant", ROW('Bank Schedule'!$K$2:$K$817)), ROW(180:180))), "")</f>
        <v/>
      </c>
      <c r="AB183" s="14">
        <f t="array" ref="AB183">IFERROR(INDEX('Bank Schedule'!AB:AB, SMALL(IF('Bank Schedule'!$K$2:$K$817="Vacant", ROW('Bank Schedule'!$K$2:$K$817)), ROW(180:180))), "")</f>
        <v/>
      </c>
      <c r="AC183" s="4">
        <f t="array" ref="AC183">IFERROR(INDEX('Bank Schedule'!AC:AC, SMALL(IF('Bank Schedule'!$K$2:$K$817="Vacant", ROW('Bank Schedule'!$K$2:$K$817)), ROW(180:180))), "")</f>
        <v/>
      </c>
    </row>
    <row r="184" ht="23.25" customHeight="1">
      <c r="A184" s="2">
        <f t="array" ref="A184">IFERROR(INDEX('Bank Schedule'!A:A, SMALL(IF('Bank Schedule'!$K$2:$K$817="Vacant", ROW('Bank Schedule'!$K$2:$K$817)), ROW(181:181))), "")</f>
        <v/>
      </c>
      <c r="B184" s="11">
        <f t="array" ref="B184">IFERROR(INDEX('Bank Schedule'!B:B, SMALL(IF('Bank Schedule'!$K$2:$K$817="Vacant", ROW('Bank Schedule'!$K$2:$K$817)), ROW(181:181))), "")</f>
        <v/>
      </c>
      <c r="C184" s="11">
        <f t="array" ref="C184">IFERROR(INDEX('Bank Schedule'!C:C, SMALL(IF('Bank Schedule'!$K$2:$K$817="Vacant", ROW('Bank Schedule'!$K$2:$K$817)), ROW(181:181))), "")</f>
        <v/>
      </c>
      <c r="D184" s="2">
        <f t="array" ref="D184">IFERROR(INDEX('Bank Schedule'!D:D, SMALL(IF('Bank Schedule'!$K$2:$K$817="Vacant", ROW('Bank Schedule'!$K$2:$K$817)), ROW(181:181))), "")</f>
        <v/>
      </c>
      <c r="E184" s="4">
        <f t="array" ref="E184">IFERROR(INDEX('Bank Schedule'!E:E, SMALL(IF('Bank Schedule'!$K$2:$K$817="Vacant", ROW('Bank Schedule'!$K$2:$K$817)), ROW(181:181))), "")</f>
        <v/>
      </c>
      <c r="F184" s="4">
        <f t="array" ref="F184">IFERROR(INDEX('Bank Schedule'!F:F, SMALL(IF('Bank Schedule'!$K$2:$K$817="Vacant", ROW('Bank Schedule'!$K$2:$K$817)), ROW(181:181))), "")</f>
        <v/>
      </c>
      <c r="G184" s="14">
        <f t="array" ref="G184">IFERROR(INDEX('Bank Schedule'!G:G, SMALL(IF('Bank Schedule'!$K$2:$K$817="Vacant", ROW('Bank Schedule'!$K$2:$K$817)), ROW(181:181))), "")</f>
        <v/>
      </c>
      <c r="H184" s="7">
        <f t="array" ref="H184">IFERROR(INDEX('Bank Schedule'!H:H, SMALL(IF('Bank Schedule'!$K$2:$K$817="Vacant", ROW('Bank Schedule'!$K$2:$K$817)), ROW(181:181))), "")</f>
        <v/>
      </c>
      <c r="I184" s="7">
        <f t="array" ref="I184">IFERROR(INDEX('Bank Schedule'!I:I, SMALL(IF('Bank Schedule'!$K$2:$K$817="Vacant", ROW('Bank Schedule'!$K$2:$K$817)), ROW(181:181))), "")</f>
        <v/>
      </c>
      <c r="J184" s="14">
        <f t="array" ref="J184">IFERROR(INDEX('Bank Schedule'!K:K, SMALL(IF('Bank Schedule'!$K$2:$K$817="Vacant", ROW('Bank Schedule'!$K$2:$K$817)), ROW(181:181))), "")</f>
        <v/>
      </c>
      <c r="K184" s="25">
        <f t="array" ref="K184">IFERROR(INDEX('Bank Schedule'!#REF!, SMALL(IF('Bank Schedule'!$K$2:$K$817="Vacant", ROW('Bank Schedule'!$K$2:$K$817)), ROW(181:181))), "")</f>
        <v/>
      </c>
      <c r="L184" s="8">
        <f t="array" ref="L184">IFERROR(INDEX('Bank Schedule'!L:L, SMALL(IF('Bank Schedule'!$K$2:$K$817="Vacant", ROW('Bank Schedule'!$K$2:$K$817)), ROW(181:181))), "")</f>
        <v/>
      </c>
      <c r="M184" s="9">
        <f t="array" ref="M184">IFERROR(INDEX('Bank Schedule'!M:M, SMALL(IF('Bank Schedule'!$K$2:$K$817="Vacant", ROW('Bank Schedule'!$K$2:$K$817)), ROW(181:181))), "")</f>
        <v/>
      </c>
      <c r="N184" s="9">
        <f t="array" ref="N184">IFERROR(INDEX('Bank Schedule'!N:N, SMALL(IF('Bank Schedule'!$K$2:$K$817="Vacant", ROW('Bank Schedule'!$K$2:$K$817)), ROW(181:181))), "")</f>
        <v/>
      </c>
      <c r="O184" s="9">
        <f t="array" ref="O184">IFERROR(INDEX('Bank Schedule'!O:O, SMALL(IF('Bank Schedule'!$K$2:$K$817="Vacant", ROW('Bank Schedule'!$K$2:$K$817)), ROW(181:181))), "")</f>
        <v/>
      </c>
      <c r="P184" s="9">
        <f t="array" ref="P184">IFERROR(INDEX('Bank Schedule'!P:P, SMALL(IF('Bank Schedule'!$K$2:$K$817="Vacant", ROW('Bank Schedule'!$K$2:$K$817)), ROW(181:181))), "")</f>
        <v/>
      </c>
      <c r="Q184" s="9">
        <f t="array" ref="Q184">IFERROR(INDEX('Bank Schedule'!#REF!, SMALL(IF('Bank Schedule'!$K$2:$K$817="Vacant", ROW('Bank Schedule'!$K$2:$K$817)), ROW(181:181))), "")</f>
        <v/>
      </c>
      <c r="R184" s="10">
        <f t="array" ref="R184">IFERROR(INDEX('Bank Schedule'!Q:Q, SMALL(IF('Bank Schedule'!$K$2:$K$817="Vacant", ROW('Bank Schedule'!$K$2:$K$817)), ROW(181:181))), "")</f>
        <v/>
      </c>
      <c r="S184" s="10">
        <f t="array" ref="S184">IFERROR(INDEX('Bank Schedule'!R:R, SMALL(IF('Bank Schedule'!$K$2:$K$817="Vacant", ROW('Bank Schedule'!$K$2:$K$817)), ROW(181:181))), "")</f>
        <v/>
      </c>
      <c r="T184" s="10">
        <f t="array" ref="T184">IFERROR(INDEX('Bank Schedule'!S:S, SMALL(IF('Bank Schedule'!$K$2:$K$817="Vacant", ROW('Bank Schedule'!$K$2:$K$817)), ROW(181:181))), "")</f>
        <v/>
      </c>
      <c r="U184" s="106">
        <f t="array" ref="U184">IFERROR(INDEX('Bank Schedule'!#REF!, SMALL(IF('Bank Schedule'!$K$2:$K$817="Vacant", ROW('Bank Schedule'!$K$2:$K$817)), ROW(181:181))), "")</f>
        <v/>
      </c>
      <c r="V184" s="10">
        <f t="array" ref="V184">IFERROR(INDEX('Bank Schedule'!#REF!, SMALL(IF('Bank Schedule'!$K$2:$K$817="Vacant", ROW('Bank Schedule'!$K$2:$K$817)), ROW(181:181))), "")</f>
        <v/>
      </c>
      <c r="W184" s="10">
        <f t="array" ref="W184">IFERROR(INDEX('Bank Schedule'!#REF!, SMALL(IF('Bank Schedule'!$K$2:$K$817="Vacant", ROW('Bank Schedule'!$K$2:$K$817)), ROW(181:181))), "")</f>
        <v/>
      </c>
      <c r="X184" s="10">
        <f t="array" ref="X184">IFERROR(INDEX('Bank Schedule'!V:V, SMALL(IF('Bank Schedule'!$K$2:$K$817="Vacant", ROW('Bank Schedule'!$K$2:$K$817)), ROW(181:181))), "")</f>
        <v/>
      </c>
      <c r="Y184" s="10">
        <f t="array" ref="Y184">IFERROR(INDEX('Bank Schedule'!W:W, SMALL(IF('Bank Schedule'!$K$2:$K$817="Vacant", ROW('Bank Schedule'!$K$2:$K$817)), ROW(181:181))), "")</f>
        <v/>
      </c>
      <c r="Z184" s="60">
        <f t="array" ref="Z184">IFERROR(INDEX('Bank Schedule'!Z:Z, SMALL(IF('Bank Schedule'!$K$2:$K$817="Vacant", ROW('Bank Schedule'!$K$2:$K$817)), ROW(181:181))), "")</f>
        <v/>
      </c>
      <c r="AA184" s="53">
        <f t="array" ref="AA184">IFERROR(INDEX('Bank Schedule'!AA:AA, SMALL(IF('Bank Schedule'!$K$2:$K$817="Vacant", ROW('Bank Schedule'!$K$2:$K$817)), ROW(181:181))), "")</f>
        <v/>
      </c>
      <c r="AB184" s="14">
        <f t="array" ref="AB184">IFERROR(INDEX('Bank Schedule'!AB:AB, SMALL(IF('Bank Schedule'!$K$2:$K$817="Vacant", ROW('Bank Schedule'!$K$2:$K$817)), ROW(181:181))), "")</f>
        <v/>
      </c>
      <c r="AC184" s="4">
        <f t="array" ref="AC184">IFERROR(INDEX('Bank Schedule'!AC:AC, SMALL(IF('Bank Schedule'!$K$2:$K$817="Vacant", ROW('Bank Schedule'!$K$2:$K$817)), ROW(181:181))), "")</f>
        <v/>
      </c>
    </row>
    <row r="185" ht="23.25" customHeight="1">
      <c r="A185" s="2">
        <f t="array" ref="A185">IFERROR(INDEX('Bank Schedule'!A:A, SMALL(IF('Bank Schedule'!$K$2:$K$817="Vacant", ROW('Bank Schedule'!$K$2:$K$817)), ROW(182:182))), "")</f>
        <v/>
      </c>
      <c r="B185" s="11">
        <f t="array" ref="B185">IFERROR(INDEX('Bank Schedule'!B:B, SMALL(IF('Bank Schedule'!$K$2:$K$817="Vacant", ROW('Bank Schedule'!$K$2:$K$817)), ROW(182:182))), "")</f>
        <v/>
      </c>
      <c r="C185" s="11">
        <f t="array" ref="C185">IFERROR(INDEX('Bank Schedule'!C:C, SMALL(IF('Bank Schedule'!$K$2:$K$817="Vacant", ROW('Bank Schedule'!$K$2:$K$817)), ROW(182:182))), "")</f>
        <v/>
      </c>
      <c r="D185" s="2">
        <f t="array" ref="D185">IFERROR(INDEX('Bank Schedule'!D:D, SMALL(IF('Bank Schedule'!$K$2:$K$817="Vacant", ROW('Bank Schedule'!$K$2:$K$817)), ROW(182:182))), "")</f>
        <v/>
      </c>
      <c r="E185" s="4">
        <f t="array" ref="E185">IFERROR(INDEX('Bank Schedule'!E:E, SMALL(IF('Bank Schedule'!$K$2:$K$817="Vacant", ROW('Bank Schedule'!$K$2:$K$817)), ROW(182:182))), "")</f>
        <v/>
      </c>
      <c r="F185" s="4">
        <f t="array" ref="F185">IFERROR(INDEX('Bank Schedule'!F:F, SMALL(IF('Bank Schedule'!$K$2:$K$817="Vacant", ROW('Bank Schedule'!$K$2:$K$817)), ROW(182:182))), "")</f>
        <v/>
      </c>
      <c r="G185" s="14">
        <f t="array" ref="G185">IFERROR(INDEX('Bank Schedule'!G:G, SMALL(IF('Bank Schedule'!$K$2:$K$817="Vacant", ROW('Bank Schedule'!$K$2:$K$817)), ROW(182:182))), "")</f>
        <v/>
      </c>
      <c r="H185" s="7">
        <f t="array" ref="H185">IFERROR(INDEX('Bank Schedule'!H:H, SMALL(IF('Bank Schedule'!$K$2:$K$817="Vacant", ROW('Bank Schedule'!$K$2:$K$817)), ROW(182:182))), "")</f>
        <v/>
      </c>
      <c r="I185" s="7">
        <f t="array" ref="I185">IFERROR(INDEX('Bank Schedule'!I:I, SMALL(IF('Bank Schedule'!$K$2:$K$817="Vacant", ROW('Bank Schedule'!$K$2:$K$817)), ROW(182:182))), "")</f>
        <v/>
      </c>
      <c r="J185" s="14">
        <f t="array" ref="J185">IFERROR(INDEX('Bank Schedule'!K:K, SMALL(IF('Bank Schedule'!$K$2:$K$817="Vacant", ROW('Bank Schedule'!$K$2:$K$817)), ROW(182:182))), "")</f>
        <v/>
      </c>
      <c r="K185" s="25">
        <f t="array" ref="K185">IFERROR(INDEX('Bank Schedule'!#REF!, SMALL(IF('Bank Schedule'!$K$2:$K$817="Vacant", ROW('Bank Schedule'!$K$2:$K$817)), ROW(182:182))), "")</f>
        <v/>
      </c>
      <c r="L185" s="8">
        <f t="array" ref="L185">IFERROR(INDEX('Bank Schedule'!L:L, SMALL(IF('Bank Schedule'!$K$2:$K$817="Vacant", ROW('Bank Schedule'!$K$2:$K$817)), ROW(182:182))), "")</f>
        <v/>
      </c>
      <c r="M185" s="9">
        <f t="array" ref="M185">IFERROR(INDEX('Bank Schedule'!M:M, SMALL(IF('Bank Schedule'!$K$2:$K$817="Vacant", ROW('Bank Schedule'!$K$2:$K$817)), ROW(182:182))), "")</f>
        <v/>
      </c>
      <c r="N185" s="9">
        <f t="array" ref="N185">IFERROR(INDEX('Bank Schedule'!N:N, SMALL(IF('Bank Schedule'!$K$2:$K$817="Vacant", ROW('Bank Schedule'!$K$2:$K$817)), ROW(182:182))), "")</f>
        <v/>
      </c>
      <c r="O185" s="9">
        <f t="array" ref="O185">IFERROR(INDEX('Bank Schedule'!O:O, SMALL(IF('Bank Schedule'!$K$2:$K$817="Vacant", ROW('Bank Schedule'!$K$2:$K$817)), ROW(182:182))), "")</f>
        <v/>
      </c>
      <c r="P185" s="9">
        <f t="array" ref="P185">IFERROR(INDEX('Bank Schedule'!P:P, SMALL(IF('Bank Schedule'!$K$2:$K$817="Vacant", ROW('Bank Schedule'!$K$2:$K$817)), ROW(182:182))), "")</f>
        <v/>
      </c>
      <c r="Q185" s="9">
        <f t="array" ref="Q185">IFERROR(INDEX('Bank Schedule'!#REF!, SMALL(IF('Bank Schedule'!$K$2:$K$817="Vacant", ROW('Bank Schedule'!$K$2:$K$817)), ROW(182:182))), "")</f>
        <v/>
      </c>
      <c r="R185" s="10">
        <f t="array" ref="R185">IFERROR(INDEX('Bank Schedule'!Q:Q, SMALL(IF('Bank Schedule'!$K$2:$K$817="Vacant", ROW('Bank Schedule'!$K$2:$K$817)), ROW(182:182))), "")</f>
        <v/>
      </c>
      <c r="S185" s="10">
        <f t="array" ref="S185">IFERROR(INDEX('Bank Schedule'!R:R, SMALL(IF('Bank Schedule'!$K$2:$K$817="Vacant", ROW('Bank Schedule'!$K$2:$K$817)), ROW(182:182))), "")</f>
        <v/>
      </c>
      <c r="T185" s="10">
        <f t="array" ref="T185">IFERROR(INDEX('Bank Schedule'!S:S, SMALL(IF('Bank Schedule'!$K$2:$K$817="Vacant", ROW('Bank Schedule'!$K$2:$K$817)), ROW(182:182))), "")</f>
        <v/>
      </c>
      <c r="U185" s="106">
        <f t="array" ref="U185">IFERROR(INDEX('Bank Schedule'!#REF!, SMALL(IF('Bank Schedule'!$K$2:$K$817="Vacant", ROW('Bank Schedule'!$K$2:$K$817)), ROW(182:182))), "")</f>
        <v/>
      </c>
      <c r="V185" s="10">
        <f t="array" ref="V185">IFERROR(INDEX('Bank Schedule'!#REF!, SMALL(IF('Bank Schedule'!$K$2:$K$817="Vacant", ROW('Bank Schedule'!$K$2:$K$817)), ROW(182:182))), "")</f>
        <v/>
      </c>
      <c r="W185" s="10">
        <f t="array" ref="W185">IFERROR(INDEX('Bank Schedule'!#REF!, SMALL(IF('Bank Schedule'!$K$2:$K$817="Vacant", ROW('Bank Schedule'!$K$2:$K$817)), ROW(182:182))), "")</f>
        <v/>
      </c>
      <c r="X185" s="10">
        <f t="array" ref="X185">IFERROR(INDEX('Bank Schedule'!V:V, SMALL(IF('Bank Schedule'!$K$2:$K$817="Vacant", ROW('Bank Schedule'!$K$2:$K$817)), ROW(182:182))), "")</f>
        <v/>
      </c>
      <c r="Y185" s="10">
        <f t="array" ref="Y185">IFERROR(INDEX('Bank Schedule'!W:W, SMALL(IF('Bank Schedule'!$K$2:$K$817="Vacant", ROW('Bank Schedule'!$K$2:$K$817)), ROW(182:182))), "")</f>
        <v/>
      </c>
      <c r="Z185" s="60">
        <f t="array" ref="Z185">IFERROR(INDEX('Bank Schedule'!Z:Z, SMALL(IF('Bank Schedule'!$K$2:$K$817="Vacant", ROW('Bank Schedule'!$K$2:$K$817)), ROW(182:182))), "")</f>
        <v/>
      </c>
      <c r="AA185" s="53">
        <f t="array" ref="AA185">IFERROR(INDEX('Bank Schedule'!AA:AA, SMALL(IF('Bank Schedule'!$K$2:$K$817="Vacant", ROW('Bank Schedule'!$K$2:$K$817)), ROW(182:182))), "")</f>
        <v/>
      </c>
      <c r="AB185" s="14">
        <f t="array" ref="AB185">IFERROR(INDEX('Bank Schedule'!AB:AB, SMALL(IF('Bank Schedule'!$K$2:$K$817="Vacant", ROW('Bank Schedule'!$K$2:$K$817)), ROW(182:182))), "")</f>
        <v/>
      </c>
      <c r="AC185" s="4">
        <f t="array" ref="AC185">IFERROR(INDEX('Bank Schedule'!AC:AC, SMALL(IF('Bank Schedule'!$K$2:$K$817="Vacant", ROW('Bank Schedule'!$K$2:$K$817)), ROW(182:182))), "")</f>
        <v/>
      </c>
    </row>
    <row r="186" ht="23.25" customHeight="1">
      <c r="A186" s="2">
        <f t="array" ref="A186">IFERROR(INDEX('Bank Schedule'!A:A, SMALL(IF('Bank Schedule'!$K$2:$K$817="Vacant", ROW('Bank Schedule'!$K$2:$K$817)), ROW(183:183))), "")</f>
        <v/>
      </c>
      <c r="B186" s="11">
        <f t="array" ref="B186">IFERROR(INDEX('Bank Schedule'!B:B, SMALL(IF('Bank Schedule'!$K$2:$K$817="Vacant", ROW('Bank Schedule'!$K$2:$K$817)), ROW(183:183))), "")</f>
        <v/>
      </c>
      <c r="C186" s="11">
        <f t="array" ref="C186">IFERROR(INDEX('Bank Schedule'!C:C, SMALL(IF('Bank Schedule'!$K$2:$K$817="Vacant", ROW('Bank Schedule'!$K$2:$K$817)), ROW(183:183))), "")</f>
        <v/>
      </c>
      <c r="D186" s="2">
        <f t="array" ref="D186">IFERROR(INDEX('Bank Schedule'!D:D, SMALL(IF('Bank Schedule'!$K$2:$K$817="Vacant", ROW('Bank Schedule'!$K$2:$K$817)), ROW(183:183))), "")</f>
        <v/>
      </c>
      <c r="E186" s="4">
        <f t="array" ref="E186">IFERROR(INDEX('Bank Schedule'!E:E, SMALL(IF('Bank Schedule'!$K$2:$K$817="Vacant", ROW('Bank Schedule'!$K$2:$K$817)), ROW(183:183))), "")</f>
        <v/>
      </c>
      <c r="F186" s="4">
        <f t="array" ref="F186">IFERROR(INDEX('Bank Schedule'!F:F, SMALL(IF('Bank Schedule'!$K$2:$K$817="Vacant", ROW('Bank Schedule'!$K$2:$K$817)), ROW(183:183))), "")</f>
        <v/>
      </c>
      <c r="G186" s="14">
        <f t="array" ref="G186">IFERROR(INDEX('Bank Schedule'!G:G, SMALL(IF('Bank Schedule'!$K$2:$K$817="Vacant", ROW('Bank Schedule'!$K$2:$K$817)), ROW(183:183))), "")</f>
        <v/>
      </c>
      <c r="H186" s="7">
        <f t="array" ref="H186">IFERROR(INDEX('Bank Schedule'!H:H, SMALL(IF('Bank Schedule'!$K$2:$K$817="Vacant", ROW('Bank Schedule'!$K$2:$K$817)), ROW(183:183))), "")</f>
        <v/>
      </c>
      <c r="I186" s="7">
        <f t="array" ref="I186">IFERROR(INDEX('Bank Schedule'!I:I, SMALL(IF('Bank Schedule'!$K$2:$K$817="Vacant", ROW('Bank Schedule'!$K$2:$K$817)), ROW(183:183))), "")</f>
        <v/>
      </c>
      <c r="J186" s="14">
        <f t="array" ref="J186">IFERROR(INDEX('Bank Schedule'!K:K, SMALL(IF('Bank Schedule'!$K$2:$K$817="Vacant", ROW('Bank Schedule'!$K$2:$K$817)), ROW(183:183))), "")</f>
        <v/>
      </c>
      <c r="K186" s="25">
        <f t="array" ref="K186">IFERROR(INDEX('Bank Schedule'!#REF!, SMALL(IF('Bank Schedule'!$K$2:$K$817="Vacant", ROW('Bank Schedule'!$K$2:$K$817)), ROW(183:183))), "")</f>
        <v/>
      </c>
      <c r="L186" s="8">
        <f t="array" ref="L186">IFERROR(INDEX('Bank Schedule'!L:L, SMALL(IF('Bank Schedule'!$K$2:$K$817="Vacant", ROW('Bank Schedule'!$K$2:$K$817)), ROW(183:183))), "")</f>
        <v/>
      </c>
      <c r="M186" s="9">
        <f t="array" ref="M186">IFERROR(INDEX('Bank Schedule'!M:M, SMALL(IF('Bank Schedule'!$K$2:$K$817="Vacant", ROW('Bank Schedule'!$K$2:$K$817)), ROW(183:183))), "")</f>
        <v/>
      </c>
      <c r="N186" s="9">
        <f t="array" ref="N186">IFERROR(INDEX('Bank Schedule'!N:N, SMALL(IF('Bank Schedule'!$K$2:$K$817="Vacant", ROW('Bank Schedule'!$K$2:$K$817)), ROW(183:183))), "")</f>
        <v/>
      </c>
      <c r="O186" s="9">
        <f t="array" ref="O186">IFERROR(INDEX('Bank Schedule'!O:O, SMALL(IF('Bank Schedule'!$K$2:$K$817="Vacant", ROW('Bank Schedule'!$K$2:$K$817)), ROW(183:183))), "")</f>
        <v/>
      </c>
      <c r="P186" s="9">
        <f t="array" ref="P186">IFERROR(INDEX('Bank Schedule'!P:P, SMALL(IF('Bank Schedule'!$K$2:$K$817="Vacant", ROW('Bank Schedule'!$K$2:$K$817)), ROW(183:183))), "")</f>
        <v/>
      </c>
      <c r="Q186" s="9">
        <f t="array" ref="Q186">IFERROR(INDEX('Bank Schedule'!#REF!, SMALL(IF('Bank Schedule'!$K$2:$K$817="Vacant", ROW('Bank Schedule'!$K$2:$K$817)), ROW(183:183))), "")</f>
        <v/>
      </c>
      <c r="R186" s="10">
        <f t="array" ref="R186">IFERROR(INDEX('Bank Schedule'!Q:Q, SMALL(IF('Bank Schedule'!$K$2:$K$817="Vacant", ROW('Bank Schedule'!$K$2:$K$817)), ROW(183:183))), "")</f>
        <v/>
      </c>
      <c r="S186" s="10">
        <f t="array" ref="S186">IFERROR(INDEX('Bank Schedule'!R:R, SMALL(IF('Bank Schedule'!$K$2:$K$817="Vacant", ROW('Bank Schedule'!$K$2:$K$817)), ROW(183:183))), "")</f>
        <v/>
      </c>
      <c r="T186" s="10">
        <f t="array" ref="T186">IFERROR(INDEX('Bank Schedule'!S:S, SMALL(IF('Bank Schedule'!$K$2:$K$817="Vacant", ROW('Bank Schedule'!$K$2:$K$817)), ROW(183:183))), "")</f>
        <v/>
      </c>
      <c r="U186" s="106">
        <f t="array" ref="U186">IFERROR(INDEX('Bank Schedule'!#REF!, SMALL(IF('Bank Schedule'!$K$2:$K$817="Vacant", ROW('Bank Schedule'!$K$2:$K$817)), ROW(183:183))), "")</f>
        <v/>
      </c>
      <c r="V186" s="10">
        <f t="array" ref="V186">IFERROR(INDEX('Bank Schedule'!#REF!, SMALL(IF('Bank Schedule'!$K$2:$K$817="Vacant", ROW('Bank Schedule'!$K$2:$K$817)), ROW(183:183))), "")</f>
        <v/>
      </c>
      <c r="W186" s="10">
        <f t="array" ref="W186">IFERROR(INDEX('Bank Schedule'!#REF!, SMALL(IF('Bank Schedule'!$K$2:$K$817="Vacant", ROW('Bank Schedule'!$K$2:$K$817)), ROW(183:183))), "")</f>
        <v/>
      </c>
      <c r="X186" s="10">
        <f t="array" ref="X186">IFERROR(INDEX('Bank Schedule'!V:V, SMALL(IF('Bank Schedule'!$K$2:$K$817="Vacant", ROW('Bank Schedule'!$K$2:$K$817)), ROW(183:183))), "")</f>
        <v/>
      </c>
      <c r="Y186" s="10">
        <f t="array" ref="Y186">IFERROR(INDEX('Bank Schedule'!W:W, SMALL(IF('Bank Schedule'!$K$2:$K$817="Vacant", ROW('Bank Schedule'!$K$2:$K$817)), ROW(183:183))), "")</f>
        <v/>
      </c>
      <c r="Z186" s="60">
        <f t="array" ref="Z186">IFERROR(INDEX('Bank Schedule'!Z:Z, SMALL(IF('Bank Schedule'!$K$2:$K$817="Vacant", ROW('Bank Schedule'!$K$2:$K$817)), ROW(183:183))), "")</f>
        <v/>
      </c>
      <c r="AA186" s="53">
        <f t="array" ref="AA186">IFERROR(INDEX('Bank Schedule'!AA:AA, SMALL(IF('Bank Schedule'!$K$2:$K$817="Vacant", ROW('Bank Schedule'!$K$2:$K$817)), ROW(183:183))), "")</f>
        <v/>
      </c>
      <c r="AB186" s="14">
        <f t="array" ref="AB186">IFERROR(INDEX('Bank Schedule'!AB:AB, SMALL(IF('Bank Schedule'!$K$2:$K$817="Vacant", ROW('Bank Schedule'!$K$2:$K$817)), ROW(183:183))), "")</f>
        <v/>
      </c>
      <c r="AC186" s="4">
        <f t="array" ref="AC186">IFERROR(INDEX('Bank Schedule'!AC:AC, SMALL(IF('Bank Schedule'!$K$2:$K$817="Vacant", ROW('Bank Schedule'!$K$2:$K$817)), ROW(183:183))), "")</f>
        <v/>
      </c>
    </row>
    <row r="187" ht="23.25" customHeight="1">
      <c r="A187" s="2">
        <f t="array" ref="A187">IFERROR(INDEX('Bank Schedule'!A:A, SMALL(IF('Bank Schedule'!$K$2:$K$817="Vacant", ROW('Bank Schedule'!$K$2:$K$817)), ROW(184:184))), "")</f>
        <v/>
      </c>
      <c r="B187" s="11">
        <f t="array" ref="B187">IFERROR(INDEX('Bank Schedule'!B:B, SMALL(IF('Bank Schedule'!$K$2:$K$817="Vacant", ROW('Bank Schedule'!$K$2:$K$817)), ROW(184:184))), "")</f>
        <v/>
      </c>
      <c r="C187" s="11">
        <f t="array" ref="C187">IFERROR(INDEX('Bank Schedule'!C:C, SMALL(IF('Bank Schedule'!$K$2:$K$817="Vacant", ROW('Bank Schedule'!$K$2:$K$817)), ROW(184:184))), "")</f>
        <v/>
      </c>
      <c r="D187" s="2">
        <f t="array" ref="D187">IFERROR(INDEX('Bank Schedule'!D:D, SMALL(IF('Bank Schedule'!$K$2:$K$817="Vacant", ROW('Bank Schedule'!$K$2:$K$817)), ROW(184:184))), "")</f>
        <v/>
      </c>
      <c r="E187" s="4">
        <f t="array" ref="E187">IFERROR(INDEX('Bank Schedule'!E:E, SMALL(IF('Bank Schedule'!$K$2:$K$817="Vacant", ROW('Bank Schedule'!$K$2:$K$817)), ROW(184:184))), "")</f>
        <v/>
      </c>
      <c r="F187" s="4">
        <f t="array" ref="F187">IFERROR(INDEX('Bank Schedule'!F:F, SMALL(IF('Bank Schedule'!$K$2:$K$817="Vacant", ROW('Bank Schedule'!$K$2:$K$817)), ROW(184:184))), "")</f>
        <v/>
      </c>
      <c r="G187" s="14">
        <f t="array" ref="G187">IFERROR(INDEX('Bank Schedule'!G:G, SMALL(IF('Bank Schedule'!$K$2:$K$817="Vacant", ROW('Bank Schedule'!$K$2:$K$817)), ROW(184:184))), "")</f>
        <v/>
      </c>
      <c r="H187" s="7">
        <f t="array" ref="H187">IFERROR(INDEX('Bank Schedule'!H:H, SMALL(IF('Bank Schedule'!$K$2:$K$817="Vacant", ROW('Bank Schedule'!$K$2:$K$817)), ROW(184:184))), "")</f>
        <v/>
      </c>
      <c r="I187" s="7">
        <f t="array" ref="I187">IFERROR(INDEX('Bank Schedule'!I:I, SMALL(IF('Bank Schedule'!$K$2:$K$817="Vacant", ROW('Bank Schedule'!$K$2:$K$817)), ROW(184:184))), "")</f>
        <v/>
      </c>
      <c r="J187" s="14">
        <f t="array" ref="J187">IFERROR(INDEX('Bank Schedule'!K:K, SMALL(IF('Bank Schedule'!$K$2:$K$817="Vacant", ROW('Bank Schedule'!$K$2:$K$817)), ROW(184:184))), "")</f>
        <v/>
      </c>
      <c r="K187" s="25">
        <f t="array" ref="K187">IFERROR(INDEX('Bank Schedule'!#REF!, SMALL(IF('Bank Schedule'!$K$2:$K$817="Vacant", ROW('Bank Schedule'!$K$2:$K$817)), ROW(184:184))), "")</f>
        <v/>
      </c>
      <c r="L187" s="8">
        <f t="array" ref="L187">IFERROR(INDEX('Bank Schedule'!L:L, SMALL(IF('Bank Schedule'!$K$2:$K$817="Vacant", ROW('Bank Schedule'!$K$2:$K$817)), ROW(184:184))), "")</f>
        <v/>
      </c>
      <c r="M187" s="9">
        <f t="array" ref="M187">IFERROR(INDEX('Bank Schedule'!M:M, SMALL(IF('Bank Schedule'!$K$2:$K$817="Vacant", ROW('Bank Schedule'!$K$2:$K$817)), ROW(184:184))), "")</f>
        <v/>
      </c>
      <c r="N187" s="9">
        <f t="array" ref="N187">IFERROR(INDEX('Bank Schedule'!N:N, SMALL(IF('Bank Schedule'!$K$2:$K$817="Vacant", ROW('Bank Schedule'!$K$2:$K$817)), ROW(184:184))), "")</f>
        <v/>
      </c>
      <c r="O187" s="9">
        <f t="array" ref="O187">IFERROR(INDEX('Bank Schedule'!O:O, SMALL(IF('Bank Schedule'!$K$2:$K$817="Vacant", ROW('Bank Schedule'!$K$2:$K$817)), ROW(184:184))), "")</f>
        <v/>
      </c>
      <c r="P187" s="9">
        <f t="array" ref="P187">IFERROR(INDEX('Bank Schedule'!P:P, SMALL(IF('Bank Schedule'!$K$2:$K$817="Vacant", ROW('Bank Schedule'!$K$2:$K$817)), ROW(184:184))), "")</f>
        <v/>
      </c>
      <c r="Q187" s="9">
        <f t="array" ref="Q187">IFERROR(INDEX('Bank Schedule'!#REF!, SMALL(IF('Bank Schedule'!$K$2:$K$817="Vacant", ROW('Bank Schedule'!$K$2:$K$817)), ROW(184:184))), "")</f>
        <v/>
      </c>
      <c r="R187" s="10">
        <f t="array" ref="R187">IFERROR(INDEX('Bank Schedule'!Q:Q, SMALL(IF('Bank Schedule'!$K$2:$K$817="Vacant", ROW('Bank Schedule'!$K$2:$K$817)), ROW(184:184))), "")</f>
        <v/>
      </c>
      <c r="S187" s="10">
        <f t="array" ref="S187">IFERROR(INDEX('Bank Schedule'!R:R, SMALL(IF('Bank Schedule'!$K$2:$K$817="Vacant", ROW('Bank Schedule'!$K$2:$K$817)), ROW(184:184))), "")</f>
        <v/>
      </c>
      <c r="T187" s="10">
        <f t="array" ref="T187">IFERROR(INDEX('Bank Schedule'!S:S, SMALL(IF('Bank Schedule'!$K$2:$K$817="Vacant", ROW('Bank Schedule'!$K$2:$K$817)), ROW(184:184))), "")</f>
        <v/>
      </c>
      <c r="U187" s="106">
        <f t="array" ref="U187">IFERROR(INDEX('Bank Schedule'!#REF!, SMALL(IF('Bank Schedule'!$K$2:$K$817="Vacant", ROW('Bank Schedule'!$K$2:$K$817)), ROW(184:184))), "")</f>
        <v/>
      </c>
      <c r="V187" s="10">
        <f t="array" ref="V187">IFERROR(INDEX('Bank Schedule'!#REF!, SMALL(IF('Bank Schedule'!$K$2:$K$817="Vacant", ROW('Bank Schedule'!$K$2:$K$817)), ROW(184:184))), "")</f>
        <v/>
      </c>
      <c r="W187" s="10">
        <f t="array" ref="W187">IFERROR(INDEX('Bank Schedule'!#REF!, SMALL(IF('Bank Schedule'!$K$2:$K$817="Vacant", ROW('Bank Schedule'!$K$2:$K$817)), ROW(184:184))), "")</f>
        <v/>
      </c>
      <c r="X187" s="10">
        <f t="array" ref="X187">IFERROR(INDEX('Bank Schedule'!V:V, SMALL(IF('Bank Schedule'!$K$2:$K$817="Vacant", ROW('Bank Schedule'!$K$2:$K$817)), ROW(184:184))), "")</f>
        <v/>
      </c>
      <c r="Y187" s="10">
        <f t="array" ref="Y187">IFERROR(INDEX('Bank Schedule'!W:W, SMALL(IF('Bank Schedule'!$K$2:$K$817="Vacant", ROW('Bank Schedule'!$K$2:$K$817)), ROW(184:184))), "")</f>
        <v/>
      </c>
      <c r="Z187" s="60">
        <f t="array" ref="Z187">IFERROR(INDEX('Bank Schedule'!Z:Z, SMALL(IF('Bank Schedule'!$K$2:$K$817="Vacant", ROW('Bank Schedule'!$K$2:$K$817)), ROW(184:184))), "")</f>
        <v/>
      </c>
      <c r="AA187" s="53">
        <f t="array" ref="AA187">IFERROR(INDEX('Bank Schedule'!AA:AA, SMALL(IF('Bank Schedule'!$K$2:$K$817="Vacant", ROW('Bank Schedule'!$K$2:$K$817)), ROW(184:184))), "")</f>
        <v/>
      </c>
      <c r="AB187" s="14">
        <f t="array" ref="AB187">IFERROR(INDEX('Bank Schedule'!AB:AB, SMALL(IF('Bank Schedule'!$K$2:$K$817="Vacant", ROW('Bank Schedule'!$K$2:$K$817)), ROW(184:184))), "")</f>
        <v/>
      </c>
      <c r="AC187" s="4">
        <f t="array" ref="AC187">IFERROR(INDEX('Bank Schedule'!AC:AC, SMALL(IF('Bank Schedule'!$K$2:$K$817="Vacant", ROW('Bank Schedule'!$K$2:$K$817)), ROW(184:184))), "")</f>
        <v/>
      </c>
    </row>
    <row r="188" ht="23.25" customHeight="1">
      <c r="A188" s="2">
        <f t="array" ref="A188">IFERROR(INDEX('Bank Schedule'!A:A, SMALL(IF('Bank Schedule'!$K$2:$K$817="Vacant", ROW('Bank Schedule'!$K$2:$K$817)), ROW(185:185))), "")</f>
        <v/>
      </c>
      <c r="B188" s="11">
        <f t="array" ref="B188">IFERROR(INDEX('Bank Schedule'!B:B, SMALL(IF('Bank Schedule'!$K$2:$K$817="Vacant", ROW('Bank Schedule'!$K$2:$K$817)), ROW(185:185))), "")</f>
        <v/>
      </c>
      <c r="C188" s="11">
        <f t="array" ref="C188">IFERROR(INDEX('Bank Schedule'!C:C, SMALL(IF('Bank Schedule'!$K$2:$K$817="Vacant", ROW('Bank Schedule'!$K$2:$K$817)), ROW(185:185))), "")</f>
        <v/>
      </c>
      <c r="D188" s="2">
        <f t="array" ref="D188">IFERROR(INDEX('Bank Schedule'!D:D, SMALL(IF('Bank Schedule'!$K$2:$K$817="Vacant", ROW('Bank Schedule'!$K$2:$K$817)), ROW(185:185))), "")</f>
        <v/>
      </c>
      <c r="E188" s="4">
        <f t="array" ref="E188">IFERROR(INDEX('Bank Schedule'!E:E, SMALL(IF('Bank Schedule'!$K$2:$K$817="Vacant", ROW('Bank Schedule'!$K$2:$K$817)), ROW(185:185))), "")</f>
        <v/>
      </c>
      <c r="F188" s="4">
        <f t="array" ref="F188">IFERROR(INDEX('Bank Schedule'!F:F, SMALL(IF('Bank Schedule'!$K$2:$K$817="Vacant", ROW('Bank Schedule'!$K$2:$K$817)), ROW(185:185))), "")</f>
        <v/>
      </c>
      <c r="G188" s="14">
        <f t="array" ref="G188">IFERROR(INDEX('Bank Schedule'!G:G, SMALL(IF('Bank Schedule'!$K$2:$K$817="Vacant", ROW('Bank Schedule'!$K$2:$K$817)), ROW(185:185))), "")</f>
        <v/>
      </c>
      <c r="H188" s="7">
        <f t="array" ref="H188">IFERROR(INDEX('Bank Schedule'!H:H, SMALL(IF('Bank Schedule'!$K$2:$K$817="Vacant", ROW('Bank Schedule'!$K$2:$K$817)), ROW(185:185))), "")</f>
        <v/>
      </c>
      <c r="I188" s="7">
        <f t="array" ref="I188">IFERROR(INDEX('Bank Schedule'!I:I, SMALL(IF('Bank Schedule'!$K$2:$K$817="Vacant", ROW('Bank Schedule'!$K$2:$K$817)), ROW(185:185))), "")</f>
        <v/>
      </c>
      <c r="J188" s="14">
        <f t="array" ref="J188">IFERROR(INDEX('Bank Schedule'!K:K, SMALL(IF('Bank Schedule'!$K$2:$K$817="Vacant", ROW('Bank Schedule'!$K$2:$K$817)), ROW(185:185))), "")</f>
        <v/>
      </c>
      <c r="K188" s="25">
        <f t="array" ref="K188">IFERROR(INDEX('Bank Schedule'!#REF!, SMALL(IF('Bank Schedule'!$K$2:$K$817="Vacant", ROW('Bank Schedule'!$K$2:$K$817)), ROW(185:185))), "")</f>
        <v/>
      </c>
      <c r="L188" s="8">
        <f t="array" ref="L188">IFERROR(INDEX('Bank Schedule'!L:L, SMALL(IF('Bank Schedule'!$K$2:$K$817="Vacant", ROW('Bank Schedule'!$K$2:$K$817)), ROW(185:185))), "")</f>
        <v/>
      </c>
      <c r="M188" s="9">
        <f t="array" ref="M188">IFERROR(INDEX('Bank Schedule'!M:M, SMALL(IF('Bank Schedule'!$K$2:$K$817="Vacant", ROW('Bank Schedule'!$K$2:$K$817)), ROW(185:185))), "")</f>
        <v/>
      </c>
      <c r="N188" s="9">
        <f t="array" ref="N188">IFERROR(INDEX('Bank Schedule'!N:N, SMALL(IF('Bank Schedule'!$K$2:$K$817="Vacant", ROW('Bank Schedule'!$K$2:$K$817)), ROW(185:185))), "")</f>
        <v/>
      </c>
      <c r="O188" s="9">
        <f t="array" ref="O188">IFERROR(INDEX('Bank Schedule'!O:O, SMALL(IF('Bank Schedule'!$K$2:$K$817="Vacant", ROW('Bank Schedule'!$K$2:$K$817)), ROW(185:185))), "")</f>
        <v/>
      </c>
      <c r="P188" s="9">
        <f t="array" ref="P188">IFERROR(INDEX('Bank Schedule'!P:P, SMALL(IF('Bank Schedule'!$K$2:$K$817="Vacant", ROW('Bank Schedule'!$K$2:$K$817)), ROW(185:185))), "")</f>
        <v/>
      </c>
      <c r="Q188" s="9">
        <f t="array" ref="Q188">IFERROR(INDEX('Bank Schedule'!#REF!, SMALL(IF('Bank Schedule'!$K$2:$K$817="Vacant", ROW('Bank Schedule'!$K$2:$K$817)), ROW(185:185))), "")</f>
        <v/>
      </c>
      <c r="R188" s="10">
        <f t="array" ref="R188">IFERROR(INDEX('Bank Schedule'!Q:Q, SMALL(IF('Bank Schedule'!$K$2:$K$817="Vacant", ROW('Bank Schedule'!$K$2:$K$817)), ROW(185:185))), "")</f>
        <v/>
      </c>
      <c r="S188" s="10">
        <f t="array" ref="S188">IFERROR(INDEX('Bank Schedule'!R:R, SMALL(IF('Bank Schedule'!$K$2:$K$817="Vacant", ROW('Bank Schedule'!$K$2:$K$817)), ROW(185:185))), "")</f>
        <v/>
      </c>
      <c r="T188" s="10">
        <f t="array" ref="T188">IFERROR(INDEX('Bank Schedule'!S:S, SMALL(IF('Bank Schedule'!$K$2:$K$817="Vacant", ROW('Bank Schedule'!$K$2:$K$817)), ROW(185:185))), "")</f>
        <v/>
      </c>
      <c r="U188" s="106">
        <f t="array" ref="U188">IFERROR(INDEX('Bank Schedule'!#REF!, SMALL(IF('Bank Schedule'!$K$2:$K$817="Vacant", ROW('Bank Schedule'!$K$2:$K$817)), ROW(185:185))), "")</f>
        <v/>
      </c>
      <c r="V188" s="10">
        <f t="array" ref="V188">IFERROR(INDEX('Bank Schedule'!#REF!, SMALL(IF('Bank Schedule'!$K$2:$K$817="Vacant", ROW('Bank Schedule'!$K$2:$K$817)), ROW(185:185))), "")</f>
        <v/>
      </c>
      <c r="W188" s="10">
        <f t="array" ref="W188">IFERROR(INDEX('Bank Schedule'!#REF!, SMALL(IF('Bank Schedule'!$K$2:$K$817="Vacant", ROW('Bank Schedule'!$K$2:$K$817)), ROW(185:185))), "")</f>
        <v/>
      </c>
      <c r="X188" s="10">
        <f t="array" ref="X188">IFERROR(INDEX('Bank Schedule'!V:V, SMALL(IF('Bank Schedule'!$K$2:$K$817="Vacant", ROW('Bank Schedule'!$K$2:$K$817)), ROW(185:185))), "")</f>
        <v/>
      </c>
      <c r="Y188" s="10">
        <f t="array" ref="Y188">IFERROR(INDEX('Bank Schedule'!W:W, SMALL(IF('Bank Schedule'!$K$2:$K$817="Vacant", ROW('Bank Schedule'!$K$2:$K$817)), ROW(185:185))), "")</f>
        <v/>
      </c>
      <c r="Z188" s="60">
        <f t="array" ref="Z188">IFERROR(INDEX('Bank Schedule'!Z:Z, SMALL(IF('Bank Schedule'!$K$2:$K$817="Vacant", ROW('Bank Schedule'!$K$2:$K$817)), ROW(185:185))), "")</f>
        <v/>
      </c>
      <c r="AA188" s="53">
        <f t="array" ref="AA188">IFERROR(INDEX('Bank Schedule'!AA:AA, SMALL(IF('Bank Schedule'!$K$2:$K$817="Vacant", ROW('Bank Schedule'!$K$2:$K$817)), ROW(185:185))), "")</f>
        <v/>
      </c>
      <c r="AB188" s="14">
        <f t="array" ref="AB188">IFERROR(INDEX('Bank Schedule'!AB:AB, SMALL(IF('Bank Schedule'!$K$2:$K$817="Vacant", ROW('Bank Schedule'!$K$2:$K$817)), ROW(185:185))), "")</f>
        <v/>
      </c>
      <c r="AC188" s="4">
        <f t="array" ref="AC188">IFERROR(INDEX('Bank Schedule'!AC:AC, SMALL(IF('Bank Schedule'!$K$2:$K$817="Vacant", ROW('Bank Schedule'!$K$2:$K$817)), ROW(185:185))), "")</f>
        <v/>
      </c>
    </row>
    <row r="189" ht="23.25" customHeight="1">
      <c r="A189" s="2">
        <f t="array" ref="A189">IFERROR(INDEX('Bank Schedule'!A:A, SMALL(IF('Bank Schedule'!$K$2:$K$817="Vacant", ROW('Bank Schedule'!$K$2:$K$817)), ROW(186:186))), "")</f>
        <v/>
      </c>
      <c r="B189" s="11">
        <f t="array" ref="B189">IFERROR(INDEX('Bank Schedule'!B:B, SMALL(IF('Bank Schedule'!$K$2:$K$817="Vacant", ROW('Bank Schedule'!$K$2:$K$817)), ROW(186:186))), "")</f>
        <v/>
      </c>
      <c r="C189" s="11">
        <f t="array" ref="C189">IFERROR(INDEX('Bank Schedule'!C:C, SMALL(IF('Bank Schedule'!$K$2:$K$817="Vacant", ROW('Bank Schedule'!$K$2:$K$817)), ROW(186:186))), "")</f>
        <v/>
      </c>
      <c r="D189" s="2">
        <f t="array" ref="D189">IFERROR(INDEX('Bank Schedule'!D:D, SMALL(IF('Bank Schedule'!$K$2:$K$817="Vacant", ROW('Bank Schedule'!$K$2:$K$817)), ROW(186:186))), "")</f>
        <v/>
      </c>
      <c r="E189" s="4">
        <f t="array" ref="E189">IFERROR(INDEX('Bank Schedule'!E:E, SMALL(IF('Bank Schedule'!$K$2:$K$817="Vacant", ROW('Bank Schedule'!$K$2:$K$817)), ROW(186:186))), "")</f>
        <v/>
      </c>
      <c r="F189" s="4">
        <f t="array" ref="F189">IFERROR(INDEX('Bank Schedule'!F:F, SMALL(IF('Bank Schedule'!$K$2:$K$817="Vacant", ROW('Bank Schedule'!$K$2:$K$817)), ROW(186:186))), "")</f>
        <v/>
      </c>
      <c r="G189" s="14">
        <f t="array" ref="G189">IFERROR(INDEX('Bank Schedule'!G:G, SMALL(IF('Bank Schedule'!$K$2:$K$817="Vacant", ROW('Bank Schedule'!$K$2:$K$817)), ROW(186:186))), "")</f>
        <v/>
      </c>
      <c r="H189" s="7">
        <f t="array" ref="H189">IFERROR(INDEX('Bank Schedule'!H:H, SMALL(IF('Bank Schedule'!$K$2:$K$817="Vacant", ROW('Bank Schedule'!$K$2:$K$817)), ROW(186:186))), "")</f>
        <v/>
      </c>
      <c r="I189" s="7">
        <f t="array" ref="I189">IFERROR(INDEX('Bank Schedule'!I:I, SMALL(IF('Bank Schedule'!$K$2:$K$817="Vacant", ROW('Bank Schedule'!$K$2:$K$817)), ROW(186:186))), "")</f>
        <v/>
      </c>
      <c r="J189" s="14">
        <f t="array" ref="J189">IFERROR(INDEX('Bank Schedule'!K:K, SMALL(IF('Bank Schedule'!$K$2:$K$817="Vacant", ROW('Bank Schedule'!$K$2:$K$817)), ROW(186:186))), "")</f>
        <v/>
      </c>
      <c r="K189" s="25">
        <f t="array" ref="K189">IFERROR(INDEX('Bank Schedule'!#REF!, SMALL(IF('Bank Schedule'!$K$2:$K$817="Vacant", ROW('Bank Schedule'!$K$2:$K$817)), ROW(186:186))), "")</f>
        <v/>
      </c>
      <c r="L189" s="8">
        <f t="array" ref="L189">IFERROR(INDEX('Bank Schedule'!L:L, SMALL(IF('Bank Schedule'!$K$2:$K$817="Vacant", ROW('Bank Schedule'!$K$2:$K$817)), ROW(186:186))), "")</f>
        <v/>
      </c>
      <c r="M189" s="9">
        <f t="array" ref="M189">IFERROR(INDEX('Bank Schedule'!M:M, SMALL(IF('Bank Schedule'!$K$2:$K$817="Vacant", ROW('Bank Schedule'!$K$2:$K$817)), ROW(186:186))), "")</f>
        <v/>
      </c>
      <c r="N189" s="9">
        <f t="array" ref="N189">IFERROR(INDEX('Bank Schedule'!N:N, SMALL(IF('Bank Schedule'!$K$2:$K$817="Vacant", ROW('Bank Schedule'!$K$2:$K$817)), ROW(186:186))), "")</f>
        <v/>
      </c>
      <c r="O189" s="9">
        <f t="array" ref="O189">IFERROR(INDEX('Bank Schedule'!O:O, SMALL(IF('Bank Schedule'!$K$2:$K$817="Vacant", ROW('Bank Schedule'!$K$2:$K$817)), ROW(186:186))), "")</f>
        <v/>
      </c>
      <c r="P189" s="9">
        <f t="array" ref="P189">IFERROR(INDEX('Bank Schedule'!P:P, SMALL(IF('Bank Schedule'!$K$2:$K$817="Vacant", ROW('Bank Schedule'!$K$2:$K$817)), ROW(186:186))), "")</f>
        <v/>
      </c>
      <c r="Q189" s="9">
        <f t="array" ref="Q189">IFERROR(INDEX('Bank Schedule'!#REF!, SMALL(IF('Bank Schedule'!$K$2:$K$817="Vacant", ROW('Bank Schedule'!$K$2:$K$817)), ROW(186:186))), "")</f>
        <v/>
      </c>
      <c r="R189" s="10">
        <f t="array" ref="R189">IFERROR(INDEX('Bank Schedule'!Q:Q, SMALL(IF('Bank Schedule'!$K$2:$K$817="Vacant", ROW('Bank Schedule'!$K$2:$K$817)), ROW(186:186))), "")</f>
        <v/>
      </c>
      <c r="S189" s="10">
        <f t="array" ref="S189">IFERROR(INDEX('Bank Schedule'!R:R, SMALL(IF('Bank Schedule'!$K$2:$K$817="Vacant", ROW('Bank Schedule'!$K$2:$K$817)), ROW(186:186))), "")</f>
        <v/>
      </c>
      <c r="T189" s="10">
        <f t="array" ref="T189">IFERROR(INDEX('Bank Schedule'!S:S, SMALL(IF('Bank Schedule'!$K$2:$K$817="Vacant", ROW('Bank Schedule'!$K$2:$K$817)), ROW(186:186))), "")</f>
        <v/>
      </c>
      <c r="U189" s="106">
        <f t="array" ref="U189">IFERROR(INDEX('Bank Schedule'!#REF!, SMALL(IF('Bank Schedule'!$K$2:$K$817="Vacant", ROW('Bank Schedule'!$K$2:$K$817)), ROW(186:186))), "")</f>
        <v/>
      </c>
      <c r="V189" s="10">
        <f t="array" ref="V189">IFERROR(INDEX('Bank Schedule'!#REF!, SMALL(IF('Bank Schedule'!$K$2:$K$817="Vacant", ROW('Bank Schedule'!$K$2:$K$817)), ROW(186:186))), "")</f>
        <v/>
      </c>
      <c r="W189" s="10">
        <f t="array" ref="W189">IFERROR(INDEX('Bank Schedule'!#REF!, SMALL(IF('Bank Schedule'!$K$2:$K$817="Vacant", ROW('Bank Schedule'!$K$2:$K$817)), ROW(186:186))), "")</f>
        <v/>
      </c>
      <c r="X189" s="10">
        <f t="array" ref="X189">IFERROR(INDEX('Bank Schedule'!V:V, SMALL(IF('Bank Schedule'!$K$2:$K$817="Vacant", ROW('Bank Schedule'!$K$2:$K$817)), ROW(186:186))), "")</f>
        <v/>
      </c>
      <c r="Y189" s="10">
        <f t="array" ref="Y189">IFERROR(INDEX('Bank Schedule'!W:W, SMALL(IF('Bank Schedule'!$K$2:$K$817="Vacant", ROW('Bank Schedule'!$K$2:$K$817)), ROW(186:186))), "")</f>
        <v/>
      </c>
      <c r="Z189" s="60">
        <f t="array" ref="Z189">IFERROR(INDEX('Bank Schedule'!Z:Z, SMALL(IF('Bank Schedule'!$K$2:$K$817="Vacant", ROW('Bank Schedule'!$K$2:$K$817)), ROW(186:186))), "")</f>
        <v/>
      </c>
      <c r="AA189" s="53">
        <f t="array" ref="AA189">IFERROR(INDEX('Bank Schedule'!AA:AA, SMALL(IF('Bank Schedule'!$K$2:$K$817="Vacant", ROW('Bank Schedule'!$K$2:$K$817)), ROW(186:186))), "")</f>
        <v/>
      </c>
      <c r="AB189" s="14">
        <f t="array" ref="AB189">IFERROR(INDEX('Bank Schedule'!AB:AB, SMALL(IF('Bank Schedule'!$K$2:$K$817="Vacant", ROW('Bank Schedule'!$K$2:$K$817)), ROW(186:186))), "")</f>
        <v/>
      </c>
      <c r="AC189" s="4">
        <f t="array" ref="AC189">IFERROR(INDEX('Bank Schedule'!AC:AC, SMALL(IF('Bank Schedule'!$K$2:$K$817="Vacant", ROW('Bank Schedule'!$K$2:$K$817)), ROW(186:186))), "")</f>
        <v/>
      </c>
    </row>
    <row r="190" ht="23.25" customHeight="1">
      <c r="A190" s="2">
        <f t="array" ref="A190">IFERROR(INDEX('Bank Schedule'!A:A, SMALL(IF('Bank Schedule'!$K$2:$K$817="Vacant", ROW('Bank Schedule'!$K$2:$K$817)), ROW(187:187))), "")</f>
        <v/>
      </c>
      <c r="B190" s="11">
        <f t="array" ref="B190">IFERROR(INDEX('Bank Schedule'!B:B, SMALL(IF('Bank Schedule'!$K$2:$K$817="Vacant", ROW('Bank Schedule'!$K$2:$K$817)), ROW(187:187))), "")</f>
        <v/>
      </c>
      <c r="C190" s="11">
        <f t="array" ref="C190">IFERROR(INDEX('Bank Schedule'!C:C, SMALL(IF('Bank Schedule'!$K$2:$K$817="Vacant", ROW('Bank Schedule'!$K$2:$K$817)), ROW(187:187))), "")</f>
        <v/>
      </c>
      <c r="D190" s="2">
        <f t="array" ref="D190">IFERROR(INDEX('Bank Schedule'!D:D, SMALL(IF('Bank Schedule'!$K$2:$K$817="Vacant", ROW('Bank Schedule'!$K$2:$K$817)), ROW(187:187))), "")</f>
        <v/>
      </c>
      <c r="E190" s="4">
        <f t="array" ref="E190">IFERROR(INDEX('Bank Schedule'!E:E, SMALL(IF('Bank Schedule'!$K$2:$K$817="Vacant", ROW('Bank Schedule'!$K$2:$K$817)), ROW(187:187))), "")</f>
        <v/>
      </c>
      <c r="F190" s="4">
        <f t="array" ref="F190">IFERROR(INDEX('Bank Schedule'!F:F, SMALL(IF('Bank Schedule'!$K$2:$K$817="Vacant", ROW('Bank Schedule'!$K$2:$K$817)), ROW(187:187))), "")</f>
        <v/>
      </c>
      <c r="G190" s="14">
        <f t="array" ref="G190">IFERROR(INDEX('Bank Schedule'!G:G, SMALL(IF('Bank Schedule'!$K$2:$K$817="Vacant", ROW('Bank Schedule'!$K$2:$K$817)), ROW(187:187))), "")</f>
        <v/>
      </c>
      <c r="H190" s="7">
        <f t="array" ref="H190">IFERROR(INDEX('Bank Schedule'!H:H, SMALL(IF('Bank Schedule'!$K$2:$K$817="Vacant", ROW('Bank Schedule'!$K$2:$K$817)), ROW(187:187))), "")</f>
        <v/>
      </c>
      <c r="I190" s="7">
        <f t="array" ref="I190">IFERROR(INDEX('Bank Schedule'!I:I, SMALL(IF('Bank Schedule'!$K$2:$K$817="Vacant", ROW('Bank Schedule'!$K$2:$K$817)), ROW(187:187))), "")</f>
        <v/>
      </c>
      <c r="J190" s="14">
        <f t="array" ref="J190">IFERROR(INDEX('Bank Schedule'!K:K, SMALL(IF('Bank Schedule'!$K$2:$K$817="Vacant", ROW('Bank Schedule'!$K$2:$K$817)), ROW(187:187))), "")</f>
        <v/>
      </c>
      <c r="K190" s="25">
        <f t="array" ref="K190">IFERROR(INDEX('Bank Schedule'!#REF!, SMALL(IF('Bank Schedule'!$K$2:$K$817="Vacant", ROW('Bank Schedule'!$K$2:$K$817)), ROW(187:187))), "")</f>
        <v/>
      </c>
      <c r="L190" s="8">
        <f t="array" ref="L190">IFERROR(INDEX('Bank Schedule'!L:L, SMALL(IF('Bank Schedule'!$K$2:$K$817="Vacant", ROW('Bank Schedule'!$K$2:$K$817)), ROW(187:187))), "")</f>
        <v/>
      </c>
      <c r="M190" s="9">
        <f t="array" ref="M190">IFERROR(INDEX('Bank Schedule'!M:M, SMALL(IF('Bank Schedule'!$K$2:$K$817="Vacant", ROW('Bank Schedule'!$K$2:$K$817)), ROW(187:187))), "")</f>
        <v/>
      </c>
      <c r="N190" s="9">
        <f t="array" ref="N190">IFERROR(INDEX('Bank Schedule'!N:N, SMALL(IF('Bank Schedule'!$K$2:$K$817="Vacant", ROW('Bank Schedule'!$K$2:$K$817)), ROW(187:187))), "")</f>
        <v/>
      </c>
      <c r="O190" s="9">
        <f t="array" ref="O190">IFERROR(INDEX('Bank Schedule'!O:O, SMALL(IF('Bank Schedule'!$K$2:$K$817="Vacant", ROW('Bank Schedule'!$K$2:$K$817)), ROW(187:187))), "")</f>
        <v/>
      </c>
      <c r="P190" s="9">
        <f t="array" ref="P190">IFERROR(INDEX('Bank Schedule'!P:P, SMALL(IF('Bank Schedule'!$K$2:$K$817="Vacant", ROW('Bank Schedule'!$K$2:$K$817)), ROW(187:187))), "")</f>
        <v/>
      </c>
      <c r="Q190" s="9">
        <f t="array" ref="Q190">IFERROR(INDEX('Bank Schedule'!#REF!, SMALL(IF('Bank Schedule'!$K$2:$K$817="Vacant", ROW('Bank Schedule'!$K$2:$K$817)), ROW(187:187))), "")</f>
        <v/>
      </c>
      <c r="R190" s="10">
        <f t="array" ref="R190">IFERROR(INDEX('Bank Schedule'!Q:Q, SMALL(IF('Bank Schedule'!$K$2:$K$817="Vacant", ROW('Bank Schedule'!$K$2:$K$817)), ROW(187:187))), "")</f>
        <v/>
      </c>
      <c r="S190" s="10">
        <f t="array" ref="S190">IFERROR(INDEX('Bank Schedule'!R:R, SMALL(IF('Bank Schedule'!$K$2:$K$817="Vacant", ROW('Bank Schedule'!$K$2:$K$817)), ROW(187:187))), "")</f>
        <v/>
      </c>
      <c r="T190" s="10">
        <f t="array" ref="T190">IFERROR(INDEX('Bank Schedule'!S:S, SMALL(IF('Bank Schedule'!$K$2:$K$817="Vacant", ROW('Bank Schedule'!$K$2:$K$817)), ROW(187:187))), "")</f>
        <v/>
      </c>
      <c r="U190" s="106">
        <f t="array" ref="U190">IFERROR(INDEX('Bank Schedule'!#REF!, SMALL(IF('Bank Schedule'!$K$2:$K$817="Vacant", ROW('Bank Schedule'!$K$2:$K$817)), ROW(187:187))), "")</f>
        <v/>
      </c>
      <c r="V190" s="10">
        <f t="array" ref="V190">IFERROR(INDEX('Bank Schedule'!#REF!, SMALL(IF('Bank Schedule'!$K$2:$K$817="Vacant", ROW('Bank Schedule'!$K$2:$K$817)), ROW(187:187))), "")</f>
        <v/>
      </c>
      <c r="W190" s="10">
        <f t="array" ref="W190">IFERROR(INDEX('Bank Schedule'!#REF!, SMALL(IF('Bank Schedule'!$K$2:$K$817="Vacant", ROW('Bank Schedule'!$K$2:$K$817)), ROW(187:187))), "")</f>
        <v/>
      </c>
      <c r="X190" s="10">
        <f t="array" ref="X190">IFERROR(INDEX('Bank Schedule'!V:V, SMALL(IF('Bank Schedule'!$K$2:$K$817="Vacant", ROW('Bank Schedule'!$K$2:$K$817)), ROW(187:187))), "")</f>
        <v/>
      </c>
      <c r="Y190" s="10">
        <f t="array" ref="Y190">IFERROR(INDEX('Bank Schedule'!W:W, SMALL(IF('Bank Schedule'!$K$2:$K$817="Vacant", ROW('Bank Schedule'!$K$2:$K$817)), ROW(187:187))), "")</f>
        <v/>
      </c>
      <c r="Z190" s="60">
        <f t="array" ref="Z190">IFERROR(INDEX('Bank Schedule'!Z:Z, SMALL(IF('Bank Schedule'!$K$2:$K$817="Vacant", ROW('Bank Schedule'!$K$2:$K$817)), ROW(187:187))), "")</f>
        <v/>
      </c>
      <c r="AA190" s="53">
        <f t="array" ref="AA190">IFERROR(INDEX('Bank Schedule'!AA:AA, SMALL(IF('Bank Schedule'!$K$2:$K$817="Vacant", ROW('Bank Schedule'!$K$2:$K$817)), ROW(187:187))), "")</f>
        <v/>
      </c>
      <c r="AB190" s="14">
        <f t="array" ref="AB190">IFERROR(INDEX('Bank Schedule'!AB:AB, SMALL(IF('Bank Schedule'!$K$2:$K$817="Vacant", ROW('Bank Schedule'!$K$2:$K$817)), ROW(187:187))), "")</f>
        <v/>
      </c>
      <c r="AC190" s="4">
        <f t="array" ref="AC190">IFERROR(INDEX('Bank Schedule'!AC:AC, SMALL(IF('Bank Schedule'!$K$2:$K$817="Vacant", ROW('Bank Schedule'!$K$2:$K$817)), ROW(187:187))), "")</f>
        <v/>
      </c>
    </row>
    <row r="191" ht="23.25" customHeight="1">
      <c r="A191" s="2">
        <f t="array" ref="A191">IFERROR(INDEX('Bank Schedule'!A:A, SMALL(IF('Bank Schedule'!$K$2:$K$817="Vacant", ROW('Bank Schedule'!$K$2:$K$817)), ROW(188:188))), "")</f>
        <v/>
      </c>
      <c r="B191" s="11">
        <f t="array" ref="B191">IFERROR(INDEX('Bank Schedule'!B:B, SMALL(IF('Bank Schedule'!$K$2:$K$817="Vacant", ROW('Bank Schedule'!$K$2:$K$817)), ROW(188:188))), "")</f>
        <v/>
      </c>
      <c r="C191" s="11">
        <f t="array" ref="C191">IFERROR(INDEX('Bank Schedule'!C:C, SMALL(IF('Bank Schedule'!$K$2:$K$817="Vacant", ROW('Bank Schedule'!$K$2:$K$817)), ROW(188:188))), "")</f>
        <v/>
      </c>
      <c r="D191" s="2">
        <f t="array" ref="D191">IFERROR(INDEX('Bank Schedule'!D:D, SMALL(IF('Bank Schedule'!$K$2:$K$817="Vacant", ROW('Bank Schedule'!$K$2:$K$817)), ROW(188:188))), "")</f>
        <v/>
      </c>
      <c r="E191" s="4">
        <f t="array" ref="E191">IFERROR(INDEX('Bank Schedule'!E:E, SMALL(IF('Bank Schedule'!$K$2:$K$817="Vacant", ROW('Bank Schedule'!$K$2:$K$817)), ROW(188:188))), "")</f>
        <v/>
      </c>
      <c r="F191" s="4">
        <f t="array" ref="F191">IFERROR(INDEX('Bank Schedule'!F:F, SMALL(IF('Bank Schedule'!$K$2:$K$817="Vacant", ROW('Bank Schedule'!$K$2:$K$817)), ROW(188:188))), "")</f>
        <v/>
      </c>
      <c r="G191" s="14">
        <f t="array" ref="G191">IFERROR(INDEX('Bank Schedule'!G:G, SMALL(IF('Bank Schedule'!$K$2:$K$817="Vacant", ROW('Bank Schedule'!$K$2:$K$817)), ROW(188:188))), "")</f>
        <v/>
      </c>
      <c r="H191" s="7">
        <f t="array" ref="H191">IFERROR(INDEX('Bank Schedule'!H:H, SMALL(IF('Bank Schedule'!$K$2:$K$817="Vacant", ROW('Bank Schedule'!$K$2:$K$817)), ROW(188:188))), "")</f>
        <v/>
      </c>
      <c r="I191" s="7">
        <f t="array" ref="I191">IFERROR(INDEX('Bank Schedule'!I:I, SMALL(IF('Bank Schedule'!$K$2:$K$817="Vacant", ROW('Bank Schedule'!$K$2:$K$817)), ROW(188:188))), "")</f>
        <v/>
      </c>
      <c r="J191" s="14">
        <f t="array" ref="J191">IFERROR(INDEX('Bank Schedule'!K:K, SMALL(IF('Bank Schedule'!$K$2:$K$817="Vacant", ROW('Bank Schedule'!$K$2:$K$817)), ROW(188:188))), "")</f>
        <v/>
      </c>
      <c r="K191" s="25">
        <f t="array" ref="K191">IFERROR(INDEX('Bank Schedule'!#REF!, SMALL(IF('Bank Schedule'!$K$2:$K$817="Vacant", ROW('Bank Schedule'!$K$2:$K$817)), ROW(188:188))), "")</f>
        <v/>
      </c>
      <c r="L191" s="8">
        <f t="array" ref="L191">IFERROR(INDEX('Bank Schedule'!L:L, SMALL(IF('Bank Schedule'!$K$2:$K$817="Vacant", ROW('Bank Schedule'!$K$2:$K$817)), ROW(188:188))), "")</f>
        <v/>
      </c>
      <c r="M191" s="9">
        <f t="array" ref="M191">IFERROR(INDEX('Bank Schedule'!M:M, SMALL(IF('Bank Schedule'!$K$2:$K$817="Vacant", ROW('Bank Schedule'!$K$2:$K$817)), ROW(188:188))), "")</f>
        <v/>
      </c>
      <c r="N191" s="9">
        <f t="array" ref="N191">IFERROR(INDEX('Bank Schedule'!N:N, SMALL(IF('Bank Schedule'!$K$2:$K$817="Vacant", ROW('Bank Schedule'!$K$2:$K$817)), ROW(188:188))), "")</f>
        <v/>
      </c>
      <c r="O191" s="9">
        <f t="array" ref="O191">IFERROR(INDEX('Bank Schedule'!O:O, SMALL(IF('Bank Schedule'!$K$2:$K$817="Vacant", ROW('Bank Schedule'!$K$2:$K$817)), ROW(188:188))), "")</f>
        <v/>
      </c>
      <c r="P191" s="9">
        <f t="array" ref="P191">IFERROR(INDEX('Bank Schedule'!P:P, SMALL(IF('Bank Schedule'!$K$2:$K$817="Vacant", ROW('Bank Schedule'!$K$2:$K$817)), ROW(188:188))), "")</f>
        <v/>
      </c>
      <c r="Q191" s="9">
        <f t="array" ref="Q191">IFERROR(INDEX('Bank Schedule'!#REF!, SMALL(IF('Bank Schedule'!$K$2:$K$817="Vacant", ROW('Bank Schedule'!$K$2:$K$817)), ROW(188:188))), "")</f>
        <v/>
      </c>
      <c r="R191" s="10">
        <f t="array" ref="R191">IFERROR(INDEX('Bank Schedule'!Q:Q, SMALL(IF('Bank Schedule'!$K$2:$K$817="Vacant", ROW('Bank Schedule'!$K$2:$K$817)), ROW(188:188))), "")</f>
        <v/>
      </c>
      <c r="S191" s="10">
        <f t="array" ref="S191">IFERROR(INDEX('Bank Schedule'!R:R, SMALL(IF('Bank Schedule'!$K$2:$K$817="Vacant", ROW('Bank Schedule'!$K$2:$K$817)), ROW(188:188))), "")</f>
        <v/>
      </c>
      <c r="T191" s="10">
        <f t="array" ref="T191">IFERROR(INDEX('Bank Schedule'!S:S, SMALL(IF('Bank Schedule'!$K$2:$K$817="Vacant", ROW('Bank Schedule'!$K$2:$K$817)), ROW(188:188))), "")</f>
        <v/>
      </c>
      <c r="U191" s="106">
        <f t="array" ref="U191">IFERROR(INDEX('Bank Schedule'!#REF!, SMALL(IF('Bank Schedule'!$K$2:$K$817="Vacant", ROW('Bank Schedule'!$K$2:$K$817)), ROW(188:188))), "")</f>
        <v/>
      </c>
      <c r="V191" s="10">
        <f t="array" ref="V191">IFERROR(INDEX('Bank Schedule'!#REF!, SMALL(IF('Bank Schedule'!$K$2:$K$817="Vacant", ROW('Bank Schedule'!$K$2:$K$817)), ROW(188:188))), "")</f>
        <v/>
      </c>
      <c r="W191" s="10">
        <f t="array" ref="W191">IFERROR(INDEX('Bank Schedule'!#REF!, SMALL(IF('Bank Schedule'!$K$2:$K$817="Vacant", ROW('Bank Schedule'!$K$2:$K$817)), ROW(188:188))), "")</f>
        <v/>
      </c>
      <c r="X191" s="10">
        <f t="array" ref="X191">IFERROR(INDEX('Bank Schedule'!V:V, SMALL(IF('Bank Schedule'!$K$2:$K$817="Vacant", ROW('Bank Schedule'!$K$2:$K$817)), ROW(188:188))), "")</f>
        <v/>
      </c>
      <c r="Y191" s="10">
        <f t="array" ref="Y191">IFERROR(INDEX('Bank Schedule'!W:W, SMALL(IF('Bank Schedule'!$K$2:$K$817="Vacant", ROW('Bank Schedule'!$K$2:$K$817)), ROW(188:188))), "")</f>
        <v/>
      </c>
      <c r="Z191" s="60">
        <f t="array" ref="Z191">IFERROR(INDEX('Bank Schedule'!Z:Z, SMALL(IF('Bank Schedule'!$K$2:$K$817="Vacant", ROW('Bank Schedule'!$K$2:$K$817)), ROW(188:188))), "")</f>
        <v/>
      </c>
      <c r="AA191" s="53">
        <f t="array" ref="AA191">IFERROR(INDEX('Bank Schedule'!AA:AA, SMALL(IF('Bank Schedule'!$K$2:$K$817="Vacant", ROW('Bank Schedule'!$K$2:$K$817)), ROW(188:188))), "")</f>
        <v/>
      </c>
      <c r="AB191" s="14">
        <f t="array" ref="AB191">IFERROR(INDEX('Bank Schedule'!AB:AB, SMALL(IF('Bank Schedule'!$K$2:$K$817="Vacant", ROW('Bank Schedule'!$K$2:$K$817)), ROW(188:188))), "")</f>
        <v/>
      </c>
      <c r="AC191" s="4">
        <f t="array" ref="AC191">IFERROR(INDEX('Bank Schedule'!AC:AC, SMALL(IF('Bank Schedule'!$K$2:$K$817="Vacant", ROW('Bank Schedule'!$K$2:$K$817)), ROW(188:188))), "")</f>
        <v/>
      </c>
    </row>
    <row r="192" ht="23.25" customHeight="1">
      <c r="A192" s="2">
        <f t="array" ref="A192">IFERROR(INDEX('Bank Schedule'!A:A, SMALL(IF('Bank Schedule'!$K$2:$K$817="Vacant", ROW('Bank Schedule'!$K$2:$K$817)), ROW(189:189))), "")</f>
        <v/>
      </c>
      <c r="B192" s="11">
        <f t="array" ref="B192">IFERROR(INDEX('Bank Schedule'!B:B, SMALL(IF('Bank Schedule'!$K$2:$K$817="Vacant", ROW('Bank Schedule'!$K$2:$K$817)), ROW(189:189))), "")</f>
        <v/>
      </c>
      <c r="C192" s="11">
        <f t="array" ref="C192">IFERROR(INDEX('Bank Schedule'!C:C, SMALL(IF('Bank Schedule'!$K$2:$K$817="Vacant", ROW('Bank Schedule'!$K$2:$K$817)), ROW(189:189))), "")</f>
        <v/>
      </c>
      <c r="D192" s="2">
        <f t="array" ref="D192">IFERROR(INDEX('Bank Schedule'!D:D, SMALL(IF('Bank Schedule'!$K$2:$K$817="Vacant", ROW('Bank Schedule'!$K$2:$K$817)), ROW(189:189))), "")</f>
        <v/>
      </c>
      <c r="E192" s="4">
        <f t="array" ref="E192">IFERROR(INDEX('Bank Schedule'!E:E, SMALL(IF('Bank Schedule'!$K$2:$K$817="Vacant", ROW('Bank Schedule'!$K$2:$K$817)), ROW(189:189))), "")</f>
        <v/>
      </c>
      <c r="F192" s="4">
        <f t="array" ref="F192">IFERROR(INDEX('Bank Schedule'!F:F, SMALL(IF('Bank Schedule'!$K$2:$K$817="Vacant", ROW('Bank Schedule'!$K$2:$K$817)), ROW(189:189))), "")</f>
        <v/>
      </c>
      <c r="G192" s="14">
        <f t="array" ref="G192">IFERROR(INDEX('Bank Schedule'!G:G, SMALL(IF('Bank Schedule'!$K$2:$K$817="Vacant", ROW('Bank Schedule'!$K$2:$K$817)), ROW(189:189))), "")</f>
        <v/>
      </c>
      <c r="H192" s="7">
        <f t="array" ref="H192">IFERROR(INDEX('Bank Schedule'!H:H, SMALL(IF('Bank Schedule'!$K$2:$K$817="Vacant", ROW('Bank Schedule'!$K$2:$K$817)), ROW(189:189))), "")</f>
        <v/>
      </c>
      <c r="I192" s="7">
        <f t="array" ref="I192">IFERROR(INDEX('Bank Schedule'!I:I, SMALL(IF('Bank Schedule'!$K$2:$K$817="Vacant", ROW('Bank Schedule'!$K$2:$K$817)), ROW(189:189))), "")</f>
        <v/>
      </c>
      <c r="J192" s="14">
        <f t="array" ref="J192">IFERROR(INDEX('Bank Schedule'!K:K, SMALL(IF('Bank Schedule'!$K$2:$K$817="Vacant", ROW('Bank Schedule'!$K$2:$K$817)), ROW(189:189))), "")</f>
        <v/>
      </c>
      <c r="K192" s="25">
        <f t="array" ref="K192">IFERROR(INDEX('Bank Schedule'!#REF!, SMALL(IF('Bank Schedule'!$K$2:$K$817="Vacant", ROW('Bank Schedule'!$K$2:$K$817)), ROW(189:189))), "")</f>
        <v/>
      </c>
      <c r="L192" s="8">
        <f t="array" ref="L192">IFERROR(INDEX('Bank Schedule'!L:L, SMALL(IF('Bank Schedule'!$K$2:$K$817="Vacant", ROW('Bank Schedule'!$K$2:$K$817)), ROW(189:189))), "")</f>
        <v/>
      </c>
      <c r="M192" s="9">
        <f t="array" ref="M192">IFERROR(INDEX('Bank Schedule'!M:M, SMALL(IF('Bank Schedule'!$K$2:$K$817="Vacant", ROW('Bank Schedule'!$K$2:$K$817)), ROW(189:189))), "")</f>
        <v/>
      </c>
      <c r="N192" s="9">
        <f t="array" ref="N192">IFERROR(INDEX('Bank Schedule'!N:N, SMALL(IF('Bank Schedule'!$K$2:$K$817="Vacant", ROW('Bank Schedule'!$K$2:$K$817)), ROW(189:189))), "")</f>
        <v/>
      </c>
      <c r="O192" s="9">
        <f t="array" ref="O192">IFERROR(INDEX('Bank Schedule'!O:O, SMALL(IF('Bank Schedule'!$K$2:$K$817="Vacant", ROW('Bank Schedule'!$K$2:$K$817)), ROW(189:189))), "")</f>
        <v/>
      </c>
      <c r="P192" s="9">
        <f t="array" ref="P192">IFERROR(INDEX('Bank Schedule'!P:P, SMALL(IF('Bank Schedule'!$K$2:$K$817="Vacant", ROW('Bank Schedule'!$K$2:$K$817)), ROW(189:189))), "")</f>
        <v/>
      </c>
      <c r="Q192" s="9">
        <f t="array" ref="Q192">IFERROR(INDEX('Bank Schedule'!#REF!, SMALL(IF('Bank Schedule'!$K$2:$K$817="Vacant", ROW('Bank Schedule'!$K$2:$K$817)), ROW(189:189))), "")</f>
        <v/>
      </c>
      <c r="R192" s="10">
        <f t="array" ref="R192">IFERROR(INDEX('Bank Schedule'!Q:Q, SMALL(IF('Bank Schedule'!$K$2:$K$817="Vacant", ROW('Bank Schedule'!$K$2:$K$817)), ROW(189:189))), "")</f>
        <v/>
      </c>
      <c r="S192" s="10">
        <f t="array" ref="S192">IFERROR(INDEX('Bank Schedule'!R:R, SMALL(IF('Bank Schedule'!$K$2:$K$817="Vacant", ROW('Bank Schedule'!$K$2:$K$817)), ROW(189:189))), "")</f>
        <v/>
      </c>
      <c r="T192" s="10">
        <f t="array" ref="T192">IFERROR(INDEX('Bank Schedule'!S:S, SMALL(IF('Bank Schedule'!$K$2:$K$817="Vacant", ROW('Bank Schedule'!$K$2:$K$817)), ROW(189:189))), "")</f>
        <v/>
      </c>
      <c r="U192" s="106">
        <f t="array" ref="U192">IFERROR(INDEX('Bank Schedule'!#REF!, SMALL(IF('Bank Schedule'!$K$2:$K$817="Vacant", ROW('Bank Schedule'!$K$2:$K$817)), ROW(189:189))), "")</f>
        <v/>
      </c>
      <c r="V192" s="10">
        <f t="array" ref="V192">IFERROR(INDEX('Bank Schedule'!#REF!, SMALL(IF('Bank Schedule'!$K$2:$K$817="Vacant", ROW('Bank Schedule'!$K$2:$K$817)), ROW(189:189))), "")</f>
        <v/>
      </c>
      <c r="W192" s="10">
        <f t="array" ref="W192">IFERROR(INDEX('Bank Schedule'!#REF!, SMALL(IF('Bank Schedule'!$K$2:$K$817="Vacant", ROW('Bank Schedule'!$K$2:$K$817)), ROW(189:189))), "")</f>
        <v/>
      </c>
      <c r="X192" s="10">
        <f t="array" ref="X192">IFERROR(INDEX('Bank Schedule'!V:V, SMALL(IF('Bank Schedule'!$K$2:$K$817="Vacant", ROW('Bank Schedule'!$K$2:$K$817)), ROW(189:189))), "")</f>
        <v/>
      </c>
      <c r="Y192" s="10">
        <f t="array" ref="Y192">IFERROR(INDEX('Bank Schedule'!W:W, SMALL(IF('Bank Schedule'!$K$2:$K$817="Vacant", ROW('Bank Schedule'!$K$2:$K$817)), ROW(189:189))), "")</f>
        <v/>
      </c>
      <c r="Z192" s="60">
        <f t="array" ref="Z192">IFERROR(INDEX('Bank Schedule'!Z:Z, SMALL(IF('Bank Schedule'!$K$2:$K$817="Vacant", ROW('Bank Schedule'!$K$2:$K$817)), ROW(189:189))), "")</f>
        <v/>
      </c>
      <c r="AA192" s="53">
        <f t="array" ref="AA192">IFERROR(INDEX('Bank Schedule'!AA:AA, SMALL(IF('Bank Schedule'!$K$2:$K$817="Vacant", ROW('Bank Schedule'!$K$2:$K$817)), ROW(189:189))), "")</f>
        <v/>
      </c>
      <c r="AB192" s="14">
        <f t="array" ref="AB192">IFERROR(INDEX('Bank Schedule'!AB:AB, SMALL(IF('Bank Schedule'!$K$2:$K$817="Vacant", ROW('Bank Schedule'!$K$2:$K$817)), ROW(189:189))), "")</f>
        <v/>
      </c>
      <c r="AC192" s="4">
        <f t="array" ref="AC192">IFERROR(INDEX('Bank Schedule'!AC:AC, SMALL(IF('Bank Schedule'!$K$2:$K$817="Vacant", ROW('Bank Schedule'!$K$2:$K$817)), ROW(189:189))), "")</f>
        <v/>
      </c>
    </row>
    <row r="193" ht="14.25" customHeight="1">
      <c r="A193" s="2">
        <f t="array" ref="A193">IFERROR(INDEX('Bank Schedule'!A:A, SMALL(IF('Bank Schedule'!$K$2:$K$817="Vacant", ROW('Bank Schedule'!$K$2:$K$817)), ROW(190:190))), "")</f>
        <v/>
      </c>
      <c r="B193" s="11">
        <f t="array" ref="B193">IFERROR(INDEX('Bank Schedule'!B:B, SMALL(IF('Bank Schedule'!$K$2:$K$817="Vacant", ROW('Bank Schedule'!$K$2:$K$817)), ROW(190:190))), "")</f>
        <v/>
      </c>
      <c r="C193" s="11">
        <f t="array" ref="C193">IFERROR(INDEX('Bank Schedule'!C:C, SMALL(IF('Bank Schedule'!$K$2:$K$817="Vacant", ROW('Bank Schedule'!$K$2:$K$817)), ROW(190:190))), "")</f>
        <v/>
      </c>
      <c r="D193" s="2">
        <f t="array" ref="D193">IFERROR(INDEX('Bank Schedule'!D:D, SMALL(IF('Bank Schedule'!$K$2:$K$817="Vacant", ROW('Bank Schedule'!$K$2:$K$817)), ROW(190:190))), "")</f>
        <v/>
      </c>
      <c r="E193" s="4">
        <f t="array" ref="E193">IFERROR(INDEX('Bank Schedule'!E:E, SMALL(IF('Bank Schedule'!$K$2:$K$817="Vacant", ROW('Bank Schedule'!$K$2:$K$817)), ROW(190:190))), "")</f>
        <v/>
      </c>
      <c r="F193" s="4">
        <f t="array" ref="F193">IFERROR(INDEX('Bank Schedule'!F:F, SMALL(IF('Bank Schedule'!$K$2:$K$817="Vacant", ROW('Bank Schedule'!$K$2:$K$817)), ROW(190:190))), "")</f>
        <v/>
      </c>
      <c r="G193" s="14">
        <f t="array" ref="G193">IFERROR(INDEX('Bank Schedule'!G:G, SMALL(IF('Bank Schedule'!$K$2:$K$817="Vacant", ROW('Bank Schedule'!$K$2:$K$817)), ROW(190:190))), "")</f>
        <v/>
      </c>
      <c r="H193" s="7">
        <f t="array" ref="H193">IFERROR(INDEX('Bank Schedule'!H:H, SMALL(IF('Bank Schedule'!$K$2:$K$817="Vacant", ROW('Bank Schedule'!$K$2:$K$817)), ROW(190:190))), "")</f>
        <v/>
      </c>
      <c r="I193" s="7">
        <f t="array" ref="I193">IFERROR(INDEX('Bank Schedule'!I:I, SMALL(IF('Bank Schedule'!$K$2:$K$817="Vacant", ROW('Bank Schedule'!$K$2:$K$817)), ROW(190:190))), "")</f>
        <v/>
      </c>
      <c r="J193" s="14">
        <f t="array" ref="J193">IFERROR(INDEX('Bank Schedule'!K:K, SMALL(IF('Bank Schedule'!$K$2:$K$817="Vacant", ROW('Bank Schedule'!$K$2:$K$817)), ROW(190:190))), "")</f>
        <v/>
      </c>
      <c r="K193" s="25">
        <f t="array" ref="K193">IFERROR(INDEX('Bank Schedule'!#REF!, SMALL(IF('Bank Schedule'!$K$2:$K$817="Vacant", ROW('Bank Schedule'!$K$2:$K$817)), ROW(190:190))), "")</f>
        <v/>
      </c>
      <c r="L193" s="8">
        <f t="array" ref="L193">IFERROR(INDEX('Bank Schedule'!L:L, SMALL(IF('Bank Schedule'!$K$2:$K$817="Vacant", ROW('Bank Schedule'!$K$2:$K$817)), ROW(190:190))), "")</f>
        <v/>
      </c>
      <c r="M193" s="9">
        <f t="array" ref="M193">IFERROR(INDEX('Bank Schedule'!M:M, SMALL(IF('Bank Schedule'!$K$2:$K$817="Vacant", ROW('Bank Schedule'!$K$2:$K$817)), ROW(190:190))), "")</f>
        <v/>
      </c>
      <c r="N193" s="9">
        <f t="array" ref="N193">IFERROR(INDEX('Bank Schedule'!N:N, SMALL(IF('Bank Schedule'!$K$2:$K$817="Vacant", ROW('Bank Schedule'!$K$2:$K$817)), ROW(190:190))), "")</f>
        <v/>
      </c>
      <c r="O193" s="9">
        <f t="array" ref="O193">IFERROR(INDEX('Bank Schedule'!O:O, SMALL(IF('Bank Schedule'!$K$2:$K$817="Vacant", ROW('Bank Schedule'!$K$2:$K$817)), ROW(190:190))), "")</f>
        <v/>
      </c>
      <c r="P193" s="9">
        <f t="array" ref="P193">IFERROR(INDEX('Bank Schedule'!P:P, SMALL(IF('Bank Schedule'!$K$2:$K$817="Vacant", ROW('Bank Schedule'!$K$2:$K$817)), ROW(190:190))), "")</f>
        <v/>
      </c>
      <c r="Q193" s="9">
        <f t="array" ref="Q193">IFERROR(INDEX('Bank Schedule'!#REF!, SMALL(IF('Bank Schedule'!$K$2:$K$817="Vacant", ROW('Bank Schedule'!$K$2:$K$817)), ROW(190:190))), "")</f>
        <v/>
      </c>
      <c r="R193" s="10">
        <f t="array" ref="R193">IFERROR(INDEX('Bank Schedule'!Q:Q, SMALL(IF('Bank Schedule'!$K$2:$K$817="Vacant", ROW('Bank Schedule'!$K$2:$K$817)), ROW(190:190))), "")</f>
        <v/>
      </c>
      <c r="S193" s="10">
        <f t="array" ref="S193">IFERROR(INDEX('Bank Schedule'!R:R, SMALL(IF('Bank Schedule'!$K$2:$K$817="Vacant", ROW('Bank Schedule'!$K$2:$K$817)), ROW(190:190))), "")</f>
        <v/>
      </c>
      <c r="T193" s="10">
        <f t="array" ref="T193">IFERROR(INDEX('Bank Schedule'!S:S, SMALL(IF('Bank Schedule'!$K$2:$K$817="Vacant", ROW('Bank Schedule'!$K$2:$K$817)), ROW(190:190))), "")</f>
        <v/>
      </c>
      <c r="U193" s="106">
        <f t="array" ref="U193">IFERROR(INDEX('Bank Schedule'!#REF!, SMALL(IF('Bank Schedule'!$K$2:$K$817="Vacant", ROW('Bank Schedule'!$K$2:$K$817)), ROW(190:190))), "")</f>
        <v/>
      </c>
      <c r="V193" s="10">
        <f t="array" ref="V193">IFERROR(INDEX('Bank Schedule'!#REF!, SMALL(IF('Bank Schedule'!$K$2:$K$817="Vacant", ROW('Bank Schedule'!$K$2:$K$817)), ROW(190:190))), "")</f>
        <v/>
      </c>
      <c r="W193" s="10">
        <f t="array" ref="W193">IFERROR(INDEX('Bank Schedule'!#REF!, SMALL(IF('Bank Schedule'!$K$2:$K$817="Vacant", ROW('Bank Schedule'!$K$2:$K$817)), ROW(190:190))), "")</f>
        <v/>
      </c>
      <c r="X193" s="10">
        <f t="array" ref="X193">IFERROR(INDEX('Bank Schedule'!V:V, SMALL(IF('Bank Schedule'!$K$2:$K$817="Vacant", ROW('Bank Schedule'!$K$2:$K$817)), ROW(190:190))), "")</f>
        <v/>
      </c>
      <c r="Y193" s="10">
        <f t="array" ref="Y193">IFERROR(INDEX('Bank Schedule'!W:W, SMALL(IF('Bank Schedule'!$K$2:$K$817="Vacant", ROW('Bank Schedule'!$K$2:$K$817)), ROW(190:190))), "")</f>
        <v/>
      </c>
      <c r="Z193" s="60">
        <f t="array" ref="Z193">IFERROR(INDEX('Bank Schedule'!Z:Z, SMALL(IF('Bank Schedule'!$K$2:$K$817="Vacant", ROW('Bank Schedule'!$K$2:$K$817)), ROW(190:190))), "")</f>
        <v/>
      </c>
      <c r="AA193" s="53">
        <f t="array" ref="AA193">IFERROR(INDEX('Bank Schedule'!AA:AA, SMALL(IF('Bank Schedule'!$K$2:$K$817="Vacant", ROW('Bank Schedule'!$K$2:$K$817)), ROW(190:190))), "")</f>
        <v/>
      </c>
      <c r="AB193" s="14">
        <f t="array" ref="AB193">IFERROR(INDEX('Bank Schedule'!AB:AB, SMALL(IF('Bank Schedule'!$K$2:$K$817="Vacant", ROW('Bank Schedule'!$K$2:$K$817)), ROW(190:190))), "")</f>
        <v/>
      </c>
      <c r="AC193" s="4">
        <f t="array" ref="AC193">IFERROR(INDEX('Bank Schedule'!AC:AC, SMALL(IF('Bank Schedule'!$K$2:$K$817="Vacant", ROW('Bank Schedule'!$K$2:$K$817)), ROW(190:190))), "")</f>
        <v/>
      </c>
    </row>
    <row r="194" ht="14.25" customHeight="1">
      <c r="A194" s="2">
        <f t="array" ref="A194">IFERROR(INDEX('Bank Schedule'!A:A, SMALL(IF('Bank Schedule'!$K$2:$K$817="Vacant", ROW('Bank Schedule'!$K$2:$K$817)), ROW(191:191))), "")</f>
        <v/>
      </c>
      <c r="B194" s="11">
        <f t="array" ref="B194">IFERROR(INDEX('Bank Schedule'!B:B, SMALL(IF('Bank Schedule'!$K$2:$K$817="Vacant", ROW('Bank Schedule'!$K$2:$K$817)), ROW(191:191))), "")</f>
        <v/>
      </c>
      <c r="C194" s="11">
        <f t="array" ref="C194">IFERROR(INDEX('Bank Schedule'!C:C, SMALL(IF('Bank Schedule'!$K$2:$K$817="Vacant", ROW('Bank Schedule'!$K$2:$K$817)), ROW(191:191))), "")</f>
        <v/>
      </c>
      <c r="D194" s="2">
        <f t="array" ref="D194">IFERROR(INDEX('Bank Schedule'!D:D, SMALL(IF('Bank Schedule'!$K$2:$K$817="Vacant", ROW('Bank Schedule'!$K$2:$K$817)), ROW(191:191))), "")</f>
        <v/>
      </c>
      <c r="E194" s="4">
        <f t="array" ref="E194">IFERROR(INDEX('Bank Schedule'!E:E, SMALL(IF('Bank Schedule'!$K$2:$K$817="Vacant", ROW('Bank Schedule'!$K$2:$K$817)), ROW(191:191))), "")</f>
        <v/>
      </c>
      <c r="F194" s="4">
        <f t="array" ref="F194">IFERROR(INDEX('Bank Schedule'!F:F, SMALL(IF('Bank Schedule'!$K$2:$K$817="Vacant", ROW('Bank Schedule'!$K$2:$K$817)), ROW(191:191))), "")</f>
        <v/>
      </c>
      <c r="G194" s="14">
        <f t="array" ref="G194">IFERROR(INDEX('Bank Schedule'!G:G, SMALL(IF('Bank Schedule'!$K$2:$K$817="Vacant", ROW('Bank Schedule'!$K$2:$K$817)), ROW(191:191))), "")</f>
        <v/>
      </c>
      <c r="H194" s="7">
        <f t="array" ref="H194">IFERROR(INDEX('Bank Schedule'!H:H, SMALL(IF('Bank Schedule'!$K$2:$K$817="Vacant", ROW('Bank Schedule'!$K$2:$K$817)), ROW(191:191))), "")</f>
        <v/>
      </c>
      <c r="I194" s="7">
        <f t="array" ref="I194">IFERROR(INDEX('Bank Schedule'!I:I, SMALL(IF('Bank Schedule'!$K$2:$K$817="Vacant", ROW('Bank Schedule'!$K$2:$K$817)), ROW(191:191))), "")</f>
        <v/>
      </c>
      <c r="J194" s="14">
        <f t="array" ref="J194">IFERROR(INDEX('Bank Schedule'!K:K, SMALL(IF('Bank Schedule'!$K$2:$K$817="Vacant", ROW('Bank Schedule'!$K$2:$K$817)), ROW(191:191))), "")</f>
        <v/>
      </c>
      <c r="K194" s="25">
        <f t="array" ref="K194">IFERROR(INDEX('Bank Schedule'!#REF!, SMALL(IF('Bank Schedule'!$K$2:$K$817="Vacant", ROW('Bank Schedule'!$K$2:$K$817)), ROW(191:191))), "")</f>
        <v/>
      </c>
      <c r="L194" s="8">
        <f t="array" ref="L194">IFERROR(INDEX('Bank Schedule'!L:L, SMALL(IF('Bank Schedule'!$K$2:$K$817="Vacant", ROW('Bank Schedule'!$K$2:$K$817)), ROW(191:191))), "")</f>
        <v/>
      </c>
      <c r="M194" s="9">
        <f t="array" ref="M194">IFERROR(INDEX('Bank Schedule'!M:M, SMALL(IF('Bank Schedule'!$K$2:$K$817="Vacant", ROW('Bank Schedule'!$K$2:$K$817)), ROW(191:191))), "")</f>
        <v/>
      </c>
      <c r="N194" s="9">
        <f t="array" ref="N194">IFERROR(INDEX('Bank Schedule'!N:N, SMALL(IF('Bank Schedule'!$K$2:$K$817="Vacant", ROW('Bank Schedule'!$K$2:$K$817)), ROW(191:191))), "")</f>
        <v/>
      </c>
      <c r="O194" s="9">
        <f t="array" ref="O194">IFERROR(INDEX('Bank Schedule'!O:O, SMALL(IF('Bank Schedule'!$K$2:$K$817="Vacant", ROW('Bank Schedule'!$K$2:$K$817)), ROW(191:191))), "")</f>
        <v/>
      </c>
      <c r="P194" s="9">
        <f t="array" ref="P194">IFERROR(INDEX('Bank Schedule'!P:P, SMALL(IF('Bank Schedule'!$K$2:$K$817="Vacant", ROW('Bank Schedule'!$K$2:$K$817)), ROW(191:191))), "")</f>
        <v/>
      </c>
      <c r="Q194" s="9">
        <f t="array" ref="Q194">IFERROR(INDEX('Bank Schedule'!#REF!, SMALL(IF('Bank Schedule'!$K$2:$K$817="Vacant", ROW('Bank Schedule'!$K$2:$K$817)), ROW(191:191))), "")</f>
        <v/>
      </c>
      <c r="R194" s="10">
        <f t="array" ref="R194">IFERROR(INDEX('Bank Schedule'!Q:Q, SMALL(IF('Bank Schedule'!$K$2:$K$817="Vacant", ROW('Bank Schedule'!$K$2:$K$817)), ROW(191:191))), "")</f>
        <v/>
      </c>
      <c r="S194" s="10">
        <f t="array" ref="S194">IFERROR(INDEX('Bank Schedule'!R:R, SMALL(IF('Bank Schedule'!$K$2:$K$817="Vacant", ROW('Bank Schedule'!$K$2:$K$817)), ROW(191:191))), "")</f>
        <v/>
      </c>
      <c r="T194" s="10">
        <f t="array" ref="T194">IFERROR(INDEX('Bank Schedule'!S:S, SMALL(IF('Bank Schedule'!$K$2:$K$817="Vacant", ROW('Bank Schedule'!$K$2:$K$817)), ROW(191:191))), "")</f>
        <v/>
      </c>
      <c r="U194" s="106">
        <f t="array" ref="U194">IFERROR(INDEX('Bank Schedule'!#REF!, SMALL(IF('Bank Schedule'!$K$2:$K$817="Vacant", ROW('Bank Schedule'!$K$2:$K$817)), ROW(191:191))), "")</f>
        <v/>
      </c>
      <c r="V194" s="10">
        <f t="array" ref="V194">IFERROR(INDEX('Bank Schedule'!#REF!, SMALL(IF('Bank Schedule'!$K$2:$K$817="Vacant", ROW('Bank Schedule'!$K$2:$K$817)), ROW(191:191))), "")</f>
        <v/>
      </c>
      <c r="W194" s="10">
        <f t="array" ref="W194">IFERROR(INDEX('Bank Schedule'!#REF!, SMALL(IF('Bank Schedule'!$K$2:$K$817="Vacant", ROW('Bank Schedule'!$K$2:$K$817)), ROW(191:191))), "")</f>
        <v/>
      </c>
      <c r="X194" s="10">
        <f t="array" ref="X194">IFERROR(INDEX('Bank Schedule'!V:V, SMALL(IF('Bank Schedule'!$K$2:$K$817="Vacant", ROW('Bank Schedule'!$K$2:$K$817)), ROW(191:191))), "")</f>
        <v/>
      </c>
      <c r="Y194" s="10">
        <f t="array" ref="Y194">IFERROR(INDEX('Bank Schedule'!W:W, SMALL(IF('Bank Schedule'!$K$2:$K$817="Vacant", ROW('Bank Schedule'!$K$2:$K$817)), ROW(191:191))), "")</f>
        <v/>
      </c>
      <c r="Z194" s="60">
        <f t="array" ref="Z194">IFERROR(INDEX('Bank Schedule'!Z:Z, SMALL(IF('Bank Schedule'!$K$2:$K$817="Vacant", ROW('Bank Schedule'!$K$2:$K$817)), ROW(191:191))), "")</f>
        <v/>
      </c>
      <c r="AA194" s="53">
        <f t="array" ref="AA194">IFERROR(INDEX('Bank Schedule'!AA:AA, SMALL(IF('Bank Schedule'!$K$2:$K$817="Vacant", ROW('Bank Schedule'!$K$2:$K$817)), ROW(191:191))), "")</f>
        <v/>
      </c>
      <c r="AB194" s="14">
        <f t="array" ref="AB194">IFERROR(INDEX('Bank Schedule'!AB:AB, SMALL(IF('Bank Schedule'!$K$2:$K$817="Vacant", ROW('Bank Schedule'!$K$2:$K$817)), ROW(191:191))), "")</f>
        <v/>
      </c>
      <c r="AC194" s="4">
        <f t="array" ref="AC194">IFERROR(INDEX('Bank Schedule'!AC:AC, SMALL(IF('Bank Schedule'!$K$2:$K$817="Vacant", ROW('Bank Schedule'!$K$2:$K$817)), ROW(191:191))), "")</f>
        <v/>
      </c>
    </row>
    <row r="195" ht="14.25" customHeight="1">
      <c r="A195" s="2">
        <f t="array" ref="A195">IFERROR(INDEX('Bank Schedule'!A:A, SMALL(IF('Bank Schedule'!$K$2:$K$817="Vacant", ROW('Bank Schedule'!$K$2:$K$817)), ROW(192:192))), "")</f>
        <v/>
      </c>
      <c r="B195" s="11">
        <f t="array" ref="B195">IFERROR(INDEX('Bank Schedule'!B:B, SMALL(IF('Bank Schedule'!$K$2:$K$817="Vacant", ROW('Bank Schedule'!$K$2:$K$817)), ROW(192:192))), "")</f>
        <v/>
      </c>
      <c r="C195" s="11">
        <f t="array" ref="C195">IFERROR(INDEX('Bank Schedule'!C:C, SMALL(IF('Bank Schedule'!$K$2:$K$817="Vacant", ROW('Bank Schedule'!$K$2:$K$817)), ROW(192:192))), "")</f>
        <v/>
      </c>
      <c r="D195" s="2">
        <f t="array" ref="D195">IFERROR(INDEX('Bank Schedule'!D:D, SMALL(IF('Bank Schedule'!$K$2:$K$817="Vacant", ROW('Bank Schedule'!$K$2:$K$817)), ROW(192:192))), "")</f>
        <v/>
      </c>
      <c r="E195" s="4">
        <f t="array" ref="E195">IFERROR(INDEX('Bank Schedule'!E:E, SMALL(IF('Bank Schedule'!$K$2:$K$817="Vacant", ROW('Bank Schedule'!$K$2:$K$817)), ROW(192:192))), "")</f>
        <v/>
      </c>
      <c r="F195" s="4">
        <f t="array" ref="F195">IFERROR(INDEX('Bank Schedule'!F:F, SMALL(IF('Bank Schedule'!$K$2:$K$817="Vacant", ROW('Bank Schedule'!$K$2:$K$817)), ROW(192:192))), "")</f>
        <v/>
      </c>
      <c r="G195" s="14">
        <f t="array" ref="G195">IFERROR(INDEX('Bank Schedule'!G:G, SMALL(IF('Bank Schedule'!$K$2:$K$817="Vacant", ROW('Bank Schedule'!$K$2:$K$817)), ROW(192:192))), "")</f>
        <v/>
      </c>
      <c r="H195" s="7">
        <f t="array" ref="H195">IFERROR(INDEX('Bank Schedule'!H:H, SMALL(IF('Bank Schedule'!$K$2:$K$817="Vacant", ROW('Bank Schedule'!$K$2:$K$817)), ROW(192:192))), "")</f>
        <v/>
      </c>
      <c r="I195" s="7">
        <f t="array" ref="I195">IFERROR(INDEX('Bank Schedule'!I:I, SMALL(IF('Bank Schedule'!$K$2:$K$817="Vacant", ROW('Bank Schedule'!$K$2:$K$817)), ROW(192:192))), "")</f>
        <v/>
      </c>
      <c r="J195" s="14">
        <f t="array" ref="J195">IFERROR(INDEX('Bank Schedule'!K:K, SMALL(IF('Bank Schedule'!$K$2:$K$817="Vacant", ROW('Bank Schedule'!$K$2:$K$817)), ROW(192:192))), "")</f>
        <v/>
      </c>
      <c r="K195" s="25">
        <f t="array" ref="K195">IFERROR(INDEX('Bank Schedule'!#REF!, SMALL(IF('Bank Schedule'!$K$2:$K$817="Vacant", ROW('Bank Schedule'!$K$2:$K$817)), ROW(192:192))), "")</f>
        <v/>
      </c>
      <c r="L195" s="8">
        <f t="array" ref="L195">IFERROR(INDEX('Bank Schedule'!L:L, SMALL(IF('Bank Schedule'!$K$2:$K$817="Vacant", ROW('Bank Schedule'!$K$2:$K$817)), ROW(192:192))), "")</f>
        <v/>
      </c>
      <c r="M195" s="9">
        <f t="array" ref="M195">IFERROR(INDEX('Bank Schedule'!M:M, SMALL(IF('Bank Schedule'!$K$2:$K$817="Vacant", ROW('Bank Schedule'!$K$2:$K$817)), ROW(192:192))), "")</f>
        <v/>
      </c>
      <c r="N195" s="9">
        <f t="array" ref="N195">IFERROR(INDEX('Bank Schedule'!N:N, SMALL(IF('Bank Schedule'!$K$2:$K$817="Vacant", ROW('Bank Schedule'!$K$2:$K$817)), ROW(192:192))), "")</f>
        <v/>
      </c>
      <c r="O195" s="9">
        <f t="array" ref="O195">IFERROR(INDEX('Bank Schedule'!O:O, SMALL(IF('Bank Schedule'!$K$2:$K$817="Vacant", ROW('Bank Schedule'!$K$2:$K$817)), ROW(192:192))), "")</f>
        <v/>
      </c>
      <c r="P195" s="9">
        <f t="array" ref="P195">IFERROR(INDEX('Bank Schedule'!P:P, SMALL(IF('Bank Schedule'!$K$2:$K$817="Vacant", ROW('Bank Schedule'!$K$2:$K$817)), ROW(192:192))), "")</f>
        <v/>
      </c>
      <c r="Q195" s="9">
        <f t="array" ref="Q195">IFERROR(INDEX('Bank Schedule'!#REF!, SMALL(IF('Bank Schedule'!$K$2:$K$817="Vacant", ROW('Bank Schedule'!$K$2:$K$817)), ROW(192:192))), "")</f>
        <v/>
      </c>
      <c r="R195" s="10">
        <f t="array" ref="R195">IFERROR(INDEX('Bank Schedule'!Q:Q, SMALL(IF('Bank Schedule'!$K$2:$K$817="Vacant", ROW('Bank Schedule'!$K$2:$K$817)), ROW(192:192))), "")</f>
        <v/>
      </c>
      <c r="S195" s="10">
        <f t="array" ref="S195">IFERROR(INDEX('Bank Schedule'!R:R, SMALL(IF('Bank Schedule'!$K$2:$K$817="Vacant", ROW('Bank Schedule'!$K$2:$K$817)), ROW(192:192))), "")</f>
        <v/>
      </c>
      <c r="T195" s="10">
        <f t="array" ref="T195">IFERROR(INDEX('Bank Schedule'!S:S, SMALL(IF('Bank Schedule'!$K$2:$K$817="Vacant", ROW('Bank Schedule'!$K$2:$K$817)), ROW(192:192))), "")</f>
        <v/>
      </c>
      <c r="U195" s="106">
        <f t="array" ref="U195">IFERROR(INDEX('Bank Schedule'!#REF!, SMALL(IF('Bank Schedule'!$K$2:$K$817="Vacant", ROW('Bank Schedule'!$K$2:$K$817)), ROW(192:192))), "")</f>
        <v/>
      </c>
      <c r="V195" s="10">
        <f t="array" ref="V195">IFERROR(INDEX('Bank Schedule'!#REF!, SMALL(IF('Bank Schedule'!$K$2:$K$817="Vacant", ROW('Bank Schedule'!$K$2:$K$817)), ROW(192:192))), "")</f>
        <v/>
      </c>
      <c r="W195" s="10">
        <f t="array" ref="W195">IFERROR(INDEX('Bank Schedule'!#REF!, SMALL(IF('Bank Schedule'!$K$2:$K$817="Vacant", ROW('Bank Schedule'!$K$2:$K$817)), ROW(192:192))), "")</f>
        <v/>
      </c>
      <c r="X195" s="10">
        <f t="array" ref="X195">IFERROR(INDEX('Bank Schedule'!V:V, SMALL(IF('Bank Schedule'!$K$2:$K$817="Vacant", ROW('Bank Schedule'!$K$2:$K$817)), ROW(192:192))), "")</f>
        <v/>
      </c>
      <c r="Y195" s="10">
        <f t="array" ref="Y195">IFERROR(INDEX('Bank Schedule'!W:W, SMALL(IF('Bank Schedule'!$K$2:$K$817="Vacant", ROW('Bank Schedule'!$K$2:$K$817)), ROW(192:192))), "")</f>
        <v/>
      </c>
      <c r="Z195" s="60">
        <f t="array" ref="Z195">IFERROR(INDEX('Bank Schedule'!Z:Z, SMALL(IF('Bank Schedule'!$K$2:$K$817="Vacant", ROW('Bank Schedule'!$K$2:$K$817)), ROW(192:192))), "")</f>
        <v/>
      </c>
      <c r="AA195" s="53">
        <f t="array" ref="AA195">IFERROR(INDEX('Bank Schedule'!AA:AA, SMALL(IF('Bank Schedule'!$K$2:$K$817="Vacant", ROW('Bank Schedule'!$K$2:$K$817)), ROW(192:192))), "")</f>
        <v/>
      </c>
      <c r="AB195" s="14">
        <f t="array" ref="AB195">IFERROR(INDEX('Bank Schedule'!AB:AB, SMALL(IF('Bank Schedule'!$K$2:$K$817="Vacant", ROW('Bank Schedule'!$K$2:$K$817)), ROW(192:192))), "")</f>
        <v/>
      </c>
      <c r="AC195" s="4">
        <f t="array" ref="AC195">IFERROR(INDEX('Bank Schedule'!AC:AC, SMALL(IF('Bank Schedule'!$K$2:$K$817="Vacant", ROW('Bank Schedule'!$K$2:$K$817)), ROW(192:192))), "")</f>
        <v/>
      </c>
    </row>
    <row r="196" ht="14.25" customHeight="1">
      <c r="A196" s="2">
        <f t="array" ref="A196">IFERROR(INDEX('Bank Schedule'!A:A, SMALL(IF('Bank Schedule'!$K$2:$K$817="Vacant", ROW('Bank Schedule'!$K$2:$K$817)), ROW(193:193))), "")</f>
        <v/>
      </c>
      <c r="B196" s="11">
        <f t="array" ref="B196">IFERROR(INDEX('Bank Schedule'!B:B, SMALL(IF('Bank Schedule'!$K$2:$K$817="Vacant", ROW('Bank Schedule'!$K$2:$K$817)), ROW(193:193))), "")</f>
        <v/>
      </c>
      <c r="C196" s="11">
        <f t="array" ref="C196">IFERROR(INDEX('Bank Schedule'!C:C, SMALL(IF('Bank Schedule'!$K$2:$K$817="Vacant", ROW('Bank Schedule'!$K$2:$K$817)), ROW(193:193))), "")</f>
        <v/>
      </c>
      <c r="D196" s="2">
        <f t="array" ref="D196">IFERROR(INDEX('Bank Schedule'!D:D, SMALL(IF('Bank Schedule'!$K$2:$K$817="Vacant", ROW('Bank Schedule'!$K$2:$K$817)), ROW(193:193))), "")</f>
        <v/>
      </c>
      <c r="E196" s="4">
        <f t="array" ref="E196">IFERROR(INDEX('Bank Schedule'!E:E, SMALL(IF('Bank Schedule'!$K$2:$K$817="Vacant", ROW('Bank Schedule'!$K$2:$K$817)), ROW(193:193))), "")</f>
        <v/>
      </c>
      <c r="F196" s="4">
        <f t="array" ref="F196">IFERROR(INDEX('Bank Schedule'!F:F, SMALL(IF('Bank Schedule'!$K$2:$K$817="Vacant", ROW('Bank Schedule'!$K$2:$K$817)), ROW(193:193))), "")</f>
        <v/>
      </c>
      <c r="G196" s="14">
        <f t="array" ref="G196">IFERROR(INDEX('Bank Schedule'!G:G, SMALL(IF('Bank Schedule'!$K$2:$K$817="Vacant", ROW('Bank Schedule'!$K$2:$K$817)), ROW(193:193))), "")</f>
        <v/>
      </c>
      <c r="H196" s="7">
        <f t="array" ref="H196">IFERROR(INDEX('Bank Schedule'!H:H, SMALL(IF('Bank Schedule'!$K$2:$K$817="Vacant", ROW('Bank Schedule'!$K$2:$K$817)), ROW(193:193))), "")</f>
        <v/>
      </c>
      <c r="I196" s="7">
        <f t="array" ref="I196">IFERROR(INDEX('Bank Schedule'!I:I, SMALL(IF('Bank Schedule'!$K$2:$K$817="Vacant", ROW('Bank Schedule'!$K$2:$K$817)), ROW(193:193))), "")</f>
        <v/>
      </c>
      <c r="J196" s="14">
        <f t="array" ref="J196">IFERROR(INDEX('Bank Schedule'!K:K, SMALL(IF('Bank Schedule'!$K$2:$K$817="Vacant", ROW('Bank Schedule'!$K$2:$K$817)), ROW(193:193))), "")</f>
        <v/>
      </c>
      <c r="K196" s="25">
        <f t="array" ref="K196">IFERROR(INDEX('Bank Schedule'!#REF!, SMALL(IF('Bank Schedule'!$K$2:$K$817="Vacant", ROW('Bank Schedule'!$K$2:$K$817)), ROW(193:193))), "")</f>
        <v/>
      </c>
      <c r="L196" s="8">
        <f t="array" ref="L196">IFERROR(INDEX('Bank Schedule'!L:L, SMALL(IF('Bank Schedule'!$K$2:$K$817="Vacant", ROW('Bank Schedule'!$K$2:$K$817)), ROW(193:193))), "")</f>
        <v/>
      </c>
      <c r="M196" s="9">
        <f t="array" ref="M196">IFERROR(INDEX('Bank Schedule'!M:M, SMALL(IF('Bank Schedule'!$K$2:$K$817="Vacant", ROW('Bank Schedule'!$K$2:$K$817)), ROW(193:193))), "")</f>
        <v/>
      </c>
      <c r="N196" s="9">
        <f t="array" ref="N196">IFERROR(INDEX('Bank Schedule'!N:N, SMALL(IF('Bank Schedule'!$K$2:$K$817="Vacant", ROW('Bank Schedule'!$K$2:$K$817)), ROW(193:193))), "")</f>
        <v/>
      </c>
      <c r="O196" s="9">
        <f t="array" ref="O196">IFERROR(INDEX('Bank Schedule'!O:O, SMALL(IF('Bank Schedule'!$K$2:$K$817="Vacant", ROW('Bank Schedule'!$K$2:$K$817)), ROW(193:193))), "")</f>
        <v/>
      </c>
      <c r="P196" s="9">
        <f t="array" ref="P196">IFERROR(INDEX('Bank Schedule'!P:P, SMALL(IF('Bank Schedule'!$K$2:$K$817="Vacant", ROW('Bank Schedule'!$K$2:$K$817)), ROW(193:193))), "")</f>
        <v/>
      </c>
      <c r="Q196" s="9">
        <f t="array" ref="Q196">IFERROR(INDEX('Bank Schedule'!#REF!, SMALL(IF('Bank Schedule'!$K$2:$K$817="Vacant", ROW('Bank Schedule'!$K$2:$K$817)), ROW(193:193))), "")</f>
        <v/>
      </c>
      <c r="R196" s="10">
        <f t="array" ref="R196">IFERROR(INDEX('Bank Schedule'!Q:Q, SMALL(IF('Bank Schedule'!$K$2:$K$817="Vacant", ROW('Bank Schedule'!$K$2:$K$817)), ROW(193:193))), "")</f>
        <v/>
      </c>
      <c r="S196" s="10">
        <f t="array" ref="S196">IFERROR(INDEX('Bank Schedule'!R:R, SMALL(IF('Bank Schedule'!$K$2:$K$817="Vacant", ROW('Bank Schedule'!$K$2:$K$817)), ROW(193:193))), "")</f>
        <v/>
      </c>
      <c r="T196" s="10">
        <f t="array" ref="T196">IFERROR(INDEX('Bank Schedule'!S:S, SMALL(IF('Bank Schedule'!$K$2:$K$817="Vacant", ROW('Bank Schedule'!$K$2:$K$817)), ROW(193:193))), "")</f>
        <v/>
      </c>
      <c r="U196" s="106">
        <f t="array" ref="U196">IFERROR(INDEX('Bank Schedule'!#REF!, SMALL(IF('Bank Schedule'!$K$2:$K$817="Vacant", ROW('Bank Schedule'!$K$2:$K$817)), ROW(193:193))), "")</f>
        <v/>
      </c>
      <c r="V196" s="10">
        <f t="array" ref="V196">IFERROR(INDEX('Bank Schedule'!#REF!, SMALL(IF('Bank Schedule'!$K$2:$K$817="Vacant", ROW('Bank Schedule'!$K$2:$K$817)), ROW(193:193))), "")</f>
        <v/>
      </c>
      <c r="W196" s="10">
        <f t="array" ref="W196">IFERROR(INDEX('Bank Schedule'!#REF!, SMALL(IF('Bank Schedule'!$K$2:$K$817="Vacant", ROW('Bank Schedule'!$K$2:$K$817)), ROW(193:193))), "")</f>
        <v/>
      </c>
      <c r="X196" s="10">
        <f t="array" ref="X196">IFERROR(INDEX('Bank Schedule'!V:V, SMALL(IF('Bank Schedule'!$K$2:$K$817="Vacant", ROW('Bank Schedule'!$K$2:$K$817)), ROW(193:193))), "")</f>
        <v/>
      </c>
      <c r="Y196" s="10">
        <f t="array" ref="Y196">IFERROR(INDEX('Bank Schedule'!W:W, SMALL(IF('Bank Schedule'!$K$2:$K$817="Vacant", ROW('Bank Schedule'!$K$2:$K$817)), ROW(193:193))), "")</f>
        <v/>
      </c>
      <c r="Z196" s="60">
        <f t="array" ref="Z196">IFERROR(INDEX('Bank Schedule'!Z:Z, SMALL(IF('Bank Schedule'!$K$2:$K$817="Vacant", ROW('Bank Schedule'!$K$2:$K$817)), ROW(193:193))), "")</f>
        <v/>
      </c>
      <c r="AA196" s="53">
        <f t="array" ref="AA196">IFERROR(INDEX('Bank Schedule'!AA:AA, SMALL(IF('Bank Schedule'!$K$2:$K$817="Vacant", ROW('Bank Schedule'!$K$2:$K$817)), ROW(193:193))), "")</f>
        <v/>
      </c>
      <c r="AB196" s="14">
        <f t="array" ref="AB196">IFERROR(INDEX('Bank Schedule'!AB:AB, SMALL(IF('Bank Schedule'!$K$2:$K$817="Vacant", ROW('Bank Schedule'!$K$2:$K$817)), ROW(193:193))), "")</f>
        <v/>
      </c>
      <c r="AC196" s="4">
        <f t="array" ref="AC196">IFERROR(INDEX('Bank Schedule'!AC:AC, SMALL(IF('Bank Schedule'!$K$2:$K$817="Vacant", ROW('Bank Schedule'!$K$2:$K$817)), ROW(193:193))), "")</f>
        <v/>
      </c>
    </row>
    <row r="197" ht="14.25" customHeight="1">
      <c r="A197" s="2">
        <f t="array" ref="A197">IFERROR(INDEX('Bank Schedule'!A:A, SMALL(IF('Bank Schedule'!$K$2:$K$817="Vacant", ROW('Bank Schedule'!$K$2:$K$817)), ROW(194:194))), "")</f>
        <v/>
      </c>
      <c r="B197" s="11">
        <f t="array" ref="B197">IFERROR(INDEX('Bank Schedule'!B:B, SMALL(IF('Bank Schedule'!$K$2:$K$817="Vacant", ROW('Bank Schedule'!$K$2:$K$817)), ROW(194:194))), "")</f>
        <v/>
      </c>
      <c r="C197" s="11">
        <f t="array" ref="C197">IFERROR(INDEX('Bank Schedule'!C:C, SMALL(IF('Bank Schedule'!$K$2:$K$817="Vacant", ROW('Bank Schedule'!$K$2:$K$817)), ROW(194:194))), "")</f>
        <v/>
      </c>
      <c r="D197" s="2">
        <f t="array" ref="D197">IFERROR(INDEX('Bank Schedule'!D:D, SMALL(IF('Bank Schedule'!$K$2:$K$817="Vacant", ROW('Bank Schedule'!$K$2:$K$817)), ROW(194:194))), "")</f>
        <v/>
      </c>
      <c r="E197" s="4">
        <f t="array" ref="E197">IFERROR(INDEX('Bank Schedule'!E:E, SMALL(IF('Bank Schedule'!$K$2:$K$817="Vacant", ROW('Bank Schedule'!$K$2:$K$817)), ROW(194:194))), "")</f>
        <v/>
      </c>
      <c r="F197" s="4">
        <f t="array" ref="F197">IFERROR(INDEX('Bank Schedule'!F:F, SMALL(IF('Bank Schedule'!$K$2:$K$817="Vacant", ROW('Bank Schedule'!$K$2:$K$817)), ROW(194:194))), "")</f>
        <v/>
      </c>
      <c r="G197" s="14">
        <f t="array" ref="G197">IFERROR(INDEX('Bank Schedule'!G:G, SMALL(IF('Bank Schedule'!$K$2:$K$817="Vacant", ROW('Bank Schedule'!$K$2:$K$817)), ROW(194:194))), "")</f>
        <v/>
      </c>
      <c r="H197" s="7">
        <f t="array" ref="H197">IFERROR(INDEX('Bank Schedule'!H:H, SMALL(IF('Bank Schedule'!$K$2:$K$817="Vacant", ROW('Bank Schedule'!$K$2:$K$817)), ROW(194:194))), "")</f>
        <v/>
      </c>
      <c r="I197" s="7">
        <f t="array" ref="I197">IFERROR(INDEX('Bank Schedule'!I:I, SMALL(IF('Bank Schedule'!$K$2:$K$817="Vacant", ROW('Bank Schedule'!$K$2:$K$817)), ROW(194:194))), "")</f>
        <v/>
      </c>
      <c r="J197" s="14">
        <f t="array" ref="J197">IFERROR(INDEX('Bank Schedule'!K:K, SMALL(IF('Bank Schedule'!$K$2:$K$817="Vacant", ROW('Bank Schedule'!$K$2:$K$817)), ROW(194:194))), "")</f>
        <v/>
      </c>
      <c r="K197" s="25">
        <f t="array" ref="K197">IFERROR(INDEX('Bank Schedule'!#REF!, SMALL(IF('Bank Schedule'!$K$2:$K$817="Vacant", ROW('Bank Schedule'!$K$2:$K$817)), ROW(194:194))), "")</f>
        <v/>
      </c>
      <c r="L197" s="8">
        <f t="array" ref="L197">IFERROR(INDEX('Bank Schedule'!L:L, SMALL(IF('Bank Schedule'!$K$2:$K$817="Vacant", ROW('Bank Schedule'!$K$2:$K$817)), ROW(194:194))), "")</f>
        <v/>
      </c>
      <c r="M197" s="9">
        <f t="array" ref="M197">IFERROR(INDEX('Bank Schedule'!M:M, SMALL(IF('Bank Schedule'!$K$2:$K$817="Vacant", ROW('Bank Schedule'!$K$2:$K$817)), ROW(194:194))), "")</f>
        <v/>
      </c>
      <c r="N197" s="9">
        <f t="array" ref="N197">IFERROR(INDEX('Bank Schedule'!N:N, SMALL(IF('Bank Schedule'!$K$2:$K$817="Vacant", ROW('Bank Schedule'!$K$2:$K$817)), ROW(194:194))), "")</f>
        <v/>
      </c>
      <c r="O197" s="9">
        <f t="array" ref="O197">IFERROR(INDEX('Bank Schedule'!O:O, SMALL(IF('Bank Schedule'!$K$2:$K$817="Vacant", ROW('Bank Schedule'!$K$2:$K$817)), ROW(194:194))), "")</f>
        <v/>
      </c>
      <c r="P197" s="9">
        <f t="array" ref="P197">IFERROR(INDEX('Bank Schedule'!P:P, SMALL(IF('Bank Schedule'!$K$2:$K$817="Vacant", ROW('Bank Schedule'!$K$2:$K$817)), ROW(194:194))), "")</f>
        <v/>
      </c>
      <c r="Q197" s="9">
        <f t="array" ref="Q197">IFERROR(INDEX('Bank Schedule'!#REF!, SMALL(IF('Bank Schedule'!$K$2:$K$817="Vacant", ROW('Bank Schedule'!$K$2:$K$817)), ROW(194:194))), "")</f>
        <v/>
      </c>
      <c r="R197" s="10">
        <f t="array" ref="R197">IFERROR(INDEX('Bank Schedule'!Q:Q, SMALL(IF('Bank Schedule'!$K$2:$K$817="Vacant", ROW('Bank Schedule'!$K$2:$K$817)), ROW(194:194))), "")</f>
        <v/>
      </c>
      <c r="S197" s="10">
        <f t="array" ref="S197">IFERROR(INDEX('Bank Schedule'!R:R, SMALL(IF('Bank Schedule'!$K$2:$K$817="Vacant", ROW('Bank Schedule'!$K$2:$K$817)), ROW(194:194))), "")</f>
        <v/>
      </c>
      <c r="T197" s="10">
        <f t="array" ref="T197">IFERROR(INDEX('Bank Schedule'!S:S, SMALL(IF('Bank Schedule'!$K$2:$K$817="Vacant", ROW('Bank Schedule'!$K$2:$K$817)), ROW(194:194))), "")</f>
        <v/>
      </c>
      <c r="U197" s="106">
        <f t="array" ref="U197">IFERROR(INDEX('Bank Schedule'!#REF!, SMALL(IF('Bank Schedule'!$K$2:$K$817="Vacant", ROW('Bank Schedule'!$K$2:$K$817)), ROW(194:194))), "")</f>
        <v/>
      </c>
      <c r="V197" s="10">
        <f t="array" ref="V197">IFERROR(INDEX('Bank Schedule'!#REF!, SMALL(IF('Bank Schedule'!$K$2:$K$817="Vacant", ROW('Bank Schedule'!$K$2:$K$817)), ROW(194:194))), "")</f>
        <v/>
      </c>
      <c r="W197" s="10">
        <f t="array" ref="W197">IFERROR(INDEX('Bank Schedule'!#REF!, SMALL(IF('Bank Schedule'!$K$2:$K$817="Vacant", ROW('Bank Schedule'!$K$2:$K$817)), ROW(194:194))), "")</f>
        <v/>
      </c>
      <c r="X197" s="10">
        <f t="array" ref="X197">IFERROR(INDEX('Bank Schedule'!V:V, SMALL(IF('Bank Schedule'!$K$2:$K$817="Vacant", ROW('Bank Schedule'!$K$2:$K$817)), ROW(194:194))), "")</f>
        <v/>
      </c>
      <c r="Y197" s="10">
        <f t="array" ref="Y197">IFERROR(INDEX('Bank Schedule'!W:W, SMALL(IF('Bank Schedule'!$K$2:$K$817="Vacant", ROW('Bank Schedule'!$K$2:$K$817)), ROW(194:194))), "")</f>
        <v/>
      </c>
      <c r="Z197" s="60">
        <f t="array" ref="Z197">IFERROR(INDEX('Bank Schedule'!Z:Z, SMALL(IF('Bank Schedule'!$K$2:$K$817="Vacant", ROW('Bank Schedule'!$K$2:$K$817)), ROW(194:194))), "")</f>
        <v/>
      </c>
      <c r="AA197" s="53">
        <f t="array" ref="AA197">IFERROR(INDEX('Bank Schedule'!AA:AA, SMALL(IF('Bank Schedule'!$K$2:$K$817="Vacant", ROW('Bank Schedule'!$K$2:$K$817)), ROW(194:194))), "")</f>
        <v/>
      </c>
      <c r="AB197" s="14">
        <f t="array" ref="AB197">IFERROR(INDEX('Bank Schedule'!AB:AB, SMALL(IF('Bank Schedule'!$K$2:$K$817="Vacant", ROW('Bank Schedule'!$K$2:$K$817)), ROW(194:194))), "")</f>
        <v/>
      </c>
      <c r="AC197" s="4">
        <f t="array" ref="AC197">IFERROR(INDEX('Bank Schedule'!AC:AC, SMALL(IF('Bank Schedule'!$K$2:$K$817="Vacant", ROW('Bank Schedule'!$K$2:$K$817)), ROW(194:194))), "")</f>
        <v/>
      </c>
    </row>
  </sheetData>
  <autoFilter ref="A3:AC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1"/>
  <sheetViews>
    <sheetView workbookViewId="0">
      <pane ySplit="1" topLeftCell="A243" activePane="bottomLeft" state="frozen"/>
      <selection pane="bottomLeft" activeCell="C262" sqref="C262"/>
    </sheetView>
  </sheetViews>
  <sheetFormatPr baseColWidth="10" defaultColWidth="8.83203125" defaultRowHeight="13"/>
  <cols>
    <col width="42.5" customWidth="1" style="4" min="1" max="1"/>
    <col width="24.6640625" customWidth="1" style="4" min="2" max="2"/>
  </cols>
  <sheetData>
    <row r="1" customFormat="1" s="97">
      <c r="A1" s="74" t="inlineStr">
        <is>
          <t>Tenant Name</t>
        </is>
      </c>
      <c r="B1" s="99" t="inlineStr">
        <is>
          <t>Tenant Trade</t>
        </is>
      </c>
    </row>
    <row r="2" customFormat="1" s="97">
      <c r="A2" s="81" t="inlineStr">
        <is>
          <t>111 Skin Limited</t>
        </is>
      </c>
      <c r="B2" s="386" t="inlineStr">
        <is>
          <t>Professional Services</t>
        </is>
      </c>
    </row>
    <row r="3" customFormat="1" s="97">
      <c r="A3" s="35" t="inlineStr">
        <is>
          <t>48 Margaret Street Trading Ltd</t>
        </is>
      </c>
      <c r="B3" s="25" t="inlineStr">
        <is>
          <t>Leisure Services</t>
        </is>
      </c>
    </row>
    <row r="4" customFormat="1" s="97">
      <c r="A4" s="4" t="inlineStr">
        <is>
          <t>Ab-Anbar Limited</t>
        </is>
      </c>
      <c r="B4" s="25" t="inlineStr">
        <is>
          <t>Retail</t>
        </is>
      </c>
    </row>
    <row r="5" customFormat="1" s="97">
      <c r="A5" s="4" t="inlineStr">
        <is>
          <t>ABC Smile Limited</t>
        </is>
      </c>
      <c r="B5" s="25" t="inlineStr">
        <is>
          <t>Retail</t>
        </is>
      </c>
    </row>
    <row r="6" customFormat="1" s="97">
      <c r="A6" s="4" t="inlineStr">
        <is>
          <t xml:space="preserve">ACP Ltd &amp; ACM Ltd </t>
        </is>
      </c>
      <c r="B6" s="25" t="inlineStr">
        <is>
          <t>Professional Services</t>
        </is>
      </c>
    </row>
    <row r="7" customFormat="1" s="97">
      <c r="A7" s="117" t="inlineStr">
        <is>
          <t>AdMaxim Limited</t>
        </is>
      </c>
      <c r="B7" s="117" t="inlineStr">
        <is>
          <t>Professional Services</t>
        </is>
      </c>
    </row>
    <row r="8" customFormat="1" s="97">
      <c r="A8" s="4" t="inlineStr">
        <is>
          <t>Advan Capital Limited</t>
        </is>
      </c>
      <c r="B8" s="25" t="inlineStr">
        <is>
          <t>Residential</t>
        </is>
      </c>
    </row>
    <row r="9" customFormat="1" s="97">
      <c r="A9" s="4" t="inlineStr">
        <is>
          <t>Advanced Beauty Medical Clinics Ltd</t>
        </is>
      </c>
      <c r="B9" s="25" t="inlineStr">
        <is>
          <t>Health &amp; Social Services</t>
        </is>
      </c>
    </row>
    <row r="10" customFormat="1" s="97">
      <c r="A10" s="4" t="inlineStr">
        <is>
          <t>Advanced Beauty Medical Clinics Ltd</t>
        </is>
      </c>
      <c r="B10" s="25" t="inlineStr">
        <is>
          <t>Health &amp; Social Services</t>
        </is>
      </c>
    </row>
    <row r="11" customFormat="1" s="97">
      <c r="A11" s="117" t="inlineStr">
        <is>
          <t>Airwair International Ltd</t>
        </is>
      </c>
      <c r="B11" s="117" t="inlineStr">
        <is>
          <t>Retail</t>
        </is>
      </c>
    </row>
    <row r="12" customFormat="1" s="97">
      <c r="A12" s="4" t="inlineStr">
        <is>
          <t>Alternative Real Estate Advisors Ltd</t>
        </is>
      </c>
      <c r="B12" s="25" t="inlineStr">
        <is>
          <t>Real Estate &amp; Construction</t>
        </is>
      </c>
    </row>
    <row r="13" customFormat="1" s="97">
      <c r="A13" s="4" t="inlineStr">
        <is>
          <t>Apollo Galleries Limited</t>
        </is>
      </c>
      <c r="B13" s="25" t="inlineStr">
        <is>
          <t>Retail</t>
        </is>
      </c>
    </row>
    <row r="14" customFormat="1" s="97">
      <c r="A14" s="4" t="inlineStr">
        <is>
          <t>Arav Fashion UK Ltd.</t>
        </is>
      </c>
      <c r="B14" s="25" t="inlineStr">
        <is>
          <t>Retail</t>
        </is>
      </c>
    </row>
    <row r="15" customFormat="1" s="97">
      <c r="A15" s="4" t="inlineStr">
        <is>
          <t>Arlettie London Ltd.</t>
        </is>
      </c>
      <c r="B15" s="25" t="inlineStr">
        <is>
          <t>Retail</t>
        </is>
      </c>
    </row>
    <row r="16" customFormat="1" s="97">
      <c r="A16" s="4" t="inlineStr">
        <is>
          <t>Arlettie London Ltd.</t>
        </is>
      </c>
      <c r="B16" s="25" t="inlineStr">
        <is>
          <t>Retail</t>
        </is>
      </c>
    </row>
    <row r="17" customFormat="1" s="97">
      <c r="A17" s="4" t="inlineStr">
        <is>
          <t>Arlettie London Ltd.</t>
        </is>
      </c>
      <c r="B17" s="25" t="inlineStr">
        <is>
          <t>Retail</t>
        </is>
      </c>
    </row>
    <row r="18" customFormat="1" s="97">
      <c r="A18" s="4" t="inlineStr">
        <is>
          <t>Arlettie London Ltd.</t>
        </is>
      </c>
      <c r="B18" s="25" t="inlineStr">
        <is>
          <t>Retail</t>
        </is>
      </c>
    </row>
    <row r="19" customFormat="1" s="97">
      <c r="A19" s="46" t="inlineStr">
        <is>
          <t>Arrow International Media Ltd.</t>
        </is>
      </c>
      <c r="B19" s="46" t="inlineStr">
        <is>
          <t>Media &amp; Marketing</t>
        </is>
      </c>
    </row>
    <row r="20" customFormat="1" s="97">
      <c r="A20" s="4" t="inlineStr">
        <is>
          <t>Arrow International Media Ltd.</t>
        </is>
      </c>
      <c r="B20" s="25" t="inlineStr">
        <is>
          <t>Media &amp; Marketing</t>
        </is>
      </c>
    </row>
    <row r="21" customFormat="1" s="97">
      <c r="A21" s="4" t="inlineStr">
        <is>
          <t>Arrow International Media Ltd.</t>
        </is>
      </c>
      <c r="B21" s="25" t="inlineStr">
        <is>
          <t>Media &amp; Marketing</t>
        </is>
      </c>
    </row>
    <row r="22" customFormat="1" s="97">
      <c r="A22" s="4" t="inlineStr">
        <is>
          <t>Arrow International Media Ltd.</t>
        </is>
      </c>
      <c r="B22" s="25" t="inlineStr">
        <is>
          <t>Media &amp; Marketing</t>
        </is>
      </c>
    </row>
    <row r="23" customFormat="1" s="97">
      <c r="A23" s="117" t="inlineStr">
        <is>
          <t>Ascot Lloyd Ltd</t>
        </is>
      </c>
      <c r="B23" s="117" t="inlineStr">
        <is>
          <t>Professional Services</t>
        </is>
      </c>
    </row>
    <row r="24" customFormat="1" s="97">
      <c r="A24" s="4" t="inlineStr">
        <is>
          <t>Autonomous UK Operations Ltd</t>
        </is>
      </c>
      <c r="B24" s="25" t="inlineStr">
        <is>
          <t>Banking &amp; Finance</t>
        </is>
      </c>
    </row>
    <row r="25" customFormat="1" s="97">
      <c r="A25" s="4" t="inlineStr">
        <is>
          <t>Barclays Bank UK Plc</t>
        </is>
      </c>
      <c r="B25" s="25" t="inlineStr">
        <is>
          <t>Banking &amp; Finance</t>
        </is>
      </c>
    </row>
    <row r="26" customFormat="1" s="97">
      <c r="A26" s="4" t="inlineStr">
        <is>
          <t>Bernardo Vasconcelos Ltd</t>
        </is>
      </c>
      <c r="B26" s="25" t="inlineStr">
        <is>
          <t>Leisure Services</t>
        </is>
      </c>
    </row>
    <row r="27" customFormat="1" s="97">
      <c r="A27" s="4" t="inlineStr">
        <is>
          <t>Brand Murray Fuller Services Ltd.</t>
        </is>
      </c>
      <c r="B27" s="25" t="inlineStr">
        <is>
          <t>Media &amp; Marketing</t>
        </is>
      </c>
    </row>
    <row r="28" customFormat="1" s="97">
      <c r="A28" s="4" t="inlineStr">
        <is>
          <t>Building Workshop</t>
        </is>
      </c>
      <c r="B28" s="25" t="inlineStr">
        <is>
          <t>Other</t>
        </is>
      </c>
    </row>
    <row r="29" customFormat="1" s="97">
      <c r="A29" s="4" t="inlineStr">
        <is>
          <t>Burger &amp; Lobster Restaurant Group Ltd.</t>
        </is>
      </c>
      <c r="B29" s="25" t="inlineStr">
        <is>
          <t>Leisure Services</t>
        </is>
      </c>
    </row>
    <row r="30" customFormat="1" s="97">
      <c r="A30" s="4" t="inlineStr">
        <is>
          <t>C &amp; Y Hopper</t>
        </is>
      </c>
      <c r="B30" s="25" t="inlineStr">
        <is>
          <t>Residential</t>
        </is>
      </c>
    </row>
    <row r="31" customFormat="1" s="97">
      <c r="A31" s="4" t="inlineStr">
        <is>
          <t>Camran Naseri &amp; Rehana Miah</t>
        </is>
      </c>
      <c r="B31" s="25" t="inlineStr">
        <is>
          <t>Retail</t>
        </is>
      </c>
    </row>
    <row r="32" customFormat="1" s="97">
      <c r="A32" s="4" t="inlineStr">
        <is>
          <t>Caneparo Associates Ltd</t>
        </is>
      </c>
      <c r="B32" s="25" t="inlineStr">
        <is>
          <t>Professional Services</t>
        </is>
      </c>
    </row>
    <row r="33" customFormat="1" s="97">
      <c r="A33" s="4" t="inlineStr">
        <is>
          <t>Carbonaires Ltd</t>
        </is>
      </c>
      <c r="B33" s="25" t="inlineStr">
        <is>
          <t>Professional Services</t>
        </is>
      </c>
    </row>
    <row r="34" customFormat="1" s="97">
      <c r="A34" s="4" t="inlineStr">
        <is>
          <t>Carver Associates Ltd.</t>
        </is>
      </c>
      <c r="B34" s="25" t="inlineStr">
        <is>
          <t>Professional Services</t>
        </is>
      </c>
    </row>
    <row r="35" customFormat="1" s="97">
      <c r="A35" s="4" t="inlineStr">
        <is>
          <t>Cihangir Group Limited.</t>
        </is>
      </c>
      <c r="B35" s="25" t="inlineStr">
        <is>
          <t>Retail</t>
        </is>
      </c>
    </row>
    <row r="36" customFormat="1" s="97">
      <c r="A36" s="117" t="inlineStr">
        <is>
          <t>Collins Benson Goldhill LLP</t>
        </is>
      </c>
      <c r="B36" s="117" t="inlineStr">
        <is>
          <t>Professional Services</t>
        </is>
      </c>
    </row>
    <row r="37" customFormat="1" s="97">
      <c r="A37" s="4" t="inlineStr">
        <is>
          <t>Comptoir Group Plc</t>
        </is>
      </c>
      <c r="B37" s="25" t="inlineStr">
        <is>
          <t>Leisure Services</t>
        </is>
      </c>
    </row>
    <row r="38" customFormat="1" s="97">
      <c r="A38" s="4" t="inlineStr">
        <is>
          <t>Cord Technologies Ltd</t>
        </is>
      </c>
      <c r="B38" s="25" t="inlineStr">
        <is>
          <t>IT &amp; Telecoms</t>
        </is>
      </c>
    </row>
    <row r="39" customFormat="1" s="97">
      <c r="A39" s="4" t="inlineStr">
        <is>
          <t>Cord Technologies Ltd</t>
        </is>
      </c>
      <c r="B39" s="25" t="inlineStr">
        <is>
          <t>IT &amp; Telecoms</t>
        </is>
      </c>
    </row>
    <row r="40" customFormat="1" s="97">
      <c r="A40" s="4" t="inlineStr">
        <is>
          <t>Costa Ltd</t>
        </is>
      </c>
      <c r="B40" s="25" t="inlineStr">
        <is>
          <t>Leisure Services</t>
        </is>
      </c>
    </row>
    <row r="41" customFormat="1" s="97">
      <c r="A41" s="117" t="inlineStr">
        <is>
          <t>Creo London Limited.</t>
        </is>
      </c>
      <c r="B41" s="117" t="inlineStr">
        <is>
          <t>Professional Services</t>
        </is>
      </c>
    </row>
    <row r="42" customFormat="1" s="97">
      <c r="A42" s="4" t="inlineStr">
        <is>
          <t>CSS F45 UK Ltd</t>
        </is>
      </c>
      <c r="B42" s="25" t="inlineStr">
        <is>
          <t>Leisure Services</t>
        </is>
      </c>
    </row>
    <row r="43" customFormat="1" s="97">
      <c r="A43" s="4" t="inlineStr">
        <is>
          <t>Dal Fiorentino Ltd</t>
        </is>
      </c>
      <c r="B43" s="25" t="inlineStr">
        <is>
          <t>Leisure Services</t>
        </is>
      </c>
    </row>
    <row r="44" customFormat="1" s="97">
      <c r="A44" s="35" t="inlineStr">
        <is>
          <t>David Chipperfield Architects Ltd</t>
        </is>
      </c>
      <c r="B44" s="103" t="inlineStr">
        <is>
          <t>Professional Services</t>
        </is>
      </c>
    </row>
    <row r="45" customFormat="1" s="97">
      <c r="A45" s="4" t="inlineStr">
        <is>
          <t>David Walker Architects Ltd.</t>
        </is>
      </c>
      <c r="B45" s="25" t="inlineStr">
        <is>
          <t>Professional Services</t>
        </is>
      </c>
    </row>
    <row r="46" customFormat="1" s="97">
      <c r="A46" s="4" t="inlineStr">
        <is>
          <t>Dawbell Limited</t>
        </is>
      </c>
      <c r="B46" s="25" t="inlineStr">
        <is>
          <t>Media &amp; Marketing</t>
        </is>
      </c>
    </row>
    <row r="47" customFormat="1" s="97">
      <c r="A47" s="4" t="inlineStr">
        <is>
          <t>Des Baines Ltd</t>
        </is>
      </c>
      <c r="B47" s="25" t="inlineStr">
        <is>
          <t>Leisure Services</t>
        </is>
      </c>
    </row>
    <row r="48" customFormat="1" s="97">
      <c r="A48" s="4" t="inlineStr">
        <is>
          <t>Directors Cut Films West Limited</t>
        </is>
      </c>
      <c r="B48" s="25" t="inlineStr">
        <is>
          <t>Media &amp; Marketing</t>
        </is>
      </c>
    </row>
    <row r="49" customFormat="1" s="97">
      <c r="A49" s="4" t="inlineStr">
        <is>
          <t>DMR Film Ventures (Facilities) Ltd.</t>
        </is>
      </c>
      <c r="B49" s="103" t="inlineStr">
        <is>
          <t>Media &amp; Marketing</t>
        </is>
      </c>
    </row>
    <row r="50" customFormat="1" s="97">
      <c r="A50" s="4" t="inlineStr">
        <is>
          <t>DMR Film Ventures (Facilities) Ltd.</t>
        </is>
      </c>
      <c r="B50" s="25" t="inlineStr">
        <is>
          <t>Media &amp; Marketing</t>
        </is>
      </c>
    </row>
    <row r="51" customFormat="1" s="97">
      <c r="A51" s="4" t="inlineStr">
        <is>
          <t>Dune Group Ltd.</t>
        </is>
      </c>
      <c r="B51" s="25" t="inlineStr">
        <is>
          <t>Retail</t>
        </is>
      </c>
    </row>
    <row r="52" customFormat="1" s="97">
      <c r="A52" s="4" t="inlineStr">
        <is>
          <t>Econnective UK Ltd.</t>
        </is>
      </c>
      <c r="B52" s="25" t="inlineStr">
        <is>
          <t>Retail</t>
        </is>
      </c>
    </row>
    <row r="53" customFormat="1" s="97">
      <c r="A53" s="4" t="inlineStr">
        <is>
          <t>EDC2 Ltd.</t>
        </is>
      </c>
      <c r="B53" s="25" t="inlineStr">
        <is>
          <t>Retail</t>
        </is>
      </c>
    </row>
    <row r="54" customFormat="1" s="97">
      <c r="A54" s="117" t="inlineStr">
        <is>
          <t>EDF</t>
        </is>
      </c>
      <c r="B54" s="25" t="inlineStr">
        <is>
          <t>Other</t>
        </is>
      </c>
    </row>
    <row r="55" customFormat="1" s="97">
      <c r="A55" s="4" t="inlineStr">
        <is>
          <t>Edward Davenport</t>
        </is>
      </c>
      <c r="B55" s="25" t="inlineStr">
        <is>
          <t>Residential</t>
        </is>
      </c>
    </row>
    <row r="56" customFormat="1" s="97">
      <c r="A56" s="4" t="inlineStr">
        <is>
          <t>Edwards Cheshire Company Ltd.</t>
        </is>
      </c>
      <c r="B56" s="25" t="inlineStr">
        <is>
          <t>Retail</t>
        </is>
      </c>
    </row>
    <row r="57" customFormat="1" s="97">
      <c r="A57" s="4" t="inlineStr">
        <is>
          <t>Effigest UK Ltd.</t>
        </is>
      </c>
      <c r="B57" s="25" t="inlineStr">
        <is>
          <t>Professional Services</t>
        </is>
      </c>
    </row>
    <row r="58" customFormat="1" s="97">
      <c r="A58" s="4" t="inlineStr">
        <is>
          <t>Element Pictures UK Ltd.</t>
        </is>
      </c>
      <c r="B58" s="349" t="inlineStr">
        <is>
          <t>Media &amp; Marketing</t>
        </is>
      </c>
    </row>
    <row r="59" customFormat="1" s="97">
      <c r="A59" s="4" t="inlineStr">
        <is>
          <t>Element Pictures UK Ltd.</t>
        </is>
      </c>
      <c r="B59" s="25" t="inlineStr">
        <is>
          <t>Media &amp; Marketing</t>
        </is>
      </c>
    </row>
    <row r="60" customFormat="1" s="97">
      <c r="A60" s="4" t="inlineStr">
        <is>
          <t>Encore Search (Newburgh Street) Ltd.</t>
        </is>
      </c>
      <c r="B60" s="349" t="inlineStr">
        <is>
          <t>Recruitment</t>
        </is>
      </c>
    </row>
    <row r="61" customFormat="1" s="97">
      <c r="A61" s="117" t="inlineStr">
        <is>
          <t>EP Commodities Ltd</t>
        </is>
      </c>
      <c r="B61" s="117" t="inlineStr">
        <is>
          <t>Retail</t>
        </is>
      </c>
    </row>
    <row r="62" customFormat="1" s="97">
      <c r="A62" s="4" t="inlineStr">
        <is>
          <t>Europride Ltd.</t>
        </is>
      </c>
      <c r="B62" s="25" t="inlineStr">
        <is>
          <t>Retail</t>
        </is>
      </c>
    </row>
    <row r="63" customFormat="1" s="97">
      <c r="A63" s="4" t="inlineStr">
        <is>
          <t>Explore Global Limited</t>
        </is>
      </c>
      <c r="B63" s="25" t="inlineStr">
        <is>
          <t>Retail</t>
        </is>
      </c>
    </row>
    <row r="64" customFormat="1" s="97">
      <c r="A64" s="35" t="inlineStr">
        <is>
          <t>Exposure Promotions Ltd.</t>
        </is>
      </c>
      <c r="B64" s="103" t="inlineStr">
        <is>
          <t>Media &amp; Marketing</t>
        </is>
      </c>
    </row>
    <row r="65" customFormat="1" s="97">
      <c r="A65" s="4" t="inlineStr">
        <is>
          <t>Express Alteration and Tailoring Ltd</t>
        </is>
      </c>
      <c r="B65" s="25" t="inlineStr">
        <is>
          <t>Retail</t>
        </is>
      </c>
    </row>
    <row r="66" customFormat="1" s="97">
      <c r="A66" s="4" t="inlineStr">
        <is>
          <t>Face2Face Counselling Services Ltd</t>
        </is>
      </c>
      <c r="B66" s="25" t="inlineStr">
        <is>
          <t>Professional Services</t>
        </is>
      </c>
    </row>
    <row r="67" customFormat="1" s="97">
      <c r="A67" s="4" t="inlineStr">
        <is>
          <t>Face2Face Counselling Services Ltd</t>
        </is>
      </c>
      <c r="B67" s="25" t="inlineStr">
        <is>
          <t>Health &amp; Social Services</t>
        </is>
      </c>
    </row>
    <row r="68" customFormat="1" s="97">
      <c r="A68" s="4" t="inlineStr">
        <is>
          <t>Factory Studios Limited.</t>
        </is>
      </c>
      <c r="B68" s="25" t="inlineStr">
        <is>
          <t>Media &amp; Marketing</t>
        </is>
      </c>
    </row>
    <row r="69" customFormat="1" s="97">
      <c r="A69" s="4" t="inlineStr">
        <is>
          <t>Factory Studios Limited.</t>
        </is>
      </c>
      <c r="B69" s="103" t="inlineStr">
        <is>
          <t>Media &amp; Marketing</t>
        </is>
      </c>
    </row>
    <row r="70" customFormat="1" s="97">
      <c r="A70" s="35" t="inlineStr">
        <is>
          <t>Fads Boutique Limited</t>
        </is>
      </c>
      <c r="B70" s="103" t="inlineStr">
        <is>
          <t>Retail</t>
        </is>
      </c>
    </row>
    <row r="71" customFormat="1" s="97">
      <c r="A71" s="4" t="inlineStr">
        <is>
          <t>Feel Films Ltd.</t>
        </is>
      </c>
      <c r="B71" s="25" t="inlineStr">
        <is>
          <t>Media &amp; Marketing</t>
        </is>
      </c>
    </row>
    <row r="72" customFormat="1" s="97">
      <c r="A72" s="4" t="inlineStr">
        <is>
          <t>Feel Films Ltd.</t>
        </is>
      </c>
      <c r="B72" s="25" t="inlineStr">
        <is>
          <t>Professional Services</t>
        </is>
      </c>
    </row>
    <row r="73" customFormat="1" s="97">
      <c r="A73" s="4" t="inlineStr">
        <is>
          <t>Feel Films Ltd.</t>
        </is>
      </c>
      <c r="B73" s="25" t="inlineStr">
        <is>
          <t>Professional Services</t>
        </is>
      </c>
    </row>
    <row r="74" customFormat="1" s="97">
      <c r="A74" s="4" t="inlineStr">
        <is>
          <t>Feel Films Ltd.</t>
        </is>
      </c>
      <c r="B74" s="25" t="inlineStr">
        <is>
          <t>Media &amp; Marketing</t>
        </is>
      </c>
    </row>
    <row r="75" customFormat="1" s="97">
      <c r="A75" s="4" t="inlineStr">
        <is>
          <t>Feldberg Capital UK Limited</t>
        </is>
      </c>
      <c r="B75" s="25" t="inlineStr">
        <is>
          <t>Real Estate &amp; Construction</t>
        </is>
      </c>
    </row>
    <row r="76" customFormat="1" s="97">
      <c r="A76" s="4" t="inlineStr">
        <is>
          <t>Final Cut Ltd.</t>
        </is>
      </c>
      <c r="B76" s="25" t="inlineStr">
        <is>
          <t>Media &amp; Marketing</t>
        </is>
      </c>
    </row>
    <row r="77" customFormat="1" s="97">
      <c r="A77" s="4" t="inlineStr">
        <is>
          <t>Final Cut Ltd.</t>
        </is>
      </c>
      <c r="B77" s="25" t="inlineStr">
        <is>
          <t>Media &amp; Marketing</t>
        </is>
      </c>
    </row>
    <row r="78" customFormat="1" s="97">
      <c r="A78" s="4" t="inlineStr">
        <is>
          <t>Final Cut Ltd.</t>
        </is>
      </c>
      <c r="B78" s="25" t="inlineStr">
        <is>
          <t>Media &amp; Marketing</t>
        </is>
      </c>
    </row>
    <row r="79" customFormat="1" s="97">
      <c r="A79" s="4" t="inlineStr">
        <is>
          <t>Final Cut Ltd.</t>
        </is>
      </c>
      <c r="B79" s="25" t="inlineStr">
        <is>
          <t>Media &amp; Marketing</t>
        </is>
      </c>
    </row>
    <row r="80" customFormat="1" s="97">
      <c r="A80" s="4" t="inlineStr">
        <is>
          <t>Final Cut Ltd.</t>
        </is>
      </c>
      <c r="B80" s="25" t="inlineStr">
        <is>
          <t>Media &amp; Marketing</t>
        </is>
      </c>
    </row>
    <row r="81" customFormat="1" s="97">
      <c r="A81" s="4" t="inlineStr">
        <is>
          <t>Final Cut Ltd.</t>
        </is>
      </c>
      <c r="B81" s="25" t="inlineStr">
        <is>
          <t>Media &amp; Marketing</t>
        </is>
      </c>
    </row>
    <row r="82" customFormat="1" s="97">
      <c r="A82" s="35" t="inlineStr">
        <is>
          <t>Fitzrovia IT Ltd</t>
        </is>
      </c>
      <c r="B82" s="25" t="inlineStr">
        <is>
          <t>IT &amp; Telecoms</t>
        </is>
      </c>
    </row>
    <row r="83" customFormat="1" s="97">
      <c r="A83" s="4" t="inlineStr">
        <is>
          <t>Florian James Limited</t>
        </is>
      </c>
      <c r="B83" s="25" t="inlineStr">
        <is>
          <t>Retail</t>
        </is>
      </c>
    </row>
    <row r="84" customFormat="1" s="97">
      <c r="A84" s="4" t="inlineStr">
        <is>
          <t>Folia Ltd.</t>
        </is>
      </c>
      <c r="B84" s="25" t="inlineStr">
        <is>
          <t>Retail</t>
        </is>
      </c>
    </row>
    <row r="85" customFormat="1" s="97">
      <c r="A85" s="4" t="inlineStr">
        <is>
          <t>Folia Ltd.</t>
        </is>
      </c>
      <c r="B85" s="25" t="inlineStr">
        <is>
          <t>Retail</t>
        </is>
      </c>
    </row>
    <row r="86" customFormat="1" s="97">
      <c r="A86" s="4" t="inlineStr">
        <is>
          <t>Fred Bakery Ltd.</t>
        </is>
      </c>
      <c r="B86" s="25" t="inlineStr">
        <is>
          <t>Retail</t>
        </is>
      </c>
    </row>
    <row r="87" customFormat="1" s="97">
      <c r="A87" s="4" t="inlineStr">
        <is>
          <t>Fresh Film Productions Ltd.</t>
        </is>
      </c>
      <c r="B87" s="25" t="inlineStr">
        <is>
          <t>Media &amp; Marketing</t>
        </is>
      </c>
    </row>
    <row r="88" customFormat="1" s="97">
      <c r="A88" s="4" t="inlineStr">
        <is>
          <t>FRIBA Limited</t>
        </is>
      </c>
      <c r="B88" s="25" t="inlineStr">
        <is>
          <t>Real Estate &amp; Construction</t>
        </is>
      </c>
    </row>
    <row r="89" customFormat="1" s="97">
      <c r="A89" s="4" t="inlineStr">
        <is>
          <t>FRIBA Limited</t>
        </is>
      </c>
      <c r="B89" s="25" t="inlineStr">
        <is>
          <t>Real Estate &amp; Construction</t>
        </is>
      </c>
    </row>
    <row r="90" customFormat="1" s="97">
      <c r="A90" s="4" t="inlineStr">
        <is>
          <t>Futuremaxx Ltd</t>
        </is>
      </c>
      <c r="B90" s="25" t="inlineStr">
        <is>
          <t>Retail</t>
        </is>
      </c>
    </row>
    <row r="91" customFormat="1" s="97">
      <c r="A91" s="4" t="inlineStr">
        <is>
          <t>G. McGonagle &amp; I. Robertson</t>
        </is>
      </c>
      <c r="B91" s="25" t="inlineStr">
        <is>
          <t>Professional Services</t>
        </is>
      </c>
    </row>
    <row r="92" customFormat="1" s="97">
      <c r="A92" s="4" t="inlineStr">
        <is>
          <t>Gillian Jason Modern &amp; Contemporary Art Ltd</t>
        </is>
      </c>
      <c r="B92" s="25" t="inlineStr">
        <is>
          <t>Media &amp; Marketing</t>
        </is>
      </c>
    </row>
    <row r="93" customFormat="1" s="97">
      <c r="A93" s="4" t="inlineStr">
        <is>
          <t>Gilmoora House Ltd</t>
        </is>
      </c>
      <c r="B93" s="25" t="inlineStr">
        <is>
          <t>Serviced Offices</t>
        </is>
      </c>
    </row>
    <row r="94" customFormat="1" s="97">
      <c r="A94" s="117" t="inlineStr">
        <is>
          <t>Global Future Partnership LLP</t>
        </is>
      </c>
      <c r="B94" s="117" t="inlineStr">
        <is>
          <t>Professional Services</t>
        </is>
      </c>
    </row>
    <row r="95" customFormat="1" s="97">
      <c r="A95" s="4" t="inlineStr">
        <is>
          <t>Gnosco Ltd &amp; Fortis Block Management Ltd</t>
        </is>
      </c>
      <c r="B95" s="25" t="inlineStr">
        <is>
          <t>Real Estate &amp; Construction</t>
        </is>
      </c>
    </row>
    <row r="96" customFormat="1" s="97">
      <c r="A96" s="4" t="inlineStr">
        <is>
          <t>Godske Group A/S</t>
        </is>
      </c>
      <c r="B96" s="25" t="inlineStr">
        <is>
          <t>Retail</t>
        </is>
      </c>
    </row>
    <row r="97" customFormat="1" s="97">
      <c r="A97" s="4" t="inlineStr">
        <is>
          <t>GP Acoustics (UK) Limited</t>
        </is>
      </c>
      <c r="B97" s="103" t="inlineStr">
        <is>
          <t>Media &amp; Marketing</t>
        </is>
      </c>
    </row>
    <row r="98" customFormat="1" s="97">
      <c r="A98" s="4" t="inlineStr">
        <is>
          <t>GP Acoustics (UK) Limited</t>
        </is>
      </c>
      <c r="B98" s="103" t="inlineStr">
        <is>
          <t>Media &amp; Marketing</t>
        </is>
      </c>
    </row>
    <row r="99" customFormat="1" s="97">
      <c r="A99" s="4" t="inlineStr">
        <is>
          <t>Greek National Tourism Organisation.</t>
        </is>
      </c>
      <c r="B99" s="25" t="inlineStr">
        <is>
          <t>Leisure Services</t>
        </is>
      </c>
    </row>
    <row r="100" customFormat="1" s="97">
      <c r="A100" s="4" t="inlineStr">
        <is>
          <t>Guaranty Trust Bank (UK) Ltd</t>
        </is>
      </c>
      <c r="B100" s="25" t="inlineStr">
        <is>
          <t>Banking &amp; Finance</t>
        </is>
      </c>
    </row>
    <row r="101" customFormat="1" s="97">
      <c r="A101" s="4" t="inlineStr">
        <is>
          <t>H Illume Ltd (t/a LAPO)</t>
        </is>
      </c>
      <c r="B101" s="25" t="inlineStr">
        <is>
          <t>Health &amp; Social Services</t>
        </is>
      </c>
    </row>
    <row r="102" customFormat="1" s="97">
      <c r="A102" s="117" t="inlineStr">
        <is>
          <t>Hague Securities Limited</t>
        </is>
      </c>
      <c r="B102" s="117" t="inlineStr">
        <is>
          <t>Real Estate &amp; Construction</t>
        </is>
      </c>
    </row>
    <row r="103" customFormat="1" s="97">
      <c r="A103" s="4" t="inlineStr">
        <is>
          <t>Hawes &amp; Curtis Ltd</t>
        </is>
      </c>
      <c r="B103" s="25" t="inlineStr">
        <is>
          <t>Retail</t>
        </is>
      </c>
    </row>
    <row r="104" customFormat="1" s="97">
      <c r="A104" s="4" t="inlineStr">
        <is>
          <t>Hela Brands Ltd</t>
        </is>
      </c>
      <c r="B104" s="25" t="inlineStr">
        <is>
          <t>Retail</t>
        </is>
      </c>
    </row>
    <row r="105" customFormat="1" s="97">
      <c r="A105" s="25" t="inlineStr">
        <is>
          <t>Hewson Independent Trading Company Ltd</t>
        </is>
      </c>
      <c r="B105" s="25" t="inlineStr">
        <is>
          <t>Residential</t>
        </is>
      </c>
    </row>
    <row r="106" customFormat="1" s="97">
      <c r="A106" s="117" t="inlineStr">
        <is>
          <t>Heywood &amp; Partners Surveyors Ltd</t>
        </is>
      </c>
      <c r="B106" s="117" t="inlineStr">
        <is>
          <t>Leisure Services</t>
        </is>
      </c>
    </row>
    <row r="107" customFormat="1" s="97">
      <c r="A107" s="4" t="inlineStr">
        <is>
          <t>Holland &amp; Barrett Retail Ltd</t>
        </is>
      </c>
      <c r="B107" s="25" t="inlineStr">
        <is>
          <t>Retail</t>
        </is>
      </c>
    </row>
    <row r="108" customFormat="1" s="97">
      <c r="A108" s="4" t="inlineStr">
        <is>
          <t>Honest Burgers Ltd</t>
        </is>
      </c>
      <c r="B108" s="25" t="inlineStr">
        <is>
          <t>Leisure Services</t>
        </is>
      </c>
    </row>
    <row r="109" customFormat="1" s="97">
      <c r="A109" s="4" t="inlineStr">
        <is>
          <t>Hope93 Ltd.</t>
        </is>
      </c>
      <c r="B109" s="25" t="inlineStr">
        <is>
          <t>Retail</t>
        </is>
      </c>
    </row>
    <row r="110" customFormat="1" s="97">
      <c r="A110" s="4" t="inlineStr">
        <is>
          <t>Hope93 Ltd.</t>
        </is>
      </c>
      <c r="B110" s="25" t="inlineStr">
        <is>
          <t>Retail</t>
        </is>
      </c>
    </row>
    <row r="111" customFormat="1" s="97">
      <c r="A111" s="4" t="inlineStr">
        <is>
          <t>Hutchison 3 G UK Ltd</t>
        </is>
      </c>
      <c r="B111" s="25" t="inlineStr">
        <is>
          <t>IT &amp; Telecoms</t>
        </is>
      </c>
    </row>
    <row r="112" customFormat="1" s="97">
      <c r="A112" s="35" t="inlineStr">
        <is>
          <t>Hypecore Limited</t>
        </is>
      </c>
      <c r="B112" s="25" t="inlineStr">
        <is>
          <t>Leisure Services</t>
        </is>
      </c>
    </row>
    <row r="113" customFormat="1" s="97">
      <c r="A113" s="4" t="inlineStr">
        <is>
          <t>IBRAAZ</t>
        </is>
      </c>
      <c r="B113" s="25" t="inlineStr">
        <is>
          <t>Retail</t>
        </is>
      </c>
    </row>
    <row r="114" customFormat="1" s="97">
      <c r="A114" s="4" t="inlineStr">
        <is>
          <t>Infront Sports &amp; Media UK Ltd</t>
        </is>
      </c>
      <c r="B114" s="25" t="inlineStr">
        <is>
          <t>Professional Services</t>
        </is>
      </c>
    </row>
    <row r="115" customFormat="1" s="97">
      <c r="A115" s="4" t="inlineStr">
        <is>
          <t>InPost UK Limited</t>
        </is>
      </c>
      <c r="B115" s="25" t="inlineStr">
        <is>
          <t>Leisure Services</t>
        </is>
      </c>
    </row>
    <row r="116" customFormat="1" s="97">
      <c r="A116" s="4" t="inlineStr">
        <is>
          <t>InPost UK Limited</t>
        </is>
      </c>
      <c r="B116" s="25" t="inlineStr">
        <is>
          <t>Leisure Services</t>
        </is>
      </c>
    </row>
    <row r="117" customFormat="1" s="97">
      <c r="A117" s="117" t="inlineStr">
        <is>
          <t>Investments Services UK Ltd</t>
        </is>
      </c>
      <c r="B117" s="117" t="inlineStr">
        <is>
          <t>Banking &amp; Finance</t>
        </is>
      </c>
    </row>
    <row r="118" customFormat="1" s="97">
      <c r="A118" s="4" t="inlineStr">
        <is>
          <t>J C Patel</t>
        </is>
      </c>
      <c r="B118" s="25" t="inlineStr">
        <is>
          <t>Retail</t>
        </is>
      </c>
    </row>
    <row r="119" customFormat="1" s="97">
      <c r="A119" s="4" t="inlineStr">
        <is>
          <t>J&amp;M Davidson Limited.</t>
        </is>
      </c>
      <c r="B119" s="25" t="inlineStr">
        <is>
          <t>Retail</t>
        </is>
      </c>
    </row>
    <row r="120" customFormat="1" s="97">
      <c r="A120" s="4" t="inlineStr">
        <is>
          <t>James Boatman</t>
        </is>
      </c>
      <c r="B120" s="25" t="inlineStr">
        <is>
          <t>Professional Services</t>
        </is>
      </c>
    </row>
    <row r="121" customFormat="1" s="97">
      <c r="A121" s="4" t="inlineStr">
        <is>
          <t>Jamieson Stone Services Ltd.</t>
        </is>
      </c>
      <c r="B121" s="25" t="inlineStr">
        <is>
          <t>Professional Services</t>
        </is>
      </c>
    </row>
    <row r="122" customFormat="1" s="97">
      <c r="A122" s="4" t="inlineStr">
        <is>
          <t>Jewells Retail Ltd</t>
        </is>
      </c>
      <c r="B122" s="25" t="inlineStr">
        <is>
          <t>Retail</t>
        </is>
      </c>
    </row>
    <row r="123" customFormat="1" s="97">
      <c r="A123" s="4" t="inlineStr">
        <is>
          <t>Jewells Retail Ltd</t>
        </is>
      </c>
      <c r="B123" s="25" t="inlineStr">
        <is>
          <t>Retail</t>
        </is>
      </c>
    </row>
    <row r="124" customFormat="1" s="97">
      <c r="A124" s="4" t="inlineStr">
        <is>
          <t>Jewells Retail Ltd</t>
        </is>
      </c>
      <c r="B124" s="25" t="inlineStr">
        <is>
          <t>Retail</t>
        </is>
      </c>
    </row>
    <row r="125" customFormat="1" s="97">
      <c r="A125" s="117" t="inlineStr">
        <is>
          <t>Joint London Ltd</t>
        </is>
      </c>
      <c r="B125" s="117" t="inlineStr">
        <is>
          <t>Professional Services</t>
        </is>
      </c>
    </row>
    <row r="126" customFormat="1" s="97">
      <c r="A126" s="4" t="inlineStr">
        <is>
          <t>JRDL UK Ltd.</t>
        </is>
      </c>
      <c r="B126" s="25" t="inlineStr">
        <is>
          <t>Retail</t>
        </is>
      </c>
    </row>
    <row r="127" customFormat="1" s="97">
      <c r="A127" s="4" t="inlineStr">
        <is>
          <t>Katch Investment Management Ltd</t>
        </is>
      </c>
      <c r="B127" s="25" t="inlineStr">
        <is>
          <t>Banking &amp; Finance</t>
        </is>
      </c>
    </row>
    <row r="128" customFormat="1" s="97">
      <c r="A128" s="4" t="inlineStr">
        <is>
          <t>Kipas London Ltd</t>
        </is>
      </c>
      <c r="B128" s="25" t="inlineStr">
        <is>
          <t>Retail</t>
        </is>
      </c>
    </row>
    <row r="129" customFormat="1" s="97">
      <c r="A129" s="35" t="inlineStr">
        <is>
          <t>Kiss The Hippo Fritzrovia Ltd.</t>
        </is>
      </c>
      <c r="B129" s="25" t="inlineStr">
        <is>
          <t>Leisure Services</t>
        </is>
      </c>
    </row>
    <row r="130" customFormat="1" s="97">
      <c r="A130" s="35" t="inlineStr">
        <is>
          <t>Kiss The Hippo Fritzrovia Ltd.</t>
        </is>
      </c>
      <c r="B130" s="25" t="inlineStr">
        <is>
          <t>Leisure Services</t>
        </is>
      </c>
    </row>
    <row r="131" customFormat="1" s="97">
      <c r="A131" s="4" t="inlineStr">
        <is>
          <t>Knotel Moray House Ltd.</t>
        </is>
      </c>
      <c r="B131" s="25" t="inlineStr">
        <is>
          <t>Professional Services</t>
        </is>
      </c>
    </row>
    <row r="132" customFormat="1" s="97">
      <c r="A132" s="4" t="inlineStr">
        <is>
          <t>L52 Communications Ltd</t>
        </is>
      </c>
      <c r="B132" s="25" t="inlineStr">
        <is>
          <t>Media &amp; Marketing</t>
        </is>
      </c>
    </row>
    <row r="133" customFormat="1" s="97">
      <c r="A133" s="4" t="inlineStr">
        <is>
          <t>Langham Estate Management Ltd</t>
        </is>
      </c>
      <c r="B133" s="25" t="inlineStr">
        <is>
          <t>Real Estate &amp; Construction</t>
        </is>
      </c>
    </row>
    <row r="134" customFormat="1" s="97">
      <c r="A134" s="4" t="inlineStr">
        <is>
          <t>Langham Estate Management Ltd</t>
        </is>
      </c>
      <c r="B134" s="103" t="inlineStr">
        <is>
          <t>Real Estate &amp; Construction</t>
        </is>
      </c>
    </row>
    <row r="135" customFormat="1" s="97">
      <c r="A135" s="4" t="inlineStr">
        <is>
          <t>Langham Estate Management Ltd</t>
        </is>
      </c>
      <c r="B135" s="103" t="inlineStr">
        <is>
          <t>Real Estate &amp; Construction</t>
        </is>
      </c>
    </row>
    <row r="136" customFormat="1" s="97">
      <c r="A136" s="4" t="inlineStr">
        <is>
          <t>Langham Estate Management Ltd</t>
        </is>
      </c>
      <c r="B136" s="103" t="inlineStr">
        <is>
          <t>Real Estate &amp; Construction</t>
        </is>
      </c>
    </row>
    <row r="137" customFormat="1" s="97">
      <c r="A137" s="4" t="inlineStr">
        <is>
          <t>Langham Estate Management Ltd</t>
        </is>
      </c>
      <c r="B137" s="103" t="inlineStr">
        <is>
          <t>Real Estate &amp; Construction</t>
        </is>
      </c>
    </row>
    <row r="138" customFormat="1" s="97">
      <c r="A138" s="4" t="inlineStr">
        <is>
          <t>Langham Estate Management Ltd</t>
        </is>
      </c>
      <c r="B138" s="103" t="inlineStr">
        <is>
          <t>Real Estate &amp; Construction</t>
        </is>
      </c>
    </row>
    <row r="139" customFormat="1" s="97">
      <c r="A139" s="4" t="inlineStr">
        <is>
          <t>Langham Estate Management Ltd</t>
        </is>
      </c>
      <c r="B139" s="25" t="inlineStr">
        <is>
          <t>Real Estate &amp; Construction</t>
        </is>
      </c>
    </row>
    <row r="140" customFormat="1" s="97">
      <c r="A140" s="4" t="inlineStr">
        <is>
          <t>Langham Estate Management Ltd</t>
        </is>
      </c>
      <c r="B140" s="25" t="inlineStr">
        <is>
          <t>Real Estate &amp; Construction</t>
        </is>
      </c>
    </row>
    <row r="141" customFormat="1" s="97">
      <c r="A141" s="4" t="inlineStr">
        <is>
          <t>Langham Estate Management Ltd</t>
        </is>
      </c>
      <c r="B141" s="25" t="inlineStr">
        <is>
          <t>Real Estate &amp; Construction</t>
        </is>
      </c>
    </row>
    <row r="142" customFormat="1" s="97">
      <c r="A142" s="4" t="inlineStr">
        <is>
          <t>Langham Estate Management Ltd</t>
        </is>
      </c>
      <c r="B142" s="25" t="inlineStr">
        <is>
          <t>Real Estate &amp; Construction</t>
        </is>
      </c>
    </row>
    <row r="143" customFormat="1" s="97">
      <c r="A143" s="4" t="inlineStr">
        <is>
          <t>Langham Estate Management Ltd</t>
        </is>
      </c>
      <c r="B143" s="25" t="inlineStr">
        <is>
          <t>Real Estate &amp; Construction</t>
        </is>
      </c>
    </row>
    <row r="144" customFormat="1" s="97">
      <c r="A144" s="4" t="inlineStr">
        <is>
          <t>Leap Productions Limited</t>
        </is>
      </c>
      <c r="B144" s="25" t="inlineStr">
        <is>
          <t>Media &amp; Marketing</t>
        </is>
      </c>
    </row>
    <row r="145" customFormat="1" s="97">
      <c r="A145" s="4" t="inlineStr">
        <is>
          <t>Learn Lab Language School Ltd</t>
        </is>
      </c>
      <c r="B145" s="25" t="inlineStr">
        <is>
          <t>Other</t>
        </is>
      </c>
    </row>
    <row r="146" customFormat="1" s="97">
      <c r="A146" s="170" t="inlineStr">
        <is>
          <t>Leon Restaurants Ltd</t>
        </is>
      </c>
      <c r="B146" s="170" t="inlineStr">
        <is>
          <t>Retail</t>
        </is>
      </c>
    </row>
    <row r="147" customFormat="1" s="97">
      <c r="A147" s="4" t="inlineStr">
        <is>
          <t>Lion Brand Limited</t>
        </is>
      </c>
      <c r="B147" s="25" t="inlineStr">
        <is>
          <t>Residential</t>
        </is>
      </c>
    </row>
    <row r="148" customFormat="1" s="97">
      <c r="A148" s="4" t="inlineStr">
        <is>
          <t>London Mappin House Centre Ltd.</t>
        </is>
      </c>
      <c r="B148" s="25" t="inlineStr">
        <is>
          <t>Serviced Offices</t>
        </is>
      </c>
    </row>
    <row r="149" customFormat="1" s="97">
      <c r="A149" s="4" t="inlineStr">
        <is>
          <t>London Mappin House Centre Ltd.</t>
        </is>
      </c>
      <c r="B149" s="25" t="inlineStr">
        <is>
          <t>Serviced Offices</t>
        </is>
      </c>
    </row>
    <row r="150" customFormat="1" s="97">
      <c r="A150" s="4" t="inlineStr">
        <is>
          <t>London Mappin House Centre Ltd.</t>
        </is>
      </c>
      <c r="B150" s="25" t="inlineStr">
        <is>
          <t>Serviced Offices</t>
        </is>
      </c>
    </row>
    <row r="151" customFormat="1" s="97">
      <c r="A151" s="4" t="inlineStr">
        <is>
          <t>London Mappin House Centre Ltd.</t>
        </is>
      </c>
      <c r="B151" s="25" t="inlineStr">
        <is>
          <t>Serviced Offices</t>
        </is>
      </c>
    </row>
    <row r="152" customFormat="1" s="97">
      <c r="A152" s="4" t="inlineStr">
        <is>
          <t>London Power Networks Plc</t>
        </is>
      </c>
      <c r="B152" s="25" t="inlineStr">
        <is>
          <t>Other</t>
        </is>
      </c>
    </row>
    <row r="153" customFormat="1" s="97">
      <c r="A153" s="4" t="inlineStr">
        <is>
          <t>London Power Networks Plc</t>
        </is>
      </c>
      <c r="B153" s="4" t="inlineStr">
        <is>
          <t>Other</t>
        </is>
      </c>
    </row>
    <row r="154" customFormat="1" s="97">
      <c r="A154" s="4" t="inlineStr">
        <is>
          <t>London Power Networks Plc</t>
        </is>
      </c>
      <c r="B154" s="4" t="inlineStr">
        <is>
          <t>Other</t>
        </is>
      </c>
    </row>
    <row r="155" customFormat="1" s="97">
      <c r="A155" s="4" t="inlineStr">
        <is>
          <t>London Power Networks Plc</t>
        </is>
      </c>
      <c r="B155" s="4" t="inlineStr">
        <is>
          <t>Other</t>
        </is>
      </c>
    </row>
    <row r="156" customFormat="1" s="97">
      <c r="A156" s="4" t="inlineStr">
        <is>
          <t>London Power Networks Plc</t>
        </is>
      </c>
      <c r="B156" s="4" t="inlineStr">
        <is>
          <t>Other</t>
        </is>
      </c>
    </row>
    <row r="157" customFormat="1" s="97">
      <c r="A157" s="4" t="inlineStr">
        <is>
          <t>London Power Networks Plc</t>
        </is>
      </c>
      <c r="B157" s="4" t="inlineStr">
        <is>
          <t>Other</t>
        </is>
      </c>
    </row>
    <row r="158" customFormat="1" s="97">
      <c r="A158" s="117" t="inlineStr">
        <is>
          <t>London Power Networks Plc</t>
        </is>
      </c>
      <c r="B158" s="25" t="inlineStr">
        <is>
          <t>Other</t>
        </is>
      </c>
    </row>
    <row r="159" customFormat="1" s="97">
      <c r="A159" s="117" t="inlineStr">
        <is>
          <t>London Power Networks Plc</t>
        </is>
      </c>
      <c r="B159" s="25" t="inlineStr">
        <is>
          <t>Other</t>
        </is>
      </c>
    </row>
    <row r="160" customFormat="1" s="97">
      <c r="A160" s="4" t="inlineStr">
        <is>
          <t>Lovisa UK Ltd</t>
        </is>
      </c>
      <c r="B160" s="25" t="inlineStr">
        <is>
          <t>Manufacturing</t>
        </is>
      </c>
    </row>
    <row r="161" customFormat="1" s="97">
      <c r="A161" s="4" t="inlineStr">
        <is>
          <t xml:space="preserve">Lualdi UK </t>
        </is>
      </c>
      <c r="B161" s="25" t="inlineStr">
        <is>
          <t>Retail</t>
        </is>
      </c>
    </row>
    <row r="162" customFormat="1" s="97">
      <c r="A162" s="4" t="inlineStr">
        <is>
          <t>M&amp;C Saatchi World Services Ltd.</t>
        </is>
      </c>
      <c r="B162" s="25" t="inlineStr">
        <is>
          <t>Media &amp; Marketing</t>
        </is>
      </c>
    </row>
    <row r="163" customFormat="1" s="97">
      <c r="A163" s="117" t="inlineStr">
        <is>
          <t>Mackintosh Limited</t>
        </is>
      </c>
      <c r="B163" s="117" t="inlineStr">
        <is>
          <t>Retail</t>
        </is>
      </c>
    </row>
    <row r="164" customFormat="1" s="97">
      <c r="A164" s="4" t="inlineStr">
        <is>
          <t>Major League Baseball Europe Ltd.</t>
        </is>
      </c>
      <c r="B164" s="25" t="inlineStr">
        <is>
          <t>Professional Services</t>
        </is>
      </c>
    </row>
    <row r="165" customFormat="1" s="97">
      <c r="A165" s="4" t="inlineStr">
        <is>
          <t>Mamaye UK Limited.</t>
        </is>
      </c>
      <c r="B165" s="25" t="inlineStr">
        <is>
          <t>Leisure Services</t>
        </is>
      </c>
    </row>
    <row r="166" customFormat="1" s="97">
      <c r="A166" s="4" t="inlineStr">
        <is>
          <t>Margaret Howell Ltd</t>
        </is>
      </c>
      <c r="B166" s="25" t="inlineStr">
        <is>
          <t>Leisure Services</t>
        </is>
      </c>
    </row>
    <row r="167" customFormat="1" s="97">
      <c r="A167" s="4" t="inlineStr">
        <is>
          <t>Market Place (London) Holdings Ltd</t>
        </is>
      </c>
      <c r="B167" s="25" t="inlineStr">
        <is>
          <t>Leisure Services</t>
        </is>
      </c>
    </row>
    <row r="168" customFormat="1" s="97">
      <c r="A168" s="4" t="inlineStr">
        <is>
          <t>Marson Property Ltd</t>
        </is>
      </c>
      <c r="B168" s="25" t="inlineStr">
        <is>
          <t>Real Estate &amp; Construction</t>
        </is>
      </c>
    </row>
    <row r="169" customFormat="1" s="97">
      <c r="A169" s="4" t="inlineStr">
        <is>
          <t>Marstead Living Limited</t>
        </is>
      </c>
      <c r="B169" s="25" t="inlineStr">
        <is>
          <t>Professional Services</t>
        </is>
      </c>
    </row>
    <row r="170" customFormat="1" s="97">
      <c r="A170" s="4" t="inlineStr">
        <is>
          <t>Masterbet Ltd.</t>
        </is>
      </c>
      <c r="B170" s="25" t="inlineStr">
        <is>
          <t>Leisure Services</t>
        </is>
      </c>
    </row>
    <row r="171" customFormat="1" s="97">
      <c r="A171" s="4" t="inlineStr">
        <is>
          <t>Maxguard Limited</t>
        </is>
      </c>
      <c r="B171" s="103" t="inlineStr">
        <is>
          <t>Retail</t>
        </is>
      </c>
    </row>
    <row r="172" customFormat="1" s="97">
      <c r="A172" s="35" t="inlineStr">
        <is>
          <t>MDB Sarl</t>
        </is>
      </c>
      <c r="B172" s="25" t="inlineStr">
        <is>
          <t>Retail</t>
        </is>
      </c>
    </row>
    <row r="173" customFormat="1" s="97">
      <c r="A173" s="4" t="inlineStr">
        <is>
          <t>Media Campaign Limited</t>
        </is>
      </c>
      <c r="B173" s="25" t="inlineStr">
        <is>
          <t>Media &amp; Marketing</t>
        </is>
      </c>
    </row>
    <row r="174" customFormat="1" s="97">
      <c r="A174" s="4" t="inlineStr">
        <is>
          <t>Medialab Group Ltd.</t>
        </is>
      </c>
      <c r="B174" s="25" t="inlineStr">
        <is>
          <t>Media &amp; Marketing</t>
        </is>
      </c>
    </row>
    <row r="175" customFormat="1" s="97">
      <c r="A175" s="4" t="inlineStr">
        <is>
          <t>Medialab Group Ltd.</t>
        </is>
      </c>
      <c r="B175" s="25" t="inlineStr">
        <is>
          <t>Media &amp; Marketing</t>
        </is>
      </c>
    </row>
    <row r="176" customFormat="1" s="97">
      <c r="A176" s="4" t="inlineStr">
        <is>
          <t>Medialab Group Ltd.</t>
        </is>
      </c>
      <c r="B176" s="25" t="inlineStr">
        <is>
          <t>Media &amp; Marketing</t>
        </is>
      </c>
    </row>
    <row r="177" customFormat="1" s="97">
      <c r="A177" s="4" t="inlineStr">
        <is>
          <t>Medialab Group Ltd.</t>
        </is>
      </c>
      <c r="B177" s="25" t="inlineStr">
        <is>
          <t>Media &amp; Marketing</t>
        </is>
      </c>
    </row>
    <row r="178" customFormat="1" s="97">
      <c r="A178" s="4" t="inlineStr">
        <is>
          <t>Mercury Creations Limited</t>
        </is>
      </c>
      <c r="B178" s="25" t="inlineStr">
        <is>
          <t>Retail</t>
        </is>
      </c>
    </row>
    <row r="179" customFormat="1" s="97">
      <c r="A179" s="4" t="inlineStr">
        <is>
          <t>Mesmerise Global Limited</t>
        </is>
      </c>
      <c r="B179" s="25" t="inlineStr">
        <is>
          <t>Media &amp; Marketing</t>
        </is>
      </c>
    </row>
    <row r="180" customFormat="1" s="97">
      <c r="A180" s="4" t="inlineStr">
        <is>
          <t>MG Gulyas Ltd</t>
        </is>
      </c>
      <c r="B180" s="25" t="inlineStr">
        <is>
          <t>Retail</t>
        </is>
      </c>
    </row>
    <row r="181" customFormat="1" s="97">
      <c r="A181" s="4" t="inlineStr">
        <is>
          <t>Miss Julia Tressler</t>
        </is>
      </c>
      <c r="B181" s="25" t="inlineStr">
        <is>
          <t>Residential</t>
        </is>
      </c>
    </row>
    <row r="182" customFormat="1" s="97">
      <c r="A182" s="4" t="inlineStr">
        <is>
          <t>Moods Beauty Ltd</t>
        </is>
      </c>
      <c r="B182" s="25" t="inlineStr">
        <is>
          <t>Professional Services</t>
        </is>
      </c>
    </row>
    <row r="183" customFormat="1" s="97">
      <c r="A183" s="4" t="inlineStr">
        <is>
          <t>More &amp; More Studio Limited</t>
        </is>
      </c>
      <c r="B183" s="25" t="inlineStr">
        <is>
          <t>Media &amp; Marketing</t>
        </is>
      </c>
    </row>
    <row r="184" customFormat="1" s="97">
      <c r="A184" s="4" t="inlineStr">
        <is>
          <t>Morplan Ltd.</t>
        </is>
      </c>
      <c r="B184" s="25" t="inlineStr">
        <is>
          <t>Retail</t>
        </is>
      </c>
    </row>
    <row r="185" customFormat="1" s="97">
      <c r="A185" s="4" t="inlineStr">
        <is>
          <t>Morplan Ltd.</t>
        </is>
      </c>
      <c r="B185" s="25" t="inlineStr">
        <is>
          <t>Retail</t>
        </is>
      </c>
    </row>
    <row r="186" customFormat="1" s="97">
      <c r="A186" s="4" t="inlineStr">
        <is>
          <t>Morplan Ltd.</t>
        </is>
      </c>
      <c r="B186" s="25" t="inlineStr">
        <is>
          <t>Retail</t>
        </is>
      </c>
    </row>
    <row r="187" customFormat="1" s="97">
      <c r="A187" s="4" t="inlineStr">
        <is>
          <t>Mr Bick Ole &amp; Miss Ana Roomas Ledo</t>
        </is>
      </c>
      <c r="B187" s="25" t="inlineStr">
        <is>
          <t>Residential</t>
        </is>
      </c>
    </row>
    <row r="188" customFormat="1" s="97">
      <c r="A188" s="4" t="inlineStr">
        <is>
          <t>Mr Christos Tombras</t>
        </is>
      </c>
      <c r="B188" s="25" t="inlineStr">
        <is>
          <t>Professional Services</t>
        </is>
      </c>
    </row>
    <row r="189" customFormat="1" s="97">
      <c r="A189" s="4" t="inlineStr">
        <is>
          <t>Mr K Saraj</t>
        </is>
      </c>
      <c r="B189" s="25" t="inlineStr">
        <is>
          <t>Retail</t>
        </is>
      </c>
    </row>
    <row r="190" customFormat="1" s="97">
      <c r="A190" s="4" t="inlineStr">
        <is>
          <t>Mr M Versteegh &amp; Mr W Antell</t>
        </is>
      </c>
      <c r="B190" s="25" t="inlineStr">
        <is>
          <t>Residential</t>
        </is>
      </c>
    </row>
    <row r="191" customFormat="1" s="97">
      <c r="A191" s="4" t="inlineStr">
        <is>
          <t>Mr R Backes</t>
        </is>
      </c>
      <c r="B191" s="25" t="inlineStr">
        <is>
          <t>Professional Services</t>
        </is>
      </c>
    </row>
    <row r="192" customFormat="1" s="97">
      <c r="A192" s="4" t="inlineStr">
        <is>
          <t>Mr. A. Park</t>
        </is>
      </c>
      <c r="B192" s="25" t="inlineStr">
        <is>
          <t>Health &amp; Social Services</t>
        </is>
      </c>
    </row>
    <row r="193" customFormat="1" s="97">
      <c r="A193" s="4" t="inlineStr">
        <is>
          <t>Ms J. Hogan</t>
        </is>
      </c>
      <c r="B193" s="25" t="inlineStr">
        <is>
          <t>Health &amp; Social Services</t>
        </is>
      </c>
    </row>
    <row r="194" customFormat="1" s="97">
      <c r="A194" s="4" t="inlineStr">
        <is>
          <t>Ms Tara Harrison</t>
        </is>
      </c>
      <c r="B194" s="25" t="inlineStr">
        <is>
          <t>Health &amp; Social Services</t>
        </is>
      </c>
    </row>
    <row r="195" customFormat="1" s="97">
      <c r="A195" s="4" t="inlineStr">
        <is>
          <t>MSBB Ltd.</t>
        </is>
      </c>
      <c r="B195" s="25" t="inlineStr">
        <is>
          <t>Retail</t>
        </is>
      </c>
    </row>
    <row r="196" customFormat="1" s="97">
      <c r="A196" s="4" t="inlineStr">
        <is>
          <t>MSP Secretaries Ltd.</t>
        </is>
      </c>
      <c r="B196" s="25" t="inlineStr">
        <is>
          <t>Professional Services</t>
        </is>
      </c>
    </row>
    <row r="197" customFormat="1" s="97">
      <c r="A197" s="117" t="inlineStr">
        <is>
          <t>Nchain Ltd</t>
        </is>
      </c>
      <c r="B197" s="117" t="inlineStr">
        <is>
          <t>Professional Services</t>
        </is>
      </c>
    </row>
    <row r="198" customFormat="1" s="97">
      <c r="A198" s="117" t="inlineStr">
        <is>
          <t>Nchain Ltd</t>
        </is>
      </c>
      <c r="B198" s="117" t="inlineStr">
        <is>
          <t>Professional Services</t>
        </is>
      </c>
    </row>
    <row r="199" customFormat="1" s="97">
      <c r="A199" s="117" t="inlineStr">
        <is>
          <t>Noble Furs (Regent Street) Ltd</t>
        </is>
      </c>
      <c r="B199" s="117" t="inlineStr">
        <is>
          <t>Professional Services</t>
        </is>
      </c>
    </row>
    <row r="200" customFormat="1" s="97">
      <c r="A200" s="4" t="inlineStr">
        <is>
          <t>NSL Limited</t>
        </is>
      </c>
      <c r="B200" s="25" t="inlineStr">
        <is>
          <t>Professional Services</t>
        </is>
      </c>
    </row>
    <row r="201" customFormat="1" s="97">
      <c r="A201" s="117" t="inlineStr">
        <is>
          <t>Oakvale Capital LLP</t>
        </is>
      </c>
      <c r="B201" s="117" t="inlineStr">
        <is>
          <t>Banking &amp; Finance</t>
        </is>
      </c>
    </row>
    <row r="202" customFormat="1" s="97">
      <c r="A202" s="4" t="inlineStr">
        <is>
          <t>Oaxaca Ltd.</t>
        </is>
      </c>
      <c r="B202" s="25" t="inlineStr">
        <is>
          <t>Leisure Services</t>
        </is>
      </c>
    </row>
    <row r="203" customFormat="1" s="97">
      <c r="A203" s="117" t="inlineStr">
        <is>
          <t>Oaxaca Ltd.</t>
        </is>
      </c>
      <c r="B203" s="117" t="inlineStr">
        <is>
          <t>Leisure Services</t>
        </is>
      </c>
    </row>
    <row r="204" customFormat="1" s="97">
      <c r="A204" s="4" t="inlineStr">
        <is>
          <t>O-Chaa Thai Ltd.</t>
        </is>
      </c>
      <c r="B204" s="25" t="inlineStr">
        <is>
          <t>Leisure Services</t>
        </is>
      </c>
    </row>
    <row r="205" customFormat="1" s="97">
      <c r="A205" s="4" t="inlineStr">
        <is>
          <t>O-Chaa Thai Ltd.</t>
        </is>
      </c>
      <c r="B205" s="25" t="inlineStr">
        <is>
          <t>Leisure Services</t>
        </is>
      </c>
    </row>
    <row r="206" customFormat="1" s="97">
      <c r="A206" s="4" t="inlineStr">
        <is>
          <t>O-Chaa Thai Ltd.</t>
        </is>
      </c>
      <c r="B206" s="25" t="inlineStr">
        <is>
          <t>Leisure Services</t>
        </is>
      </c>
    </row>
    <row r="207" customFormat="1" s="97">
      <c r="A207" s="117" t="inlineStr">
        <is>
          <t>Office Holdings Ltd</t>
        </is>
      </c>
      <c r="B207" s="117" t="inlineStr">
        <is>
          <t>Retail</t>
        </is>
      </c>
    </row>
    <row r="208" customFormat="1" s="97">
      <c r="A208" s="4" t="inlineStr">
        <is>
          <t>Oldie Publications Ltd</t>
        </is>
      </c>
      <c r="B208" s="25" t="inlineStr">
        <is>
          <t>Media &amp; Marketing</t>
        </is>
      </c>
    </row>
    <row r="209" customFormat="1" s="97">
      <c r="A209" s="4" t="inlineStr">
        <is>
          <t>Olsen UK Limited</t>
        </is>
      </c>
      <c r="B209" s="25" t="inlineStr">
        <is>
          <t>Retail</t>
        </is>
      </c>
    </row>
    <row r="210" customFormat="1" s="97">
      <c r="A210" s="4" t="inlineStr">
        <is>
          <t>One Therapy Ltd.</t>
        </is>
      </c>
      <c r="B210" s="25" t="inlineStr">
        <is>
          <t>Professional Services</t>
        </is>
      </c>
    </row>
    <row r="211" customFormat="1" s="97">
      <c r="A211" s="4" t="inlineStr">
        <is>
          <t>One Therapy Ltd.</t>
        </is>
      </c>
      <c r="B211" s="25" t="inlineStr">
        <is>
          <t>Professional Services</t>
        </is>
      </c>
    </row>
    <row r="212" customFormat="1" s="97">
      <c r="A212" s="4" t="inlineStr">
        <is>
          <t>OpenStudio Architects Ltd.</t>
        </is>
      </c>
      <c r="B212" s="25" t="inlineStr">
        <is>
          <t>Professional Services</t>
        </is>
      </c>
    </row>
    <row r="213" customFormat="1" s="97">
      <c r="A213" s="4" t="inlineStr">
        <is>
          <t>Order Line Ltd</t>
        </is>
      </c>
      <c r="B213" s="25" t="inlineStr">
        <is>
          <t>Health &amp; Social Services</t>
        </is>
      </c>
    </row>
    <row r="214" customFormat="1" s="97">
      <c r="A214" s="35" t="inlineStr">
        <is>
          <t>Oreno Ramen Limited</t>
        </is>
      </c>
      <c r="B214" s="25" t="inlineStr">
        <is>
          <t>Retail</t>
        </is>
      </c>
    </row>
    <row r="215" customFormat="1" s="97">
      <c r="A215" s="4" t="inlineStr">
        <is>
          <t>Outform Group UK Ltd.</t>
        </is>
      </c>
      <c r="B215" s="25" t="inlineStr">
        <is>
          <t>Media &amp; Marketing</t>
        </is>
      </c>
    </row>
    <row r="216" customFormat="1" s="97">
      <c r="A216" s="4" t="inlineStr">
        <is>
          <t>Perry Ellis Europe Ltd.</t>
        </is>
      </c>
      <c r="B216" s="25" t="inlineStr">
        <is>
          <t>Retail</t>
        </is>
      </c>
    </row>
    <row r="217" customFormat="1" s="97">
      <c r="A217" s="4" t="inlineStr">
        <is>
          <t>Peter Alexander UK Ltd</t>
        </is>
      </c>
      <c r="B217" s="25" t="inlineStr">
        <is>
          <t>Retail</t>
        </is>
      </c>
    </row>
    <row r="218" customFormat="1" s="97">
      <c r="A218" s="4" t="inlineStr">
        <is>
          <t>PHBB Restaurants Ltd.</t>
        </is>
      </c>
      <c r="B218" s="25" t="inlineStr">
        <is>
          <t>Leisure Services</t>
        </is>
      </c>
    </row>
    <row r="219" customFormat="1" s="97">
      <c r="A219" s="4" t="inlineStr">
        <is>
          <t>Philips Lockhart Ltd.</t>
        </is>
      </c>
      <c r="B219" s="25" t="inlineStr">
        <is>
          <t>Professional Services</t>
        </is>
      </c>
    </row>
    <row r="220" customFormat="1" s="97">
      <c r="A220" s="4" t="inlineStr">
        <is>
          <t>Pho Trading Ltd.</t>
        </is>
      </c>
      <c r="B220" s="25" t="inlineStr">
        <is>
          <t>Leisure Services</t>
        </is>
      </c>
    </row>
    <row r="221" customFormat="1" s="97">
      <c r="A221" s="4" t="inlineStr">
        <is>
          <t>PI Artworks Ltd.</t>
        </is>
      </c>
      <c r="B221" s="25" t="inlineStr">
        <is>
          <t>Retail</t>
        </is>
      </c>
    </row>
    <row r="222" customFormat="1" s="97">
      <c r="A222" s="4" t="inlineStr">
        <is>
          <t>Pixi Limited</t>
        </is>
      </c>
      <c r="B222" s="25" t="inlineStr">
        <is>
          <t>Retail</t>
        </is>
      </c>
    </row>
    <row r="223" customFormat="1" s="97">
      <c r="A223" s="4" t="inlineStr">
        <is>
          <t>Pixi Limited</t>
        </is>
      </c>
      <c r="B223" s="25" t="inlineStr">
        <is>
          <t>Retail</t>
        </is>
      </c>
    </row>
    <row r="224" customFormat="1" s="97">
      <c r="A224" s="117" t="inlineStr">
        <is>
          <t>Prenuvo Ltd</t>
        </is>
      </c>
      <c r="B224" s="117" t="inlineStr">
        <is>
          <t>Professional Services</t>
        </is>
      </c>
    </row>
    <row r="225" customFormat="1" s="97">
      <c r="A225" s="4" t="inlineStr">
        <is>
          <t>PrettyLittleThing.com</t>
        </is>
      </c>
      <c r="B225" s="25" t="inlineStr">
        <is>
          <t>Retail</t>
        </is>
      </c>
    </row>
    <row r="226" customFormat="1" s="97">
      <c r="A226" s="4" t="inlineStr">
        <is>
          <t>Principle Estate Management LLP</t>
        </is>
      </c>
      <c r="B226" s="25" t="inlineStr">
        <is>
          <t>Professional Services</t>
        </is>
      </c>
    </row>
    <row r="227" customFormat="1" s="97">
      <c r="A227" s="46" t="inlineStr">
        <is>
          <t>Property Management Recruitment Ltd.</t>
        </is>
      </c>
      <c r="B227" s="25" t="inlineStr">
        <is>
          <t>Professional Services</t>
        </is>
      </c>
    </row>
    <row r="228" customFormat="1" s="97">
      <c r="A228" s="4" t="inlineStr">
        <is>
          <t>PsychotherapyUK Training Ltd.</t>
        </is>
      </c>
      <c r="B228" s="25" t="inlineStr">
        <is>
          <t>Professional Services</t>
        </is>
      </c>
    </row>
    <row r="229" customFormat="1" s="97">
      <c r="A229" s="4" t="inlineStr">
        <is>
          <t>Pure Public Relations Ltd.</t>
        </is>
      </c>
      <c r="B229" s="25" t="inlineStr">
        <is>
          <t>Media &amp; Marketing</t>
        </is>
      </c>
    </row>
    <row r="230" customFormat="1" s="97">
      <c r="A230" s="4" t="inlineStr">
        <is>
          <t>Racoon Media Services Limited</t>
        </is>
      </c>
      <c r="B230" s="25" t="inlineStr">
        <is>
          <t>Media &amp; Marketing</t>
        </is>
      </c>
    </row>
    <row r="231" customFormat="1" s="97">
      <c r="A231" s="4" t="inlineStr">
        <is>
          <t>Racoon Media Services Limited</t>
        </is>
      </c>
      <c r="B231" s="25" t="inlineStr">
        <is>
          <t>Media &amp; Marketing</t>
        </is>
      </c>
    </row>
    <row r="232" customFormat="1" s="97">
      <c r="A232" s="4" t="inlineStr">
        <is>
          <t>Racoon Media Services Limited</t>
        </is>
      </c>
      <c r="B232" s="25" t="inlineStr">
        <is>
          <t>Media &amp; Marketing</t>
        </is>
      </c>
    </row>
    <row r="233" customFormat="1" s="97">
      <c r="A233" s="4" t="inlineStr">
        <is>
          <t>Racoon Media Services Limited</t>
        </is>
      </c>
      <c r="B233" s="25" t="inlineStr">
        <is>
          <t>Media &amp; Marketing</t>
        </is>
      </c>
    </row>
    <row r="234" customFormat="1" s="97">
      <c r="A234" s="4" t="inlineStr">
        <is>
          <t>Rehabilitation &amp; Athletics Performance UK Ltd.</t>
        </is>
      </c>
      <c r="B234" s="25" t="inlineStr">
        <is>
          <t>Leisure Services</t>
        </is>
      </c>
    </row>
    <row r="235" customFormat="1" s="97">
      <c r="A235" s="35" t="inlineStr">
        <is>
          <t>Reishi Clinic Ltd</t>
        </is>
      </c>
      <c r="B235" s="25" t="inlineStr">
        <is>
          <t>Health &amp; Social Services</t>
        </is>
      </c>
    </row>
    <row r="236" customFormat="1" s="97">
      <c r="A236" s="4" t="inlineStr">
        <is>
          <t>Reviv Global Ltd</t>
        </is>
      </c>
      <c r="B236" s="103" t="inlineStr">
        <is>
          <t>Health &amp; Social Services</t>
        </is>
      </c>
    </row>
    <row r="237" customFormat="1" s="97">
      <c r="A237" s="4" t="inlineStr">
        <is>
          <t>Rios Designs Ltd</t>
        </is>
      </c>
      <c r="B237" s="25" t="inlineStr">
        <is>
          <t>Media &amp; Marketing</t>
        </is>
      </c>
    </row>
    <row r="238" ht="22.5" customFormat="1" customHeight="1" s="97">
      <c r="A238" s="4" t="inlineStr">
        <is>
          <t>S.Hardwick &amp; L.Morris (t/a Hardwick &amp; Morris Chartered Accountants)</t>
        </is>
      </c>
      <c r="B238" s="25" t="inlineStr">
        <is>
          <t>Professional Services</t>
        </is>
      </c>
    </row>
    <row r="239" customFormat="1" s="97">
      <c r="A239" s="4" t="inlineStr">
        <is>
          <t>Sam Rogoff &amp; Co Ltd</t>
        </is>
      </c>
      <c r="B239" s="25" t="inlineStr">
        <is>
          <t>Professional Services</t>
        </is>
      </c>
    </row>
    <row r="240" customFormat="1" s="97">
      <c r="A240" s="4" t="inlineStr">
        <is>
          <t>Sen Yoga Limited</t>
        </is>
      </c>
      <c r="B240" s="25" t="inlineStr">
        <is>
          <t>Health &amp; Social Services</t>
        </is>
      </c>
    </row>
    <row r="241" customFormat="1" s="97">
      <c r="A241" s="4" t="inlineStr">
        <is>
          <t>Sine Audio Post Production Ltd</t>
        </is>
      </c>
      <c r="B241" s="25" t="inlineStr">
        <is>
          <t>Professional Services</t>
        </is>
      </c>
    </row>
    <row r="242" customFormat="1" s="97">
      <c r="A242" s="4" t="inlineStr">
        <is>
          <t>Sisters Grimm Ltd</t>
        </is>
      </c>
      <c r="B242" s="349" t="inlineStr">
        <is>
          <t>Retail</t>
        </is>
      </c>
    </row>
    <row r="243" customFormat="1" s="97">
      <c r="A243" s="4" t="inlineStr">
        <is>
          <t>Skynet Ltd</t>
        </is>
      </c>
      <c r="B243" s="25" t="inlineStr">
        <is>
          <t>Leisure Services</t>
        </is>
      </c>
    </row>
    <row r="244" customFormat="1" s="97">
      <c r="A244" s="4" t="inlineStr">
        <is>
          <t>Smiggle UK Limited</t>
        </is>
      </c>
      <c r="B244" s="25" t="inlineStr">
        <is>
          <t>Retail</t>
        </is>
      </c>
    </row>
    <row r="245" customFormat="1" s="97">
      <c r="A245" s="4" t="inlineStr">
        <is>
          <t>Soho Sonic Ltd.</t>
        </is>
      </c>
      <c r="B245" s="25" t="inlineStr">
        <is>
          <t>Media &amp; Marketing</t>
        </is>
      </c>
    </row>
    <row r="246" customFormat="1" s="97">
      <c r="A246" s="4" t="inlineStr">
        <is>
          <t>Solo60 Ltd</t>
        </is>
      </c>
      <c r="B246" s="25" t="inlineStr">
        <is>
          <t>Leisure Services</t>
        </is>
      </c>
    </row>
    <row r="247" customFormat="1" s="97">
      <c r="A247" s="4" t="inlineStr">
        <is>
          <t>Sound Disposition Limited</t>
        </is>
      </c>
      <c r="B247" s="25" t="inlineStr">
        <is>
          <t>Media &amp; Marketing</t>
        </is>
      </c>
    </row>
    <row r="248" customFormat="1" s="97">
      <c r="A248" s="4" t="inlineStr">
        <is>
          <t>Sound Disposition Limited</t>
        </is>
      </c>
      <c r="B248" s="25" t="inlineStr">
        <is>
          <t>Media &amp; Marketing</t>
        </is>
      </c>
    </row>
    <row r="249" customFormat="1" s="97">
      <c r="A249" s="4" t="inlineStr">
        <is>
          <t>Space Workplace Ltd</t>
        </is>
      </c>
      <c r="B249" s="25" t="inlineStr">
        <is>
          <t>Real Estate &amp; Construction</t>
        </is>
      </c>
    </row>
    <row r="250" customFormat="1" s="97">
      <c r="A250" s="4" t="inlineStr">
        <is>
          <t>Spanx UK Ltd</t>
        </is>
      </c>
      <c r="B250" s="25" t="inlineStr">
        <is>
          <t>Manufacturing</t>
        </is>
      </c>
    </row>
    <row r="251" customFormat="1" s="97">
      <c r="A251" s="4" t="inlineStr">
        <is>
          <t>Sportsdirect.com Retail Ltd</t>
        </is>
      </c>
      <c r="B251" s="25" t="inlineStr">
        <is>
          <t>Retail</t>
        </is>
      </c>
    </row>
    <row r="252" customFormat="1" s="97">
      <c r="A252" s="4" t="inlineStr">
        <is>
          <t>Status Beauty Limited</t>
        </is>
      </c>
      <c r="B252" s="25" t="inlineStr">
        <is>
          <t>Retail</t>
        </is>
      </c>
    </row>
    <row r="253" customFormat="1" s="97">
      <c r="A253" s="4" t="inlineStr">
        <is>
          <t>Stay On Target Ltd</t>
        </is>
      </c>
      <c r="B253" s="25" t="inlineStr">
        <is>
          <t>Leisure Services</t>
        </is>
      </c>
    </row>
    <row r="254" customFormat="1" s="97">
      <c r="A254" s="4" t="inlineStr">
        <is>
          <t>Staybrook Asset Management Ltd</t>
        </is>
      </c>
      <c r="B254" s="25" t="inlineStr">
        <is>
          <t>Real Estate &amp; Construction</t>
        </is>
      </c>
    </row>
    <row r="255" customFormat="1" s="97">
      <c r="A255" s="4" t="inlineStr">
        <is>
          <t>Straight Forward Retail Ltd.</t>
        </is>
      </c>
      <c r="B255" s="103" t="inlineStr">
        <is>
          <t>Retail</t>
        </is>
      </c>
    </row>
    <row r="256" customFormat="1" s="97">
      <c r="A256" s="4" t="inlineStr">
        <is>
          <t>Studio Boum Limited.</t>
        </is>
      </c>
      <c r="B256" s="25" t="inlineStr">
        <is>
          <t>Professional Services</t>
        </is>
      </c>
    </row>
    <row r="257" customFormat="1" s="97">
      <c r="A257" s="4" t="inlineStr">
        <is>
          <t>Studio Boum Limited.</t>
        </is>
      </c>
      <c r="B257" s="103" t="inlineStr">
        <is>
          <t>Professional Services</t>
        </is>
      </c>
    </row>
    <row r="258" customFormat="1" s="97">
      <c r="A258" s="4" t="inlineStr">
        <is>
          <t>Sun Kyeong Qi</t>
        </is>
      </c>
      <c r="B258" s="25" t="inlineStr">
        <is>
          <t>Retail</t>
        </is>
      </c>
    </row>
    <row r="259" customFormat="1" s="97">
      <c r="A259" s="4" t="inlineStr">
        <is>
          <t>T. Ciss, E. Moser</t>
        </is>
      </c>
      <c r="B259" s="25" t="inlineStr">
        <is>
          <t>Residential</t>
        </is>
      </c>
    </row>
    <row r="260" customFormat="1" s="97">
      <c r="A260" s="4" t="inlineStr">
        <is>
          <t>Tekcor4 Limited</t>
        </is>
      </c>
      <c r="B260" s="25" t="inlineStr">
        <is>
          <t>Media &amp; Marketing</t>
        </is>
      </c>
    </row>
    <row r="261">
      <c r="A261" s="4" t="inlineStr">
        <is>
          <t>Telefonica UK Ltd</t>
        </is>
      </c>
      <c r="B261" s="25" t="inlineStr">
        <is>
          <t>IT &amp; Telecoms</t>
        </is>
      </c>
    </row>
    <row r="262">
      <c r="A262" s="4" t="inlineStr">
        <is>
          <t>TGR1.618 Limited</t>
        </is>
      </c>
      <c r="B262" s="25" t="inlineStr">
        <is>
          <t>Professional Services</t>
        </is>
      </c>
    </row>
    <row r="263">
      <c r="A263" s="4" t="inlineStr">
        <is>
          <t>The Campbell Napier Practice Ltd</t>
        </is>
      </c>
      <c r="B263" s="25" t="inlineStr">
        <is>
          <t>Health &amp; Social Services</t>
        </is>
      </c>
    </row>
    <row r="264">
      <c r="A264" s="4" t="inlineStr">
        <is>
          <t>The Campbell Napier Practice Ltd</t>
        </is>
      </c>
      <c r="B264" s="25" t="inlineStr">
        <is>
          <t>Health &amp; Social Services</t>
        </is>
      </c>
    </row>
    <row r="265">
      <c r="A265" s="4" t="inlineStr">
        <is>
          <t>The Campbell Napier Practice Ltd</t>
        </is>
      </c>
      <c r="B265" s="25" t="inlineStr">
        <is>
          <t>Health &amp; Social Services</t>
        </is>
      </c>
    </row>
    <row r="266">
      <c r="A266" s="4" t="inlineStr">
        <is>
          <t>The Central London Clinic Ltd.</t>
        </is>
      </c>
      <c r="B266" s="25" t="inlineStr">
        <is>
          <t>Health &amp; Social Services</t>
        </is>
      </c>
    </row>
    <row r="267">
      <c r="A267" s="117" t="inlineStr">
        <is>
          <t>The Feel Good Group Ltd.</t>
        </is>
      </c>
      <c r="B267" s="117" t="inlineStr">
        <is>
          <t>Leisure Services</t>
        </is>
      </c>
    </row>
    <row r="268">
      <c r="A268" s="4" t="inlineStr">
        <is>
          <t>The Graphical Tree Ltd</t>
        </is>
      </c>
      <c r="B268" s="25" t="inlineStr">
        <is>
          <t>IT &amp; Telecoms</t>
        </is>
      </c>
    </row>
    <row r="269">
      <c r="A269" s="4" t="inlineStr">
        <is>
          <t>The London Child &amp; Family Therapy Centre Ltd.</t>
        </is>
      </c>
      <c r="B269" s="25" t="inlineStr">
        <is>
          <t>Health &amp; Social Services</t>
        </is>
      </c>
    </row>
    <row r="270">
      <c r="A270" s="4" t="inlineStr">
        <is>
          <t>The London Cocktail Club Ltd</t>
        </is>
      </c>
      <c r="B270" s="25" t="inlineStr">
        <is>
          <t>Leisure Services</t>
        </is>
      </c>
    </row>
    <row r="271">
      <c r="A271" s="4" t="inlineStr">
        <is>
          <t>The London Hair Clinic Ltd</t>
        </is>
      </c>
      <c r="B271" s="25" t="inlineStr">
        <is>
          <t>Health &amp; Social Services</t>
        </is>
      </c>
    </row>
    <row r="272">
      <c r="A272" s="137" t="inlineStr">
        <is>
          <t>The Prudential Assurance Company Ltd.</t>
        </is>
      </c>
      <c r="B272" s="105" t="inlineStr">
        <is>
          <t>Professional Services</t>
        </is>
      </c>
    </row>
    <row r="273">
      <c r="A273" s="4" t="inlineStr">
        <is>
          <t>The Social Little Portland Street Ltd.</t>
        </is>
      </c>
      <c r="B273" s="25" t="inlineStr">
        <is>
          <t>Leisure Services</t>
        </is>
      </c>
    </row>
    <row r="274">
      <c r="A274" s="4" t="inlineStr">
        <is>
          <t>The Yuki Clinic Ltd.</t>
        </is>
      </c>
      <c r="B274" s="25" t="inlineStr">
        <is>
          <t>Health &amp; Social Services</t>
        </is>
      </c>
    </row>
    <row r="275">
      <c r="A275" s="4" t="inlineStr">
        <is>
          <t>Theatrical Rights Worldwide Limited</t>
        </is>
      </c>
      <c r="B275" s="25" t="inlineStr">
        <is>
          <t>Media &amp; Marketing</t>
        </is>
      </c>
    </row>
    <row r="276">
      <c r="A276" s="4" t="inlineStr">
        <is>
          <t>Theatrical Rights Worldwide Limited</t>
        </is>
      </c>
      <c r="B276" s="25" t="inlineStr">
        <is>
          <t>Media &amp; Marketing</t>
        </is>
      </c>
    </row>
    <row r="277">
      <c r="A277" s="4" t="inlineStr">
        <is>
          <t>Therapy Central LLP</t>
        </is>
      </c>
      <c r="B277" s="25" t="inlineStr">
        <is>
          <t>Health &amp; Social Services</t>
        </is>
      </c>
    </row>
    <row r="278">
      <c r="A278" s="4" t="inlineStr">
        <is>
          <t>Tikkas Group Ltd</t>
        </is>
      </c>
      <c r="B278" s="25" t="inlineStr">
        <is>
          <t>Retail</t>
        </is>
      </c>
    </row>
    <row r="279">
      <c r="A279" s="4" t="inlineStr">
        <is>
          <t>Time &amp; Tide Holdings (UK) Ltd</t>
        </is>
      </c>
      <c r="B279" s="25" t="inlineStr">
        <is>
          <t>Retail</t>
        </is>
      </c>
    </row>
    <row r="280">
      <c r="A280" s="4" t="inlineStr">
        <is>
          <t>Top Bridal Ltd</t>
        </is>
      </c>
      <c r="B280" s="349" t="inlineStr">
        <is>
          <t>Retail</t>
        </is>
      </c>
    </row>
    <row r="281">
      <c r="A281" s="4" t="inlineStr">
        <is>
          <t>Total Recruitment Specialists Ltd</t>
        </is>
      </c>
      <c r="B281" s="25" t="inlineStr">
        <is>
          <t>Professional Services</t>
        </is>
      </c>
    </row>
    <row r="282">
      <c r="A282" s="4" t="inlineStr">
        <is>
          <t>UK VAP GPS</t>
        </is>
      </c>
      <c r="B282" s="25" t="inlineStr">
        <is>
          <t>Leisure Services</t>
        </is>
      </c>
    </row>
    <row r="283">
      <c r="A283" s="4" t="inlineStr">
        <is>
          <t>V. Chamoun</t>
        </is>
      </c>
      <c r="B283" s="25" t="inlineStr">
        <is>
          <t>Residential</t>
        </is>
      </c>
    </row>
    <row r="284">
      <c r="A284" s="4" t="inlineStr">
        <is>
          <t>Vesper Investments Ltd</t>
        </is>
      </c>
      <c r="B284" s="25" t="inlineStr">
        <is>
          <t>Real Estate &amp; Construction</t>
        </is>
      </c>
    </row>
    <row r="285">
      <c r="A285" s="4" t="inlineStr">
        <is>
          <t>VF Northern Europe Services Ltd</t>
        </is>
      </c>
      <c r="B285" s="25" t="inlineStr">
        <is>
          <t>Retail</t>
        </is>
      </c>
    </row>
    <row r="286">
      <c r="A286" s="4" t="inlineStr">
        <is>
          <t>Vincere NK Group Ltd</t>
        </is>
      </c>
      <c r="B286" s="25" t="inlineStr">
        <is>
          <t>Leisure Services</t>
        </is>
      </c>
    </row>
    <row r="287">
      <c r="A287" s="4" t="inlineStr">
        <is>
          <t>Vincere NK Group Ltd</t>
        </is>
      </c>
      <c r="B287" s="25" t="inlineStr">
        <is>
          <t>Leisure Services</t>
        </is>
      </c>
    </row>
    <row r="288">
      <c r="A288" s="4" t="inlineStr">
        <is>
          <t>Vincere NK Group Ltd</t>
        </is>
      </c>
      <c r="B288" s="25" t="inlineStr">
        <is>
          <t>Leisure Services</t>
        </is>
      </c>
    </row>
    <row r="289">
      <c r="A289" s="4" t="inlineStr">
        <is>
          <t>Voltage TV Productions Ltd</t>
        </is>
      </c>
      <c r="B289" s="25" t="inlineStr">
        <is>
          <t>Media &amp; Marketing</t>
        </is>
      </c>
    </row>
    <row r="290">
      <c r="A290" s="4" t="inlineStr">
        <is>
          <t>Wacoal Emea Ltd.</t>
        </is>
      </c>
      <c r="B290" s="25" t="inlineStr">
        <is>
          <t>Retail</t>
        </is>
      </c>
    </row>
    <row r="291">
      <c r="A291" s="4" t="inlineStr">
        <is>
          <t>Wesdom Investments Ltd.</t>
        </is>
      </c>
      <c r="B291" s="25" t="inlineStr">
        <is>
          <t>Leisure Services</t>
        </is>
      </c>
    </row>
    <row r="292">
      <c r="A292" s="4" t="inlineStr">
        <is>
          <t>Wimbledon Business Centre Ltd.</t>
        </is>
      </c>
      <c r="B292" s="25" t="inlineStr">
        <is>
          <t>Serviced Offices</t>
        </is>
      </c>
    </row>
    <row r="293">
      <c r="A293" s="117" t="inlineStr">
        <is>
          <t>Workpad Fitzrovia Ltd</t>
        </is>
      </c>
      <c r="B293" s="117" t="inlineStr">
        <is>
          <t>Professional Services</t>
        </is>
      </c>
    </row>
    <row r="294">
      <c r="A294" s="4" t="inlineStr">
        <is>
          <t>Yamaha Music Europe GMBH.</t>
        </is>
      </c>
      <c r="B294" s="25" t="inlineStr">
        <is>
          <t>Retail</t>
        </is>
      </c>
    </row>
    <row r="295">
      <c r="A295" s="4" t="inlineStr">
        <is>
          <t>YG Group Ltd</t>
        </is>
      </c>
      <c r="B295" s="25" t="inlineStr">
        <is>
          <t>Retail</t>
        </is>
      </c>
    </row>
    <row r="296">
      <c r="A296" s="117" t="inlineStr">
        <is>
          <t>Zephyrus Partners Ltd.</t>
        </is>
      </c>
      <c r="B296" s="117" t="inlineStr">
        <is>
          <t>Professional Services</t>
        </is>
      </c>
    </row>
    <row r="297">
      <c r="B297" s="25" t="n"/>
    </row>
    <row r="298">
      <c r="A298" s="30" t="n"/>
      <c r="B298" s="46" t="n"/>
    </row>
    <row r="299">
      <c r="A299" s="30" t="n"/>
      <c r="B299" s="46" t="n"/>
    </row>
    <row r="300">
      <c r="A300" s="32" t="n"/>
      <c r="B300" s="100" t="n"/>
    </row>
    <row r="301">
      <c r="A301" s="30" t="n"/>
      <c r="B301" s="46" t="n"/>
    </row>
    <row r="302">
      <c r="B302" s="25" t="n"/>
    </row>
    <row r="303">
      <c r="B303" s="25" t="n"/>
    </row>
    <row r="304">
      <c r="B304" s="25" t="n"/>
    </row>
    <row r="305">
      <c r="B305" s="25" t="n"/>
    </row>
    <row r="306">
      <c r="A306" s="30" t="n"/>
      <c r="B306" s="46" t="n"/>
    </row>
    <row r="307">
      <c r="B307" s="25" t="n"/>
    </row>
    <row r="308">
      <c r="B308" s="25" t="n"/>
    </row>
    <row r="309">
      <c r="B309" s="25" t="n"/>
    </row>
    <row r="310">
      <c r="B310" s="25" t="n"/>
    </row>
    <row r="311">
      <c r="A311" s="30" t="n"/>
      <c r="B311" s="46" t="n"/>
    </row>
    <row r="312">
      <c r="A312" s="30" t="n"/>
      <c r="B312" s="46" t="n"/>
    </row>
    <row r="313">
      <c r="B313" s="25" t="n"/>
    </row>
    <row r="314">
      <c r="B314" s="25" t="n"/>
    </row>
    <row r="315">
      <c r="B315" s="25" t="n"/>
    </row>
    <row r="316">
      <c r="B316" s="25" t="n"/>
    </row>
    <row r="317">
      <c r="B317" s="25" t="n"/>
    </row>
    <row r="318">
      <c r="A318" s="32" t="n"/>
      <c r="B318" s="100" t="n"/>
    </row>
    <row r="319">
      <c r="A319" s="30" t="n"/>
      <c r="B319" s="46" t="n"/>
    </row>
    <row r="320">
      <c r="B320" s="25" t="n"/>
    </row>
    <row r="321">
      <c r="B321" s="25" t="n"/>
    </row>
    <row r="322">
      <c r="B322" s="25" t="n"/>
    </row>
    <row r="323">
      <c r="B323" s="25" t="n"/>
    </row>
    <row r="324">
      <c r="A324" s="30" t="n"/>
      <c r="B324" s="46" t="n"/>
    </row>
    <row r="325">
      <c r="A325" s="124" t="n"/>
      <c r="B325" s="25" t="n"/>
    </row>
    <row r="326">
      <c r="B326" s="25" t="n"/>
    </row>
    <row r="327">
      <c r="B327" s="25" t="n"/>
    </row>
    <row r="328">
      <c r="B328" s="46" t="n"/>
    </row>
    <row r="329">
      <c r="A329" s="30" t="n"/>
      <c r="B329" s="101" t="n"/>
    </row>
    <row r="330">
      <c r="A330" s="13" t="n"/>
    </row>
    <row r="331">
      <c r="B331" s="25" t="n"/>
    </row>
    <row r="332">
      <c r="B332" s="25" t="n"/>
    </row>
    <row r="333">
      <c r="B333" s="25" t="n"/>
    </row>
    <row r="334">
      <c r="A334" s="30" t="n"/>
      <c r="B334" s="46" t="n"/>
    </row>
    <row r="335">
      <c r="B335" s="25" t="n"/>
    </row>
    <row r="336">
      <c r="A336" s="32" t="n"/>
      <c r="B336" s="100" t="n"/>
    </row>
    <row r="337">
      <c r="B337" s="25" t="n"/>
    </row>
    <row r="338">
      <c r="A338" s="30" t="n"/>
      <c r="B338" s="46" t="n"/>
    </row>
    <row r="339">
      <c r="A339" s="124" t="n"/>
      <c r="B339" s="25" t="n"/>
    </row>
    <row r="340">
      <c r="B340" s="25" t="n"/>
    </row>
    <row r="341">
      <c r="B341" s="25" t="n"/>
    </row>
    <row r="342">
      <c r="B342" s="25" t="n"/>
    </row>
    <row r="343">
      <c r="A343" s="30" t="n"/>
      <c r="B343" s="46" t="n"/>
    </row>
    <row r="344">
      <c r="B344" s="25" t="n"/>
    </row>
    <row r="345">
      <c r="B345" s="25" t="n"/>
    </row>
    <row r="346">
      <c r="B346" s="25" t="n"/>
    </row>
    <row r="347">
      <c r="B347" s="25" t="n"/>
    </row>
    <row r="348">
      <c r="A348" s="30" t="n"/>
      <c r="B348" s="46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0" t="n"/>
      <c r="B353" s="46" t="n"/>
    </row>
    <row r="354">
      <c r="A354" s="20" t="n"/>
      <c r="B354" s="104" t="n"/>
    </row>
    <row r="355">
      <c r="B355" s="25" t="n"/>
    </row>
    <row r="356">
      <c r="B356" s="25" t="n"/>
    </row>
    <row r="357">
      <c r="B357" s="25" t="n"/>
    </row>
    <row r="358">
      <c r="A358" s="30" t="n"/>
      <c r="B358" s="46" t="n"/>
    </row>
    <row r="359">
      <c r="B359" s="25" t="n"/>
    </row>
    <row r="360">
      <c r="B360" s="25" t="n"/>
    </row>
    <row r="361">
      <c r="B361" s="25" t="n"/>
    </row>
    <row r="362">
      <c r="B362" s="25" t="n"/>
    </row>
    <row r="363">
      <c r="A363" s="30" t="n"/>
      <c r="B363" s="46" t="n"/>
    </row>
    <row r="364">
      <c r="A364" s="26" t="n"/>
      <c r="B364" s="104" t="n"/>
    </row>
    <row r="365">
      <c r="B365" s="25" t="n"/>
    </row>
    <row r="366">
      <c r="A366" s="30" t="n"/>
      <c r="B366" s="46" t="n"/>
    </row>
    <row r="367">
      <c r="A367" s="30" t="n"/>
      <c r="B367" s="46" t="n"/>
    </row>
    <row r="368">
      <c r="B368" s="25" t="n"/>
    </row>
    <row r="369">
      <c r="A369" s="86" t="n"/>
      <c r="B369" s="104" t="n"/>
    </row>
    <row r="370">
      <c r="B370" s="25" t="n"/>
    </row>
    <row r="371">
      <c r="A371" s="30" t="n"/>
      <c r="B371" s="46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0" t="n"/>
      <c r="B376" s="46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0" t="n"/>
      <c r="B381" s="46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0" t="n"/>
      <c r="B386" s="46" t="n"/>
    </row>
    <row r="387">
      <c r="B387" s="25" t="n"/>
    </row>
    <row r="388">
      <c r="B388" s="25" t="n"/>
    </row>
    <row r="389">
      <c r="B389" s="25" t="n"/>
    </row>
    <row r="390">
      <c r="B390" s="25" t="n"/>
    </row>
    <row r="391">
      <c r="A391" s="30" t="n"/>
      <c r="B391" s="46" t="n"/>
    </row>
    <row r="392">
      <c r="B392" s="25" t="n"/>
    </row>
    <row r="393">
      <c r="B393" s="25" t="n"/>
    </row>
    <row r="394">
      <c r="B394" s="25" t="n"/>
    </row>
    <row r="395">
      <c r="B395" s="25" t="n"/>
    </row>
    <row r="396">
      <c r="A396" s="30" t="n"/>
      <c r="B396" s="46" t="n"/>
    </row>
    <row r="397">
      <c r="A397" s="20" t="n"/>
      <c r="B397" s="104" t="n"/>
    </row>
    <row r="398">
      <c r="A398" s="32" t="n"/>
      <c r="B398" s="100" t="n"/>
    </row>
    <row r="399">
      <c r="B399" s="25" t="n"/>
    </row>
    <row r="400">
      <c r="A400" s="30" t="n"/>
      <c r="B400" s="46" t="n"/>
    </row>
    <row r="401">
      <c r="A401" s="13" t="n"/>
      <c r="B401" s="101" t="n"/>
    </row>
    <row r="402">
      <c r="B402" s="25" t="n"/>
    </row>
    <row r="403">
      <c r="B403" s="25" t="n"/>
    </row>
    <row r="404">
      <c r="B404" s="25" t="n"/>
    </row>
    <row r="405">
      <c r="A405" s="30" t="n"/>
      <c r="B405" s="46" t="n"/>
    </row>
    <row r="406">
      <c r="A406" s="133" t="n"/>
      <c r="B406" s="145" t="n"/>
    </row>
    <row r="407">
      <c r="B407" s="25" t="n"/>
    </row>
    <row r="408">
      <c r="B408" s="25" t="n"/>
    </row>
    <row r="409">
      <c r="B409" s="25" t="n"/>
    </row>
    <row r="410">
      <c r="A410" s="30" t="n"/>
      <c r="B410" s="46" t="n"/>
    </row>
    <row r="411">
      <c r="B411" s="25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C73"/>
  <sheetViews>
    <sheetView showZeros="0" tabSelected="1" topLeftCell="B1" zoomScale="85" zoomScaleNormal="85" workbookViewId="0">
      <selection activeCell="E9" sqref="E9"/>
    </sheetView>
  </sheetViews>
  <sheetFormatPr baseColWidth="10" defaultColWidth="8.83203125" defaultRowHeight="13"/>
  <cols>
    <col hidden="1" width="13" customWidth="1" min="1" max="1"/>
    <col hidden="1" width="13" customWidth="1" min="3" max="4"/>
    <col width="35.33203125" customWidth="1" min="5" max="5"/>
    <col width="22.5" customWidth="1" min="6" max="6"/>
    <col width="14.1640625" customWidth="1" min="7" max="7"/>
    <col hidden="1" width="13" customWidth="1" min="9" max="9"/>
    <col width="33.5" customWidth="1" min="10" max="10"/>
    <col width="18.5" customWidth="1" min="11" max="11"/>
    <col width="20.5" customWidth="1" min="12" max="12"/>
    <col hidden="1" width="14.6640625" customWidth="1" min="13" max="13"/>
    <col width="17.5" customWidth="1" min="14" max="15"/>
    <col width="13.5" customWidth="1" min="16" max="16"/>
    <col hidden="1" width="13" customWidth="1" min="17" max="18"/>
    <col width="11.5" customWidth="1" min="19" max="19"/>
    <col hidden="1" width="11.5" customWidth="1" min="20" max="20"/>
    <col width="12.5" customWidth="1" min="21" max="21"/>
    <col hidden="1" width="13" customWidth="1" min="22" max="22"/>
    <col width="13" customWidth="1" min="23" max="23"/>
    <col hidden="1" width="13" customWidth="1" min="25" max="26"/>
    <col width="48.1640625" customWidth="1" min="28" max="28"/>
  </cols>
  <sheetData>
    <row r="2">
      <c r="B2" s="389" t="inlineStr">
        <is>
          <t xml:space="preserve">Lease Expiry next 3 months </t>
        </is>
      </c>
      <c r="C2" s="390" t="n"/>
      <c r="D2" s="390" t="n"/>
      <c r="E2" s="390" t="n"/>
      <c r="H2" s="329" t="n"/>
      <c r="P2" s="330" t="n"/>
      <c r="S2" s="330" t="n"/>
      <c r="T2" s="330" t="n"/>
      <c r="U2" s="330" t="n"/>
    </row>
    <row r="3" ht="22.5" customHeight="1">
      <c r="B3" s="131" t="inlineStr">
        <is>
          <t>Surveyor</t>
        </is>
      </c>
      <c r="C3" s="131" t="inlineStr">
        <is>
          <t>Client</t>
        </is>
      </c>
      <c r="D3" s="71" t="inlineStr">
        <is>
          <t>Property Number</t>
        </is>
      </c>
      <c r="E3" s="71" t="inlineStr">
        <is>
          <t>Property</t>
        </is>
      </c>
      <c r="F3" s="71" t="inlineStr">
        <is>
          <t>Unit Demise</t>
        </is>
      </c>
      <c r="G3" s="72" t="inlineStr">
        <is>
          <t>Unit Type</t>
        </is>
      </c>
      <c r="H3" s="73" t="inlineStr">
        <is>
          <t>Net Area</t>
        </is>
      </c>
      <c r="I3" s="73" t="inlineStr">
        <is>
          <t>.</t>
        </is>
      </c>
      <c r="J3" s="74" t="inlineStr">
        <is>
          <t>Tenant Name</t>
        </is>
      </c>
      <c r="K3" s="75" t="inlineStr">
        <is>
          <t>Start Date</t>
        </is>
      </c>
      <c r="L3" s="75" t="inlineStr">
        <is>
          <t>Expiry Date</t>
        </is>
      </c>
      <c r="M3" s="75" t="inlineStr">
        <is>
          <t>Vacant Since?</t>
        </is>
      </c>
      <c r="N3" s="75" t="inlineStr">
        <is>
          <t>RRs</t>
        </is>
      </c>
      <c r="O3" s="75" t="inlineStr">
        <is>
          <t xml:space="preserve">Break Date </t>
        </is>
      </c>
      <c r="P3" s="331" t="inlineStr">
        <is>
          <t xml:space="preserve">Rent PA (£) </t>
        </is>
      </c>
      <c r="Q3" s="77" t="inlineStr">
        <is>
          <t>check 1</t>
        </is>
      </c>
      <c r="R3" s="77" t="inlineStr">
        <is>
          <t>check 2</t>
        </is>
      </c>
      <c r="S3" s="331" t="inlineStr">
        <is>
          <t xml:space="preserve">  2023 ERV (£)</t>
        </is>
      </c>
      <c r="T3" s="332" t="inlineStr">
        <is>
          <t>check 3</t>
        </is>
      </c>
      <c r="U3" s="331" t="inlineStr">
        <is>
          <t xml:space="preserve">  2024 ERV (£)</t>
        </is>
      </c>
      <c r="V3" s="72" t="inlineStr">
        <is>
          <t>check 4</t>
        </is>
      </c>
      <c r="W3" s="72" t="n"/>
      <c r="X3" s="72" t="inlineStr">
        <is>
          <t>EPC</t>
        </is>
      </c>
      <c r="Y3" s="58" t="inlineStr">
        <is>
          <t>*</t>
        </is>
      </c>
      <c r="Z3" s="78" t="inlineStr">
        <is>
          <t xml:space="preserve">2024 Cap Valn. (£)    </t>
        </is>
      </c>
      <c r="AA3" s="78" t="inlineStr">
        <is>
          <t>1954 Act Protected</t>
        </is>
      </c>
      <c r="AB3" s="96" t="inlineStr">
        <is>
          <t>Remarks</t>
        </is>
      </c>
    </row>
    <row r="4" ht="15" customHeight="1">
      <c r="B4" s="333" t="n"/>
      <c r="C4" s="333" t="n"/>
      <c r="D4" s="239" t="n"/>
      <c r="E4" s="239" t="n"/>
      <c r="F4" s="239" t="n"/>
      <c r="G4" s="333" t="n"/>
      <c r="H4" s="334" t="n"/>
      <c r="I4" s="334" t="n"/>
      <c r="J4" s="239" t="n"/>
      <c r="K4" s="335" t="n"/>
      <c r="L4" s="335" t="n"/>
      <c r="M4" s="335" t="n"/>
      <c r="N4" s="335" t="n"/>
      <c r="O4" s="335" t="n"/>
      <c r="P4" s="336" t="n"/>
      <c r="Q4" s="337" t="n"/>
      <c r="R4" s="337" t="n"/>
      <c r="S4" s="336" t="n"/>
      <c r="T4" s="338" t="n"/>
      <c r="U4" s="336" t="n"/>
      <c r="V4" s="333" t="n"/>
      <c r="W4" s="333" t="n"/>
      <c r="X4" s="333" t="n"/>
      <c r="Y4" s="339" t="n"/>
      <c r="Z4" s="340" t="n"/>
      <c r="AA4" s="340" t="n"/>
      <c r="AB4" s="239" t="n"/>
    </row>
    <row r="5" ht="16" customHeight="1">
      <c r="A5" s="116">
        <f t="array" ref="A5:AC9">_xlfn._xlws.SORT(_xlfn._xlws.FILTER('Bank Schedule'!A1:AC992, (('Bank Schedule'!M1:M992 &lt; TODAY()) * ('Bank Schedule'!M1:M992 &lt;&gt; ""))), 12, TRUE)</f>
        <v/>
      </c>
      <c r="B5" s="116">
        <f/>
        <v/>
      </c>
      <c r="C5" s="116">
        <f/>
        <v/>
      </c>
      <c r="D5" s="116">
        <f/>
        <v/>
      </c>
      <c r="E5" s="341">
        <f/>
        <v/>
      </c>
      <c r="F5" s="341">
        <f/>
        <v/>
      </c>
      <c r="G5" s="341">
        <f/>
        <v/>
      </c>
      <c r="H5" s="341">
        <f/>
        <v/>
      </c>
      <c r="I5" s="341">
        <f/>
        <v/>
      </c>
      <c r="J5" s="341">
        <f/>
        <v/>
      </c>
      <c r="K5" s="344">
        <f/>
        <v/>
      </c>
      <c r="L5" s="344">
        <f/>
        <v/>
      </c>
      <c r="M5" s="344">
        <f/>
        <v/>
      </c>
      <c r="N5" s="344">
        <f/>
        <v/>
      </c>
      <c r="O5" s="344">
        <f/>
        <v/>
      </c>
      <c r="P5" s="345">
        <f/>
        <v/>
      </c>
      <c r="Q5" s="341">
        <f/>
        <v/>
      </c>
      <c r="R5" s="341">
        <f/>
        <v/>
      </c>
      <c r="S5" s="345">
        <f/>
        <v/>
      </c>
      <c r="T5" s="345">
        <f/>
        <v/>
      </c>
      <c r="U5" s="345">
        <f/>
        <v/>
      </c>
      <c r="V5" s="341">
        <f/>
        <v/>
      </c>
      <c r="W5" s="341">
        <f/>
        <v/>
      </c>
      <c r="X5" s="341">
        <f/>
        <v/>
      </c>
      <c r="Y5" s="341">
        <f/>
        <v/>
      </c>
      <c r="Z5" s="341">
        <f/>
        <v/>
      </c>
      <c r="AA5" s="341">
        <f/>
        <v/>
      </c>
      <c r="AB5" s="341">
        <f/>
        <v/>
      </c>
      <c r="AC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329">
        <f/>
        <v/>
      </c>
      <c r="I6">
        <f/>
        <v/>
      </c>
      <c r="J6">
        <f/>
        <v/>
      </c>
      <c r="K6" s="342">
        <f/>
        <v/>
      </c>
      <c r="L6" s="342">
        <f/>
        <v/>
      </c>
      <c r="M6" s="342">
        <f/>
        <v/>
      </c>
      <c r="N6" s="342">
        <f/>
        <v/>
      </c>
      <c r="O6" s="342">
        <f/>
        <v/>
      </c>
      <c r="P6" s="346">
        <f/>
        <v/>
      </c>
      <c r="Q6">
        <f/>
        <v/>
      </c>
      <c r="R6">
        <f/>
        <v/>
      </c>
      <c r="S6" s="330">
        <f/>
        <v/>
      </c>
      <c r="T6" s="330">
        <f/>
        <v/>
      </c>
      <c r="U6" s="330">
        <f/>
        <v/>
      </c>
      <c r="V6">
        <f/>
        <v/>
      </c>
      <c r="W6">
        <f/>
        <v/>
      </c>
      <c r="X6">
        <f/>
        <v/>
      </c>
      <c r="Y6">
        <f/>
        <v/>
      </c>
      <c r="Z6">
        <f/>
        <v/>
      </c>
      <c r="AA6">
        <f/>
        <v/>
      </c>
      <c r="AB6">
        <f/>
        <v/>
      </c>
      <c r="AC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329">
        <f/>
        <v/>
      </c>
      <c r="I7">
        <f/>
        <v/>
      </c>
      <c r="J7">
        <f/>
        <v/>
      </c>
      <c r="K7" s="342">
        <f/>
        <v/>
      </c>
      <c r="L7" s="342">
        <f/>
        <v/>
      </c>
      <c r="M7" s="342">
        <f/>
        <v/>
      </c>
      <c r="N7" s="342">
        <f/>
        <v/>
      </c>
      <c r="O7" s="342">
        <f/>
        <v/>
      </c>
      <c r="P7" s="346">
        <f/>
        <v/>
      </c>
      <c r="Q7">
        <f/>
        <v/>
      </c>
      <c r="R7">
        <f/>
        <v/>
      </c>
      <c r="S7" s="330">
        <f/>
        <v/>
      </c>
      <c r="T7" s="330">
        <f/>
        <v/>
      </c>
      <c r="U7" s="330">
        <f/>
        <v/>
      </c>
      <c r="V7">
        <f/>
        <v/>
      </c>
      <c r="W7">
        <f/>
        <v/>
      </c>
      <c r="X7">
        <f/>
        <v/>
      </c>
      <c r="Y7">
        <f/>
        <v/>
      </c>
      <c r="Z7">
        <f/>
        <v/>
      </c>
      <c r="AA7">
        <f/>
        <v/>
      </c>
      <c r="AB7">
        <f/>
        <v/>
      </c>
      <c r="AC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329">
        <f/>
        <v/>
      </c>
      <c r="I8">
        <f/>
        <v/>
      </c>
      <c r="J8">
        <f/>
        <v/>
      </c>
      <c r="K8" s="342">
        <f/>
        <v/>
      </c>
      <c r="L8" s="342">
        <f/>
        <v/>
      </c>
      <c r="M8" s="342">
        <f/>
        <v/>
      </c>
      <c r="N8" s="342">
        <f/>
        <v/>
      </c>
      <c r="O8" s="342">
        <f/>
        <v/>
      </c>
      <c r="P8" s="346">
        <f/>
        <v/>
      </c>
      <c r="Q8">
        <f/>
        <v/>
      </c>
      <c r="R8">
        <f/>
        <v/>
      </c>
      <c r="S8" s="330">
        <f/>
        <v/>
      </c>
      <c r="T8" s="330">
        <f/>
        <v/>
      </c>
      <c r="U8" s="330">
        <f/>
        <v/>
      </c>
      <c r="V8">
        <f/>
        <v/>
      </c>
      <c r="W8">
        <f/>
        <v/>
      </c>
      <c r="X8">
        <f/>
        <v/>
      </c>
      <c r="Y8">
        <f/>
        <v/>
      </c>
      <c r="Z8">
        <f/>
        <v/>
      </c>
      <c r="AA8">
        <f/>
        <v/>
      </c>
      <c r="AB8">
        <f/>
        <v/>
      </c>
      <c r="AC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329">
        <f/>
        <v/>
      </c>
      <c r="I9">
        <f/>
        <v/>
      </c>
      <c r="J9">
        <f/>
        <v/>
      </c>
      <c r="K9" s="342">
        <f/>
        <v/>
      </c>
      <c r="L9" s="342">
        <f/>
        <v/>
      </c>
      <c r="M9" s="342">
        <f/>
        <v/>
      </c>
      <c r="N9" s="342">
        <f/>
        <v/>
      </c>
      <c r="O9" s="342">
        <f/>
        <v/>
      </c>
      <c r="P9" s="346">
        <f/>
        <v/>
      </c>
      <c r="Q9">
        <f/>
        <v/>
      </c>
      <c r="R9">
        <f/>
        <v/>
      </c>
      <c r="S9" s="330">
        <f/>
        <v/>
      </c>
      <c r="T9" s="330">
        <f/>
        <v/>
      </c>
      <c r="U9" s="330">
        <f/>
        <v/>
      </c>
      <c r="V9">
        <f/>
        <v/>
      </c>
      <c r="W9">
        <f/>
        <v/>
      </c>
      <c r="X9">
        <f/>
        <v/>
      </c>
      <c r="Y9">
        <f/>
        <v/>
      </c>
      <c r="Z9">
        <f/>
        <v/>
      </c>
      <c r="AA9">
        <f/>
        <v/>
      </c>
      <c r="AB9">
        <f/>
        <v/>
      </c>
      <c r="AC9">
        <f/>
        <v/>
      </c>
    </row>
    <row r="10">
      <c r="H10" s="329" t="n"/>
      <c r="K10" s="342" t="n"/>
      <c r="L10" s="342" t="n"/>
      <c r="M10" s="342" t="n"/>
      <c r="N10" s="342" t="n"/>
      <c r="O10" s="342" t="n"/>
      <c r="P10" s="346" t="n"/>
      <c r="S10" s="330" t="n"/>
      <c r="T10" s="330" t="n"/>
      <c r="U10" s="330" t="n"/>
    </row>
    <row r="11">
      <c r="H11" s="329" t="n"/>
      <c r="K11" s="342" t="n"/>
      <c r="L11" s="342" t="n"/>
      <c r="M11" s="342" t="n"/>
      <c r="N11" s="342" t="n"/>
      <c r="O11" s="342" t="n"/>
      <c r="P11" s="346" t="n"/>
      <c r="S11" s="330" t="n"/>
      <c r="T11" s="330" t="n"/>
      <c r="U11" s="330" t="n"/>
    </row>
    <row r="12">
      <c r="H12" s="329" t="n"/>
      <c r="K12" s="342" t="n"/>
      <c r="L12" s="342" t="n"/>
      <c r="M12" s="342" t="n"/>
      <c r="N12" s="342" t="n"/>
      <c r="O12" s="342" t="n"/>
      <c r="P12" s="346" t="n"/>
      <c r="S12" s="330" t="n"/>
      <c r="T12" s="330" t="n"/>
      <c r="U12" s="330" t="n"/>
    </row>
    <row r="13">
      <c r="H13" s="329" t="n"/>
      <c r="K13" s="342" t="n"/>
      <c r="L13" s="342" t="n"/>
      <c r="M13" s="342" t="n"/>
      <c r="N13" s="342" t="n"/>
      <c r="O13" s="342" t="n"/>
      <c r="P13" s="346" t="n"/>
      <c r="S13" s="330" t="n"/>
      <c r="T13" s="330" t="n"/>
      <c r="U13" s="330" t="n"/>
    </row>
    <row r="14">
      <c r="H14" s="329" t="n"/>
      <c r="K14" s="342" t="n"/>
      <c r="L14" s="342" t="n"/>
      <c r="P14" s="346" t="n"/>
      <c r="S14" s="330" t="n"/>
      <c r="T14" s="330" t="n"/>
      <c r="U14" s="330" t="n"/>
    </row>
    <row r="15">
      <c r="H15" s="329" t="n"/>
      <c r="P15" s="330" t="n"/>
      <c r="S15" s="330" t="n"/>
      <c r="T15" s="330" t="n"/>
      <c r="U15" s="330" t="n"/>
    </row>
    <row r="16">
      <c r="H16" s="329" t="n"/>
      <c r="P16" s="330" t="n"/>
      <c r="S16" s="330" t="n"/>
      <c r="T16" s="330" t="n"/>
      <c r="U16" s="330" t="n"/>
    </row>
    <row r="17">
      <c r="A17" s="116" t="n"/>
      <c r="B17" s="389" t="inlineStr">
        <is>
          <t xml:space="preserve">Break dates next 6 months </t>
        </is>
      </c>
      <c r="C17" s="390" t="n"/>
      <c r="D17" s="390" t="n"/>
      <c r="E17" s="390" t="n"/>
      <c r="H17" s="329" t="n"/>
      <c r="P17" s="330" t="n"/>
      <c r="S17" s="330" t="n"/>
      <c r="T17" s="330" t="n"/>
      <c r="U17" s="330" t="n"/>
    </row>
    <row r="18" ht="22.5" customHeight="1">
      <c r="B18" s="131" t="inlineStr">
        <is>
          <t>Surveyor</t>
        </is>
      </c>
      <c r="C18" s="131" t="inlineStr">
        <is>
          <t>Client</t>
        </is>
      </c>
      <c r="D18" s="71" t="inlineStr">
        <is>
          <t>Property Number</t>
        </is>
      </c>
      <c r="E18" s="71" t="inlineStr">
        <is>
          <t>Property</t>
        </is>
      </c>
      <c r="F18" s="71" t="inlineStr">
        <is>
          <t>Unit Demise</t>
        </is>
      </c>
      <c r="G18" s="72" t="inlineStr">
        <is>
          <t>Unit Type</t>
        </is>
      </c>
      <c r="H18" s="73" t="inlineStr">
        <is>
          <t>Net Area</t>
        </is>
      </c>
      <c r="I18" s="73" t="inlineStr">
        <is>
          <t>.</t>
        </is>
      </c>
      <c r="J18" s="74" t="inlineStr">
        <is>
          <t>Tenant Name</t>
        </is>
      </c>
      <c r="K18" s="75" t="inlineStr">
        <is>
          <t>Start Date</t>
        </is>
      </c>
      <c r="L18" s="75" t="inlineStr">
        <is>
          <t>Expiry Date</t>
        </is>
      </c>
      <c r="M18" s="75" t="inlineStr">
        <is>
          <t>Vacant Since?</t>
        </is>
      </c>
      <c r="N18" s="75" t="inlineStr">
        <is>
          <t>RRs</t>
        </is>
      </c>
      <c r="O18" s="75" t="inlineStr">
        <is>
          <t xml:space="preserve">Break Date </t>
        </is>
      </c>
      <c r="P18" s="331" t="inlineStr">
        <is>
          <t xml:space="preserve">Rent PA (£) </t>
        </is>
      </c>
      <c r="Q18" s="77" t="inlineStr">
        <is>
          <t>check 1</t>
        </is>
      </c>
      <c r="R18" s="77" t="inlineStr">
        <is>
          <t>check 2</t>
        </is>
      </c>
      <c r="S18" s="331" t="inlineStr">
        <is>
          <t xml:space="preserve">  2023 ERV (£)</t>
        </is>
      </c>
      <c r="T18" s="332" t="inlineStr">
        <is>
          <t>check 3</t>
        </is>
      </c>
      <c r="U18" s="331" t="inlineStr">
        <is>
          <t xml:space="preserve">  2024 ERV (£)</t>
        </is>
      </c>
      <c r="V18" s="72" t="inlineStr">
        <is>
          <t>check 4</t>
        </is>
      </c>
      <c r="W18" s="72" t="n"/>
      <c r="X18" s="72" t="inlineStr">
        <is>
          <t>EPC</t>
        </is>
      </c>
      <c r="Y18" s="58" t="inlineStr">
        <is>
          <t>*</t>
        </is>
      </c>
      <c r="Z18" s="78" t="inlineStr">
        <is>
          <t xml:space="preserve">2024 Cap Valn. (£)    </t>
        </is>
      </c>
      <c r="AA18" s="78" t="inlineStr">
        <is>
          <t>1954 Act Protected</t>
        </is>
      </c>
      <c r="AB18" s="96" t="inlineStr">
        <is>
          <t>Remarks</t>
        </is>
      </c>
    </row>
    <row r="19">
      <c r="A19" s="116">
        <f t="array" ref="A19">_xlfn._xlws.SORT(_xlfn._xlws.FILTER('Bank Schedule'!A:AC, (('Bank Schedule'!P:P &lt; TODAY()) * ('Bank Schedule'!P:P &lt;&gt; "")) + (('Bank Schedule'!P:P &lt;= TODAY() + 180) * ('Bank Schedule'!P:P &lt;&gt; ""))), 15, TRUE)</f>
        <v/>
      </c>
      <c r="H19" s="329" t="n"/>
      <c r="K19" s="342" t="n"/>
      <c r="L19" s="342" t="n"/>
      <c r="O19" s="342" t="n"/>
      <c r="P19" s="330" t="n"/>
      <c r="S19" s="330" t="n"/>
      <c r="T19" s="330" t="n"/>
      <c r="U19" s="330" t="n"/>
      <c r="W19" s="347" t="n"/>
    </row>
    <row r="20">
      <c r="H20" s="329" t="n"/>
      <c r="K20" s="342" t="n"/>
      <c r="L20" s="342" t="n"/>
      <c r="O20" s="342" t="n"/>
      <c r="P20" s="330" t="n"/>
      <c r="S20" s="330" t="n"/>
      <c r="T20" s="330" t="n"/>
      <c r="U20" s="330" t="n"/>
      <c r="W20" s="347" t="n"/>
    </row>
    <row r="21">
      <c r="H21" s="329" t="n"/>
      <c r="K21" s="342" t="n"/>
      <c r="L21" s="342" t="n"/>
      <c r="O21" s="342" t="n"/>
      <c r="P21" s="330" t="n"/>
      <c r="S21" s="330" t="n"/>
      <c r="T21" s="330" t="n"/>
      <c r="U21" s="330" t="n"/>
      <c r="W21" s="347" t="n"/>
    </row>
    <row r="22">
      <c r="H22" s="329" t="n"/>
      <c r="K22" s="342" t="n"/>
      <c r="L22" s="342" t="n"/>
      <c r="O22" s="342" t="n"/>
      <c r="P22" s="330" t="n"/>
      <c r="S22" s="330" t="n"/>
      <c r="T22" s="330" t="n"/>
      <c r="U22" s="330" t="n"/>
      <c r="W22" s="347" t="n"/>
    </row>
    <row r="23">
      <c r="H23" s="329" t="n"/>
      <c r="K23" s="342" t="n"/>
      <c r="L23" s="342" t="n"/>
      <c r="O23" s="342" t="n"/>
      <c r="P23" s="330" t="n"/>
      <c r="S23" s="330" t="n"/>
      <c r="T23" s="330" t="n"/>
      <c r="U23" s="330" t="n"/>
      <c r="W23" s="347" t="n"/>
    </row>
    <row r="24">
      <c r="H24" s="329" t="n"/>
      <c r="K24" s="342" t="n"/>
      <c r="L24" s="342" t="n"/>
      <c r="O24" s="342" t="n"/>
      <c r="P24" s="330" t="n"/>
      <c r="S24" s="330" t="n"/>
      <c r="T24" s="330" t="n"/>
      <c r="U24" s="330" t="n"/>
      <c r="W24" s="347" t="n"/>
    </row>
    <row r="25">
      <c r="H25" s="329" t="n"/>
      <c r="K25" s="342" t="n"/>
      <c r="L25" s="342" t="n"/>
      <c r="O25" s="342" t="n"/>
      <c r="P25" s="330" t="n"/>
      <c r="S25" s="330" t="n"/>
      <c r="T25" s="330" t="n"/>
      <c r="U25" s="330" t="n"/>
      <c r="W25" s="347" t="n"/>
    </row>
    <row r="26">
      <c r="H26" s="329" t="n"/>
      <c r="K26" s="342" t="n"/>
      <c r="L26" s="342" t="n"/>
      <c r="O26" s="342" t="n"/>
      <c r="P26" s="330" t="n"/>
      <c r="S26" s="330" t="n"/>
      <c r="T26" s="330" t="n"/>
      <c r="U26" s="330" t="n"/>
      <c r="W26" s="347" t="n"/>
    </row>
    <row r="27">
      <c r="H27" s="329" t="n"/>
      <c r="K27" s="342" t="n"/>
      <c r="L27" s="342" t="n"/>
      <c r="N27" s="342" t="n"/>
      <c r="O27" s="342" t="n"/>
      <c r="P27" s="330" t="n"/>
      <c r="S27" s="330" t="n"/>
      <c r="T27" s="330" t="n"/>
      <c r="U27" s="330" t="n"/>
      <c r="W27" s="347" t="n"/>
    </row>
    <row r="28">
      <c r="H28" s="329" t="n"/>
      <c r="K28" s="342" t="n"/>
      <c r="L28" s="342" t="n"/>
      <c r="O28" s="342" t="n"/>
      <c r="P28" s="330" t="n"/>
      <c r="S28" s="330" t="n"/>
      <c r="T28" s="330" t="n"/>
      <c r="U28" s="330" t="n"/>
      <c r="W28" s="347" t="n"/>
    </row>
    <row r="29">
      <c r="H29" s="329" t="n"/>
      <c r="K29" s="342" t="n"/>
      <c r="L29" s="342" t="n"/>
      <c r="O29" s="342" t="n"/>
      <c r="P29" s="330" t="n"/>
      <c r="S29" s="330" t="n"/>
      <c r="T29" s="330" t="n"/>
      <c r="U29" s="330" t="n"/>
      <c r="W29" s="347" t="n"/>
    </row>
    <row r="30">
      <c r="H30" s="329" t="n"/>
      <c r="K30" s="342" t="n"/>
      <c r="L30" s="342" t="n"/>
      <c r="O30" s="342" t="n"/>
      <c r="P30" s="330" t="n"/>
      <c r="S30" s="330" t="n"/>
      <c r="T30" s="330" t="n"/>
      <c r="U30" s="330" t="n"/>
      <c r="W30" s="347" t="n"/>
    </row>
    <row r="31">
      <c r="H31" s="329" t="n"/>
      <c r="K31" s="342" t="n"/>
      <c r="L31" s="342" t="n"/>
      <c r="O31" s="342" t="n"/>
      <c r="P31" s="330" t="n"/>
      <c r="S31" s="330" t="n"/>
      <c r="T31" s="330" t="n"/>
      <c r="U31" s="330" t="n"/>
      <c r="W31" s="347" t="n"/>
    </row>
    <row r="32">
      <c r="H32" s="329" t="n"/>
      <c r="K32" s="342" t="n"/>
      <c r="L32" s="342" t="n"/>
      <c r="P32" s="330" t="n"/>
      <c r="S32" s="330" t="n"/>
      <c r="T32" s="330" t="n"/>
      <c r="U32" s="330" t="n"/>
      <c r="W32" s="347" t="n"/>
    </row>
    <row r="33">
      <c r="A33" s="116" t="n"/>
      <c r="B33" s="389" t="inlineStr">
        <is>
          <t xml:space="preserve">Rent Review dates next 6 months </t>
        </is>
      </c>
      <c r="C33" s="390" t="n"/>
      <c r="D33" s="390" t="n"/>
      <c r="E33" s="390" t="n"/>
      <c r="H33" s="329" t="n"/>
      <c r="P33" s="330" t="n"/>
      <c r="S33" s="330" t="n"/>
      <c r="T33" s="330" t="n"/>
      <c r="U33" s="330" t="n"/>
      <c r="W33" s="347" t="n"/>
    </row>
    <row r="34" ht="22.5" customHeight="1">
      <c r="B34" s="131" t="inlineStr">
        <is>
          <t>Surveyor</t>
        </is>
      </c>
      <c r="C34" s="131" t="inlineStr">
        <is>
          <t>Client</t>
        </is>
      </c>
      <c r="D34" s="71" t="inlineStr">
        <is>
          <t>Property Number</t>
        </is>
      </c>
      <c r="E34" s="71" t="inlineStr">
        <is>
          <t>Property</t>
        </is>
      </c>
      <c r="F34" s="71" t="inlineStr">
        <is>
          <t>Unit Demise</t>
        </is>
      </c>
      <c r="G34" s="72" t="inlineStr">
        <is>
          <t>Unit Type</t>
        </is>
      </c>
      <c r="H34" s="73" t="inlineStr">
        <is>
          <t>Net Area</t>
        </is>
      </c>
      <c r="I34" s="73" t="inlineStr">
        <is>
          <t>.</t>
        </is>
      </c>
      <c r="J34" s="74" t="inlineStr">
        <is>
          <t>Tenant Name</t>
        </is>
      </c>
      <c r="K34" s="75" t="inlineStr">
        <is>
          <t>Start Date</t>
        </is>
      </c>
      <c r="L34" s="75" t="inlineStr">
        <is>
          <t>Expiry Date</t>
        </is>
      </c>
      <c r="M34" s="75" t="inlineStr">
        <is>
          <t>Vacant Since?</t>
        </is>
      </c>
      <c r="N34" s="75" t="inlineStr">
        <is>
          <t>RRs</t>
        </is>
      </c>
      <c r="O34" s="75" t="inlineStr">
        <is>
          <t xml:space="preserve">Break Date </t>
        </is>
      </c>
      <c r="P34" s="331" t="inlineStr">
        <is>
          <t xml:space="preserve">Rent PA (£) </t>
        </is>
      </c>
      <c r="Q34" s="77" t="inlineStr">
        <is>
          <t>check 1</t>
        </is>
      </c>
      <c r="R34" s="77" t="inlineStr">
        <is>
          <t>check 2</t>
        </is>
      </c>
      <c r="S34" s="331" t="inlineStr">
        <is>
          <t xml:space="preserve">  2023 ERV (£)</t>
        </is>
      </c>
      <c r="T34" s="332" t="inlineStr">
        <is>
          <t>check 3</t>
        </is>
      </c>
      <c r="U34" s="331" t="inlineStr">
        <is>
          <t xml:space="preserve">  2024 ERV (£)</t>
        </is>
      </c>
      <c r="V34" s="72" t="inlineStr">
        <is>
          <t>check 4</t>
        </is>
      </c>
      <c r="W34" s="348" t="n"/>
      <c r="X34" s="72" t="inlineStr">
        <is>
          <t>EPC</t>
        </is>
      </c>
      <c r="Y34" s="58" t="inlineStr">
        <is>
          <t>*</t>
        </is>
      </c>
      <c r="Z34" s="78" t="inlineStr">
        <is>
          <t xml:space="preserve">2024 Cap Valn. (£)    </t>
        </is>
      </c>
      <c r="AA34" s="78" t="inlineStr">
        <is>
          <t>1954 Act Protected</t>
        </is>
      </c>
      <c r="AB34" s="96" t="inlineStr">
        <is>
          <t>Remarks</t>
        </is>
      </c>
    </row>
    <row r="35">
      <c r="A35" s="116">
        <f t="array" ref="A35:AC70">_xlfn._xlws.SORT(_xlfn._xlws.FILTER('Bank Schedule'!A:AC, (('Bank Schedule'!O:O &lt; TODAY()) * ('Bank Schedule'!O:O &lt;&gt; "")) + (('Bank Schedule'!O:O &lt;= TODAY() + 180) * ('Bank Schedule'!O:O &lt;&gt; ""))), 14, TRUE)</f>
        <v/>
      </c>
      <c r="B35">
        <f/>
        <v/>
      </c>
      <c r="C35">
        <f/>
        <v/>
      </c>
      <c r="D35">
        <f/>
        <v/>
      </c>
      <c r="E35">
        <f/>
        <v/>
      </c>
      <c r="F35">
        <f/>
        <v/>
      </c>
      <c r="G35">
        <f/>
        <v/>
      </c>
      <c r="H35" s="329">
        <f/>
        <v/>
      </c>
      <c r="I35">
        <f/>
        <v/>
      </c>
      <c r="J35">
        <f/>
        <v/>
      </c>
      <c r="K35" s="342">
        <f/>
        <v/>
      </c>
      <c r="L35" s="342">
        <f/>
        <v/>
      </c>
      <c r="M35">
        <f/>
        <v/>
      </c>
      <c r="N35" s="342">
        <f/>
        <v/>
      </c>
      <c r="O35" s="343">
        <f/>
        <v/>
      </c>
      <c r="P35" s="330">
        <f/>
        <v/>
      </c>
      <c r="Q35">
        <f/>
        <v/>
      </c>
      <c r="R35">
        <f/>
        <v/>
      </c>
      <c r="S35" s="330">
        <f/>
        <v/>
      </c>
      <c r="T35" s="330">
        <f/>
        <v/>
      </c>
      <c r="U35" s="330">
        <f/>
        <v/>
      </c>
      <c r="V35">
        <f/>
        <v/>
      </c>
      <c r="W35" s="347">
        <f/>
        <v/>
      </c>
      <c r="X35">
        <f/>
        <v/>
      </c>
      <c r="Y35">
        <f/>
        <v/>
      </c>
      <c r="Z35">
        <f/>
        <v/>
      </c>
      <c r="AA35">
        <f/>
        <v/>
      </c>
      <c r="AB35">
        <f/>
        <v/>
      </c>
      <c r="AC35">
        <f/>
        <v/>
      </c>
    </row>
    <row r="36">
      <c r="A36">
        <f/>
        <v/>
      </c>
      <c r="B36">
        <f/>
        <v/>
      </c>
      <c r="C36">
        <f/>
        <v/>
      </c>
      <c r="D36">
        <f/>
        <v/>
      </c>
      <c r="E36">
        <f/>
        <v/>
      </c>
      <c r="F36">
        <f/>
        <v/>
      </c>
      <c r="G36">
        <f/>
        <v/>
      </c>
      <c r="H36" s="329">
        <f/>
        <v/>
      </c>
      <c r="I36">
        <f/>
        <v/>
      </c>
      <c r="J36">
        <f/>
        <v/>
      </c>
      <c r="K36" s="342">
        <f/>
        <v/>
      </c>
      <c r="L36" s="342">
        <f/>
        <v/>
      </c>
      <c r="M36">
        <f/>
        <v/>
      </c>
      <c r="N36" s="342">
        <f/>
        <v/>
      </c>
      <c r="O36" s="343">
        <f/>
        <v/>
      </c>
      <c r="P36" s="330">
        <f/>
        <v/>
      </c>
      <c r="Q36">
        <f/>
        <v/>
      </c>
      <c r="R36">
        <f/>
        <v/>
      </c>
      <c r="S36" s="330">
        <f/>
        <v/>
      </c>
      <c r="T36" s="330">
        <f/>
        <v/>
      </c>
      <c r="U36" s="330">
        <f/>
        <v/>
      </c>
      <c r="V36">
        <f/>
        <v/>
      </c>
      <c r="W36" s="347">
        <f/>
        <v/>
      </c>
      <c r="X36">
        <f/>
        <v/>
      </c>
      <c r="Y36">
        <f/>
        <v/>
      </c>
      <c r="Z36">
        <f/>
        <v/>
      </c>
      <c r="AA36">
        <f/>
        <v/>
      </c>
      <c r="AB36">
        <f/>
        <v/>
      </c>
      <c r="AC36">
        <f/>
        <v/>
      </c>
    </row>
    <row r="37">
      <c r="A37">
        <f/>
        <v/>
      </c>
      <c r="B37">
        <f/>
        <v/>
      </c>
      <c r="C37">
        <f/>
        <v/>
      </c>
      <c r="D37">
        <f/>
        <v/>
      </c>
      <c r="E37">
        <f/>
        <v/>
      </c>
      <c r="F37">
        <f/>
        <v/>
      </c>
      <c r="G37">
        <f/>
        <v/>
      </c>
      <c r="H37" s="329">
        <f/>
        <v/>
      </c>
      <c r="I37">
        <f/>
        <v/>
      </c>
      <c r="J37">
        <f/>
        <v/>
      </c>
      <c r="K37" s="342">
        <f/>
        <v/>
      </c>
      <c r="L37" s="342">
        <f/>
        <v/>
      </c>
      <c r="M37">
        <f/>
        <v/>
      </c>
      <c r="N37" s="342">
        <f/>
        <v/>
      </c>
      <c r="O37" s="343">
        <f/>
        <v/>
      </c>
      <c r="P37" s="330">
        <f/>
        <v/>
      </c>
      <c r="Q37">
        <f/>
        <v/>
      </c>
      <c r="R37">
        <f/>
        <v/>
      </c>
      <c r="S37" s="330">
        <f/>
        <v/>
      </c>
      <c r="T37" s="330">
        <f/>
        <v/>
      </c>
      <c r="U37" s="330">
        <f/>
        <v/>
      </c>
      <c r="V37">
        <f/>
        <v/>
      </c>
      <c r="W37" s="347">
        <f/>
        <v/>
      </c>
      <c r="X37">
        <f/>
        <v/>
      </c>
      <c r="Y37">
        <f/>
        <v/>
      </c>
      <c r="Z37">
        <f/>
        <v/>
      </c>
      <c r="AA37">
        <f/>
        <v/>
      </c>
      <c r="AB37">
        <f/>
        <v/>
      </c>
      <c r="AC37">
        <f/>
        <v/>
      </c>
    </row>
    <row r="38">
      <c r="A38">
        <f/>
        <v/>
      </c>
      <c r="B38">
        <f/>
        <v/>
      </c>
      <c r="C38">
        <f/>
        <v/>
      </c>
      <c r="D38">
        <f/>
        <v/>
      </c>
      <c r="E38">
        <f/>
        <v/>
      </c>
      <c r="F38">
        <f/>
        <v/>
      </c>
      <c r="G38">
        <f/>
        <v/>
      </c>
      <c r="H38" s="329">
        <f/>
        <v/>
      </c>
      <c r="I38">
        <f/>
        <v/>
      </c>
      <c r="J38">
        <f/>
        <v/>
      </c>
      <c r="K38" s="342">
        <f/>
        <v/>
      </c>
      <c r="L38" s="342">
        <f/>
        <v/>
      </c>
      <c r="M38">
        <f/>
        <v/>
      </c>
      <c r="N38" s="342">
        <f/>
        <v/>
      </c>
      <c r="O38" s="343">
        <f/>
        <v/>
      </c>
      <c r="P38" s="330">
        <f/>
        <v/>
      </c>
      <c r="Q38">
        <f/>
        <v/>
      </c>
      <c r="R38">
        <f/>
        <v/>
      </c>
      <c r="S38" s="330">
        <f/>
        <v/>
      </c>
      <c r="T38" s="330">
        <f/>
        <v/>
      </c>
      <c r="U38" s="330">
        <f/>
        <v/>
      </c>
      <c r="V38">
        <f/>
        <v/>
      </c>
      <c r="W38" s="347">
        <f/>
        <v/>
      </c>
      <c r="X38">
        <f/>
        <v/>
      </c>
      <c r="Y38">
        <f/>
        <v/>
      </c>
      <c r="Z38">
        <f/>
        <v/>
      </c>
      <c r="AA38">
        <f/>
        <v/>
      </c>
      <c r="AB38">
        <f/>
        <v/>
      </c>
      <c r="AC38">
        <f/>
        <v/>
      </c>
    </row>
    <row r="39">
      <c r="A39">
        <f/>
        <v/>
      </c>
      <c r="B39">
        <f/>
        <v/>
      </c>
      <c r="C39">
        <f/>
        <v/>
      </c>
      <c r="D39">
        <f/>
        <v/>
      </c>
      <c r="E39">
        <f/>
        <v/>
      </c>
      <c r="F39">
        <f/>
        <v/>
      </c>
      <c r="G39">
        <f/>
        <v/>
      </c>
      <c r="H39" s="329">
        <f/>
        <v/>
      </c>
      <c r="I39">
        <f/>
        <v/>
      </c>
      <c r="J39">
        <f/>
        <v/>
      </c>
      <c r="K39" s="342">
        <f/>
        <v/>
      </c>
      <c r="L39" s="342">
        <f/>
        <v/>
      </c>
      <c r="M39">
        <f/>
        <v/>
      </c>
      <c r="N39" s="342">
        <f/>
        <v/>
      </c>
      <c r="O39" s="343">
        <f/>
        <v/>
      </c>
      <c r="P39" s="330">
        <f/>
        <v/>
      </c>
      <c r="Q39">
        <f/>
        <v/>
      </c>
      <c r="R39">
        <f/>
        <v/>
      </c>
      <c r="S39" s="330">
        <f/>
        <v/>
      </c>
      <c r="T39" s="330">
        <f/>
        <v/>
      </c>
      <c r="U39" s="330">
        <f/>
        <v/>
      </c>
      <c r="V39">
        <f/>
        <v/>
      </c>
      <c r="W39" s="347">
        <f/>
        <v/>
      </c>
      <c r="X39">
        <f/>
        <v/>
      </c>
      <c r="Y39">
        <f/>
        <v/>
      </c>
      <c r="Z39">
        <f/>
        <v/>
      </c>
      <c r="AA39">
        <f/>
        <v/>
      </c>
      <c r="AB39">
        <f/>
        <v/>
      </c>
      <c r="AC39">
        <f/>
        <v/>
      </c>
    </row>
    <row r="40">
      <c r="A40">
        <f/>
        <v/>
      </c>
      <c r="B40">
        <f/>
        <v/>
      </c>
      <c r="C40">
        <f/>
        <v/>
      </c>
      <c r="D40">
        <f/>
        <v/>
      </c>
      <c r="E40">
        <f/>
        <v/>
      </c>
      <c r="F40">
        <f/>
        <v/>
      </c>
      <c r="G40">
        <f/>
        <v/>
      </c>
      <c r="H40" s="329">
        <f/>
        <v/>
      </c>
      <c r="I40">
        <f/>
        <v/>
      </c>
      <c r="J40">
        <f/>
        <v/>
      </c>
      <c r="K40" s="342">
        <f/>
        <v/>
      </c>
      <c r="L40" s="342">
        <f/>
        <v/>
      </c>
      <c r="M40">
        <f/>
        <v/>
      </c>
      <c r="N40" s="342">
        <f/>
        <v/>
      </c>
      <c r="O40" s="343">
        <f/>
        <v/>
      </c>
      <c r="P40" s="330">
        <f/>
        <v/>
      </c>
      <c r="Q40">
        <f/>
        <v/>
      </c>
      <c r="R40">
        <f/>
        <v/>
      </c>
      <c r="S40" s="330">
        <f/>
        <v/>
      </c>
      <c r="T40" s="330">
        <f/>
        <v/>
      </c>
      <c r="U40" s="330">
        <f/>
        <v/>
      </c>
      <c r="V40">
        <f/>
        <v/>
      </c>
      <c r="W40" s="347">
        <f/>
        <v/>
      </c>
      <c r="X40">
        <f/>
        <v/>
      </c>
      <c r="Y40">
        <f/>
        <v/>
      </c>
      <c r="Z40">
        <f/>
        <v/>
      </c>
      <c r="AA40">
        <f/>
        <v/>
      </c>
      <c r="AB40">
        <f/>
        <v/>
      </c>
      <c r="AC40">
        <f/>
        <v/>
      </c>
    </row>
    <row r="41">
      <c r="A41">
        <f/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329">
        <f/>
        <v/>
      </c>
      <c r="I41">
        <f/>
        <v/>
      </c>
      <c r="J41">
        <f/>
        <v/>
      </c>
      <c r="K41" s="342">
        <f/>
        <v/>
      </c>
      <c r="L41" s="342">
        <f/>
        <v/>
      </c>
      <c r="M41">
        <f/>
        <v/>
      </c>
      <c r="N41" s="342">
        <f/>
        <v/>
      </c>
      <c r="O41" s="343">
        <f/>
        <v/>
      </c>
      <c r="P41" s="330">
        <f/>
        <v/>
      </c>
      <c r="Q41">
        <f/>
        <v/>
      </c>
      <c r="R41">
        <f/>
        <v/>
      </c>
      <c r="S41" s="330">
        <f/>
        <v/>
      </c>
      <c r="T41" s="330">
        <f/>
        <v/>
      </c>
      <c r="U41" s="330">
        <f/>
        <v/>
      </c>
      <c r="V41">
        <f/>
        <v/>
      </c>
      <c r="W41" s="347">
        <f/>
        <v/>
      </c>
      <c r="X41">
        <f/>
        <v/>
      </c>
      <c r="Y41">
        <f/>
        <v/>
      </c>
      <c r="Z41">
        <f/>
        <v/>
      </c>
      <c r="AA41">
        <f/>
        <v/>
      </c>
      <c r="AB41">
        <f/>
        <v/>
      </c>
      <c r="AC41">
        <f/>
        <v/>
      </c>
    </row>
    <row r="42">
      <c r="A42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329">
        <f/>
        <v/>
      </c>
      <c r="I42">
        <f/>
        <v/>
      </c>
      <c r="J42">
        <f/>
        <v/>
      </c>
      <c r="K42" s="342">
        <f/>
        <v/>
      </c>
      <c r="L42" s="342">
        <f/>
        <v/>
      </c>
      <c r="M42">
        <f/>
        <v/>
      </c>
      <c r="N42" s="342">
        <f/>
        <v/>
      </c>
      <c r="O42" s="343">
        <f/>
        <v/>
      </c>
      <c r="P42" s="330">
        <f/>
        <v/>
      </c>
      <c r="Q42">
        <f/>
        <v/>
      </c>
      <c r="R42">
        <f/>
        <v/>
      </c>
      <c r="S42" s="330">
        <f/>
        <v/>
      </c>
      <c r="T42" s="330">
        <f/>
        <v/>
      </c>
      <c r="U42" s="330">
        <f/>
        <v/>
      </c>
      <c r="V42">
        <f/>
        <v/>
      </c>
      <c r="W42" s="347">
        <f/>
        <v/>
      </c>
      <c r="X42">
        <f/>
        <v/>
      </c>
      <c r="Y42">
        <f/>
        <v/>
      </c>
      <c r="Z42">
        <f/>
        <v/>
      </c>
      <c r="AA42">
        <f/>
        <v/>
      </c>
      <c r="AB42">
        <f/>
        <v/>
      </c>
      <c r="AC42">
        <f/>
        <v/>
      </c>
    </row>
    <row r="43">
      <c r="A43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329">
        <f/>
        <v/>
      </c>
      <c r="I43">
        <f/>
        <v/>
      </c>
      <c r="J43">
        <f/>
        <v/>
      </c>
      <c r="K43" s="342">
        <f/>
        <v/>
      </c>
      <c r="L43" s="342">
        <f/>
        <v/>
      </c>
      <c r="M43">
        <f/>
        <v/>
      </c>
      <c r="N43" s="342">
        <f/>
        <v/>
      </c>
      <c r="O43" s="343">
        <f/>
        <v/>
      </c>
      <c r="P43" s="330">
        <f/>
        <v/>
      </c>
      <c r="Q43">
        <f/>
        <v/>
      </c>
      <c r="R43">
        <f/>
        <v/>
      </c>
      <c r="S43" s="330">
        <f/>
        <v/>
      </c>
      <c r="T43" s="330">
        <f/>
        <v/>
      </c>
      <c r="U43" s="330">
        <f/>
        <v/>
      </c>
      <c r="V43">
        <f/>
        <v/>
      </c>
      <c r="W43" s="347">
        <f/>
        <v/>
      </c>
      <c r="X43">
        <f/>
        <v/>
      </c>
      <c r="Y43">
        <f/>
        <v/>
      </c>
      <c r="Z43">
        <f/>
        <v/>
      </c>
      <c r="AA43">
        <f/>
        <v/>
      </c>
      <c r="AB43">
        <f/>
        <v/>
      </c>
      <c r="AC43">
        <f/>
        <v/>
      </c>
    </row>
    <row r="44">
      <c r="A44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329">
        <f/>
        <v/>
      </c>
      <c r="I44">
        <f/>
        <v/>
      </c>
      <c r="J44">
        <f/>
        <v/>
      </c>
      <c r="K44" s="342">
        <f/>
        <v/>
      </c>
      <c r="L44" s="342">
        <f/>
        <v/>
      </c>
      <c r="M44">
        <f/>
        <v/>
      </c>
      <c r="N44" s="342">
        <f/>
        <v/>
      </c>
      <c r="O44" s="343">
        <f/>
        <v/>
      </c>
      <c r="P44" s="330">
        <f/>
        <v/>
      </c>
      <c r="Q44">
        <f/>
        <v/>
      </c>
      <c r="R44">
        <f/>
        <v/>
      </c>
      <c r="S44" s="330">
        <f/>
        <v/>
      </c>
      <c r="T44" s="330">
        <f/>
        <v/>
      </c>
      <c r="U44" s="330">
        <f/>
        <v/>
      </c>
      <c r="V44">
        <f/>
        <v/>
      </c>
      <c r="W44" s="347">
        <f/>
        <v/>
      </c>
      <c r="X44">
        <f/>
        <v/>
      </c>
      <c r="Y44">
        <f/>
        <v/>
      </c>
      <c r="Z44">
        <f/>
        <v/>
      </c>
      <c r="AA44">
        <f/>
        <v/>
      </c>
      <c r="AB44">
        <f/>
        <v/>
      </c>
      <c r="AC44">
        <f/>
        <v/>
      </c>
    </row>
    <row r="45">
      <c r="A45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329">
        <f/>
        <v/>
      </c>
      <c r="I45">
        <f/>
        <v/>
      </c>
      <c r="J45">
        <f/>
        <v/>
      </c>
      <c r="K45" s="342">
        <f/>
        <v/>
      </c>
      <c r="L45" s="342">
        <f/>
        <v/>
      </c>
      <c r="M45">
        <f/>
        <v/>
      </c>
      <c r="N45" s="342">
        <f/>
        <v/>
      </c>
      <c r="O45" s="343">
        <f/>
        <v/>
      </c>
      <c r="P45" s="330">
        <f/>
        <v/>
      </c>
      <c r="Q45">
        <f/>
        <v/>
      </c>
      <c r="R45">
        <f/>
        <v/>
      </c>
      <c r="S45" s="330">
        <f/>
        <v/>
      </c>
      <c r="T45" s="330">
        <f/>
        <v/>
      </c>
      <c r="U45" s="330">
        <f/>
        <v/>
      </c>
      <c r="V45">
        <f/>
        <v/>
      </c>
      <c r="W45" s="347">
        <f/>
        <v/>
      </c>
      <c r="X45">
        <f/>
        <v/>
      </c>
      <c r="Y45">
        <f/>
        <v/>
      </c>
      <c r="Z45">
        <f/>
        <v/>
      </c>
      <c r="AA45">
        <f/>
        <v/>
      </c>
      <c r="AB45">
        <f/>
        <v/>
      </c>
      <c r="AC45">
        <f/>
        <v/>
      </c>
    </row>
    <row r="46">
      <c r="A46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329">
        <f/>
        <v/>
      </c>
      <c r="I46">
        <f/>
        <v/>
      </c>
      <c r="J46">
        <f/>
        <v/>
      </c>
      <c r="K46" s="342">
        <f/>
        <v/>
      </c>
      <c r="L46" s="342">
        <f/>
        <v/>
      </c>
      <c r="M46">
        <f/>
        <v/>
      </c>
      <c r="N46" s="342">
        <f/>
        <v/>
      </c>
      <c r="O46" s="343">
        <f/>
        <v/>
      </c>
      <c r="P46" s="330">
        <f/>
        <v/>
      </c>
      <c r="Q46">
        <f/>
        <v/>
      </c>
      <c r="R46">
        <f/>
        <v/>
      </c>
      <c r="S46" s="330">
        <f/>
        <v/>
      </c>
      <c r="T46" s="330">
        <f/>
        <v/>
      </c>
      <c r="U46" s="330">
        <f/>
        <v/>
      </c>
      <c r="V46">
        <f/>
        <v/>
      </c>
      <c r="W46" s="347">
        <f/>
        <v/>
      </c>
      <c r="X46">
        <f/>
        <v/>
      </c>
      <c r="Y46">
        <f/>
        <v/>
      </c>
      <c r="Z46">
        <f/>
        <v/>
      </c>
      <c r="AA46">
        <f/>
        <v/>
      </c>
      <c r="AB46">
        <f/>
        <v/>
      </c>
      <c r="AC46">
        <f/>
        <v/>
      </c>
    </row>
    <row r="47">
      <c r="A47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329">
        <f/>
        <v/>
      </c>
      <c r="I47">
        <f/>
        <v/>
      </c>
      <c r="J47">
        <f/>
        <v/>
      </c>
      <c r="K47" s="342">
        <f/>
        <v/>
      </c>
      <c r="L47" s="342">
        <f/>
        <v/>
      </c>
      <c r="M47">
        <f/>
        <v/>
      </c>
      <c r="N47" s="342">
        <f/>
        <v/>
      </c>
      <c r="O47" s="343">
        <f/>
        <v/>
      </c>
      <c r="P47" s="330">
        <f/>
        <v/>
      </c>
      <c r="Q47">
        <f/>
        <v/>
      </c>
      <c r="R47">
        <f/>
        <v/>
      </c>
      <c r="S47" s="330">
        <f/>
        <v/>
      </c>
      <c r="T47" s="330">
        <f/>
        <v/>
      </c>
      <c r="U47" s="330">
        <f/>
        <v/>
      </c>
      <c r="V47">
        <f/>
        <v/>
      </c>
      <c r="W47" s="347">
        <f/>
        <v/>
      </c>
      <c r="X47">
        <f/>
        <v/>
      </c>
      <c r="Y47">
        <f/>
        <v/>
      </c>
      <c r="Z47">
        <f/>
        <v/>
      </c>
      <c r="AA47">
        <f/>
        <v/>
      </c>
      <c r="AB47">
        <f/>
        <v/>
      </c>
      <c r="AC47">
        <f/>
        <v/>
      </c>
    </row>
    <row r="48">
      <c r="A48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329">
        <f/>
        <v/>
      </c>
      <c r="I48">
        <f/>
        <v/>
      </c>
      <c r="J48">
        <f/>
        <v/>
      </c>
      <c r="K48" s="342">
        <f/>
        <v/>
      </c>
      <c r="L48" s="342">
        <f/>
        <v/>
      </c>
      <c r="M48">
        <f/>
        <v/>
      </c>
      <c r="N48" s="342">
        <f/>
        <v/>
      </c>
      <c r="O48" s="343">
        <f/>
        <v/>
      </c>
      <c r="P48" s="330">
        <f/>
        <v/>
      </c>
      <c r="Q48">
        <f/>
        <v/>
      </c>
      <c r="R48">
        <f/>
        <v/>
      </c>
      <c r="S48" s="330">
        <f/>
        <v/>
      </c>
      <c r="T48" s="330">
        <f/>
        <v/>
      </c>
      <c r="U48" s="330">
        <f/>
        <v/>
      </c>
      <c r="V48">
        <f/>
        <v/>
      </c>
      <c r="W48" s="347">
        <f/>
        <v/>
      </c>
      <c r="X48">
        <f/>
        <v/>
      </c>
      <c r="Y48">
        <f/>
        <v/>
      </c>
      <c r="Z48">
        <f/>
        <v/>
      </c>
      <c r="AA48">
        <f/>
        <v/>
      </c>
      <c r="AB48">
        <f/>
        <v/>
      </c>
      <c r="AC48">
        <f/>
        <v/>
      </c>
    </row>
    <row r="49">
      <c r="A49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329">
        <f/>
        <v/>
      </c>
      <c r="I49">
        <f/>
        <v/>
      </c>
      <c r="J49">
        <f/>
        <v/>
      </c>
      <c r="K49" s="342">
        <f/>
        <v/>
      </c>
      <c r="L49" s="342">
        <f/>
        <v/>
      </c>
      <c r="M49">
        <f/>
        <v/>
      </c>
      <c r="N49" s="342">
        <f/>
        <v/>
      </c>
      <c r="O49" s="343">
        <f/>
        <v/>
      </c>
      <c r="P49" s="330">
        <f/>
        <v/>
      </c>
      <c r="Q49">
        <f/>
        <v/>
      </c>
      <c r="R49">
        <f/>
        <v/>
      </c>
      <c r="S49" s="330">
        <f/>
        <v/>
      </c>
      <c r="T49" s="330">
        <f/>
        <v/>
      </c>
      <c r="U49" s="330">
        <f/>
        <v/>
      </c>
      <c r="V49">
        <f/>
        <v/>
      </c>
      <c r="W49" s="347">
        <f/>
        <v/>
      </c>
      <c r="X49">
        <f/>
        <v/>
      </c>
      <c r="Y49">
        <f/>
        <v/>
      </c>
      <c r="Z49">
        <f/>
        <v/>
      </c>
      <c r="AA49">
        <f/>
        <v/>
      </c>
      <c r="AB49">
        <f/>
        <v/>
      </c>
      <c r="AC49">
        <f/>
        <v/>
      </c>
    </row>
    <row r="50">
      <c r="A5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329">
        <f/>
        <v/>
      </c>
      <c r="I50">
        <f/>
        <v/>
      </c>
      <c r="J50">
        <f/>
        <v/>
      </c>
      <c r="K50" s="342">
        <f/>
        <v/>
      </c>
      <c r="L50" s="342">
        <f/>
        <v/>
      </c>
      <c r="M50">
        <f/>
        <v/>
      </c>
      <c r="N50" s="342">
        <f/>
        <v/>
      </c>
      <c r="O50" s="343">
        <f/>
        <v/>
      </c>
      <c r="P50" s="330">
        <f/>
        <v/>
      </c>
      <c r="Q50">
        <f/>
        <v/>
      </c>
      <c r="R50">
        <f/>
        <v/>
      </c>
      <c r="S50" s="330">
        <f/>
        <v/>
      </c>
      <c r="T50" s="330">
        <f/>
        <v/>
      </c>
      <c r="U50" s="330">
        <f/>
        <v/>
      </c>
      <c r="V50">
        <f/>
        <v/>
      </c>
      <c r="W50" s="347">
        <f/>
        <v/>
      </c>
      <c r="X50">
        <f/>
        <v/>
      </c>
      <c r="Y50">
        <f/>
        <v/>
      </c>
      <c r="Z50">
        <f/>
        <v/>
      </c>
      <c r="AA50">
        <f/>
        <v/>
      </c>
      <c r="AB50">
        <f/>
        <v/>
      </c>
      <c r="AC50">
        <f/>
        <v/>
      </c>
    </row>
    <row r="51">
      <c r="A51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329">
        <f/>
        <v/>
      </c>
      <c r="I51">
        <f/>
        <v/>
      </c>
      <c r="J51">
        <f/>
        <v/>
      </c>
      <c r="K51" s="342">
        <f/>
        <v/>
      </c>
      <c r="L51" s="342">
        <f/>
        <v/>
      </c>
      <c r="M51">
        <f/>
        <v/>
      </c>
      <c r="N51" s="342">
        <f/>
        <v/>
      </c>
      <c r="O51" s="343">
        <f/>
        <v/>
      </c>
      <c r="P51" s="330">
        <f/>
        <v/>
      </c>
      <c r="Q51">
        <f/>
        <v/>
      </c>
      <c r="R51">
        <f/>
        <v/>
      </c>
      <c r="S51" s="330">
        <f/>
        <v/>
      </c>
      <c r="T51" s="330">
        <f/>
        <v/>
      </c>
      <c r="U51" s="330">
        <f/>
        <v/>
      </c>
      <c r="V51">
        <f/>
        <v/>
      </c>
      <c r="W51" s="347">
        <f/>
        <v/>
      </c>
      <c r="X51">
        <f/>
        <v/>
      </c>
      <c r="Y51">
        <f/>
        <v/>
      </c>
      <c r="Z51">
        <f/>
        <v/>
      </c>
      <c r="AA51">
        <f/>
        <v/>
      </c>
      <c r="AB51">
        <f/>
        <v/>
      </c>
      <c r="AC51">
        <f/>
        <v/>
      </c>
    </row>
    <row r="52">
      <c r="A52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329">
        <f/>
        <v/>
      </c>
      <c r="I52">
        <f/>
        <v/>
      </c>
      <c r="J52">
        <f/>
        <v/>
      </c>
      <c r="K52" s="342">
        <f/>
        <v/>
      </c>
      <c r="L52" s="342">
        <f/>
        <v/>
      </c>
      <c r="M52">
        <f/>
        <v/>
      </c>
      <c r="N52" s="342">
        <f/>
        <v/>
      </c>
      <c r="O52" s="343">
        <f/>
        <v/>
      </c>
      <c r="P52" s="330">
        <f/>
        <v/>
      </c>
      <c r="Q52">
        <f/>
        <v/>
      </c>
      <c r="R52">
        <f/>
        <v/>
      </c>
      <c r="S52" s="330">
        <f/>
        <v/>
      </c>
      <c r="T52" s="330">
        <f/>
        <v/>
      </c>
      <c r="U52" s="330">
        <f/>
        <v/>
      </c>
      <c r="V52">
        <f/>
        <v/>
      </c>
      <c r="W52" s="347">
        <f/>
        <v/>
      </c>
      <c r="X52">
        <f/>
        <v/>
      </c>
      <c r="Y52">
        <f/>
        <v/>
      </c>
      <c r="Z52">
        <f/>
        <v/>
      </c>
      <c r="AA52">
        <f/>
        <v/>
      </c>
      <c r="AB52">
        <f/>
        <v/>
      </c>
      <c r="AC52">
        <f/>
        <v/>
      </c>
    </row>
    <row r="53">
      <c r="A53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329">
        <f/>
        <v/>
      </c>
      <c r="I53">
        <f/>
        <v/>
      </c>
      <c r="J53">
        <f/>
        <v/>
      </c>
      <c r="K53" s="342">
        <f/>
        <v/>
      </c>
      <c r="L53" s="342">
        <f/>
        <v/>
      </c>
      <c r="M53">
        <f/>
        <v/>
      </c>
      <c r="N53" s="342">
        <f/>
        <v/>
      </c>
      <c r="O53" s="343">
        <f/>
        <v/>
      </c>
      <c r="P53" s="330">
        <f/>
        <v/>
      </c>
      <c r="Q53">
        <f/>
        <v/>
      </c>
      <c r="R53">
        <f/>
        <v/>
      </c>
      <c r="S53" s="330">
        <f/>
        <v/>
      </c>
      <c r="T53" s="330">
        <f/>
        <v/>
      </c>
      <c r="U53" s="330">
        <f/>
        <v/>
      </c>
      <c r="V53">
        <f/>
        <v/>
      </c>
      <c r="W53" s="347">
        <f/>
        <v/>
      </c>
      <c r="X53">
        <f/>
        <v/>
      </c>
      <c r="Y53">
        <f/>
        <v/>
      </c>
      <c r="Z53">
        <f/>
        <v/>
      </c>
      <c r="AA53">
        <f/>
        <v/>
      </c>
      <c r="AB53">
        <f/>
        <v/>
      </c>
      <c r="AC53">
        <f/>
        <v/>
      </c>
    </row>
    <row r="54">
      <c r="A54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329">
        <f/>
        <v/>
      </c>
      <c r="I54">
        <f/>
        <v/>
      </c>
      <c r="J54">
        <f/>
        <v/>
      </c>
      <c r="K54" s="342">
        <f/>
        <v/>
      </c>
      <c r="L54" s="342">
        <f/>
        <v/>
      </c>
      <c r="M54">
        <f/>
        <v/>
      </c>
      <c r="N54" s="342">
        <f/>
        <v/>
      </c>
      <c r="O54" s="343">
        <f/>
        <v/>
      </c>
      <c r="P54" s="330">
        <f/>
        <v/>
      </c>
      <c r="Q54">
        <f/>
        <v/>
      </c>
      <c r="R54">
        <f/>
        <v/>
      </c>
      <c r="S54" s="330">
        <f/>
        <v/>
      </c>
      <c r="T54" s="330">
        <f/>
        <v/>
      </c>
      <c r="U54" s="330">
        <f/>
        <v/>
      </c>
      <c r="V54">
        <f/>
        <v/>
      </c>
      <c r="W54" s="347">
        <f/>
        <v/>
      </c>
      <c r="X54">
        <f/>
        <v/>
      </c>
      <c r="Y54">
        <f/>
        <v/>
      </c>
      <c r="Z54">
        <f/>
        <v/>
      </c>
      <c r="AA54">
        <f/>
        <v/>
      </c>
      <c r="AB54">
        <f/>
        <v/>
      </c>
      <c r="AC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329">
        <f/>
        <v/>
      </c>
      <c r="I55">
        <f/>
        <v/>
      </c>
      <c r="J55">
        <f/>
        <v/>
      </c>
      <c r="K55" s="342">
        <f/>
        <v/>
      </c>
      <c r="L55" s="342">
        <f/>
        <v/>
      </c>
      <c r="M55">
        <f/>
        <v/>
      </c>
      <c r="N55" s="342">
        <f/>
        <v/>
      </c>
      <c r="O55" s="343">
        <f/>
        <v/>
      </c>
      <c r="P55" s="330">
        <f/>
        <v/>
      </c>
      <c r="Q55">
        <f/>
        <v/>
      </c>
      <c r="R55">
        <f/>
        <v/>
      </c>
      <c r="S55" s="330">
        <f/>
        <v/>
      </c>
      <c r="T55" s="330">
        <f/>
        <v/>
      </c>
      <c r="U55" s="330">
        <f/>
        <v/>
      </c>
      <c r="V55">
        <f/>
        <v/>
      </c>
      <c r="W55" s="347">
        <f/>
        <v/>
      </c>
      <c r="X55">
        <f/>
        <v/>
      </c>
      <c r="Y55">
        <f/>
        <v/>
      </c>
      <c r="Z55">
        <f/>
        <v/>
      </c>
      <c r="AA55">
        <f/>
        <v/>
      </c>
      <c r="AB55">
        <f/>
        <v/>
      </c>
      <c r="AC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329">
        <f/>
        <v/>
      </c>
      <c r="I56">
        <f/>
        <v/>
      </c>
      <c r="J56">
        <f/>
        <v/>
      </c>
      <c r="K56" s="342">
        <f/>
        <v/>
      </c>
      <c r="L56" s="342">
        <f/>
        <v/>
      </c>
      <c r="M56">
        <f/>
        <v/>
      </c>
      <c r="N56" s="342">
        <f/>
        <v/>
      </c>
      <c r="O56" s="343">
        <f/>
        <v/>
      </c>
      <c r="P56" s="330">
        <f/>
        <v/>
      </c>
      <c r="Q56">
        <f/>
        <v/>
      </c>
      <c r="R56">
        <f/>
        <v/>
      </c>
      <c r="S56" s="330">
        <f/>
        <v/>
      </c>
      <c r="T56" s="330">
        <f/>
        <v/>
      </c>
      <c r="U56" s="330">
        <f/>
        <v/>
      </c>
      <c r="V56">
        <f/>
        <v/>
      </c>
      <c r="W56" s="347">
        <f/>
        <v/>
      </c>
      <c r="X56">
        <f/>
        <v/>
      </c>
      <c r="Y56">
        <f/>
        <v/>
      </c>
      <c r="Z56">
        <f/>
        <v/>
      </c>
      <c r="AA56">
        <f/>
        <v/>
      </c>
      <c r="AB56">
        <f/>
        <v/>
      </c>
      <c r="AC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329">
        <f/>
        <v/>
      </c>
      <c r="I57">
        <f/>
        <v/>
      </c>
      <c r="J57">
        <f/>
        <v/>
      </c>
      <c r="K57" s="342">
        <f/>
        <v/>
      </c>
      <c r="L57" s="342">
        <f/>
        <v/>
      </c>
      <c r="M57">
        <f/>
        <v/>
      </c>
      <c r="N57" s="342">
        <f/>
        <v/>
      </c>
      <c r="O57" s="343">
        <f/>
        <v/>
      </c>
      <c r="P57" s="330">
        <f/>
        <v/>
      </c>
      <c r="Q57">
        <f/>
        <v/>
      </c>
      <c r="R57">
        <f/>
        <v/>
      </c>
      <c r="S57" s="330">
        <f/>
        <v/>
      </c>
      <c r="T57" s="330">
        <f/>
        <v/>
      </c>
      <c r="U57" s="330">
        <f/>
        <v/>
      </c>
      <c r="V57">
        <f/>
        <v/>
      </c>
      <c r="W57" s="347">
        <f/>
        <v/>
      </c>
      <c r="X57">
        <f/>
        <v/>
      </c>
      <c r="Y57">
        <f/>
        <v/>
      </c>
      <c r="Z57">
        <f/>
        <v/>
      </c>
      <c r="AA57">
        <f/>
        <v/>
      </c>
      <c r="AB57">
        <f/>
        <v/>
      </c>
      <c r="AC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329">
        <f/>
        <v/>
      </c>
      <c r="I58">
        <f/>
        <v/>
      </c>
      <c r="J58">
        <f/>
        <v/>
      </c>
      <c r="K58" s="342">
        <f/>
        <v/>
      </c>
      <c r="L58" s="342">
        <f/>
        <v/>
      </c>
      <c r="M58">
        <f/>
        <v/>
      </c>
      <c r="N58" s="342">
        <f/>
        <v/>
      </c>
      <c r="O58" s="343">
        <f/>
        <v/>
      </c>
      <c r="P58" s="330">
        <f/>
        <v/>
      </c>
      <c r="Q58">
        <f/>
        <v/>
      </c>
      <c r="R58">
        <f/>
        <v/>
      </c>
      <c r="S58" s="330">
        <f/>
        <v/>
      </c>
      <c r="T58" s="330">
        <f/>
        <v/>
      </c>
      <c r="U58" s="330">
        <f/>
        <v/>
      </c>
      <c r="V58">
        <f/>
        <v/>
      </c>
      <c r="W58" s="347">
        <f/>
        <v/>
      </c>
      <c r="X58">
        <f/>
        <v/>
      </c>
      <c r="Y58">
        <f/>
        <v/>
      </c>
      <c r="Z58">
        <f/>
        <v/>
      </c>
      <c r="AA58">
        <f/>
        <v/>
      </c>
      <c r="AB58">
        <f/>
        <v/>
      </c>
      <c r="AC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329">
        <f/>
        <v/>
      </c>
      <c r="I59">
        <f/>
        <v/>
      </c>
      <c r="J59">
        <f/>
        <v/>
      </c>
      <c r="K59" s="342">
        <f/>
        <v/>
      </c>
      <c r="L59" s="342">
        <f/>
        <v/>
      </c>
      <c r="M59">
        <f/>
        <v/>
      </c>
      <c r="N59" s="342">
        <f/>
        <v/>
      </c>
      <c r="O59" s="343">
        <f/>
        <v/>
      </c>
      <c r="P59" s="330">
        <f/>
        <v/>
      </c>
      <c r="Q59">
        <f/>
        <v/>
      </c>
      <c r="R59">
        <f/>
        <v/>
      </c>
      <c r="S59" s="330">
        <f/>
        <v/>
      </c>
      <c r="T59" s="330">
        <f/>
        <v/>
      </c>
      <c r="U59" s="330">
        <f/>
        <v/>
      </c>
      <c r="V59">
        <f/>
        <v/>
      </c>
      <c r="W59" s="347">
        <f/>
        <v/>
      </c>
      <c r="X59">
        <f/>
        <v/>
      </c>
      <c r="Y59">
        <f/>
        <v/>
      </c>
      <c r="Z59">
        <f/>
        <v/>
      </c>
      <c r="AA59">
        <f/>
        <v/>
      </c>
      <c r="AB59">
        <f/>
        <v/>
      </c>
      <c r="AC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329">
        <f/>
        <v/>
      </c>
      <c r="I60">
        <f/>
        <v/>
      </c>
      <c r="J60">
        <f/>
        <v/>
      </c>
      <c r="K60" s="342">
        <f/>
        <v/>
      </c>
      <c r="L60" s="342">
        <f/>
        <v/>
      </c>
      <c r="M60">
        <f/>
        <v/>
      </c>
      <c r="N60" s="342">
        <f/>
        <v/>
      </c>
      <c r="O60" s="343">
        <f/>
        <v/>
      </c>
      <c r="P60" s="330">
        <f/>
        <v/>
      </c>
      <c r="Q60">
        <f/>
        <v/>
      </c>
      <c r="R60">
        <f/>
        <v/>
      </c>
      <c r="S60" s="330">
        <f/>
        <v/>
      </c>
      <c r="T60" s="330">
        <f/>
        <v/>
      </c>
      <c r="U60" s="330">
        <f/>
        <v/>
      </c>
      <c r="V60">
        <f/>
        <v/>
      </c>
      <c r="W60" s="347">
        <f/>
        <v/>
      </c>
      <c r="X60">
        <f/>
        <v/>
      </c>
      <c r="Y60">
        <f/>
        <v/>
      </c>
      <c r="Z60">
        <f/>
        <v/>
      </c>
      <c r="AA60">
        <f/>
        <v/>
      </c>
      <c r="AB60">
        <f/>
        <v/>
      </c>
      <c r="AC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329">
        <f/>
        <v/>
      </c>
      <c r="I61">
        <f/>
        <v/>
      </c>
      <c r="J61">
        <f/>
        <v/>
      </c>
      <c r="K61" s="342">
        <f/>
        <v/>
      </c>
      <c r="L61" s="342">
        <f/>
        <v/>
      </c>
      <c r="M61">
        <f/>
        <v/>
      </c>
      <c r="N61" s="342">
        <f/>
        <v/>
      </c>
      <c r="O61" s="343">
        <f/>
        <v/>
      </c>
      <c r="P61" s="330">
        <f/>
        <v/>
      </c>
      <c r="Q61">
        <f/>
        <v/>
      </c>
      <c r="R61">
        <f/>
        <v/>
      </c>
      <c r="S61" s="330">
        <f/>
        <v/>
      </c>
      <c r="T61" s="330">
        <f/>
        <v/>
      </c>
      <c r="U61" s="330">
        <f/>
        <v/>
      </c>
      <c r="V61">
        <f/>
        <v/>
      </c>
      <c r="W61" s="347">
        <f/>
        <v/>
      </c>
      <c r="X61">
        <f/>
        <v/>
      </c>
      <c r="Y61">
        <f/>
        <v/>
      </c>
      <c r="Z61">
        <f/>
        <v/>
      </c>
      <c r="AA61">
        <f/>
        <v/>
      </c>
      <c r="AB61">
        <f/>
        <v/>
      </c>
      <c r="AC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329">
        <f/>
        <v/>
      </c>
      <c r="I62">
        <f/>
        <v/>
      </c>
      <c r="J62">
        <f/>
        <v/>
      </c>
      <c r="K62" s="342">
        <f/>
        <v/>
      </c>
      <c r="L62" s="342">
        <f/>
        <v/>
      </c>
      <c r="M62">
        <f/>
        <v/>
      </c>
      <c r="N62" s="342">
        <f/>
        <v/>
      </c>
      <c r="O62" s="343">
        <f/>
        <v/>
      </c>
      <c r="P62" s="330">
        <f/>
        <v/>
      </c>
      <c r="Q62">
        <f/>
        <v/>
      </c>
      <c r="R62">
        <f/>
        <v/>
      </c>
      <c r="S62" s="330">
        <f/>
        <v/>
      </c>
      <c r="T62" s="330">
        <f/>
        <v/>
      </c>
      <c r="U62" s="330">
        <f/>
        <v/>
      </c>
      <c r="V62">
        <f/>
        <v/>
      </c>
      <c r="W62" s="347">
        <f/>
        <v/>
      </c>
      <c r="X62">
        <f/>
        <v/>
      </c>
      <c r="Y62">
        <f/>
        <v/>
      </c>
      <c r="Z62">
        <f/>
        <v/>
      </c>
      <c r="AA62">
        <f/>
        <v/>
      </c>
      <c r="AB62">
        <f/>
        <v/>
      </c>
      <c r="AC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329">
        <f/>
        <v/>
      </c>
      <c r="I63">
        <f/>
        <v/>
      </c>
      <c r="J63">
        <f/>
        <v/>
      </c>
      <c r="K63" s="342">
        <f/>
        <v/>
      </c>
      <c r="L63" s="342">
        <f/>
        <v/>
      </c>
      <c r="M63">
        <f/>
        <v/>
      </c>
      <c r="N63" s="342">
        <f/>
        <v/>
      </c>
      <c r="O63" s="343">
        <f/>
        <v/>
      </c>
      <c r="P63" s="330">
        <f/>
        <v/>
      </c>
      <c r="Q63">
        <f/>
        <v/>
      </c>
      <c r="R63">
        <f/>
        <v/>
      </c>
      <c r="S63" s="330">
        <f/>
        <v/>
      </c>
      <c r="T63" s="330">
        <f/>
        <v/>
      </c>
      <c r="U63" s="330">
        <f/>
        <v/>
      </c>
      <c r="V63">
        <f/>
        <v/>
      </c>
      <c r="W63" s="347">
        <f/>
        <v/>
      </c>
      <c r="X63">
        <f/>
        <v/>
      </c>
      <c r="Y63">
        <f/>
        <v/>
      </c>
      <c r="Z63">
        <f/>
        <v/>
      </c>
      <c r="AA63">
        <f/>
        <v/>
      </c>
      <c r="AB63">
        <f/>
        <v/>
      </c>
      <c r="AC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329">
        <f/>
        <v/>
      </c>
      <c r="I64">
        <f/>
        <v/>
      </c>
      <c r="J64">
        <f/>
        <v/>
      </c>
      <c r="K64" s="342">
        <f/>
        <v/>
      </c>
      <c r="L64" s="342">
        <f/>
        <v/>
      </c>
      <c r="M64">
        <f/>
        <v/>
      </c>
      <c r="N64" s="342">
        <f/>
        <v/>
      </c>
      <c r="O64" s="343">
        <f/>
        <v/>
      </c>
      <c r="P64" s="330">
        <f/>
        <v/>
      </c>
      <c r="Q64">
        <f/>
        <v/>
      </c>
      <c r="R64">
        <f/>
        <v/>
      </c>
      <c r="S64" s="330">
        <f/>
        <v/>
      </c>
      <c r="T64" s="330">
        <f/>
        <v/>
      </c>
      <c r="U64" s="330">
        <f/>
        <v/>
      </c>
      <c r="V64">
        <f/>
        <v/>
      </c>
      <c r="W64" s="347">
        <f/>
        <v/>
      </c>
      <c r="X64">
        <f/>
        <v/>
      </c>
      <c r="Y64">
        <f/>
        <v/>
      </c>
      <c r="Z64">
        <f/>
        <v/>
      </c>
      <c r="AA64">
        <f/>
        <v/>
      </c>
      <c r="AB64">
        <f/>
        <v/>
      </c>
      <c r="AC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329">
        <f/>
        <v/>
      </c>
      <c r="I65">
        <f/>
        <v/>
      </c>
      <c r="J65">
        <f/>
        <v/>
      </c>
      <c r="K65" s="342">
        <f/>
        <v/>
      </c>
      <c r="L65" s="342">
        <f/>
        <v/>
      </c>
      <c r="M65">
        <f/>
        <v/>
      </c>
      <c r="N65" s="342">
        <f/>
        <v/>
      </c>
      <c r="O65" s="343">
        <f/>
        <v/>
      </c>
      <c r="P65" s="330">
        <f/>
        <v/>
      </c>
      <c r="Q65">
        <f/>
        <v/>
      </c>
      <c r="R65">
        <f/>
        <v/>
      </c>
      <c r="S65" s="330">
        <f/>
        <v/>
      </c>
      <c r="T65" s="330">
        <f/>
        <v/>
      </c>
      <c r="U65" s="330">
        <f/>
        <v/>
      </c>
      <c r="V65">
        <f/>
        <v/>
      </c>
      <c r="W65" s="347">
        <f/>
        <v/>
      </c>
      <c r="X65">
        <f/>
        <v/>
      </c>
      <c r="Y65">
        <f/>
        <v/>
      </c>
      <c r="Z65">
        <f/>
        <v/>
      </c>
      <c r="AA65">
        <f/>
        <v/>
      </c>
      <c r="AB65">
        <f/>
        <v/>
      </c>
      <c r="AC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329">
        <f/>
        <v/>
      </c>
      <c r="I66">
        <f/>
        <v/>
      </c>
      <c r="J66">
        <f/>
        <v/>
      </c>
      <c r="K66" s="342">
        <f/>
        <v/>
      </c>
      <c r="L66" s="342">
        <f/>
        <v/>
      </c>
      <c r="M66">
        <f/>
        <v/>
      </c>
      <c r="N66" s="342">
        <f/>
        <v/>
      </c>
      <c r="O66" s="343">
        <f/>
        <v/>
      </c>
      <c r="P66" s="330">
        <f/>
        <v/>
      </c>
      <c r="Q66">
        <f/>
        <v/>
      </c>
      <c r="R66">
        <f/>
        <v/>
      </c>
      <c r="S66" s="330">
        <f/>
        <v/>
      </c>
      <c r="T66" s="330">
        <f/>
        <v/>
      </c>
      <c r="U66" s="330">
        <f/>
        <v/>
      </c>
      <c r="V66">
        <f/>
        <v/>
      </c>
      <c r="W66" s="347">
        <f/>
        <v/>
      </c>
      <c r="X66">
        <f/>
        <v/>
      </c>
      <c r="Y66">
        <f/>
        <v/>
      </c>
      <c r="Z66">
        <f/>
        <v/>
      </c>
      <c r="AA66">
        <f/>
        <v/>
      </c>
      <c r="AB66">
        <f/>
        <v/>
      </c>
      <c r="AC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329">
        <f/>
        <v/>
      </c>
      <c r="I67">
        <f/>
        <v/>
      </c>
      <c r="J67">
        <f/>
        <v/>
      </c>
      <c r="K67" s="342">
        <f/>
        <v/>
      </c>
      <c r="L67" s="342">
        <f/>
        <v/>
      </c>
      <c r="M67">
        <f/>
        <v/>
      </c>
      <c r="N67" s="342">
        <f/>
        <v/>
      </c>
      <c r="O67" s="343">
        <f/>
        <v/>
      </c>
      <c r="P67" s="330">
        <f/>
        <v/>
      </c>
      <c r="Q67">
        <f/>
        <v/>
      </c>
      <c r="R67">
        <f/>
        <v/>
      </c>
      <c r="S67" s="330">
        <f/>
        <v/>
      </c>
      <c r="T67" s="330">
        <f/>
        <v/>
      </c>
      <c r="U67" s="330">
        <f/>
        <v/>
      </c>
      <c r="V67">
        <f/>
        <v/>
      </c>
      <c r="W67" s="347">
        <f/>
        <v/>
      </c>
      <c r="X67">
        <f/>
        <v/>
      </c>
      <c r="Y67">
        <f/>
        <v/>
      </c>
      <c r="Z67">
        <f/>
        <v/>
      </c>
      <c r="AA67">
        <f/>
        <v/>
      </c>
      <c r="AB67">
        <f/>
        <v/>
      </c>
      <c r="AC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329">
        <f/>
        <v/>
      </c>
      <c r="I68">
        <f/>
        <v/>
      </c>
      <c r="J68">
        <f/>
        <v/>
      </c>
      <c r="K68" s="342">
        <f/>
        <v/>
      </c>
      <c r="L68" s="342">
        <f/>
        <v/>
      </c>
      <c r="M68">
        <f/>
        <v/>
      </c>
      <c r="N68" s="342">
        <f/>
        <v/>
      </c>
      <c r="O68" s="343">
        <f/>
        <v/>
      </c>
      <c r="P68" s="330">
        <f/>
        <v/>
      </c>
      <c r="Q68">
        <f/>
        <v/>
      </c>
      <c r="R68">
        <f/>
        <v/>
      </c>
      <c r="S68" s="330">
        <f/>
        <v/>
      </c>
      <c r="T68" s="330">
        <f/>
        <v/>
      </c>
      <c r="U68" s="330">
        <f/>
        <v/>
      </c>
      <c r="V68">
        <f/>
        <v/>
      </c>
      <c r="W68" s="347">
        <f/>
        <v/>
      </c>
      <c r="X68">
        <f/>
        <v/>
      </c>
      <c r="Y68">
        <f/>
        <v/>
      </c>
      <c r="Z68">
        <f/>
        <v/>
      </c>
      <c r="AA68">
        <f/>
        <v/>
      </c>
      <c r="AB68">
        <f/>
        <v/>
      </c>
      <c r="AC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329">
        <f/>
        <v/>
      </c>
      <c r="I69">
        <f/>
        <v/>
      </c>
      <c r="J69">
        <f/>
        <v/>
      </c>
      <c r="K69" s="342">
        <f/>
        <v/>
      </c>
      <c r="L69" s="342">
        <f/>
        <v/>
      </c>
      <c r="M69">
        <f/>
        <v/>
      </c>
      <c r="N69" s="342">
        <f/>
        <v/>
      </c>
      <c r="O69" s="343">
        <f/>
        <v/>
      </c>
      <c r="P69" s="330">
        <f/>
        <v/>
      </c>
      <c r="Q69">
        <f/>
        <v/>
      </c>
      <c r="R69">
        <f/>
        <v/>
      </c>
      <c r="S69" s="330">
        <f/>
        <v/>
      </c>
      <c r="T69" s="330">
        <f/>
        <v/>
      </c>
      <c r="U69" s="330">
        <f/>
        <v/>
      </c>
      <c r="V69">
        <f/>
        <v/>
      </c>
      <c r="W69" s="347">
        <f/>
        <v/>
      </c>
      <c r="X69">
        <f/>
        <v/>
      </c>
      <c r="Y69">
        <f/>
        <v/>
      </c>
      <c r="Z69">
        <f/>
        <v/>
      </c>
      <c r="AA69">
        <f/>
        <v/>
      </c>
      <c r="AB69">
        <f/>
        <v/>
      </c>
      <c r="AC69">
        <f/>
        <v/>
      </c>
    </row>
    <row r="70">
      <c r="A70">
        <f/>
        <v/>
      </c>
      <c r="B70">
        <f/>
        <v/>
      </c>
      <c r="C70">
        <f/>
        <v/>
      </c>
      <c r="D70">
        <f/>
        <v/>
      </c>
      <c r="E70">
        <f/>
        <v/>
      </c>
      <c r="F70">
        <f/>
        <v/>
      </c>
      <c r="G70">
        <f/>
        <v/>
      </c>
      <c r="H70" s="329">
        <f/>
        <v/>
      </c>
      <c r="I70">
        <f/>
        <v/>
      </c>
      <c r="J70">
        <f/>
        <v/>
      </c>
      <c r="K70" s="342">
        <f/>
        <v/>
      </c>
      <c r="L70" s="342">
        <f/>
        <v/>
      </c>
      <c r="M70">
        <f/>
        <v/>
      </c>
      <c r="N70" s="342">
        <f/>
        <v/>
      </c>
      <c r="O70" s="342">
        <f/>
        <v/>
      </c>
      <c r="P70" s="330">
        <f/>
        <v/>
      </c>
      <c r="Q70">
        <f/>
        <v/>
      </c>
      <c r="R70">
        <f/>
        <v/>
      </c>
      <c r="S70" s="330">
        <f/>
        <v/>
      </c>
      <c r="T70" s="330">
        <f/>
        <v/>
      </c>
      <c r="U70" s="330">
        <f/>
        <v/>
      </c>
      <c r="V70">
        <f/>
        <v/>
      </c>
      <c r="W70" s="347">
        <f/>
        <v/>
      </c>
      <c r="X70">
        <f/>
        <v/>
      </c>
      <c r="Y70">
        <f/>
        <v/>
      </c>
      <c r="Z70">
        <f/>
        <v/>
      </c>
      <c r="AA70">
        <f/>
        <v/>
      </c>
      <c r="AB70">
        <f/>
        <v/>
      </c>
      <c r="AC70">
        <f/>
        <v/>
      </c>
    </row>
    <row r="71">
      <c r="H71" s="329" t="n"/>
      <c r="K71" s="342" t="n"/>
      <c r="L71" s="342" t="n"/>
      <c r="N71" s="342" t="n"/>
      <c r="O71" s="342" t="n"/>
      <c r="P71" s="330" t="n"/>
      <c r="S71" s="330" t="n"/>
      <c r="T71" s="330" t="n"/>
      <c r="U71" s="330" t="n"/>
      <c r="W71" s="347" t="n"/>
    </row>
    <row r="72">
      <c r="H72" s="329" t="n"/>
      <c r="K72" s="342" t="n"/>
      <c r="L72" s="342" t="n"/>
      <c r="N72" s="342" t="n"/>
      <c r="O72" s="342" t="n"/>
      <c r="P72" s="330" t="n"/>
      <c r="S72" s="330" t="n"/>
      <c r="T72" s="330" t="n"/>
      <c r="U72" s="330" t="n"/>
    </row>
    <row r="73">
      <c r="H73" s="329" t="n"/>
      <c r="K73" s="342" t="n"/>
      <c r="L73" s="342" t="n"/>
      <c r="N73" s="342" t="n"/>
      <c r="O73" s="343" t="n"/>
      <c r="P73" s="330" t="n"/>
      <c r="S73" s="330" t="n"/>
      <c r="T73" s="330" t="n"/>
      <c r="U73" s="330" t="n"/>
    </row>
  </sheetData>
  <mergeCells count="3">
    <mergeCell ref="B17:E17"/>
    <mergeCell ref="B2:E2"/>
    <mergeCell ref="B33:E33"/>
  </mergeCells>
  <conditionalFormatting sqref="L3:L4">
    <cfRule type="expression" priority="5" dxfId="1">
      <formula>AND(L3&lt;=(TODAY()+90), L3&gt;=TODAY())</formula>
    </cfRule>
    <cfRule type="expression" priority="6" dxfId="0">
      <formula>AND(ISNUMBER(L3), L3&lt;TODAY())</formula>
    </cfRule>
  </conditionalFormatting>
  <conditionalFormatting sqref="L18">
    <cfRule type="expression" priority="3" dxfId="1">
      <formula>AND(L18&lt;=(TODAY()+90), L18&gt;=TODAY())</formula>
    </cfRule>
    <cfRule type="expression" priority="4" dxfId="0">
      <formula>AND(ISNUMBER(L18), L18&lt;TODAY())</formula>
    </cfRule>
  </conditionalFormatting>
  <conditionalFormatting sqref="L34">
    <cfRule type="expression" priority="1" dxfId="1">
      <formula>AND(L34&lt;=(TODAY()+90), L34&gt;=TODAY())</formula>
    </cfRule>
    <cfRule type="expression" priority="2" dxfId="0">
      <formula>AND(ISNUMBER(L34), L34&lt;TODAY())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42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9" customWidth="1" min="1" max="1"/>
    <col hidden="1" width="8" customWidth="1" min="2" max="2"/>
    <col hidden="1" width="17" customWidth="1" min="3" max="3"/>
    <col width="50" customWidth="1" min="4" max="4"/>
    <col width="50" customWidth="1" min="5" max="5"/>
    <col width="37" customWidth="1" min="6" max="6"/>
    <col width="10" customWidth="1" min="7" max="7"/>
    <col hidden="1" width="8" customWidth="1" min="8" max="8"/>
    <col width="19" customWidth="1" min="9" max="9"/>
    <col width="50" customWidth="1" min="10" max="10"/>
    <col width="23" customWidth="1" min="11" max="11"/>
    <col width="21" customWidth="1" min="12" max="12"/>
    <col width="21" customWidth="1" min="13" max="13"/>
    <col width="21" customWidth="1" min="14" max="14"/>
    <col width="21" customWidth="1" min="15" max="15"/>
    <col width="14" customWidth="1" min="16" max="16"/>
    <col hidden="1" width="9" customWidth="1" min="17" max="17"/>
    <col hidden="1" width="9" customWidth="1" min="18" max="18"/>
    <col width="16" customWidth="1" min="19" max="19"/>
    <col hidden="1" width="9" customWidth="1" min="20" max="20"/>
    <col width="16" customWidth="1" min="21" max="21"/>
    <col hidden="1" width="9" customWidth="1" min="22" max="22"/>
    <col width="18" customWidth="1" min="23" max="23"/>
    <col width="8" customWidth="1" min="24" max="24"/>
    <col hidden="1" width="8" customWidth="1" min="25" max="25"/>
    <col width="24" customWidth="1" min="26" max="26"/>
    <col width="20" customWidth="1" min="27" max="27"/>
    <col width="50" customWidth="1" min="28" max="28"/>
    <col width="29" customWidth="1" min="29" max="29"/>
    <col width="18" customWidth="1" min="30" max="30"/>
    <col width="16" customWidth="1" min="31" max="31"/>
    <col width="17" customWidth="1" min="32" max="32"/>
  </cols>
  <sheetData>
    <row r="1">
      <c r="A1" s="402" t="inlineStr">
        <is>
          <t>Document updated 03/12/2025 at 2.28pm</t>
        </is>
      </c>
    </row>
    <row r="2">
      <c r="A2" s="131" t="inlineStr">
        <is>
          <t>Surveyor</t>
        </is>
      </c>
      <c r="B2" s="131" t="inlineStr">
        <is>
          <t>Client</t>
        </is>
      </c>
      <c r="C2" s="71" t="inlineStr">
        <is>
          <t>Property Number</t>
        </is>
      </c>
      <c r="D2" s="71" t="inlineStr">
        <is>
          <t>Property</t>
        </is>
      </c>
      <c r="E2" s="71" t="inlineStr">
        <is>
          <t>Unit Demise</t>
        </is>
      </c>
      <c r="F2" s="72" t="inlineStr">
        <is>
          <t>Unit Type</t>
        </is>
      </c>
      <c r="G2" s="391" t="inlineStr">
        <is>
          <t>Net Area</t>
        </is>
      </c>
      <c r="H2" s="391" t="inlineStr">
        <is>
          <t>.</t>
        </is>
      </c>
      <c r="I2" s="391" t="inlineStr">
        <is>
          <t>Agency Area group</t>
        </is>
      </c>
      <c r="J2" s="74" t="inlineStr">
        <is>
          <t>Tenant Name</t>
        </is>
      </c>
      <c r="K2" s="75" t="inlineStr">
        <is>
          <t>Start            Date</t>
        </is>
      </c>
      <c r="L2" s="75" t="inlineStr">
        <is>
          <t>Expiry   Date</t>
        </is>
      </c>
      <c r="M2" s="75" t="inlineStr">
        <is>
          <t>Vacant Since?</t>
        </is>
      </c>
      <c r="N2" s="75" t="inlineStr">
        <is>
          <t>RRs</t>
        </is>
      </c>
      <c r="O2" s="75" t="inlineStr">
        <is>
          <t xml:space="preserve">Break Date </t>
        </is>
      </c>
      <c r="P2" s="77" t="inlineStr">
        <is>
          <t xml:space="preserve">Rent PA (£) </t>
        </is>
      </c>
      <c r="Q2" s="77" t="inlineStr">
        <is>
          <t>check 1</t>
        </is>
      </c>
      <c r="R2" s="77" t="inlineStr">
        <is>
          <t>check 2</t>
        </is>
      </c>
      <c r="S2" s="77" t="inlineStr">
        <is>
          <t xml:space="preserve">  2023 ERV (£)</t>
        </is>
      </c>
      <c r="T2" s="72" t="inlineStr">
        <is>
          <t>check 3</t>
        </is>
      </c>
      <c r="U2" s="77" t="inlineStr">
        <is>
          <t xml:space="preserve">  2025 ERV (£)</t>
        </is>
      </c>
      <c r="V2" s="72" t="inlineStr">
        <is>
          <t>check 4</t>
        </is>
      </c>
      <c r="W2" s="72" t="inlineStr">
        <is>
          <t>ERV 2023 £.Sq.ft</t>
        </is>
      </c>
      <c r="X2" s="72" t="inlineStr">
        <is>
          <t>EPC</t>
        </is>
      </c>
      <c r="Y2" s="58" t="inlineStr">
        <is>
          <t>*</t>
        </is>
      </c>
      <c r="Z2" s="392" t="inlineStr">
        <is>
          <t xml:space="preserve">2025 Cap Valn. (£)    </t>
        </is>
      </c>
      <c r="AA2" s="392" t="inlineStr">
        <is>
          <t>1954 Act Protected</t>
        </is>
      </c>
      <c r="AB2" s="96" t="inlineStr">
        <is>
          <t>Remarks</t>
        </is>
      </c>
      <c r="AC2" s="304" t="inlineStr">
        <is>
          <t>Agency Quoting Rent £.sq.ft</t>
        </is>
      </c>
      <c r="AD2" s="239" t="inlineStr">
        <is>
          <t>Monthly Viewings</t>
        </is>
      </c>
      <c r="AE2" s="239" t="inlineStr">
        <is>
          <t>Total Viewings</t>
        </is>
      </c>
      <c r="AF2" s="239" t="inlineStr">
        <is>
          <t>Marketing Agent</t>
        </is>
      </c>
    </row>
    <row r="3">
      <c r="A3" s="11" t="inlineStr">
        <is>
          <t>JM</t>
        </is>
      </c>
      <c r="B3" s="11" t="inlineStr">
        <is>
          <t>MEL</t>
        </is>
      </c>
      <c r="C3" s="2" t="n">
        <v>550020</v>
      </c>
      <c r="D3" s="4" t="inlineStr">
        <is>
          <t>5-6 Bywell Place HELLO</t>
        </is>
      </c>
      <c r="E3" s="4" t="inlineStr">
        <is>
          <t>Whole Building</t>
        </is>
      </c>
      <c r="F3" s="14" t="inlineStr">
        <is>
          <t>Office</t>
        </is>
      </c>
      <c r="G3" s="18" t="n">
        <v>2011</v>
      </c>
      <c r="H3" s="10">
        <f>G3</f>
        <v/>
      </c>
      <c r="I3" s="10" t="n">
        <v>2000</v>
      </c>
      <c r="J3" s="4" t="inlineStr">
        <is>
          <t>111 Skin Limited</t>
        </is>
      </c>
      <c r="K3" s="8" t="n">
        <v>45365</v>
      </c>
      <c r="L3" s="9" t="n">
        <v>47190</v>
      </c>
      <c r="O3" s="9" t="n">
        <v>46459</v>
      </c>
      <c r="P3" s="19" t="n">
        <v>115500</v>
      </c>
      <c r="Q3" s="10">
        <f>P3</f>
        <v/>
      </c>
      <c r="R3" s="19">
        <f>Q3</f>
        <v/>
      </c>
      <c r="S3" s="19" t="n">
        <v>100600</v>
      </c>
      <c r="T3" s="10">
        <f>S3</f>
        <v/>
      </c>
      <c r="U3" s="36" t="n">
        <v>115000</v>
      </c>
      <c r="V3" s="10">
        <f>U3</f>
        <v/>
      </c>
      <c r="W3" s="277">
        <f>S3/G3</f>
        <v/>
      </c>
      <c r="X3" s="10" t="inlineStr">
        <is>
          <t>C</t>
        </is>
      </c>
      <c r="Y3" s="60" t="n"/>
      <c r="Z3" s="36" t="n">
        <v>1750000</v>
      </c>
      <c r="AA3" s="393" t="inlineStr">
        <is>
          <t>No</t>
        </is>
      </c>
      <c r="AB3" s="4" t="inlineStr">
        <is>
          <t>Tenant break on 6 months notice. Break penalty of £28,875 if exercised.</t>
        </is>
      </c>
    </row>
    <row r="4">
      <c r="A4" s="11" t="inlineStr">
        <is>
          <t>SH</t>
        </is>
      </c>
      <c r="B4" s="11" t="inlineStr">
        <is>
          <t>MEL</t>
        </is>
      </c>
      <c r="C4" s="2" t="n">
        <v>550910</v>
      </c>
      <c r="D4" s="4" t="inlineStr">
        <is>
          <t>22 and 23-25 Eastcastle Street</t>
        </is>
      </c>
      <c r="E4" s="4" t="inlineStr">
        <is>
          <t>Lower Ground &amp; Ground (22)</t>
        </is>
      </c>
      <c r="F4" s="14" t="inlineStr">
        <is>
          <t>Retail</t>
        </is>
      </c>
      <c r="G4" s="7" t="n">
        <v>2333</v>
      </c>
      <c r="H4" s="10">
        <f>G4</f>
        <v/>
      </c>
      <c r="I4" s="10" t="n">
        <v>2000</v>
      </c>
      <c r="J4" s="4" t="inlineStr">
        <is>
          <t>Top Bridal Ltd</t>
        </is>
      </c>
      <c r="K4" s="9" t="n">
        <v>45736</v>
      </c>
      <c r="L4" s="9" t="n">
        <v>47561</v>
      </c>
      <c r="O4" s="9" t="n">
        <v>46831</v>
      </c>
      <c r="P4" s="7" t="n">
        <v>128000</v>
      </c>
      <c r="Q4" s="10">
        <f>P4</f>
        <v/>
      </c>
      <c r="S4" s="7" t="n">
        <v>110000</v>
      </c>
      <c r="T4" s="10">
        <f>S4</f>
        <v/>
      </c>
      <c r="U4" s="359" t="n">
        <v>128000</v>
      </c>
      <c r="V4" s="10">
        <f>U4</f>
        <v/>
      </c>
      <c r="W4" s="277">
        <f>S4/G4</f>
        <v/>
      </c>
      <c r="X4" s="10" t="inlineStr">
        <is>
          <t>C</t>
        </is>
      </c>
      <c r="Y4" s="60" t="n"/>
      <c r="Z4" s="394" t="n"/>
      <c r="AA4" s="14" t="inlineStr">
        <is>
          <t>No</t>
        </is>
      </c>
      <c r="AB4" s="4" t="inlineStr">
        <is>
          <t>Stepped rent increasing to £130,000 wef 20/03/27. Tenant break on 6 months notice.</t>
        </is>
      </c>
      <c r="AC4" s="305" t="n"/>
      <c r="AD4" s="4" t="n">
        <v>1</v>
      </c>
      <c r="AE4" s="278" t="n">
        <v>3</v>
      </c>
    </row>
    <row r="5">
      <c r="A5" s="11" t="inlineStr">
        <is>
          <t>SH</t>
        </is>
      </c>
      <c r="B5" s="11" t="inlineStr">
        <is>
          <t>MEL</t>
        </is>
      </c>
      <c r="C5" s="2" t="n">
        <v>550910</v>
      </c>
      <c r="D5" s="4" t="inlineStr">
        <is>
          <t>22 and 23-25 Eastcastle Street</t>
        </is>
      </c>
      <c r="E5" s="4" t="inlineStr">
        <is>
          <t>Lower Ground &amp; Ground (23-25)</t>
        </is>
      </c>
      <c r="F5" s="14" t="inlineStr">
        <is>
          <t>Gallery</t>
        </is>
      </c>
      <c r="G5" s="7" t="n">
        <v>6092</v>
      </c>
      <c r="H5" s="10">
        <f>G5</f>
        <v/>
      </c>
      <c r="I5" s="10" t="n">
        <v>6000</v>
      </c>
      <c r="J5" s="4" t="inlineStr">
        <is>
          <t>Sisters Grimm Ltd</t>
        </is>
      </c>
      <c r="K5" s="8" t="n">
        <v>45712</v>
      </c>
      <c r="L5" s="9" t="n">
        <v>47537</v>
      </c>
      <c r="O5" s="9" t="n">
        <v>46806</v>
      </c>
      <c r="P5" s="10" t="n">
        <v>325000</v>
      </c>
      <c r="Q5" s="10">
        <f>P5</f>
        <v/>
      </c>
      <c r="S5" s="7" t="n">
        <v>225000</v>
      </c>
      <c r="T5" s="10">
        <f>S5</f>
        <v/>
      </c>
      <c r="U5" s="359" t="n">
        <v>325000</v>
      </c>
      <c r="V5" s="10">
        <f>U5</f>
        <v/>
      </c>
      <c r="W5" s="277">
        <f>S5/G5</f>
        <v/>
      </c>
      <c r="X5" s="10" t="inlineStr">
        <is>
          <t>B</t>
        </is>
      </c>
      <c r="Y5" s="60" t="n"/>
      <c r="Z5" s="394" t="n"/>
      <c r="AA5" s="14" t="inlineStr">
        <is>
          <t>No</t>
        </is>
      </c>
      <c r="AB5" s="4" t="inlineStr">
        <is>
          <t>Tenant break on 6 months notice. 1 month rent free from 24/02/28 if break not excerised.</t>
        </is>
      </c>
      <c r="AC5" s="305" t="n"/>
      <c r="AE5" s="278" t="n">
        <v>3</v>
      </c>
      <c r="AF5" s="4" t="inlineStr">
        <is>
          <t>LEM</t>
        </is>
      </c>
    </row>
    <row r="6">
      <c r="A6" s="11" t="inlineStr">
        <is>
          <t>SH</t>
        </is>
      </c>
      <c r="B6" s="11" t="inlineStr">
        <is>
          <t>MEL</t>
        </is>
      </c>
      <c r="C6" s="2" t="n">
        <v>550910</v>
      </c>
      <c r="D6" s="4" t="inlineStr">
        <is>
          <t>22 and 23-25 Eastcastle Street</t>
        </is>
      </c>
      <c r="E6" s="4" t="inlineStr">
        <is>
          <t>First Floor (22)</t>
        </is>
      </c>
      <c r="F6" s="14" t="inlineStr">
        <is>
          <t>Office</t>
        </is>
      </c>
      <c r="G6" s="7" t="n">
        <v>1063</v>
      </c>
      <c r="H6" s="10">
        <f>G6</f>
        <v/>
      </c>
      <c r="I6" s="10" t="n">
        <v>1000</v>
      </c>
      <c r="J6" s="4" t="inlineStr">
        <is>
          <t>Peter Alexander UK Ltd</t>
        </is>
      </c>
      <c r="K6" s="9" t="n">
        <v>45551</v>
      </c>
      <c r="L6" s="9" t="n">
        <v>47376</v>
      </c>
      <c r="O6" s="9" t="n">
        <v>46645</v>
      </c>
      <c r="P6" s="7" t="n">
        <v>61425</v>
      </c>
      <c r="Q6" s="10">
        <f>P6</f>
        <v/>
      </c>
      <c r="S6" s="7" t="n">
        <v>55700</v>
      </c>
      <c r="T6" s="10">
        <f>S6</f>
        <v/>
      </c>
      <c r="U6" s="359" t="n">
        <v>61100</v>
      </c>
      <c r="V6" s="10">
        <f>U6</f>
        <v/>
      </c>
      <c r="W6" s="277">
        <f>S6/G6</f>
        <v/>
      </c>
      <c r="X6" s="10" t="inlineStr">
        <is>
          <t>D</t>
        </is>
      </c>
      <c r="Y6" s="60" t="n"/>
      <c r="Z6" s="394" t="n"/>
      <c r="AA6" s="14" t="inlineStr">
        <is>
          <t>No</t>
        </is>
      </c>
      <c r="AB6" s="4" t="inlineStr">
        <is>
          <t>Tenant break on 3 months notice. Additional 3 months rent free if not exercised.</t>
        </is>
      </c>
      <c r="AF6" s="29" t="inlineStr">
        <is>
          <t>LEM</t>
        </is>
      </c>
    </row>
    <row r="7">
      <c r="A7" s="11" t="inlineStr">
        <is>
          <t>SH</t>
        </is>
      </c>
      <c r="B7" s="11" t="inlineStr">
        <is>
          <t>MEL</t>
        </is>
      </c>
      <c r="C7" s="2" t="n">
        <v>550910</v>
      </c>
      <c r="D7" s="4" t="inlineStr">
        <is>
          <t>22 and 23-25 Eastcastle Street</t>
        </is>
      </c>
      <c r="E7" s="4" t="inlineStr">
        <is>
          <t>First Floor (23-25)</t>
        </is>
      </c>
      <c r="F7" s="14" t="inlineStr">
        <is>
          <t>Office</t>
        </is>
      </c>
      <c r="G7" s="7" t="n">
        <v>2220</v>
      </c>
      <c r="H7" s="10">
        <f>G7</f>
        <v/>
      </c>
      <c r="I7" s="10" t="n">
        <v>2000</v>
      </c>
      <c r="J7" s="4" t="inlineStr">
        <is>
          <t>Cord Technologies Ltd</t>
        </is>
      </c>
      <c r="K7" s="9" t="n">
        <v>45086</v>
      </c>
      <c r="L7" s="9" t="n">
        <v>46181</v>
      </c>
      <c r="P7" s="7" t="n">
        <v>131400</v>
      </c>
      <c r="Q7" s="10">
        <f>P7</f>
        <v/>
      </c>
      <c r="S7" s="7" t="n">
        <v>131100</v>
      </c>
      <c r="T7" s="10">
        <f>S7</f>
        <v/>
      </c>
      <c r="U7" s="359" t="n">
        <v>133200</v>
      </c>
      <c r="V7" s="10">
        <f>U7</f>
        <v/>
      </c>
      <c r="W7" s="277">
        <f>S7/G7</f>
        <v/>
      </c>
      <c r="X7" s="10" t="inlineStr">
        <is>
          <t>D</t>
        </is>
      </c>
      <c r="Y7" s="60" t="n"/>
      <c r="Z7" s="394" t="n"/>
      <c r="AA7" s="14" t="inlineStr">
        <is>
          <t>No</t>
        </is>
      </c>
      <c r="AE7" s="278" t="n"/>
    </row>
    <row r="8">
      <c r="A8" s="11" t="inlineStr">
        <is>
          <t>SH</t>
        </is>
      </c>
      <c r="B8" s="11" t="inlineStr">
        <is>
          <t>MEL</t>
        </is>
      </c>
      <c r="C8" s="2" t="n">
        <v>550910</v>
      </c>
      <c r="D8" s="4" t="inlineStr">
        <is>
          <t>22 and 23-25 Eastcastle Street</t>
        </is>
      </c>
      <c r="E8" s="4" t="inlineStr">
        <is>
          <t>Second Floor (22)</t>
        </is>
      </c>
      <c r="F8" s="14" t="inlineStr">
        <is>
          <t>Office</t>
        </is>
      </c>
      <c r="G8" s="7" t="n">
        <v>1124</v>
      </c>
      <c r="H8" s="10">
        <f>G8</f>
        <v/>
      </c>
      <c r="I8" s="10" t="n">
        <v>1000</v>
      </c>
      <c r="J8" s="4" t="inlineStr">
        <is>
          <t>Cord Technologies Ltd</t>
        </is>
      </c>
      <c r="K8" s="9" t="n">
        <v>45614</v>
      </c>
      <c r="L8" s="9" t="n">
        <v>46181</v>
      </c>
      <c r="M8" s="9" t="n"/>
      <c r="N8" s="9" t="n"/>
      <c r="O8" s="9" t="n"/>
      <c r="P8" s="7" t="n">
        <v>71875</v>
      </c>
      <c r="Q8" s="10">
        <f>P8</f>
        <v/>
      </c>
      <c r="R8" s="10" t="n"/>
      <c r="S8" s="7" t="n">
        <v>60400</v>
      </c>
      <c r="T8" s="10">
        <f>S8</f>
        <v/>
      </c>
      <c r="U8" s="359" t="n">
        <v>64600</v>
      </c>
      <c r="V8" s="10">
        <f>U8</f>
        <v/>
      </c>
      <c r="W8" s="277">
        <f>S8/G8</f>
        <v/>
      </c>
      <c r="X8" s="10" t="inlineStr">
        <is>
          <t>B</t>
        </is>
      </c>
      <c r="Y8" s="60" t="n"/>
      <c r="Z8" s="394" t="n"/>
      <c r="AA8" s="14" t="inlineStr">
        <is>
          <t>No</t>
        </is>
      </c>
      <c r="AB8" s="4" t="n"/>
      <c r="AC8" s="305" t="n"/>
      <c r="AD8" s="4" t="n"/>
      <c r="AE8" s="278" t="n"/>
      <c r="AF8" s="4" t="n"/>
    </row>
    <row r="9">
      <c r="A9" s="11" t="inlineStr">
        <is>
          <t>SH</t>
        </is>
      </c>
      <c r="B9" s="11" t="inlineStr">
        <is>
          <t>MEL</t>
        </is>
      </c>
      <c r="C9" s="2" t="n">
        <v>550910</v>
      </c>
      <c r="D9" s="4" t="inlineStr">
        <is>
          <t>22 and 23-25 Eastcastle Street</t>
        </is>
      </c>
      <c r="E9" s="4" t="inlineStr">
        <is>
          <t>Second Floor (23-25)</t>
        </is>
      </c>
      <c r="F9" s="14" t="inlineStr">
        <is>
          <t>Office</t>
        </is>
      </c>
      <c r="G9" s="7" t="n">
        <v>2238</v>
      </c>
      <c r="H9" s="10">
        <f>G9</f>
        <v/>
      </c>
      <c r="I9" s="10" t="n">
        <v>2000</v>
      </c>
      <c r="J9" s="4" t="inlineStr">
        <is>
          <t>Vacant</t>
        </is>
      </c>
      <c r="K9" s="9" t="n"/>
      <c r="M9" s="9" t="n">
        <v>45636</v>
      </c>
      <c r="P9" s="7" t="n">
        <v>0</v>
      </c>
      <c r="Q9" s="10">
        <f>P9</f>
        <v/>
      </c>
      <c r="S9" s="7" t="n">
        <v>134300</v>
      </c>
      <c r="T9" s="10">
        <f>S9</f>
        <v/>
      </c>
      <c r="U9" s="359" t="n">
        <v>134300</v>
      </c>
      <c r="V9" s="10">
        <f>U9</f>
        <v/>
      </c>
      <c r="W9" s="277">
        <f>S9/G9</f>
        <v/>
      </c>
      <c r="X9" s="10" t="inlineStr">
        <is>
          <t>D</t>
        </is>
      </c>
      <c r="Y9" s="60" t="n"/>
      <c r="Z9" s="394" t="n"/>
      <c r="AA9" s="14" t="inlineStr">
        <is>
          <t>No</t>
        </is>
      </c>
      <c r="AB9" s="4" t="inlineStr">
        <is>
          <t>LEM marketing.</t>
        </is>
      </c>
      <c r="AD9" s="29" t="n"/>
      <c r="AE9" s="279" t="n"/>
      <c r="AF9" s="29" t="n"/>
    </row>
    <row r="10">
      <c r="A10" s="11" t="inlineStr">
        <is>
          <t>SH</t>
        </is>
      </c>
      <c r="B10" s="11" t="inlineStr">
        <is>
          <t>MEL</t>
        </is>
      </c>
      <c r="C10" s="2" t="n">
        <v>550910</v>
      </c>
      <c r="D10" s="4" t="inlineStr">
        <is>
          <t>22 and 23-25 Eastcastle Street</t>
        </is>
      </c>
      <c r="E10" s="4" t="inlineStr">
        <is>
          <t>Third Floor (22)</t>
        </is>
      </c>
      <c r="F10" s="14" t="inlineStr">
        <is>
          <t>Office</t>
        </is>
      </c>
      <c r="G10" s="7" t="n">
        <v>400</v>
      </c>
      <c r="H10" s="10">
        <f>G10</f>
        <v/>
      </c>
      <c r="I10" s="10" t="n">
        <v>500</v>
      </c>
      <c r="J10" s="4" t="inlineStr">
        <is>
          <t>Vacant</t>
        </is>
      </c>
      <c r="K10" s="9" t="n"/>
      <c r="M10" s="9" t="n">
        <v>45771</v>
      </c>
      <c r="P10" s="7" t="n">
        <v>0</v>
      </c>
      <c r="Q10" s="10">
        <f>P10</f>
        <v/>
      </c>
      <c r="S10" s="7" t="n">
        <v>20600</v>
      </c>
      <c r="T10" s="10">
        <f>S10</f>
        <v/>
      </c>
      <c r="U10" s="359" t="n">
        <v>23000</v>
      </c>
      <c r="V10" s="10">
        <f>U10</f>
        <v/>
      </c>
      <c r="W10" s="277">
        <f>S10/G10</f>
        <v/>
      </c>
      <c r="X10" s="10" t="inlineStr">
        <is>
          <t>D</t>
        </is>
      </c>
      <c r="Y10" s="60" t="n"/>
      <c r="Z10" s="394" t="n"/>
      <c r="AA10" s="14" t="inlineStr">
        <is>
          <t>No</t>
        </is>
      </c>
      <c r="AB10" s="4" t="inlineStr">
        <is>
          <t>LEM marketing.</t>
        </is>
      </c>
      <c r="AE10" s="278" t="n"/>
    </row>
    <row r="11">
      <c r="A11" s="11" t="inlineStr">
        <is>
          <t>SH</t>
        </is>
      </c>
      <c r="B11" s="11" t="inlineStr">
        <is>
          <t>MEL</t>
        </is>
      </c>
      <c r="C11" s="2" t="n">
        <v>550910</v>
      </c>
      <c r="D11" s="4" t="inlineStr">
        <is>
          <t>22 and 23-25 Eastcastle Street</t>
        </is>
      </c>
      <c r="E11" s="4" t="inlineStr">
        <is>
          <t>Third Floor (23-25)</t>
        </is>
      </c>
      <c r="F11" s="14" t="inlineStr">
        <is>
          <t>Office</t>
        </is>
      </c>
      <c r="G11" s="7" t="n">
        <v>1938</v>
      </c>
      <c r="H11" s="10">
        <f>G11</f>
        <v/>
      </c>
      <c r="I11" s="10" t="n">
        <v>2000</v>
      </c>
      <c r="J11" s="4" t="inlineStr">
        <is>
          <t>Vacant</t>
        </is>
      </c>
      <c r="M11" s="9" t="n">
        <v>45217</v>
      </c>
      <c r="P11" s="10" t="n">
        <v>0</v>
      </c>
      <c r="Q11" s="10">
        <f>P11</f>
        <v/>
      </c>
      <c r="S11" s="7" t="n">
        <v>109000</v>
      </c>
      <c r="T11" s="10">
        <f>S11</f>
        <v/>
      </c>
      <c r="U11" s="359" t="n">
        <v>111400</v>
      </c>
      <c r="V11" s="10">
        <f>U11</f>
        <v/>
      </c>
      <c r="W11" s="277">
        <f>S11/G11</f>
        <v/>
      </c>
      <c r="X11" s="10" t="inlineStr">
        <is>
          <t>D</t>
        </is>
      </c>
      <c r="Y11" s="60" t="n"/>
      <c r="Z11" s="394" t="n"/>
      <c r="AA11" s="14" t="inlineStr">
        <is>
          <t>No</t>
        </is>
      </c>
      <c r="AB11" s="4" t="inlineStr">
        <is>
          <t>LEM marketing.</t>
        </is>
      </c>
      <c r="AC11" s="303" t="n">
        <v>65</v>
      </c>
      <c r="AD11" s="4" t="n">
        <v>1</v>
      </c>
      <c r="AE11" s="278" t="n">
        <v>3</v>
      </c>
    </row>
    <row r="12">
      <c r="A12" s="11" t="inlineStr">
        <is>
          <t>SH</t>
        </is>
      </c>
      <c r="B12" s="11" t="inlineStr">
        <is>
          <t>MEL</t>
        </is>
      </c>
      <c r="C12" s="2" t="n">
        <v>550910</v>
      </c>
      <c r="D12" s="4" t="inlineStr">
        <is>
          <t>22 and 23-25 Eastcastle Street</t>
        </is>
      </c>
      <c r="E12" s="4" t="inlineStr">
        <is>
          <t>Fourth Floor (22)</t>
        </is>
      </c>
      <c r="F12" s="14" t="inlineStr">
        <is>
          <t>Office</t>
        </is>
      </c>
      <c r="G12" s="7" t="n">
        <v>419</v>
      </c>
      <c r="H12" s="10">
        <f>G12</f>
        <v/>
      </c>
      <c r="I12" s="10" t="n">
        <v>500</v>
      </c>
      <c r="J12" s="4" t="inlineStr">
        <is>
          <t>Element Pictures UK Ltd.</t>
        </is>
      </c>
      <c r="K12" s="8" t="n">
        <v>44539</v>
      </c>
      <c r="L12" s="9" t="n">
        <v>46364</v>
      </c>
      <c r="P12" s="10" t="n">
        <v>23940</v>
      </c>
      <c r="Q12" s="10">
        <f>P12</f>
        <v/>
      </c>
      <c r="S12" s="7" t="n">
        <v>21000</v>
      </c>
      <c r="T12" s="10">
        <f>S12</f>
        <v/>
      </c>
      <c r="U12" s="359" t="n">
        <v>24100</v>
      </c>
      <c r="V12" s="10">
        <f>U12</f>
        <v/>
      </c>
      <c r="W12" s="277">
        <f>S12/G12</f>
        <v/>
      </c>
      <c r="X12" s="10" t="inlineStr">
        <is>
          <t>D</t>
        </is>
      </c>
      <c r="Y12" s="60" t="n"/>
      <c r="Z12" s="394" t="n"/>
      <c r="AA12" s="14" t="inlineStr">
        <is>
          <t>No</t>
        </is>
      </c>
      <c r="AE12" s="278" t="n"/>
    </row>
    <row r="13">
      <c r="A13" s="11" t="inlineStr">
        <is>
          <t>SH</t>
        </is>
      </c>
      <c r="B13" s="11" t="inlineStr">
        <is>
          <t>MEL</t>
        </is>
      </c>
      <c r="C13" s="2" t="n">
        <v>550910</v>
      </c>
      <c r="D13" s="4" t="inlineStr">
        <is>
          <t>22 and 23-25 Eastcastle Street</t>
        </is>
      </c>
      <c r="E13" s="4" t="inlineStr">
        <is>
          <t>Fourth Floor (23-25)</t>
        </is>
      </c>
      <c r="F13" s="14" t="inlineStr">
        <is>
          <t>Office</t>
        </is>
      </c>
      <c r="G13" s="7" t="n">
        <v>972</v>
      </c>
      <c r="H13" s="10">
        <f>G13</f>
        <v/>
      </c>
      <c r="I13" s="10" t="n">
        <v>1000</v>
      </c>
      <c r="J13" s="4" t="inlineStr">
        <is>
          <t>Encore Search (Newburgh Street) Ltd.</t>
        </is>
      </c>
      <c r="K13" s="8" t="n">
        <v>45100</v>
      </c>
      <c r="L13" s="9" t="n">
        <v>46926</v>
      </c>
      <c r="O13" s="9" t="n">
        <v>46195</v>
      </c>
      <c r="P13" s="7" t="n">
        <v>58560</v>
      </c>
      <c r="Q13" s="10">
        <f>P13</f>
        <v/>
      </c>
      <c r="S13" s="7" t="n">
        <v>49400</v>
      </c>
      <c r="T13" s="10">
        <f>S13</f>
        <v/>
      </c>
      <c r="U13" s="359" t="n">
        <v>58300</v>
      </c>
      <c r="V13" s="10">
        <f>U13</f>
        <v/>
      </c>
      <c r="W13" s="277">
        <f>S13/G13</f>
        <v/>
      </c>
      <c r="X13" s="10" t="inlineStr">
        <is>
          <t>D</t>
        </is>
      </c>
      <c r="Y13" s="60" t="n"/>
      <c r="Z13" s="394" t="n"/>
      <c r="AA13" s="14" t="inlineStr">
        <is>
          <t>No</t>
        </is>
      </c>
      <c r="AB13" s="4" t="inlineStr">
        <is>
          <t>Tenant break on 6 months notice. 3 months rent free if not exercised.</t>
        </is>
      </c>
      <c r="AE13" s="278" t="n"/>
    </row>
    <row r="14">
      <c r="A14" s="11" t="inlineStr">
        <is>
          <t>SH</t>
        </is>
      </c>
      <c r="B14" s="11" t="inlineStr">
        <is>
          <t>MEL</t>
        </is>
      </c>
      <c r="C14" s="2" t="n">
        <v>550910</v>
      </c>
      <c r="D14" s="4" t="inlineStr">
        <is>
          <t>22 and 23-25 Eastcastle Street</t>
        </is>
      </c>
      <c r="E14" s="4" t="inlineStr">
        <is>
          <t>Fifth Floor (23-25)</t>
        </is>
      </c>
      <c r="F14" s="14" t="inlineStr">
        <is>
          <t>Office</t>
        </is>
      </c>
      <c r="G14" s="7" t="n">
        <v>977</v>
      </c>
      <c r="H14" s="10">
        <f>G14</f>
        <v/>
      </c>
      <c r="I14" s="10" t="n">
        <v>1000</v>
      </c>
      <c r="J14" s="4" t="inlineStr">
        <is>
          <t>Element Pictures UK Ltd.</t>
        </is>
      </c>
      <c r="K14" s="9" t="n">
        <v>45476</v>
      </c>
      <c r="L14" s="9" t="n">
        <v>47301</v>
      </c>
      <c r="O14" s="9" t="n">
        <v>46364</v>
      </c>
      <c r="P14" s="7" t="n">
        <v>58496</v>
      </c>
      <c r="Q14" s="10">
        <f>P14</f>
        <v/>
      </c>
      <c r="S14" s="7" t="n">
        <v>47400</v>
      </c>
      <c r="T14" s="10">
        <f>S14</f>
        <v/>
      </c>
      <c r="U14" s="359" t="n">
        <v>58600</v>
      </c>
      <c r="V14" s="10">
        <f>U14</f>
        <v/>
      </c>
      <c r="W14" s="277">
        <f>S14/G14</f>
        <v/>
      </c>
      <c r="X14" s="10" t="inlineStr">
        <is>
          <t>B</t>
        </is>
      </c>
      <c r="Y14" s="60" t="n"/>
      <c r="Z14" s="394" t="n"/>
      <c r="AA14" s="14" t="inlineStr">
        <is>
          <t>No</t>
        </is>
      </c>
      <c r="AB14" s="4" t="inlineStr">
        <is>
          <t>Tenant break on 6 months notice.</t>
        </is>
      </c>
      <c r="AD14" s="29" t="n"/>
      <c r="AE14" s="279" t="n"/>
      <c r="AF14" s="29" t="n"/>
    </row>
    <row r="15">
      <c r="A15" s="11" t="inlineStr">
        <is>
          <t>SH</t>
        </is>
      </c>
      <c r="B15" s="11" t="inlineStr">
        <is>
          <t>MEL</t>
        </is>
      </c>
      <c r="C15" s="2" t="n">
        <v>550910</v>
      </c>
      <c r="D15" s="4" t="inlineStr">
        <is>
          <t>22 and 23-25 Eastcastle Street</t>
        </is>
      </c>
      <c r="E15" s="4" t="inlineStr">
        <is>
          <t>Sixth Floor (23-25)</t>
        </is>
      </c>
      <c r="F15" s="14" t="inlineStr">
        <is>
          <t>Office</t>
        </is>
      </c>
      <c r="G15" s="7" t="n">
        <v>744</v>
      </c>
      <c r="H15" s="10">
        <f>G15</f>
        <v/>
      </c>
      <c r="I15" s="10" t="n">
        <v>750</v>
      </c>
      <c r="J15" s="4" t="inlineStr">
        <is>
          <t>Vacant</t>
        </is>
      </c>
      <c r="K15" s="9" t="n"/>
      <c r="M15" s="9" t="n">
        <v>45182</v>
      </c>
      <c r="P15" s="7" t="n">
        <v>0</v>
      </c>
      <c r="Q15" s="10">
        <f>P15</f>
        <v/>
      </c>
      <c r="S15" s="7" t="n">
        <v>34400</v>
      </c>
      <c r="T15" s="10">
        <f>S15</f>
        <v/>
      </c>
      <c r="U15" s="359" t="n">
        <v>42800</v>
      </c>
      <c r="V15" s="10">
        <f>U15</f>
        <v/>
      </c>
      <c r="W15" s="277">
        <f>S15/G15</f>
        <v/>
      </c>
      <c r="X15" s="10" t="inlineStr">
        <is>
          <t>D</t>
        </is>
      </c>
      <c r="Y15" s="60" t="n"/>
      <c r="Z15" s="394" t="n"/>
      <c r="AA15" s="14" t="inlineStr">
        <is>
          <t>No</t>
        </is>
      </c>
      <c r="AB15" s="4" t="inlineStr">
        <is>
          <t>LEM marketing.</t>
        </is>
      </c>
      <c r="AC15" s="303" t="n">
        <v>63.5</v>
      </c>
      <c r="AD15" s="4" t="n">
        <v>1</v>
      </c>
      <c r="AE15" s="278" t="n">
        <v>3</v>
      </c>
      <c r="AF15" s="4" t="inlineStr">
        <is>
          <t>LEM</t>
        </is>
      </c>
    </row>
    <row r="16">
      <c r="A16" s="11" t="inlineStr">
        <is>
          <t>SH</t>
        </is>
      </c>
      <c r="B16" s="11" t="inlineStr">
        <is>
          <t>MEL</t>
        </is>
      </c>
      <c r="C16" s="2" t="n">
        <v>550910</v>
      </c>
      <c r="D16" s="4" t="inlineStr">
        <is>
          <t>22 and 23-25 Eastcastle Street</t>
        </is>
      </c>
      <c r="E16" s="4" t="inlineStr">
        <is>
          <t>Garage</t>
        </is>
      </c>
      <c r="F16" s="14" t="inlineStr">
        <is>
          <t>Parking</t>
        </is>
      </c>
      <c r="G16" s="7" t="n">
        <v>185</v>
      </c>
      <c r="H16" s="10">
        <f>G16</f>
        <v/>
      </c>
      <c r="I16" s="10" t="n">
        <v>200</v>
      </c>
      <c r="J16" s="4" t="inlineStr">
        <is>
          <t>Vacant / Landlord</t>
        </is>
      </c>
      <c r="K16" s="9" t="n"/>
      <c r="M16" s="9" t="inlineStr">
        <is>
          <t>N/A</t>
        </is>
      </c>
      <c r="P16" s="7" t="n">
        <v>0</v>
      </c>
      <c r="Q16" s="10">
        <f>P16</f>
        <v/>
      </c>
      <c r="S16" s="7" t="n">
        <v>3000</v>
      </c>
      <c r="T16" s="10">
        <f>S16</f>
        <v/>
      </c>
      <c r="U16" s="359" t="n">
        <v>5000</v>
      </c>
      <c r="V16" s="10">
        <f>U16</f>
        <v/>
      </c>
      <c r="W16" s="277">
        <f>S16/G16</f>
        <v/>
      </c>
      <c r="X16" s="10" t="n"/>
      <c r="Y16" s="60" t="n"/>
      <c r="Z16" s="394" t="n"/>
      <c r="AA16" s="14" t="inlineStr">
        <is>
          <t>No</t>
        </is>
      </c>
      <c r="AE16" s="278" t="n"/>
    </row>
    <row r="17">
      <c r="A17" s="11" t="inlineStr">
        <is>
          <t>SH</t>
        </is>
      </c>
      <c r="B17" s="11" t="inlineStr">
        <is>
          <t>MEL</t>
        </is>
      </c>
      <c r="C17" s="2" t="n">
        <v>550920</v>
      </c>
      <c r="D17" s="4" t="inlineStr">
        <is>
          <t>26 Eastcastle Street</t>
        </is>
      </c>
      <c r="E17" s="4" t="inlineStr">
        <is>
          <t>Lower Ground &amp; Ground</t>
        </is>
      </c>
      <c r="F17" s="14" t="inlineStr">
        <is>
          <t>Showroom/ Offices</t>
        </is>
      </c>
      <c r="G17" s="7" t="n">
        <v>2940</v>
      </c>
      <c r="H17" s="10">
        <f>G17</f>
        <v/>
      </c>
      <c r="I17" s="10" t="n">
        <v>3000</v>
      </c>
      <c r="J17" s="4" t="inlineStr">
        <is>
          <t>Hela Brands Ltd</t>
        </is>
      </c>
      <c r="K17" s="9" t="n">
        <v>45649</v>
      </c>
      <c r="L17" s="9" t="n">
        <v>46743</v>
      </c>
      <c r="O17" s="9" t="n">
        <v>46013</v>
      </c>
      <c r="P17" s="7" t="n">
        <v>132000</v>
      </c>
      <c r="Q17" s="10">
        <f>P17</f>
        <v/>
      </c>
      <c r="S17" s="7" t="n">
        <v>114600</v>
      </c>
      <c r="T17" s="10">
        <f>S17</f>
        <v/>
      </c>
      <c r="U17" s="359" t="n">
        <v>132000</v>
      </c>
      <c r="V17" s="10">
        <f>U17</f>
        <v/>
      </c>
      <c r="W17" s="277">
        <f>S17/G17</f>
        <v/>
      </c>
      <c r="X17" s="10" t="inlineStr">
        <is>
          <t>C</t>
        </is>
      </c>
      <c r="Y17" s="60" t="n"/>
      <c r="Z17" s="394" t="n"/>
      <c r="AA17" s="14" t="inlineStr">
        <is>
          <t>No</t>
        </is>
      </c>
      <c r="AB17" s="4" t="inlineStr">
        <is>
          <t>Tenant rolling break from 22/12/25 on 4 months notice.</t>
        </is>
      </c>
      <c r="AE17" s="278" t="n"/>
    </row>
    <row r="18">
      <c r="A18" s="11" t="inlineStr">
        <is>
          <t>SH</t>
        </is>
      </c>
      <c r="B18" s="11" t="inlineStr">
        <is>
          <t>MEL</t>
        </is>
      </c>
      <c r="C18" s="2" t="n">
        <v>550920</v>
      </c>
      <c r="D18" s="4" t="inlineStr">
        <is>
          <t>26 Eastcastle Street</t>
        </is>
      </c>
      <c r="E18" s="4" t="inlineStr">
        <is>
          <t>First Floor</t>
        </is>
      </c>
      <c r="F18" s="14" t="inlineStr">
        <is>
          <t>Offices</t>
        </is>
      </c>
      <c r="G18" s="7" t="n">
        <v>1398</v>
      </c>
      <c r="H18" s="10">
        <f>G18</f>
        <v/>
      </c>
      <c r="I18" s="10" t="n">
        <v>1000</v>
      </c>
      <c r="J18" s="4" t="inlineStr">
        <is>
          <t>Alternative Real Estate Advisors Ltd</t>
        </is>
      </c>
      <c r="K18" s="9" t="n">
        <v>45470</v>
      </c>
      <c r="L18" s="9" t="n">
        <v>47295</v>
      </c>
      <c r="O18" s="9" t="n">
        <v>46564</v>
      </c>
      <c r="P18" s="7" t="n">
        <v>89833</v>
      </c>
      <c r="Q18" s="10">
        <f>P18</f>
        <v/>
      </c>
      <c r="S18" s="7" t="n">
        <v>76900</v>
      </c>
      <c r="T18" s="10">
        <f>S18</f>
        <v/>
      </c>
      <c r="U18" s="359" t="n">
        <v>97900</v>
      </c>
      <c r="V18" s="10">
        <f>U18</f>
        <v/>
      </c>
      <c r="W18" s="277">
        <f>S18/G18</f>
        <v/>
      </c>
      <c r="X18" s="10" t="inlineStr">
        <is>
          <t>D</t>
        </is>
      </c>
      <c r="Y18" s="60" t="n"/>
      <c r="Z18" s="394" t="n"/>
      <c r="AA18" s="14" t="inlineStr">
        <is>
          <t>No</t>
        </is>
      </c>
      <c r="AB18" s="4" t="inlineStr">
        <is>
          <t>Rent increases to £98,000 wef 27/06/27. Tenant break on 6 months notice.</t>
        </is>
      </c>
      <c r="AE18" s="278" t="n"/>
    </row>
    <row r="19">
      <c r="A19" s="11" t="inlineStr">
        <is>
          <t>SH</t>
        </is>
      </c>
      <c r="B19" s="11" t="inlineStr">
        <is>
          <t>MEL</t>
        </is>
      </c>
      <c r="C19" s="2" t="n">
        <v>550920</v>
      </c>
      <c r="D19" s="4" t="inlineStr">
        <is>
          <t>26 Eastcastle Street</t>
        </is>
      </c>
      <c r="E19" s="4" t="inlineStr">
        <is>
          <t>Second Floor</t>
        </is>
      </c>
      <c r="F19" s="14" t="inlineStr">
        <is>
          <t>Offices</t>
        </is>
      </c>
      <c r="G19" s="7" t="n">
        <v>1110</v>
      </c>
      <c r="H19" s="10">
        <f>G19</f>
        <v/>
      </c>
      <c r="I19" s="10" t="n">
        <v>1000</v>
      </c>
      <c r="J19" s="4" t="inlineStr">
        <is>
          <t>Vacant</t>
        </is>
      </c>
      <c r="K19" s="9" t="n"/>
      <c r="M19" s="9" t="n">
        <v>43273</v>
      </c>
      <c r="P19" s="7" t="n">
        <v>0</v>
      </c>
      <c r="Q19" s="10">
        <f>P19</f>
        <v/>
      </c>
      <c r="S19" s="7" t="n">
        <v>61100</v>
      </c>
      <c r="T19" s="10">
        <f>S19</f>
        <v/>
      </c>
      <c r="U19" s="359" t="n">
        <v>69400</v>
      </c>
      <c r="V19" s="10">
        <f>U19</f>
        <v/>
      </c>
      <c r="W19" s="277">
        <f>S19/G19</f>
        <v/>
      </c>
      <c r="X19" s="10" t="inlineStr">
        <is>
          <t>C</t>
        </is>
      </c>
      <c r="Y19" s="60" t="n"/>
      <c r="Z19" s="394" t="n"/>
      <c r="AA19" s="14" t="inlineStr">
        <is>
          <t>No</t>
        </is>
      </c>
      <c r="AB19" s="4" t="inlineStr">
        <is>
          <t>LEM marketing.</t>
        </is>
      </c>
      <c r="AC19" s="303" t="n">
        <v>63.5</v>
      </c>
      <c r="AE19" s="278" t="n">
        <v>1</v>
      </c>
    </row>
    <row r="20">
      <c r="A20" s="11" t="inlineStr">
        <is>
          <t>SH</t>
        </is>
      </c>
      <c r="B20" s="11" t="inlineStr">
        <is>
          <t>MEL</t>
        </is>
      </c>
      <c r="C20" s="2" t="n">
        <v>550920</v>
      </c>
      <c r="D20" s="4" t="inlineStr">
        <is>
          <t>26 Eastcastle Street</t>
        </is>
      </c>
      <c r="E20" s="4" t="inlineStr">
        <is>
          <t>Third Floor</t>
        </is>
      </c>
      <c r="F20" s="14" t="inlineStr">
        <is>
          <t>Offices</t>
        </is>
      </c>
      <c r="G20" s="7" t="n">
        <v>481</v>
      </c>
      <c r="H20" s="10">
        <f>G20</f>
        <v/>
      </c>
      <c r="I20" s="10" t="n">
        <v>500</v>
      </c>
      <c r="J20" s="4" t="inlineStr">
        <is>
          <t>Mr. A. Park</t>
        </is>
      </c>
      <c r="K20" s="9" t="n">
        <v>45541</v>
      </c>
      <c r="L20" s="9" t="n">
        <v>47366</v>
      </c>
      <c r="O20" s="9" t="n">
        <v>46635</v>
      </c>
      <c r="P20" s="7" t="n">
        <v>26000</v>
      </c>
      <c r="Q20" s="10">
        <f>P20</f>
        <v/>
      </c>
      <c r="S20" s="7" t="n">
        <v>25300</v>
      </c>
      <c r="T20" s="10">
        <f>S20</f>
        <v/>
      </c>
      <c r="U20" s="359" t="n">
        <v>26000</v>
      </c>
      <c r="V20" s="10">
        <f>U20</f>
        <v/>
      </c>
      <c r="W20" s="277">
        <f>S20/G20</f>
        <v/>
      </c>
      <c r="X20" s="10" t="inlineStr">
        <is>
          <t>D</t>
        </is>
      </c>
      <c r="Y20" s="60" t="n"/>
      <c r="Z20" s="394" t="n"/>
      <c r="AA20" s="14" t="inlineStr">
        <is>
          <t>No</t>
        </is>
      </c>
      <c r="AB20" s="4" t="inlineStr">
        <is>
          <t>Tenant break on 6 months notice.</t>
        </is>
      </c>
      <c r="AD20" s="29" t="n"/>
      <c r="AE20" s="279" t="n"/>
      <c r="AF20" s="29" t="n"/>
    </row>
    <row r="21">
      <c r="A21" s="11" t="inlineStr">
        <is>
          <t>SH</t>
        </is>
      </c>
      <c r="B21" s="11" t="inlineStr">
        <is>
          <t>MEL</t>
        </is>
      </c>
      <c r="C21" s="2" t="n">
        <v>550930</v>
      </c>
      <c r="D21" s="4" t="inlineStr">
        <is>
          <t>27 - 28 Eastcastle Street</t>
        </is>
      </c>
      <c r="E21" s="4" t="inlineStr">
        <is>
          <t>Lower Ground &amp; Ground</t>
        </is>
      </c>
      <c r="F21" s="14" t="inlineStr">
        <is>
          <t>Showroom / Offices</t>
        </is>
      </c>
      <c r="G21" s="7" t="n">
        <v>3668</v>
      </c>
      <c r="H21" s="10">
        <f>G21</f>
        <v/>
      </c>
      <c r="I21" s="10" t="n">
        <v>3500</v>
      </c>
      <c r="J21" s="4" t="inlineStr">
        <is>
          <t>The London Hair Clinic Ltd</t>
        </is>
      </c>
      <c r="K21" s="9" t="n">
        <v>44757</v>
      </c>
      <c r="L21" s="9" t="n">
        <v>48409</v>
      </c>
      <c r="N21" s="9" t="n">
        <v>46583</v>
      </c>
      <c r="P21" s="7" t="n">
        <v>170000</v>
      </c>
      <c r="Q21" s="10">
        <f>P21</f>
        <v/>
      </c>
      <c r="S21" s="7" t="n">
        <v>170000</v>
      </c>
      <c r="T21" s="10">
        <f>S21</f>
        <v/>
      </c>
      <c r="U21" s="359" t="n">
        <v>180000</v>
      </c>
      <c r="V21" s="10">
        <f>U21</f>
        <v/>
      </c>
      <c r="W21" s="277">
        <f>S21/G21</f>
        <v/>
      </c>
      <c r="X21" s="10" t="inlineStr">
        <is>
          <t>B</t>
        </is>
      </c>
      <c r="Y21" s="60" t="n"/>
      <c r="Z21" s="394" t="n"/>
      <c r="AA21" s="14" t="inlineStr">
        <is>
          <t>No</t>
        </is>
      </c>
      <c r="AE21" s="278" t="n"/>
    </row>
    <row r="22">
      <c r="A22" s="11" t="inlineStr">
        <is>
          <t>SH</t>
        </is>
      </c>
      <c r="B22" s="11" t="inlineStr">
        <is>
          <t>MEL</t>
        </is>
      </c>
      <c r="C22" s="2" t="n">
        <v>550930</v>
      </c>
      <c r="D22" s="4" t="inlineStr">
        <is>
          <t>27 - 28 Eastcastle Street</t>
        </is>
      </c>
      <c r="E22" s="4" t="inlineStr">
        <is>
          <t>First Floor</t>
        </is>
      </c>
      <c r="F22" s="14" t="inlineStr">
        <is>
          <t>Offices</t>
        </is>
      </c>
      <c r="G22" s="7" t="n">
        <v>1418</v>
      </c>
      <c r="H22" s="10">
        <f>G22</f>
        <v/>
      </c>
      <c r="I22" s="10" t="n">
        <v>1500</v>
      </c>
      <c r="J22" s="4" t="inlineStr">
        <is>
          <t>Feldberg Capital UK Limited</t>
        </is>
      </c>
      <c r="K22" s="9" t="n">
        <v>45231</v>
      </c>
      <c r="L22" s="9" t="n">
        <v>46326</v>
      </c>
      <c r="P22" s="7" t="n">
        <v>174500</v>
      </c>
      <c r="Q22" s="10">
        <f>P22</f>
        <v/>
      </c>
      <c r="S22" s="7" t="n">
        <v>78000</v>
      </c>
      <c r="T22" s="10">
        <f>S22</f>
        <v/>
      </c>
      <c r="U22" s="359" t="n">
        <v>99300</v>
      </c>
      <c r="V22" s="10">
        <f>U22</f>
        <v/>
      </c>
      <c r="W22" s="277">
        <f>S22/G22</f>
        <v/>
      </c>
      <c r="X22" s="10" t="inlineStr">
        <is>
          <t>B</t>
        </is>
      </c>
      <c r="Y22" s="60" t="n"/>
      <c r="Z22" s="394" t="n"/>
      <c r="AA22" s="14" t="inlineStr">
        <is>
          <t>No</t>
        </is>
      </c>
      <c r="AB22" s="4" t="inlineStr">
        <is>
          <t>All inclusive including rates and furniture.</t>
        </is>
      </c>
      <c r="AE22" s="278" t="n"/>
    </row>
    <row r="23">
      <c r="A23" s="11" t="inlineStr">
        <is>
          <t>SH</t>
        </is>
      </c>
      <c r="B23" s="11" t="inlineStr">
        <is>
          <t>MEL</t>
        </is>
      </c>
      <c r="C23" s="2" t="n">
        <v>550930</v>
      </c>
      <c r="D23" s="4" t="inlineStr">
        <is>
          <t>27 - 28 Eastcastle Street</t>
        </is>
      </c>
      <c r="E23" s="4" t="inlineStr">
        <is>
          <t>Second Floor</t>
        </is>
      </c>
      <c r="F23" s="14" t="inlineStr">
        <is>
          <t>Offices</t>
        </is>
      </c>
      <c r="G23" s="7" t="n">
        <v>716</v>
      </c>
      <c r="H23" s="10">
        <f>G23</f>
        <v/>
      </c>
      <c r="I23" s="10" t="n">
        <v>750</v>
      </c>
      <c r="J23" s="4" t="inlineStr">
        <is>
          <t>MSP Secretaries Ltd.</t>
        </is>
      </c>
      <c r="K23" s="9" t="n">
        <v>44384</v>
      </c>
      <c r="L23" s="9" t="n">
        <v>46209</v>
      </c>
      <c r="P23" s="7" t="n">
        <v>41000</v>
      </c>
      <c r="Q23" s="10">
        <f>P23</f>
        <v/>
      </c>
      <c r="S23" s="7" t="n">
        <v>39400</v>
      </c>
      <c r="T23" s="10">
        <f>S23</f>
        <v/>
      </c>
      <c r="U23" s="359" t="n">
        <v>45100</v>
      </c>
      <c r="V23" s="10">
        <f>U23</f>
        <v/>
      </c>
      <c r="W23" s="277">
        <f>S23/G23</f>
        <v/>
      </c>
      <c r="X23" s="10" t="inlineStr">
        <is>
          <t>B</t>
        </is>
      </c>
      <c r="Y23" s="60" t="n"/>
      <c r="Z23" s="394" t="n"/>
      <c r="AA23" s="14" t="inlineStr">
        <is>
          <t>No</t>
        </is>
      </c>
      <c r="AE23" s="278" t="n"/>
    </row>
    <row r="24">
      <c r="A24" s="11" t="inlineStr">
        <is>
          <t>SH</t>
        </is>
      </c>
      <c r="B24" s="11" t="inlineStr">
        <is>
          <t>MEL</t>
        </is>
      </c>
      <c r="C24" s="2" t="n">
        <v>550930</v>
      </c>
      <c r="D24" s="4" t="inlineStr">
        <is>
          <t>27 - 28 Eastcastle Street</t>
        </is>
      </c>
      <c r="E24" s="4" t="inlineStr">
        <is>
          <t>Third Floor</t>
        </is>
      </c>
      <c r="F24" s="14" t="inlineStr">
        <is>
          <t>Offices</t>
        </is>
      </c>
      <c r="G24" s="7" t="n">
        <v>665</v>
      </c>
      <c r="H24" s="10">
        <f>G24</f>
        <v/>
      </c>
      <c r="I24" s="10" t="n">
        <v>750</v>
      </c>
      <c r="J24" s="4" t="inlineStr">
        <is>
          <t>Principle Estate Management LLP</t>
        </is>
      </c>
      <c r="K24" s="9" t="n">
        <v>45617</v>
      </c>
      <c r="L24" s="9" t="n">
        <v>47442</v>
      </c>
      <c r="O24" s="9" t="n">
        <v>46527</v>
      </c>
      <c r="P24" s="7" t="n">
        <v>41875</v>
      </c>
      <c r="Q24" s="10">
        <f>P24</f>
        <v/>
      </c>
      <c r="S24" s="7" t="n">
        <v>36600</v>
      </c>
      <c r="T24" s="10">
        <f>S24</f>
        <v/>
      </c>
      <c r="U24" s="359" t="n">
        <v>41900</v>
      </c>
      <c r="V24" s="10">
        <f>U24</f>
        <v/>
      </c>
      <c r="W24" s="277">
        <f>S24/G24</f>
        <v/>
      </c>
      <c r="X24" s="10" t="inlineStr">
        <is>
          <t>B</t>
        </is>
      </c>
      <c r="Y24" s="60" t="n"/>
      <c r="Z24" s="394" t="n"/>
      <c r="AA24" s="14" t="inlineStr">
        <is>
          <t>No</t>
        </is>
      </c>
      <c r="AB24" s="4" t="inlineStr">
        <is>
          <t>Tenant break on 6 months notice. 2 months rent free if break not exercised.</t>
        </is>
      </c>
      <c r="AC24" s="305" t="n"/>
      <c r="AE24" s="278" t="n"/>
    </row>
    <row r="25">
      <c r="A25" s="11" t="inlineStr">
        <is>
          <t>WS</t>
        </is>
      </c>
      <c r="B25" s="11" t="inlineStr">
        <is>
          <t>MEL</t>
        </is>
      </c>
      <c r="C25" s="2" t="n">
        <v>550560</v>
      </c>
      <c r="D25" s="4" t="inlineStr">
        <is>
          <t>10 Great Castle Street</t>
        </is>
      </c>
      <c r="E25" s="4" t="inlineStr">
        <is>
          <t>Basmt. Ground  - 1 to 4 Floors</t>
        </is>
      </c>
      <c r="F25" s="14" t="inlineStr">
        <is>
          <t>Office</t>
        </is>
      </c>
      <c r="G25" s="18" t="n">
        <v>12578</v>
      </c>
      <c r="H25" s="10">
        <f>G25</f>
        <v/>
      </c>
      <c r="I25" s="10" t="n">
        <v>12500</v>
      </c>
      <c r="J25" s="4" t="inlineStr">
        <is>
          <t>Guaranty Trust Bank (UK) Ltd</t>
        </is>
      </c>
      <c r="K25" s="8" t="n">
        <v>44771</v>
      </c>
      <c r="L25" s="9" t="n">
        <v>50249</v>
      </c>
      <c r="N25" s="9" t="n">
        <v>46597</v>
      </c>
      <c r="O25" s="9" t="n">
        <v>48423</v>
      </c>
      <c r="P25" s="19" t="n">
        <v>633334</v>
      </c>
      <c r="Q25" s="10">
        <f>P25</f>
        <v/>
      </c>
      <c r="R25" s="19">
        <f>Q25</f>
        <v/>
      </c>
      <c r="S25" s="19" t="n">
        <v>950000</v>
      </c>
      <c r="T25" s="10">
        <f>S25</f>
        <v/>
      </c>
      <c r="U25" s="36" t="n">
        <v>976900</v>
      </c>
      <c r="V25" s="10">
        <f>U25</f>
        <v/>
      </c>
      <c r="W25" s="277">
        <f>S25/G25</f>
        <v/>
      </c>
      <c r="X25" s="10" t="inlineStr">
        <is>
          <t>C</t>
        </is>
      </c>
      <c r="Y25" s="60" t="n"/>
      <c r="Z25" s="361" t="n">
        <v>17750000</v>
      </c>
      <c r="AA25" s="14" t="inlineStr">
        <is>
          <t>No</t>
        </is>
      </c>
      <c r="AB25" s="4" t="inlineStr">
        <is>
          <t xml:space="preserve">Fixed increase to £950,000 wef 29/07/26. 5 yearly rent reviews. Tenant break on 9 months notice. Rent reduces by 20% for 12 months if break not activated. </t>
        </is>
      </c>
      <c r="AC25" s="303" t="n"/>
      <c r="AD25" s="4" t="n"/>
      <c r="AE25" s="278" t="n"/>
      <c r="AF25" s="4" t="n"/>
    </row>
    <row r="26">
      <c r="A26" s="11" t="inlineStr">
        <is>
          <t>SH</t>
        </is>
      </c>
      <c r="B26" s="11" t="inlineStr">
        <is>
          <t>MEL</t>
        </is>
      </c>
      <c r="C26" s="2" t="n">
        <v>550070</v>
      </c>
      <c r="D26" s="4" t="inlineStr">
        <is>
          <t>Windsor House, 40-41 Great Castle Street</t>
        </is>
      </c>
      <c r="E26" s="4" t="inlineStr">
        <is>
          <t>Basement &amp; Ground Floor</t>
        </is>
      </c>
      <c r="F26" s="14" t="inlineStr">
        <is>
          <t>Retail/Café</t>
        </is>
      </c>
      <c r="G26" s="7" t="n">
        <v>2235</v>
      </c>
      <c r="H26" s="10">
        <f>G26</f>
        <v/>
      </c>
      <c r="I26" s="10" t="n">
        <v>2000</v>
      </c>
      <c r="J26" s="4" t="inlineStr">
        <is>
          <t>Vacant</t>
        </is>
      </c>
      <c r="M26" s="9" t="n">
        <v>45754</v>
      </c>
      <c r="P26" s="10" t="n">
        <v>0</v>
      </c>
      <c r="Q26" s="10">
        <f>P26</f>
        <v/>
      </c>
      <c r="S26" s="10" t="n">
        <v>143000</v>
      </c>
      <c r="T26" s="10">
        <f>S26</f>
        <v/>
      </c>
      <c r="U26" s="27" t="n">
        <v>136300</v>
      </c>
      <c r="V26" s="10">
        <f>U26</f>
        <v/>
      </c>
      <c r="W26" s="277">
        <f>S26/G26</f>
        <v/>
      </c>
      <c r="X26" s="10" t="inlineStr">
        <is>
          <t>D</t>
        </is>
      </c>
      <c r="Y26" s="60" t="n"/>
      <c r="Z26" s="394" t="n"/>
      <c r="AA26" s="14" t="inlineStr">
        <is>
          <t>No</t>
        </is>
      </c>
      <c r="AE26" s="278" t="n"/>
    </row>
    <row r="27">
      <c r="A27" s="11" t="inlineStr">
        <is>
          <t>SH</t>
        </is>
      </c>
      <c r="B27" s="11" t="inlineStr">
        <is>
          <t>MEL</t>
        </is>
      </c>
      <c r="C27" s="2" t="n">
        <v>550070</v>
      </c>
      <c r="D27" s="4" t="inlineStr">
        <is>
          <t>Windsor House, 40-41 Great Castle Street</t>
        </is>
      </c>
      <c r="E27" s="4" t="inlineStr">
        <is>
          <t>First Floor</t>
        </is>
      </c>
      <c r="F27" s="14" t="inlineStr">
        <is>
          <t>Office</t>
        </is>
      </c>
      <c r="G27" s="7" t="n">
        <v>694</v>
      </c>
      <c r="H27" s="10">
        <f>G27</f>
        <v/>
      </c>
      <c r="I27" s="10" t="n">
        <v>750</v>
      </c>
      <c r="J27" s="4" t="inlineStr">
        <is>
          <t>JRDL UK Ltd.</t>
        </is>
      </c>
      <c r="K27" s="8" t="n">
        <v>44904</v>
      </c>
      <c r="L27" s="9" t="n">
        <v>45999</v>
      </c>
      <c r="P27" s="10" t="n">
        <v>42000</v>
      </c>
      <c r="Q27" s="10">
        <f>P27</f>
        <v/>
      </c>
      <c r="S27" s="10" t="n">
        <v>42000</v>
      </c>
      <c r="T27" s="10">
        <f>S27</f>
        <v/>
      </c>
      <c r="U27" s="27" t="n">
        <v>42000</v>
      </c>
      <c r="V27" s="10">
        <f>U27</f>
        <v/>
      </c>
      <c r="W27" s="277">
        <f>S27/G27</f>
        <v/>
      </c>
      <c r="X27" s="10" t="inlineStr">
        <is>
          <t>D</t>
        </is>
      </c>
      <c r="Y27" s="60" t="n"/>
      <c r="Z27" s="394" t="n"/>
      <c r="AA27" s="14" t="inlineStr">
        <is>
          <t>No</t>
        </is>
      </c>
      <c r="AE27" s="278" t="n"/>
    </row>
    <row r="28">
      <c r="A28" s="11" t="inlineStr">
        <is>
          <t>SH</t>
        </is>
      </c>
      <c r="B28" s="11" t="inlineStr">
        <is>
          <t>MEL</t>
        </is>
      </c>
      <c r="C28" s="2" t="n">
        <v>550070</v>
      </c>
      <c r="D28" s="4" t="inlineStr">
        <is>
          <t>Windsor House, 40-41 Great Castle Street</t>
        </is>
      </c>
      <c r="E28" s="4" t="inlineStr">
        <is>
          <t>Second Floor</t>
        </is>
      </c>
      <c r="F28" s="14" t="inlineStr">
        <is>
          <t>Office</t>
        </is>
      </c>
      <c r="G28" s="7" t="n">
        <v>690</v>
      </c>
      <c r="H28" s="10">
        <f>G28</f>
        <v/>
      </c>
      <c r="I28" s="10" t="n">
        <v>750</v>
      </c>
      <c r="J28" s="4" t="inlineStr">
        <is>
          <t>Jamieson Stone Services Ltd.</t>
        </is>
      </c>
      <c r="K28" s="8" t="n">
        <v>45412</v>
      </c>
      <c r="L28" s="9" t="n">
        <v>47237</v>
      </c>
      <c r="O28" s="9" t="n">
        <v>46326</v>
      </c>
      <c r="P28" s="10" t="n">
        <v>40020</v>
      </c>
      <c r="Q28" s="10">
        <f>P28</f>
        <v/>
      </c>
      <c r="S28" s="10" t="n">
        <v>39700</v>
      </c>
      <c r="T28" s="10">
        <f>S28</f>
        <v/>
      </c>
      <c r="U28" s="27" t="n">
        <v>40000</v>
      </c>
      <c r="V28" s="10">
        <f>U28</f>
        <v/>
      </c>
      <c r="W28" s="277">
        <f>S28/G28</f>
        <v/>
      </c>
      <c r="X28" s="10" t="inlineStr">
        <is>
          <t>D</t>
        </is>
      </c>
      <c r="Y28" s="60" t="n"/>
      <c r="Z28" s="394" t="n"/>
      <c r="AA28" s="14" t="inlineStr">
        <is>
          <t>No</t>
        </is>
      </c>
      <c r="AB28" s="4" t="inlineStr">
        <is>
          <t>Tenant break on 6 months notice.</t>
        </is>
      </c>
      <c r="AE28" s="278" t="n"/>
    </row>
    <row r="29">
      <c r="A29" s="11" t="inlineStr">
        <is>
          <t>SH</t>
        </is>
      </c>
      <c r="B29" s="11" t="inlineStr">
        <is>
          <t>MEL</t>
        </is>
      </c>
      <c r="C29" s="2" t="n">
        <v>550070</v>
      </c>
      <c r="D29" s="4" t="inlineStr">
        <is>
          <t>Windsor House, 40-41 Great Castle Street</t>
        </is>
      </c>
      <c r="E29" s="4" t="inlineStr">
        <is>
          <t>Third Floor</t>
        </is>
      </c>
      <c r="F29" s="14" t="inlineStr">
        <is>
          <t>Office</t>
        </is>
      </c>
      <c r="G29" s="7" t="n">
        <v>620</v>
      </c>
      <c r="H29" s="10">
        <f>G29</f>
        <v/>
      </c>
      <c r="I29" s="10" t="n">
        <v>750</v>
      </c>
      <c r="J29" s="4" t="inlineStr">
        <is>
          <t>Arav Fashion UK Ltd.</t>
        </is>
      </c>
      <c r="K29" s="8" t="n">
        <v>44816</v>
      </c>
      <c r="L29" s="9" t="n">
        <v>45911</v>
      </c>
      <c r="P29" s="10" t="n">
        <v>33480</v>
      </c>
      <c r="Q29" s="10">
        <f>P29</f>
        <v/>
      </c>
      <c r="S29" s="10" t="n">
        <v>34100</v>
      </c>
      <c r="T29" s="10">
        <f>S29</f>
        <v/>
      </c>
      <c r="U29" s="27" t="n">
        <v>33500</v>
      </c>
      <c r="V29" s="10">
        <f>U29</f>
        <v/>
      </c>
      <c r="W29" s="277">
        <f>S29/G29</f>
        <v/>
      </c>
      <c r="X29" s="10" t="inlineStr">
        <is>
          <t>D</t>
        </is>
      </c>
      <c r="Y29" s="60" t="n"/>
      <c r="Z29" s="394" t="n"/>
      <c r="AA29" s="14" t="inlineStr">
        <is>
          <t>No</t>
        </is>
      </c>
      <c r="AB29" s="29" t="inlineStr">
        <is>
          <t>Lease renewal terms agreed.</t>
        </is>
      </c>
      <c r="AC29" s="303" t="n"/>
      <c r="AD29" s="4" t="n"/>
      <c r="AE29" s="278" t="n"/>
      <c r="AF29" s="4" t="n"/>
    </row>
    <row r="30">
      <c r="A30" s="11" t="inlineStr">
        <is>
          <t>SH</t>
        </is>
      </c>
      <c r="B30" s="11" t="inlineStr">
        <is>
          <t>MEL</t>
        </is>
      </c>
      <c r="C30" s="2" t="n">
        <v>550070</v>
      </c>
      <c r="D30" s="4" t="inlineStr">
        <is>
          <t>Windsor House, 40-41 Great Castle Street</t>
        </is>
      </c>
      <c r="E30" s="4" t="inlineStr">
        <is>
          <t>Fourth Floor</t>
        </is>
      </c>
      <c r="F30" s="14" t="inlineStr">
        <is>
          <t>Office</t>
        </is>
      </c>
      <c r="G30" s="7" t="n">
        <v>400</v>
      </c>
      <c r="H30" s="10">
        <f>G30</f>
        <v/>
      </c>
      <c r="I30" s="10" t="n">
        <v>500</v>
      </c>
      <c r="J30" s="4" t="inlineStr">
        <is>
          <t>Vacant</t>
        </is>
      </c>
      <c r="M30" s="9" t="n">
        <v>44168</v>
      </c>
      <c r="P30" s="10" t="n">
        <v>0</v>
      </c>
      <c r="Q30" s="10">
        <f>P30</f>
        <v/>
      </c>
      <c r="S30" s="10" t="n">
        <v>21600</v>
      </c>
      <c r="T30" s="10">
        <f>S30</f>
        <v/>
      </c>
      <c r="U30" s="27" t="n">
        <v>22000</v>
      </c>
      <c r="V30" s="10">
        <f>U30</f>
        <v/>
      </c>
      <c r="W30" s="277">
        <f>S30/G30</f>
        <v/>
      </c>
      <c r="X30" s="10" t="inlineStr">
        <is>
          <t>D</t>
        </is>
      </c>
      <c r="Y30" s="60" t="n"/>
      <c r="Z30" s="394" t="n"/>
      <c r="AA30" s="14" t="inlineStr">
        <is>
          <t>No</t>
        </is>
      </c>
      <c r="AB30" s="4" t="inlineStr">
        <is>
          <t>To be refurbished.</t>
        </is>
      </c>
      <c r="AE30" s="278" t="n"/>
    </row>
    <row r="31">
      <c r="A31" s="11" t="inlineStr">
        <is>
          <t>SH</t>
        </is>
      </c>
      <c r="B31" s="11" t="inlineStr">
        <is>
          <t>MEL</t>
        </is>
      </c>
      <c r="C31" s="2" t="n">
        <v>550070</v>
      </c>
      <c r="D31" s="4" t="inlineStr">
        <is>
          <t>Windsor House, 40-41 Great Castle Street</t>
        </is>
      </c>
      <c r="E31" s="4" t="inlineStr">
        <is>
          <t>Roof</t>
        </is>
      </c>
      <c r="F31" s="14" t="inlineStr">
        <is>
          <t>Air Con Units</t>
        </is>
      </c>
      <c r="G31" s="7" t="n">
        <v>0</v>
      </c>
      <c r="H31" s="10">
        <f>G31</f>
        <v/>
      </c>
      <c r="I31" s="10" t="n"/>
      <c r="J31" s="4" t="inlineStr">
        <is>
          <t>Vacant / Landlord</t>
        </is>
      </c>
      <c r="M31" s="9" t="inlineStr">
        <is>
          <t>N/A</t>
        </is>
      </c>
      <c r="P31" s="10" t="n">
        <v>0</v>
      </c>
      <c r="Q31" s="19">
        <f>P31</f>
        <v/>
      </c>
      <c r="R31" s="19" t="n"/>
      <c r="S31" s="10" t="n">
        <v>0</v>
      </c>
      <c r="T31" s="19">
        <f>S31</f>
        <v/>
      </c>
      <c r="U31" s="27" t="n">
        <v>0</v>
      </c>
      <c r="V31" s="19">
        <f>U31</f>
        <v/>
      </c>
      <c r="W31" s="19" t="n"/>
      <c r="X31" s="19" t="n"/>
      <c r="Y31" s="61" t="n"/>
      <c r="Z31" s="394" t="n"/>
      <c r="AA31" s="14" t="inlineStr">
        <is>
          <t>No</t>
        </is>
      </c>
      <c r="AE31" s="278" t="n"/>
    </row>
    <row r="32">
      <c r="A32" s="11" t="inlineStr">
        <is>
          <t>SH</t>
        </is>
      </c>
      <c r="B32" s="11" t="inlineStr">
        <is>
          <t>MEL</t>
        </is>
      </c>
      <c r="C32" s="2" t="n">
        <v>550470</v>
      </c>
      <c r="D32" s="4" t="inlineStr">
        <is>
          <t>Portland House, 4 Great Portland Street</t>
        </is>
      </c>
      <c r="E32" s="4" t="inlineStr">
        <is>
          <t>Basement (West)</t>
        </is>
      </c>
      <c r="F32" s="14" t="inlineStr">
        <is>
          <t>Restaurant/Bar</t>
        </is>
      </c>
      <c r="G32" s="7" t="n">
        <v>2945</v>
      </c>
      <c r="H32" s="7">
        <f>G32</f>
        <v/>
      </c>
      <c r="I32" s="7" t="n">
        <v>3000</v>
      </c>
      <c r="J32" s="4" t="inlineStr">
        <is>
          <t>The London Cocktail Club Ltd</t>
        </is>
      </c>
      <c r="K32" s="8" t="n">
        <v>41457</v>
      </c>
      <c r="L32" s="9" t="n">
        <v>46935</v>
      </c>
      <c r="P32" s="10" t="n">
        <v>147500</v>
      </c>
      <c r="Q32" s="10">
        <f>P32</f>
        <v/>
      </c>
      <c r="S32" s="10" t="n">
        <v>147500</v>
      </c>
      <c r="T32" s="10">
        <f>S32</f>
        <v/>
      </c>
      <c r="U32" s="27" t="n">
        <v>147500</v>
      </c>
      <c r="V32" s="10">
        <f>U32</f>
        <v/>
      </c>
      <c r="W32" s="277">
        <f>S32/G32</f>
        <v/>
      </c>
      <c r="X32" s="10" t="inlineStr">
        <is>
          <t>E</t>
        </is>
      </c>
      <c r="Y32" s="60" t="n"/>
      <c r="Z32" s="394" t="n"/>
      <c r="AA32" s="14" t="inlineStr">
        <is>
          <t>No</t>
        </is>
      </c>
      <c r="AB32" s="4" t="inlineStr">
        <is>
          <t>5 year reversionary lease completed from 02/07/28 with day one rent review. Rent review to be documented at passing rent.</t>
        </is>
      </c>
      <c r="AE32" s="278" t="n"/>
    </row>
    <row r="33">
      <c r="A33" s="11" t="inlineStr">
        <is>
          <t>SH</t>
        </is>
      </c>
      <c r="B33" s="11" t="inlineStr">
        <is>
          <t>MEL</t>
        </is>
      </c>
      <c r="C33" s="2" t="n">
        <v>550470</v>
      </c>
      <c r="D33" s="4" t="inlineStr">
        <is>
          <t>Portland House, 4 Great Portland Street</t>
        </is>
      </c>
      <c r="E33" s="4" t="inlineStr">
        <is>
          <t>Ground Floor</t>
        </is>
      </c>
      <c r="F33" s="14" t="inlineStr">
        <is>
          <t>Retail/Cafe</t>
        </is>
      </c>
      <c r="G33" s="7" t="n">
        <v>2103</v>
      </c>
      <c r="H33" s="7">
        <f>G33</f>
        <v/>
      </c>
      <c r="I33" s="7" t="n">
        <v>2000</v>
      </c>
      <c r="J33" s="4" t="inlineStr">
        <is>
          <t>Costa Ltd</t>
        </is>
      </c>
      <c r="K33" s="8" t="n">
        <v>45669</v>
      </c>
      <c r="L33" s="9" t="n">
        <v>51146</v>
      </c>
      <c r="N33" s="9" t="n">
        <v>47495</v>
      </c>
      <c r="O33" s="9" t="n">
        <v>49320</v>
      </c>
      <c r="P33" s="10" t="n">
        <v>220000</v>
      </c>
      <c r="Q33" s="10">
        <f>P33</f>
        <v/>
      </c>
      <c r="S33" s="10" t="n">
        <v>176200</v>
      </c>
      <c r="T33" s="10">
        <f>S33</f>
        <v/>
      </c>
      <c r="U33" s="27" t="n">
        <v>220000</v>
      </c>
      <c r="V33" s="10">
        <f>U33</f>
        <v/>
      </c>
      <c r="W33" s="277">
        <f>S33/G33</f>
        <v/>
      </c>
      <c r="X33" s="10" t="inlineStr">
        <is>
          <t>B</t>
        </is>
      </c>
      <c r="Y33" s="60" t="n"/>
      <c r="Z33" s="394" t="n"/>
      <c r="AA33" s="14" t="inlineStr">
        <is>
          <t>No</t>
        </is>
      </c>
      <c r="AB33" s="4" t="inlineStr">
        <is>
          <t>Mutual break on 6 months notice.</t>
        </is>
      </c>
      <c r="AE33" s="278" t="n"/>
    </row>
    <row r="34">
      <c r="A34" s="11" t="inlineStr">
        <is>
          <t>SH</t>
        </is>
      </c>
      <c r="B34" s="11" t="inlineStr">
        <is>
          <t>MEL</t>
        </is>
      </c>
      <c r="C34" s="2" t="n">
        <v>550470</v>
      </c>
      <c r="D34" s="4" t="inlineStr">
        <is>
          <t>Portland House, 4 Great Portland Street</t>
        </is>
      </c>
      <c r="E34" s="4" t="inlineStr">
        <is>
          <t>Ground Floor &amp; Basement (East) &amp; Basement Vaults</t>
        </is>
      </c>
      <c r="F34" s="14" t="inlineStr">
        <is>
          <t>Restaurant</t>
        </is>
      </c>
      <c r="G34" s="7" t="n">
        <v>5667</v>
      </c>
      <c r="H34" s="7">
        <f>G34</f>
        <v/>
      </c>
      <c r="I34" s="7" t="n">
        <v>5500</v>
      </c>
      <c r="J34" s="4" t="inlineStr">
        <is>
          <t>Futuremaxx Ltd</t>
        </is>
      </c>
      <c r="K34" s="8" t="n">
        <v>45567</v>
      </c>
      <c r="L34" s="9" t="n">
        <v>51044</v>
      </c>
      <c r="N34" s="9" t="n">
        <v>47393</v>
      </c>
      <c r="P34" s="10" t="n">
        <v>150000</v>
      </c>
      <c r="Q34" s="10">
        <f>P34</f>
        <v/>
      </c>
      <c r="S34" s="10" t="n">
        <v>255000</v>
      </c>
      <c r="T34" s="10">
        <f>S34</f>
        <v/>
      </c>
      <c r="U34" s="27" t="n">
        <v>330000</v>
      </c>
      <c r="V34" s="10">
        <f>U34</f>
        <v/>
      </c>
      <c r="W34" s="277">
        <f>S34/G34</f>
        <v/>
      </c>
      <c r="X34" s="10" t="inlineStr">
        <is>
          <t>B</t>
        </is>
      </c>
      <c r="Y34" s="60" t="n"/>
      <c r="Z34" s="394" t="n"/>
      <c r="AA34" s="14" t="inlineStr">
        <is>
          <t>No</t>
        </is>
      </c>
      <c r="AB3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E34" s="278" t="n"/>
    </row>
    <row r="35">
      <c r="A35" s="11" t="inlineStr">
        <is>
          <t>SH</t>
        </is>
      </c>
      <c r="B35" s="11" t="inlineStr">
        <is>
          <t>MEL</t>
        </is>
      </c>
      <c r="C35" s="2" t="n">
        <v>550470</v>
      </c>
      <c r="D35" s="4" t="inlineStr">
        <is>
          <t>Portland House, 4 Great Portland Street</t>
        </is>
      </c>
      <c r="E35" s="4" t="inlineStr">
        <is>
          <t>First Floor (West)</t>
        </is>
      </c>
      <c r="F35" s="14" t="inlineStr">
        <is>
          <t>Office</t>
        </is>
      </c>
      <c r="G35" s="7" t="n">
        <v>1784</v>
      </c>
      <c r="H35" s="7">
        <f>G35</f>
        <v/>
      </c>
      <c r="I35" s="7" t="n">
        <v>1750</v>
      </c>
      <c r="J35" s="4" t="inlineStr">
        <is>
          <t>Time &amp; Tide Holdings (UK) Ltd</t>
        </is>
      </c>
      <c r="K35" s="8" t="n">
        <v>45457</v>
      </c>
      <c r="L35" s="9" t="n">
        <v>47282</v>
      </c>
      <c r="P35" s="27" t="n">
        <v>121400</v>
      </c>
      <c r="Q35" s="10">
        <f>P35</f>
        <v/>
      </c>
      <c r="S35" s="10" t="n">
        <v>99700</v>
      </c>
      <c r="T35" s="10">
        <f>S35</f>
        <v/>
      </c>
      <c r="U35" s="27" t="n">
        <v>126700</v>
      </c>
      <c r="V35" s="10">
        <f>U35</f>
        <v/>
      </c>
      <c r="W35" s="277">
        <f>S35/G35</f>
        <v/>
      </c>
      <c r="X35" s="10" t="inlineStr">
        <is>
          <t>B</t>
        </is>
      </c>
      <c r="Y35" s="60" t="n"/>
      <c r="Z35" s="394" t="n"/>
      <c r="AA35" s="14" t="inlineStr">
        <is>
          <t>No</t>
        </is>
      </c>
      <c r="AE35" s="278" t="n"/>
    </row>
    <row r="36">
      <c r="A36" s="11" t="inlineStr">
        <is>
          <t>SH</t>
        </is>
      </c>
      <c r="B36" s="11" t="inlineStr">
        <is>
          <t>MEL</t>
        </is>
      </c>
      <c r="C36" s="2" t="n">
        <v>550470</v>
      </c>
      <c r="D36" s="4" t="inlineStr">
        <is>
          <t>Portland House, 4 Great Portland Street</t>
        </is>
      </c>
      <c r="E36" s="4" t="inlineStr">
        <is>
          <t>First Floor (East)</t>
        </is>
      </c>
      <c r="F36" s="14" t="inlineStr">
        <is>
          <t>Office</t>
        </is>
      </c>
      <c r="G36" s="7" t="n">
        <v>2075</v>
      </c>
      <c r="H36" s="7">
        <f>G36</f>
        <v/>
      </c>
      <c r="I36" s="7" t="n">
        <v>2000</v>
      </c>
      <c r="J36" s="4" t="inlineStr">
        <is>
          <t>L52 Communications Ltd</t>
        </is>
      </c>
      <c r="K36" s="8" t="n">
        <v>45384</v>
      </c>
      <c r="L36" s="9" t="n">
        <v>47209</v>
      </c>
      <c r="O36" s="9" t="n">
        <v>46478</v>
      </c>
      <c r="P36" s="10" t="n">
        <v>133280</v>
      </c>
      <c r="Q36" s="10">
        <f>P36</f>
        <v/>
      </c>
      <c r="S36" s="10" t="n">
        <v>114700</v>
      </c>
      <c r="T36" s="10">
        <f>S36</f>
        <v/>
      </c>
      <c r="U36" s="27" t="n">
        <v>147300</v>
      </c>
      <c r="V36" s="10">
        <f>U36</f>
        <v/>
      </c>
      <c r="W36" s="277">
        <f>S36/G36</f>
        <v/>
      </c>
      <c r="X36" s="10" t="inlineStr">
        <is>
          <t>B</t>
        </is>
      </c>
      <c r="Y36" s="60" t="n"/>
      <c r="Z36" s="394" t="n"/>
      <c r="AA36" s="14" t="inlineStr">
        <is>
          <t>No</t>
        </is>
      </c>
      <c r="AB36" s="4" t="inlineStr">
        <is>
          <t>Tenant break on 6 months notice. 1 month rent free from 02/04/27 if not exercised.</t>
        </is>
      </c>
      <c r="AE36" s="278" t="n"/>
    </row>
    <row r="37">
      <c r="A37" s="11" t="inlineStr">
        <is>
          <t>SH</t>
        </is>
      </c>
      <c r="B37" s="11" t="inlineStr">
        <is>
          <t>MEL</t>
        </is>
      </c>
      <c r="C37" s="2" t="n">
        <v>550470</v>
      </c>
      <c r="D37" s="4" t="inlineStr">
        <is>
          <t>Portland House, 4 Great Portland Street</t>
        </is>
      </c>
      <c r="E37" s="4" t="inlineStr">
        <is>
          <t>Second Floor (East)</t>
        </is>
      </c>
      <c r="F37" s="14" t="inlineStr">
        <is>
          <t>Office</t>
        </is>
      </c>
      <c r="G37" s="7" t="n">
        <v>2063</v>
      </c>
      <c r="H37" s="7">
        <f>G37</f>
        <v/>
      </c>
      <c r="I37" s="7" t="n">
        <v>2000</v>
      </c>
      <c r="J37" s="4" t="inlineStr">
        <is>
          <t>Tekcor4 Limited</t>
        </is>
      </c>
      <c r="K37" s="8" t="n">
        <v>45516</v>
      </c>
      <c r="L37" s="9" t="n">
        <v>47341</v>
      </c>
      <c r="O37" s="9" t="n">
        <v>46610</v>
      </c>
      <c r="P37" s="10" t="n">
        <v>146450</v>
      </c>
      <c r="Q37" s="10">
        <f>P37</f>
        <v/>
      </c>
      <c r="S37" s="10" t="n">
        <v>120700</v>
      </c>
      <c r="T37" s="10">
        <f>S37</f>
        <v/>
      </c>
      <c r="U37" s="27" t="n">
        <v>146500</v>
      </c>
      <c r="V37" s="10">
        <f>U37</f>
        <v/>
      </c>
      <c r="W37" s="277">
        <f>S37/G37</f>
        <v/>
      </c>
      <c r="X37" s="10" t="inlineStr">
        <is>
          <t>B</t>
        </is>
      </c>
      <c r="Y37" s="60" t="n"/>
      <c r="Z37" s="394" t="n"/>
      <c r="AA37" s="14" t="inlineStr">
        <is>
          <t>No</t>
        </is>
      </c>
      <c r="AB37" s="4" t="inlineStr">
        <is>
          <t>Tenant break on 6 months notice.</t>
        </is>
      </c>
      <c r="AD37" s="29" t="n"/>
      <c r="AE37" s="279" t="n"/>
      <c r="AF37" s="29" t="n"/>
    </row>
    <row r="38">
      <c r="A38" s="11" t="inlineStr">
        <is>
          <t>SH</t>
        </is>
      </c>
      <c r="B38" s="11" t="inlineStr">
        <is>
          <t>MEL</t>
        </is>
      </c>
      <c r="C38" s="2" t="n">
        <v>550470</v>
      </c>
      <c r="D38" s="4" t="inlineStr">
        <is>
          <t>Portland House, 4 Great Portland Street</t>
        </is>
      </c>
      <c r="E38" s="4" t="inlineStr">
        <is>
          <t>Second Floor (West)</t>
        </is>
      </c>
      <c r="F38" s="14" t="inlineStr">
        <is>
          <t>Office</t>
        </is>
      </c>
      <c r="G38" s="7" t="n">
        <v>1796</v>
      </c>
      <c r="H38" s="7">
        <f>G38</f>
        <v/>
      </c>
      <c r="I38" s="7" t="n">
        <v>1750</v>
      </c>
      <c r="J38" s="4" t="inlineStr">
        <is>
          <t>Vacant</t>
        </is>
      </c>
      <c r="M38" s="9" t="n">
        <v>45051</v>
      </c>
      <c r="P38" s="10" t="n">
        <v>0</v>
      </c>
      <c r="Q38" s="10">
        <f>P38</f>
        <v/>
      </c>
      <c r="S38" s="10" t="n">
        <v>87300</v>
      </c>
      <c r="T38" s="10">
        <f>S38</f>
        <v/>
      </c>
      <c r="U38" s="27" t="n">
        <v>127500</v>
      </c>
      <c r="V38" s="10">
        <f>U38</f>
        <v/>
      </c>
      <c r="W38" s="277">
        <f>S38/G38</f>
        <v/>
      </c>
      <c r="X38" s="10" t="inlineStr">
        <is>
          <t>B</t>
        </is>
      </c>
      <c r="Y38" s="60" t="n"/>
      <c r="Z38" s="394" t="n"/>
      <c r="AA38" s="14" t="inlineStr">
        <is>
          <t>No</t>
        </is>
      </c>
      <c r="AB38" s="4" t="inlineStr">
        <is>
          <t>LEM marketing.</t>
        </is>
      </c>
      <c r="AC38" s="303" t="n">
        <v>72.5</v>
      </c>
      <c r="AD38" s="4" t="n">
        <v>2</v>
      </c>
      <c r="AE38" s="278" t="n">
        <v>7</v>
      </c>
      <c r="AF38" s="4" t="inlineStr">
        <is>
          <t>LEM/LDG</t>
        </is>
      </c>
    </row>
    <row r="39">
      <c r="A39" s="11" t="inlineStr">
        <is>
          <t>SH</t>
        </is>
      </c>
      <c r="B39" s="11" t="inlineStr">
        <is>
          <t>MEL</t>
        </is>
      </c>
      <c r="C39" s="2" t="n">
        <v>550470</v>
      </c>
      <c r="D39" s="4" t="inlineStr">
        <is>
          <t>Portland House, 4 Great Portland Street</t>
        </is>
      </c>
      <c r="E39" s="4" t="inlineStr">
        <is>
          <t>Third Floor (West)</t>
        </is>
      </c>
      <c r="F39" s="14" t="inlineStr">
        <is>
          <t>Office</t>
        </is>
      </c>
      <c r="G39" s="7" t="n">
        <v>1691</v>
      </c>
      <c r="H39" s="7">
        <f>G39</f>
        <v/>
      </c>
      <c r="I39" s="7" t="n">
        <v>1500</v>
      </c>
      <c r="J39" s="4" t="inlineStr">
        <is>
          <t>J&amp;M Davidson Limited.</t>
        </is>
      </c>
      <c r="K39" s="8" t="n">
        <v>44795</v>
      </c>
      <c r="L39" s="9" t="n">
        <v>46620</v>
      </c>
      <c r="O39" s="9" t="n">
        <v>45890</v>
      </c>
      <c r="P39" s="10" t="n">
        <v>102705</v>
      </c>
      <c r="Q39" s="10">
        <f>P39</f>
        <v/>
      </c>
      <c r="S39" s="10" t="n">
        <v>102705</v>
      </c>
      <c r="T39" s="10">
        <f>S39</f>
        <v/>
      </c>
      <c r="U39" s="27" t="n">
        <v>120100</v>
      </c>
      <c r="V39" s="10">
        <f>U39</f>
        <v/>
      </c>
      <c r="W39" s="277">
        <f>S39/G39</f>
        <v/>
      </c>
      <c r="X39" s="10" t="inlineStr">
        <is>
          <t>B</t>
        </is>
      </c>
      <c r="Y39" s="60" t="n"/>
      <c r="Z39" s="394" t="n"/>
      <c r="AA39" s="14" t="inlineStr">
        <is>
          <t>No</t>
        </is>
      </c>
      <c r="AB39" s="4" t="inlineStr">
        <is>
          <t>Tenant break on 6 months notice. Tenant break served but dispute over conditions being met.</t>
        </is>
      </c>
      <c r="AE39" s="278" t="n"/>
    </row>
    <row r="40">
      <c r="A40" s="11" t="inlineStr">
        <is>
          <t>SH</t>
        </is>
      </c>
      <c r="B40" s="11" t="inlineStr">
        <is>
          <t>MEL</t>
        </is>
      </c>
      <c r="C40" s="2" t="n">
        <v>550470</v>
      </c>
      <c r="D40" s="4" t="inlineStr">
        <is>
          <t>Portland House, 4 Great Portland Street</t>
        </is>
      </c>
      <c r="E40" s="4" t="inlineStr">
        <is>
          <t xml:space="preserve">Third Floor (East) </t>
        </is>
      </c>
      <c r="F40" s="14" t="inlineStr">
        <is>
          <t>Office</t>
        </is>
      </c>
      <c r="G40" s="7" t="n">
        <v>2055</v>
      </c>
      <c r="H40" s="7">
        <f>G40</f>
        <v/>
      </c>
      <c r="I40" s="7" t="n">
        <v>2000</v>
      </c>
      <c r="J40" s="4" t="inlineStr">
        <is>
          <t>Media Campaign Limited</t>
        </is>
      </c>
      <c r="K40" s="8" t="n">
        <v>45488</v>
      </c>
      <c r="L40" s="9" t="n">
        <v>47313</v>
      </c>
      <c r="O40" s="9" t="n">
        <v>46582</v>
      </c>
      <c r="P40" s="10" t="n">
        <v>181050</v>
      </c>
      <c r="Q40" s="10">
        <f>P40</f>
        <v/>
      </c>
      <c r="S40" s="10" t="n">
        <v>125050</v>
      </c>
      <c r="T40" s="10">
        <f>S40</f>
        <v/>
      </c>
      <c r="U40" s="27" t="n">
        <v>145900</v>
      </c>
      <c r="V40" s="10">
        <f>U40</f>
        <v/>
      </c>
      <c r="W40" s="277">
        <f>S40/G40</f>
        <v/>
      </c>
      <c r="X40" s="10" t="inlineStr">
        <is>
          <t>B</t>
        </is>
      </c>
      <c r="Y40" s="60" t="n"/>
      <c r="Z40" s="394" t="n"/>
      <c r="AA40" s="14" t="inlineStr">
        <is>
          <t>No</t>
        </is>
      </c>
      <c r="AB40" s="4" t="inlineStr">
        <is>
          <t>Tenant break on 6 months notice. 2 months rent free @ 15/07/27 if not exercised.</t>
        </is>
      </c>
      <c r="AD40" s="29" t="n"/>
      <c r="AE40" s="279" t="n"/>
      <c r="AF40" s="29" t="n"/>
    </row>
    <row r="41">
      <c r="A41" s="11" t="inlineStr">
        <is>
          <t>SH</t>
        </is>
      </c>
      <c r="B41" s="11" t="inlineStr">
        <is>
          <t>MEL</t>
        </is>
      </c>
      <c r="C41" s="2" t="n">
        <v>550470</v>
      </c>
      <c r="D41" s="4" t="inlineStr">
        <is>
          <t>Portland House, 4 Great Portland Street</t>
        </is>
      </c>
      <c r="E41" s="4" t="inlineStr">
        <is>
          <t>Fourth Floor (West)</t>
        </is>
      </c>
      <c r="F41" s="14" t="inlineStr">
        <is>
          <t>Office</t>
        </is>
      </c>
      <c r="G41" s="7" t="n">
        <v>1548</v>
      </c>
      <c r="H41" s="7">
        <f>G41</f>
        <v/>
      </c>
      <c r="I41" s="7" t="n">
        <v>1500</v>
      </c>
      <c r="J41" s="4" t="inlineStr">
        <is>
          <t>Racoon Media Services Limited</t>
        </is>
      </c>
      <c r="K41" s="8" t="n">
        <v>45609</v>
      </c>
      <c r="L41" s="9" t="n">
        <v>47434</v>
      </c>
      <c r="M41" s="9" t="n"/>
      <c r="N41" s="9" t="n"/>
      <c r="O41" s="9" t="n">
        <v>46703</v>
      </c>
      <c r="P41" s="10" t="n">
        <v>90090</v>
      </c>
      <c r="Q41" s="10">
        <f>P41</f>
        <v/>
      </c>
      <c r="R41" s="10" t="n"/>
      <c r="S41" s="10" t="n">
        <v>90100</v>
      </c>
      <c r="T41" s="10">
        <f>S41</f>
        <v/>
      </c>
      <c r="U41" s="27" t="n">
        <v>109900</v>
      </c>
      <c r="V41" s="10">
        <f>U41</f>
        <v/>
      </c>
      <c r="W41" s="277">
        <f>S41/G41</f>
        <v/>
      </c>
      <c r="X41" s="10" t="inlineStr">
        <is>
          <t>B</t>
        </is>
      </c>
      <c r="Y41" s="60" t="n"/>
      <c r="Z41" s="394" t="n"/>
      <c r="AA41" s="14" t="inlineStr">
        <is>
          <t>No</t>
        </is>
      </c>
      <c r="AB41" s="4" t="inlineStr">
        <is>
          <t>Tenant break on 6 months notice. Rent PA corrected.</t>
        </is>
      </c>
      <c r="AC41" s="303" t="n"/>
      <c r="AD41" s="4" t="n"/>
      <c r="AE41" s="278" t="n"/>
      <c r="AF41" s="4" t="n"/>
    </row>
    <row r="42">
      <c r="A42" s="11" t="inlineStr">
        <is>
          <t>SH</t>
        </is>
      </c>
      <c r="B42" s="11" t="inlineStr">
        <is>
          <t>MEL</t>
        </is>
      </c>
      <c r="C42" s="2" t="n">
        <v>550470</v>
      </c>
      <c r="D42" s="4" t="inlineStr">
        <is>
          <t>Portland House, 4 Great Portland Street</t>
        </is>
      </c>
      <c r="E42" s="4" t="inlineStr">
        <is>
          <t>Fourth Floor (East)</t>
        </is>
      </c>
      <c r="F42" s="14" t="inlineStr">
        <is>
          <t>Office</t>
        </is>
      </c>
      <c r="G42" s="7" t="n">
        <v>1957</v>
      </c>
      <c r="H42" s="7">
        <f>G42</f>
        <v/>
      </c>
      <c r="I42" s="7" t="n">
        <v>2000</v>
      </c>
      <c r="J42" s="4" t="inlineStr">
        <is>
          <t>Racoon Media Services Limited</t>
        </is>
      </c>
      <c r="K42" s="8" t="n">
        <v>45609</v>
      </c>
      <c r="L42" s="9" t="n">
        <v>47434</v>
      </c>
      <c r="O42" s="9" t="n">
        <v>46703</v>
      </c>
      <c r="P42" s="10" t="n">
        <v>114253</v>
      </c>
      <c r="Q42" s="10">
        <f>P42</f>
        <v/>
      </c>
      <c r="S42" s="10" t="n">
        <v>115800</v>
      </c>
      <c r="T42" s="10">
        <f>S42</f>
        <v/>
      </c>
      <c r="U42" s="27" t="n">
        <v>138900</v>
      </c>
      <c r="V42" s="10">
        <f>U42</f>
        <v/>
      </c>
      <c r="W42" s="277">
        <f>S42/G42</f>
        <v/>
      </c>
      <c r="X42" s="10" t="inlineStr">
        <is>
          <t>B</t>
        </is>
      </c>
      <c r="Y42" s="60" t="n"/>
      <c r="Z42" s="394" t="n"/>
      <c r="AA42" s="14" t="inlineStr">
        <is>
          <t>No</t>
        </is>
      </c>
      <c r="AB42" s="4" t="inlineStr">
        <is>
          <t>Tenant break on 6 months notice.</t>
        </is>
      </c>
      <c r="AC42" s="305" t="n"/>
      <c r="AE42" s="278" t="n"/>
    </row>
    <row r="43">
      <c r="A43" s="11" t="inlineStr">
        <is>
          <t>SH</t>
        </is>
      </c>
      <c r="B43" s="11" t="inlineStr">
        <is>
          <t>MEL</t>
        </is>
      </c>
      <c r="C43" s="2" t="n">
        <v>550470</v>
      </c>
      <c r="D43" s="4" t="inlineStr">
        <is>
          <t>Portland House, 4 Great Portland Street</t>
        </is>
      </c>
      <c r="E43" s="4" t="inlineStr">
        <is>
          <t>Fifth Floor (East)</t>
        </is>
      </c>
      <c r="F43" s="14" t="inlineStr">
        <is>
          <t>Office</t>
        </is>
      </c>
      <c r="G43" s="7" t="n">
        <v>1845</v>
      </c>
      <c r="H43" s="7">
        <f>G43</f>
        <v/>
      </c>
      <c r="I43" s="7" t="n">
        <v>2000</v>
      </c>
      <c r="J43" s="4" t="inlineStr">
        <is>
          <t>Greek National Tourism Organisation.</t>
        </is>
      </c>
      <c r="K43" s="8" t="n">
        <v>45256</v>
      </c>
      <c r="L43" s="9" t="n">
        <v>47082</v>
      </c>
      <c r="O43" s="9" t="n">
        <v>46351</v>
      </c>
      <c r="P43" s="10" t="n">
        <v>115500</v>
      </c>
      <c r="Q43" s="10">
        <f>P43</f>
        <v/>
      </c>
      <c r="S43" s="10" t="n">
        <v>107400</v>
      </c>
      <c r="T43" s="10">
        <f>S43</f>
        <v/>
      </c>
      <c r="U43" s="27" t="n">
        <v>131000</v>
      </c>
      <c r="V43" s="10">
        <f>U43</f>
        <v/>
      </c>
      <c r="W43" s="277">
        <f>S43/G43</f>
        <v/>
      </c>
      <c r="X43" s="10" t="inlineStr">
        <is>
          <t>B</t>
        </is>
      </c>
      <c r="Y43" s="60" t="n"/>
      <c r="Z43" s="394" t="n"/>
      <c r="AA43" s="14" t="inlineStr">
        <is>
          <t>No</t>
        </is>
      </c>
      <c r="AB43" s="4" t="inlineStr">
        <is>
          <t>Tenant break on 6 months notice.</t>
        </is>
      </c>
      <c r="AE43" s="278" t="n"/>
    </row>
    <row r="44">
      <c r="A44" s="11" t="inlineStr">
        <is>
          <t>SH</t>
        </is>
      </c>
      <c r="B44" s="11" t="inlineStr">
        <is>
          <t>MEL</t>
        </is>
      </c>
      <c r="C44" s="2" t="n">
        <v>550470</v>
      </c>
      <c r="D44" s="4" t="inlineStr">
        <is>
          <t>Portland House, 4 Great Portland Street</t>
        </is>
      </c>
      <c r="E44" s="4" t="inlineStr">
        <is>
          <t>Fifth Floor (West)</t>
        </is>
      </c>
      <c r="F44" s="14" t="inlineStr">
        <is>
          <t>Office</t>
        </is>
      </c>
      <c r="G44" s="7" t="n">
        <v>1528</v>
      </c>
      <c r="H44" s="7">
        <f>G44</f>
        <v/>
      </c>
      <c r="I44" s="7" t="n">
        <v>1500</v>
      </c>
      <c r="J44" s="4" t="inlineStr">
        <is>
          <t>Rios Designs Ltd</t>
        </is>
      </c>
      <c r="K44" s="8" t="n">
        <v>45622</v>
      </c>
      <c r="L44" s="9" t="n">
        <v>47447</v>
      </c>
      <c r="O44" s="9" t="n">
        <v>46716</v>
      </c>
      <c r="P44" s="10" t="n">
        <v>54340</v>
      </c>
      <c r="Q44" s="10">
        <f>P44</f>
        <v/>
      </c>
      <c r="S44" s="10" t="n">
        <v>76600</v>
      </c>
      <c r="T44" s="10">
        <f>S44</f>
        <v/>
      </c>
      <c r="U44" s="27" t="n">
        <v>108500</v>
      </c>
      <c r="V44" s="10">
        <f>U44</f>
        <v/>
      </c>
      <c r="W44" s="277">
        <f>S44/G44</f>
        <v/>
      </c>
      <c r="X44" s="10" t="inlineStr">
        <is>
          <t>B</t>
        </is>
      </c>
      <c r="Y44" s="60" t="n"/>
      <c r="Z44" s="394" t="n"/>
      <c r="AA44" s="14" t="inlineStr">
        <is>
          <t>No</t>
        </is>
      </c>
      <c r="AB44" s="4" t="inlineStr">
        <is>
          <t>Rent increases to £108,680 wef 26/11/25. Tenant break on 6 months notice.</t>
        </is>
      </c>
      <c r="AC44" s="305" t="n"/>
      <c r="AE44" s="278" t="n">
        <v>1</v>
      </c>
      <c r="AF44" s="4" t="inlineStr">
        <is>
          <t>LEM/LDG</t>
        </is>
      </c>
    </row>
    <row r="45">
      <c r="A45" s="11" t="inlineStr">
        <is>
          <t>SH</t>
        </is>
      </c>
      <c r="B45" s="11" t="inlineStr">
        <is>
          <t>MEL</t>
        </is>
      </c>
      <c r="C45" s="2" t="n">
        <v>550470</v>
      </c>
      <c r="D45" s="4" t="inlineStr">
        <is>
          <t>Portland House, 4 Great Portland Street</t>
        </is>
      </c>
      <c r="E45" s="13" t="inlineStr">
        <is>
          <t>Sixth Floor (West)</t>
        </is>
      </c>
      <c r="F45" s="14" t="inlineStr">
        <is>
          <t>Office</t>
        </is>
      </c>
      <c r="G45" s="7" t="n">
        <v>1253</v>
      </c>
      <c r="H45" s="7">
        <f>G45</f>
        <v/>
      </c>
      <c r="I45" s="7" t="n">
        <v>1250</v>
      </c>
      <c r="J45" s="4" t="inlineStr">
        <is>
          <t>Directors Cut Films West Limited</t>
        </is>
      </c>
      <c r="K45" s="8" t="n">
        <v>45617</v>
      </c>
      <c r="L45" s="9" t="n">
        <v>47442</v>
      </c>
      <c r="P45" s="10" t="n">
        <v>66700</v>
      </c>
      <c r="Q45" s="10">
        <f>P45</f>
        <v/>
      </c>
      <c r="S45" s="10" t="n">
        <v>66700</v>
      </c>
      <c r="T45" s="10">
        <f>S45</f>
        <v/>
      </c>
      <c r="U45" s="27" t="n">
        <v>78300</v>
      </c>
      <c r="V45" s="10">
        <f>U45</f>
        <v/>
      </c>
      <c r="W45" s="277">
        <f>S45/G45</f>
        <v/>
      </c>
      <c r="X45" s="10" t="inlineStr">
        <is>
          <t>D</t>
        </is>
      </c>
      <c r="Y45" s="60" t="n"/>
      <c r="Z45" s="394" t="n"/>
      <c r="AA45" s="14" t="inlineStr">
        <is>
          <t>No</t>
        </is>
      </c>
      <c r="AC45" s="305" t="n"/>
      <c r="AE45" s="278" t="n"/>
    </row>
    <row r="46">
      <c r="A46" s="11" t="inlineStr">
        <is>
          <t>SH</t>
        </is>
      </c>
      <c r="B46" s="11" t="inlineStr">
        <is>
          <t>MEL</t>
        </is>
      </c>
      <c r="C46" s="2" t="n">
        <v>550470</v>
      </c>
      <c r="D46" s="4" t="inlineStr">
        <is>
          <t>Portland House, 4 Great Portland Street</t>
        </is>
      </c>
      <c r="E46" s="4" t="inlineStr">
        <is>
          <t>Sixth Floor (East)</t>
        </is>
      </c>
      <c r="F46" s="14" t="inlineStr">
        <is>
          <t>Office</t>
        </is>
      </c>
      <c r="G46" s="7" t="n">
        <v>859</v>
      </c>
      <c r="H46" s="7">
        <f>G46</f>
        <v/>
      </c>
      <c r="I46" s="7" t="n">
        <v>1000</v>
      </c>
      <c r="J46" s="4" t="inlineStr">
        <is>
          <t>Vacant</t>
        </is>
      </c>
      <c r="M46" s="9" t="n">
        <v>44609</v>
      </c>
      <c r="P46" s="10" t="n">
        <v>0</v>
      </c>
      <c r="Q46" s="10">
        <f>P46</f>
        <v/>
      </c>
      <c r="S46" s="10" t="n">
        <v>65750</v>
      </c>
      <c r="T46" s="10">
        <f>S46</f>
        <v/>
      </c>
      <c r="U46" s="27" t="n">
        <v>53700</v>
      </c>
      <c r="V46" s="10">
        <f>U46</f>
        <v/>
      </c>
      <c r="W46" s="277">
        <f>S46/G46</f>
        <v/>
      </c>
      <c r="X46" s="10" t="inlineStr">
        <is>
          <t>D</t>
        </is>
      </c>
      <c r="Y46" s="60" t="n"/>
      <c r="Z46" s="394" t="n"/>
      <c r="AA46" s="14" t="inlineStr">
        <is>
          <t>No</t>
        </is>
      </c>
      <c r="AB46" s="4" t="inlineStr">
        <is>
          <t>LEM marketing.</t>
        </is>
      </c>
      <c r="AC46" s="303" t="n">
        <v>63</v>
      </c>
      <c r="AE46" s="278" t="n">
        <v>1</v>
      </c>
    </row>
    <row r="47">
      <c r="A47" s="11" t="inlineStr">
        <is>
          <t>SH</t>
        </is>
      </c>
      <c r="B47" s="11" t="inlineStr">
        <is>
          <t>MEL</t>
        </is>
      </c>
      <c r="C47" s="2" t="n">
        <v>550470</v>
      </c>
      <c r="D47" s="4" t="inlineStr">
        <is>
          <t>Portland House, 4 Great Portland Street</t>
        </is>
      </c>
      <c r="E47" s="4" t="inlineStr">
        <is>
          <t>Cupboards 2nd, 4th, 5th &amp; 6th Floors</t>
        </is>
      </c>
      <c r="F47" s="14" t="inlineStr">
        <is>
          <t>Storage</t>
        </is>
      </c>
      <c r="G47" s="7" t="n">
        <v>0</v>
      </c>
      <c r="H47" s="7">
        <f>G47</f>
        <v/>
      </c>
      <c r="I47" s="7" t="n"/>
      <c r="J47" s="4" t="inlineStr">
        <is>
          <t>Vacant / Landlord</t>
        </is>
      </c>
      <c r="K47" s="8" t="n"/>
      <c r="L47" s="9" t="n"/>
      <c r="M47" s="9" t="inlineStr">
        <is>
          <t>N/A</t>
        </is>
      </c>
      <c r="N47" s="9" t="n"/>
      <c r="O47" s="9" t="n"/>
      <c r="P47" s="10" t="n">
        <v>0</v>
      </c>
      <c r="Q47" s="10">
        <f>P47</f>
        <v/>
      </c>
      <c r="R47" s="10" t="n"/>
      <c r="S47" s="10" t="n">
        <v>1460</v>
      </c>
      <c r="T47" s="10">
        <f>S47</f>
        <v/>
      </c>
      <c r="U47" s="27" t="n">
        <v>0</v>
      </c>
      <c r="V47" s="10">
        <f>U47</f>
        <v/>
      </c>
      <c r="W47" s="10" t="n"/>
      <c r="X47" s="10" t="n"/>
      <c r="Y47" s="60" t="n"/>
      <c r="Z47" s="394" t="n"/>
      <c r="AA47" s="14" t="n"/>
      <c r="AB47" s="4" t="n"/>
      <c r="AC47" s="303" t="n"/>
      <c r="AD47" s="4" t="n"/>
      <c r="AE47" s="278" t="n"/>
      <c r="AF47" s="4" t="n"/>
    </row>
    <row r="48">
      <c r="A48" s="11" t="inlineStr">
        <is>
          <t>SH</t>
        </is>
      </c>
      <c r="B48" s="11" t="inlineStr">
        <is>
          <t>MEL</t>
        </is>
      </c>
      <c r="C48" s="2" t="n">
        <v>550470</v>
      </c>
      <c r="D48" s="4" t="inlineStr">
        <is>
          <t>Portland House, 4 Great Portland Street</t>
        </is>
      </c>
      <c r="E48" s="4" t="inlineStr">
        <is>
          <t>Transformer Chamber</t>
        </is>
      </c>
      <c r="F48" s="14" t="inlineStr">
        <is>
          <t>Sub-Station</t>
        </is>
      </c>
      <c r="G48" s="7" t="n">
        <v>0</v>
      </c>
      <c r="H48" s="7">
        <f>G48</f>
        <v/>
      </c>
      <c r="J48" s="4" t="inlineStr">
        <is>
          <t>London Power Networks Plc</t>
        </is>
      </c>
      <c r="K48" s="350" t="n">
        <v>35240</v>
      </c>
      <c r="L48" s="106" t="n">
        <v>68735</v>
      </c>
      <c r="M48" s="106" t="n"/>
      <c r="P48" s="10" t="n">
        <v>0</v>
      </c>
      <c r="Q48" s="10">
        <f>P48</f>
        <v/>
      </c>
      <c r="S48" s="10" t="n">
        <v>0</v>
      </c>
      <c r="T48" s="10">
        <f>S48</f>
        <v/>
      </c>
      <c r="U48" s="27" t="n">
        <v>0</v>
      </c>
      <c r="V48" s="10">
        <f>U48</f>
        <v/>
      </c>
      <c r="W48" s="10" t="n"/>
      <c r="X48" s="10" t="n"/>
      <c r="Y48" s="60" t="n"/>
      <c r="Z48" s="394" t="n"/>
      <c r="AA48" s="14" t="inlineStr">
        <is>
          <t>Yes</t>
        </is>
      </c>
      <c r="AB48" s="4" t="inlineStr">
        <is>
          <t>Rolling redevelopment break on 6 months notice.</t>
        </is>
      </c>
      <c r="AE48" s="278" t="n"/>
    </row>
    <row r="49">
      <c r="A49" s="11" t="inlineStr">
        <is>
          <t>SH</t>
        </is>
      </c>
      <c r="B49" s="11" t="inlineStr">
        <is>
          <t>MEL</t>
        </is>
      </c>
      <c r="C49" s="2" t="n">
        <v>550480</v>
      </c>
      <c r="D49" s="4" t="inlineStr">
        <is>
          <t>6-10a Great Portland Street</t>
        </is>
      </c>
      <c r="E49" s="4" t="inlineStr">
        <is>
          <t>Basement &amp; Ground</t>
        </is>
      </c>
      <c r="F49" s="14" t="inlineStr">
        <is>
          <t>Retail</t>
        </is>
      </c>
      <c r="G49" s="7" t="n">
        <v>4958</v>
      </c>
      <c r="H49" s="7">
        <f>G49</f>
        <v/>
      </c>
      <c r="I49" s="7" t="n">
        <v>5000</v>
      </c>
      <c r="J49" s="4" t="inlineStr">
        <is>
          <t>PrettyLittleThing.com</t>
        </is>
      </c>
      <c r="K49" s="8" t="n">
        <v>45699</v>
      </c>
      <c r="L49" s="9" t="n">
        <v>47524</v>
      </c>
      <c r="O49" s="9" t="n">
        <v>46793</v>
      </c>
      <c r="P49" s="10" t="n">
        <v>187500</v>
      </c>
      <c r="Q49" s="10">
        <f>P49</f>
        <v/>
      </c>
      <c r="S49" s="10" t="n">
        <v>337100</v>
      </c>
      <c r="T49" s="10">
        <f>S49</f>
        <v/>
      </c>
      <c r="U49" s="27" t="n">
        <v>375000</v>
      </c>
      <c r="V49" s="10">
        <f>U49</f>
        <v/>
      </c>
      <c r="W49" s="277">
        <f>S49/G49</f>
        <v/>
      </c>
      <c r="X49" s="10" t="inlineStr">
        <is>
          <t>B</t>
        </is>
      </c>
      <c r="Y49" s="60" t="n"/>
      <c r="Z49" s="394" t="n"/>
      <c r="AA49" s="14" t="inlineStr">
        <is>
          <t>No</t>
        </is>
      </c>
      <c r="AB49" s="4" t="inlineStr">
        <is>
          <t>Rent increasing to £375,000 wef 11/09/25. Tenant break on 6 months notice. 3 months rent free if not exercised.</t>
        </is>
      </c>
      <c r="AC49" s="303" t="n">
        <v>68</v>
      </c>
      <c r="AD49" s="4" t="n">
        <v>1</v>
      </c>
      <c r="AE49" s="278" t="n">
        <v>13</v>
      </c>
      <c r="AF49" s="4" t="inlineStr">
        <is>
          <t>LEM / Colliers</t>
        </is>
      </c>
    </row>
    <row r="50">
      <c r="A50" s="11" t="inlineStr">
        <is>
          <t>SH</t>
        </is>
      </c>
      <c r="B50" s="11" t="inlineStr">
        <is>
          <t>MEL</t>
        </is>
      </c>
      <c r="C50" s="2" t="n">
        <v>550480</v>
      </c>
      <c r="D50" s="4" t="inlineStr">
        <is>
          <t>6-10a Great Portland Street</t>
        </is>
      </c>
      <c r="E50" s="4" t="inlineStr">
        <is>
          <t>First  Floor</t>
        </is>
      </c>
      <c r="F50" s="14" t="inlineStr">
        <is>
          <t>Office</t>
        </is>
      </c>
      <c r="G50" s="7" t="n">
        <v>1862</v>
      </c>
      <c r="H50" s="7">
        <f>G50</f>
        <v/>
      </c>
      <c r="I50" s="7" t="n">
        <v>2000</v>
      </c>
      <c r="J50" s="4" t="inlineStr">
        <is>
          <t>The Yuki Clinic Ltd.</t>
        </is>
      </c>
      <c r="K50" s="8" t="n">
        <v>44452</v>
      </c>
      <c r="L50" s="9" t="n">
        <v>46277</v>
      </c>
      <c r="P50" s="10" t="n">
        <v>108170</v>
      </c>
      <c r="Q50" s="10">
        <f>P50</f>
        <v/>
      </c>
      <c r="S50" s="10" t="n">
        <v>107200</v>
      </c>
      <c r="T50" s="10">
        <f>S50</f>
        <v/>
      </c>
      <c r="U50" s="27" t="n">
        <v>111700</v>
      </c>
      <c r="V50" s="10">
        <f>U50</f>
        <v/>
      </c>
      <c r="W50" s="277">
        <f>S50/G50</f>
        <v/>
      </c>
      <c r="X50" s="10" t="inlineStr">
        <is>
          <t>D</t>
        </is>
      </c>
      <c r="Y50" s="60" t="n"/>
      <c r="Z50" s="394" t="n"/>
      <c r="AA50" s="14" t="inlineStr">
        <is>
          <t>No</t>
        </is>
      </c>
      <c r="AE50" s="278" t="n"/>
    </row>
    <row r="51">
      <c r="A51" s="11" t="inlineStr">
        <is>
          <t>SH</t>
        </is>
      </c>
      <c r="B51" s="11" t="inlineStr">
        <is>
          <t>MEL</t>
        </is>
      </c>
      <c r="C51" s="2" t="n">
        <v>550480</v>
      </c>
      <c r="D51" s="4" t="inlineStr">
        <is>
          <t>6-10a Great Portland Street</t>
        </is>
      </c>
      <c r="E51" s="4" t="inlineStr">
        <is>
          <t>Second Floor</t>
        </is>
      </c>
      <c r="F51" s="14" t="inlineStr">
        <is>
          <t>Office</t>
        </is>
      </c>
      <c r="G51" s="7" t="n">
        <v>1818</v>
      </c>
      <c r="H51" s="7">
        <f>G51</f>
        <v/>
      </c>
      <c r="I51" s="7" t="n">
        <v>2000</v>
      </c>
      <c r="J51" s="4" t="inlineStr">
        <is>
          <t>Vacant</t>
        </is>
      </c>
      <c r="M51" s="8" t="n">
        <v>45609</v>
      </c>
      <c r="P51" s="10" t="n">
        <v>0</v>
      </c>
      <c r="Q51" s="10">
        <f>P51</f>
        <v/>
      </c>
      <c r="S51" s="10" t="n">
        <v>105500</v>
      </c>
      <c r="T51" s="10">
        <f>S51</f>
        <v/>
      </c>
      <c r="U51" s="27" t="n">
        <v>109100</v>
      </c>
      <c r="V51" s="10">
        <f>U51</f>
        <v/>
      </c>
      <c r="W51" s="277">
        <f>S51/G51</f>
        <v/>
      </c>
      <c r="X51" s="10" t="inlineStr">
        <is>
          <t>E</t>
        </is>
      </c>
      <c r="Y51" s="60" t="n"/>
      <c r="Z51" s="394" t="n"/>
      <c r="AA51" s="14" t="inlineStr">
        <is>
          <t>No</t>
        </is>
      </c>
      <c r="AB51" s="4" t="inlineStr">
        <is>
          <t>LEM marketing.</t>
        </is>
      </c>
      <c r="AC51" s="303" t="n">
        <v>65</v>
      </c>
      <c r="AE51" s="278" t="n"/>
    </row>
    <row r="52">
      <c r="A52" s="11" t="inlineStr">
        <is>
          <t>SH</t>
        </is>
      </c>
      <c r="B52" s="11" t="inlineStr">
        <is>
          <t>MEL</t>
        </is>
      </c>
      <c r="C52" s="2" t="n">
        <v>550480</v>
      </c>
      <c r="D52" s="4" t="inlineStr">
        <is>
          <t>6-10a Great Portland Street</t>
        </is>
      </c>
      <c r="E52" s="4" t="inlineStr">
        <is>
          <t>Third Floor</t>
        </is>
      </c>
      <c r="F52" s="14" t="inlineStr">
        <is>
          <t>Office</t>
        </is>
      </c>
      <c r="G52" s="7" t="n">
        <v>1808</v>
      </c>
      <c r="H52" s="7">
        <f>G52</f>
        <v/>
      </c>
      <c r="I52" s="7" t="n">
        <v>2000</v>
      </c>
      <c r="J52" s="4" t="inlineStr">
        <is>
          <t>Vacant</t>
        </is>
      </c>
      <c r="M52" s="8" t="n">
        <v>45609</v>
      </c>
      <c r="P52" s="10" t="n">
        <v>0</v>
      </c>
      <c r="Q52" s="10">
        <f>P52</f>
        <v/>
      </c>
      <c r="S52" s="10" t="n">
        <v>108800</v>
      </c>
      <c r="T52" s="10">
        <f>S52</f>
        <v/>
      </c>
      <c r="U52" s="27" t="n">
        <v>108500</v>
      </c>
      <c r="V52" s="10">
        <f>U52</f>
        <v/>
      </c>
      <c r="W52" s="277">
        <f>S52/G52</f>
        <v/>
      </c>
      <c r="X52" s="10" t="inlineStr">
        <is>
          <t>E</t>
        </is>
      </c>
      <c r="Y52" s="60" t="n"/>
      <c r="Z52" s="394" t="n"/>
      <c r="AA52" s="14" t="inlineStr">
        <is>
          <t>No</t>
        </is>
      </c>
      <c r="AB52" s="4" t="inlineStr">
        <is>
          <t>LEM marketing.</t>
        </is>
      </c>
      <c r="AC52" s="303" t="n">
        <v>65</v>
      </c>
      <c r="AE52" s="278" t="n"/>
    </row>
    <row r="53">
      <c r="A53" s="11" t="inlineStr">
        <is>
          <t>SH</t>
        </is>
      </c>
      <c r="B53" s="11" t="inlineStr">
        <is>
          <t>MEL</t>
        </is>
      </c>
      <c r="C53" s="2" t="n">
        <v>550480</v>
      </c>
      <c r="D53" s="4" t="inlineStr">
        <is>
          <t>6-10a Great Portland Street</t>
        </is>
      </c>
      <c r="E53" s="4" t="inlineStr">
        <is>
          <t>Fourth Floor</t>
        </is>
      </c>
      <c r="F53" s="14" t="inlineStr">
        <is>
          <t>Office</t>
        </is>
      </c>
      <c r="G53" s="7" t="n">
        <v>1672</v>
      </c>
      <c r="H53" s="7">
        <f>G53</f>
        <v/>
      </c>
      <c r="I53" s="7" t="n">
        <v>1500</v>
      </c>
      <c r="J53" s="4" t="inlineStr">
        <is>
          <t>Vacant</t>
        </is>
      </c>
      <c r="M53" s="9" t="n">
        <v>45457</v>
      </c>
      <c r="P53" s="10" t="n">
        <v>0</v>
      </c>
      <c r="Q53" s="10">
        <f>P53</f>
        <v/>
      </c>
      <c r="S53" s="10" t="n">
        <v>94400</v>
      </c>
      <c r="T53" s="10">
        <f>S53</f>
        <v/>
      </c>
      <c r="U53" s="27" t="n">
        <v>104500</v>
      </c>
      <c r="V53" s="10">
        <f>U53</f>
        <v/>
      </c>
      <c r="W53" s="277">
        <f>S53/G53</f>
        <v/>
      </c>
      <c r="X53" s="10" t="inlineStr">
        <is>
          <t>B</t>
        </is>
      </c>
      <c r="Y53" s="60" t="n"/>
      <c r="Z53" s="394" t="n"/>
      <c r="AA53" s="14" t="inlineStr">
        <is>
          <t>No</t>
        </is>
      </c>
      <c r="AB53" s="29" t="inlineStr">
        <is>
          <t>Refurbishement complete. LEM marketing.</t>
        </is>
      </c>
      <c r="AC53" s="303" t="n">
        <v>65</v>
      </c>
      <c r="AD53" s="4" t="n">
        <v>1</v>
      </c>
      <c r="AE53" s="278" t="n">
        <v>2</v>
      </c>
      <c r="AF53" s="4" t="inlineStr">
        <is>
          <t>LEM</t>
        </is>
      </c>
    </row>
    <row r="54">
      <c r="A54" s="11" t="inlineStr">
        <is>
          <t>SH</t>
        </is>
      </c>
      <c r="B54" s="11" t="inlineStr">
        <is>
          <t>MEL</t>
        </is>
      </c>
      <c r="C54" s="2" t="n">
        <v>550480</v>
      </c>
      <c r="D54" s="4" t="inlineStr">
        <is>
          <t>6-10a Great Portland Street</t>
        </is>
      </c>
      <c r="E54" s="4" t="inlineStr">
        <is>
          <t>Fifth Floor</t>
        </is>
      </c>
      <c r="F54" s="14" t="inlineStr">
        <is>
          <t>Office</t>
        </is>
      </c>
      <c r="G54" s="7" t="n">
        <v>995</v>
      </c>
      <c r="H54" s="7">
        <f>G54</f>
        <v/>
      </c>
      <c r="I54" s="7" t="n">
        <v>1000</v>
      </c>
      <c r="J54" s="4" t="inlineStr">
        <is>
          <t>Racoon Media Services Limited</t>
        </is>
      </c>
      <c r="K54" s="8" t="n">
        <v>45609</v>
      </c>
      <c r="L54" s="9" t="n">
        <v>47434</v>
      </c>
      <c r="O54" s="9" t="n">
        <v>46703</v>
      </c>
      <c r="P54" s="10" t="n">
        <v>61928</v>
      </c>
      <c r="Q54" s="10">
        <f>P54</f>
        <v/>
      </c>
      <c r="S54" s="7" t="n">
        <v>61200</v>
      </c>
      <c r="T54" s="10">
        <f>S54</f>
        <v/>
      </c>
      <c r="U54" s="359" t="n">
        <v>62200</v>
      </c>
      <c r="V54" s="10">
        <f>U54</f>
        <v/>
      </c>
      <c r="W54" s="277">
        <f>S54/G54</f>
        <v/>
      </c>
      <c r="X54" s="10" t="inlineStr">
        <is>
          <t>E</t>
        </is>
      </c>
      <c r="Y54" s="60" t="n"/>
      <c r="Z54" s="394" t="n"/>
      <c r="AA54" s="14" t="inlineStr">
        <is>
          <t>No</t>
        </is>
      </c>
      <c r="AB54" s="4" t="inlineStr">
        <is>
          <t>Tenant break on 6 months notice.</t>
        </is>
      </c>
      <c r="AC54" s="305" t="n"/>
      <c r="AE54" s="278" t="n"/>
    </row>
    <row r="55">
      <c r="A55" s="11" t="inlineStr">
        <is>
          <t>SH</t>
        </is>
      </c>
      <c r="B55" s="11" t="inlineStr">
        <is>
          <t>MEL</t>
        </is>
      </c>
      <c r="C55" s="2" t="n">
        <v>550480</v>
      </c>
      <c r="D55" s="4" t="inlineStr">
        <is>
          <t>6-10a Great Portland Street</t>
        </is>
      </c>
      <c r="E55" s="30" t="inlineStr">
        <is>
          <t>Basement</t>
        </is>
      </c>
      <c r="F55" s="14" t="inlineStr">
        <is>
          <t>Sub-Station</t>
        </is>
      </c>
      <c r="G55" s="7" t="n">
        <v>0</v>
      </c>
      <c r="H55" s="7">
        <f>G55</f>
        <v/>
      </c>
      <c r="J55" s="4" t="inlineStr">
        <is>
          <t>London Power Networks Plc</t>
        </is>
      </c>
      <c r="K55" s="8" t="n">
        <v>39295</v>
      </c>
      <c r="L55" s="9" t="n">
        <v>46599</v>
      </c>
      <c r="N55" s="9" t="n">
        <v>45870</v>
      </c>
      <c r="P55" s="10" t="n">
        <v>903</v>
      </c>
      <c r="Q55" s="10">
        <f>P55</f>
        <v/>
      </c>
      <c r="S55" s="7" t="n">
        <v>625</v>
      </c>
      <c r="T55" s="10">
        <f>S55</f>
        <v/>
      </c>
      <c r="U55" s="359" t="n">
        <v>625</v>
      </c>
      <c r="V55" s="10">
        <f>U55</f>
        <v/>
      </c>
      <c r="W55" s="277" t="n"/>
      <c r="X55" s="10" t="n"/>
      <c r="Y55" s="60" t="n"/>
      <c r="Z55" s="394" t="n"/>
      <c r="AA55" s="14" t="inlineStr">
        <is>
          <t>No</t>
        </is>
      </c>
      <c r="AB55" s="4" t="inlineStr">
        <is>
          <t xml:space="preserve">Landlords redevelopment break on 6 months notice. Rent review is RPI indexation (every 2 years). </t>
        </is>
      </c>
      <c r="AE55" s="278" t="n"/>
    </row>
    <row r="56">
      <c r="A56" s="11" t="inlineStr">
        <is>
          <t>SH</t>
        </is>
      </c>
      <c r="B56" s="11" t="inlineStr">
        <is>
          <t>MEL</t>
        </is>
      </c>
      <c r="C56" s="2" t="n">
        <v>550530</v>
      </c>
      <c r="D56" s="4" t="inlineStr">
        <is>
          <t>15-17 Great Portland Street &amp; 6-7 Great Castle Street</t>
        </is>
      </c>
      <c r="E56" s="4" t="inlineStr">
        <is>
          <t>Whole Building</t>
        </is>
      </c>
      <c r="F56" s="14" t="inlineStr">
        <is>
          <t>Office/Bank</t>
        </is>
      </c>
      <c r="G56" s="18" t="n">
        <v>9884</v>
      </c>
      <c r="H56" s="10">
        <f>G56</f>
        <v/>
      </c>
      <c r="I56" s="10" t="n">
        <v>10000</v>
      </c>
      <c r="J56" s="4" t="inlineStr">
        <is>
          <t>Barclays Bank UK Plc</t>
        </is>
      </c>
      <c r="K56" s="8" t="n">
        <v>44856</v>
      </c>
      <c r="L56" s="9" t="n">
        <v>47411</v>
      </c>
      <c r="N56" s="9" t="n">
        <v>46682</v>
      </c>
      <c r="P56" s="19" t="n">
        <v>580000</v>
      </c>
      <c r="Q56" s="10">
        <f>P56</f>
        <v/>
      </c>
      <c r="R56" s="19">
        <f>Q56</f>
        <v/>
      </c>
      <c r="S56" s="19" t="n">
        <v>580000</v>
      </c>
      <c r="T56" s="10">
        <f>S56</f>
        <v/>
      </c>
      <c r="U56" s="36" t="n">
        <v>586000</v>
      </c>
      <c r="V56" s="10">
        <f>U56</f>
        <v/>
      </c>
      <c r="W56" s="277">
        <f>S56/G56</f>
        <v/>
      </c>
      <c r="X56" s="10" t="inlineStr">
        <is>
          <t>B</t>
        </is>
      </c>
      <c r="Y56" s="60" t="n"/>
      <c r="Z56" s="361" t="n">
        <v>8850000</v>
      </c>
      <c r="AA56" s="14" t="inlineStr">
        <is>
          <t>Yes</t>
        </is>
      </c>
      <c r="AE56" s="278" t="n"/>
    </row>
    <row r="57">
      <c r="A57" s="11" t="inlineStr">
        <is>
          <t>CD</t>
        </is>
      </c>
      <c r="B57" s="11" t="inlineStr">
        <is>
          <t>MEL</t>
        </is>
      </c>
      <c r="C57" s="2" t="n">
        <v>550410</v>
      </c>
      <c r="D57" s="4" t="inlineStr">
        <is>
          <t>19-21 Great Portland Street .</t>
        </is>
      </c>
      <c r="E57" s="4" t="inlineStr">
        <is>
          <t>Basement, Ground &amp; First Floors</t>
        </is>
      </c>
      <c r="F57" s="14" t="inlineStr">
        <is>
          <t xml:space="preserve">Restaurant </t>
        </is>
      </c>
      <c r="G57" s="7" t="n">
        <v>11225</v>
      </c>
      <c r="H57" s="7">
        <f>G57</f>
        <v/>
      </c>
      <c r="I57" s="7" t="n">
        <v>10000</v>
      </c>
      <c r="J57" s="4" t="inlineStr">
        <is>
          <t>UK VAP GPS</t>
        </is>
      </c>
      <c r="K57" s="8" t="n">
        <v>44729</v>
      </c>
      <c r="L57" s="9" t="n">
        <v>50207</v>
      </c>
      <c r="N57" s="8" t="n">
        <v>46555</v>
      </c>
      <c r="O57" s="8" t="n">
        <v>48381</v>
      </c>
      <c r="P57" s="10" t="n">
        <v>625000</v>
      </c>
      <c r="Q57" s="10">
        <f>P57</f>
        <v/>
      </c>
      <c r="S57" s="10" t="n">
        <v>750000</v>
      </c>
      <c r="T57" s="10">
        <f>S57</f>
        <v/>
      </c>
      <c r="U57" s="27" t="n">
        <v>650000</v>
      </c>
      <c r="V57" s="10">
        <f>U57</f>
        <v/>
      </c>
      <c r="W57" s="277">
        <f>S57/G57</f>
        <v/>
      </c>
      <c r="X57" s="10" t="inlineStr">
        <is>
          <t>B</t>
        </is>
      </c>
      <c r="Y57" s="60" t="n"/>
      <c r="Z57" s="395" t="n"/>
      <c r="AA57" s="14" t="inlineStr">
        <is>
          <t>No</t>
        </is>
      </c>
      <c r="AB57" s="4" t="inlineStr">
        <is>
          <t>Rent increasing to £650,000 wef 25/03/26. Mutual break @ 16/06/32 on 6 months notice.</t>
        </is>
      </c>
    </row>
    <row r="58">
      <c r="A58" s="11" t="inlineStr">
        <is>
          <t>CD</t>
        </is>
      </c>
      <c r="B58" s="11" t="inlineStr">
        <is>
          <t>MEL</t>
        </is>
      </c>
      <c r="C58" s="2" t="n">
        <v>550410</v>
      </c>
      <c r="D58" s="4" t="inlineStr">
        <is>
          <t>19-21 Great Portland Street .</t>
        </is>
      </c>
      <c r="E58" s="4" t="inlineStr">
        <is>
          <t>Second Floor.</t>
        </is>
      </c>
      <c r="F58" s="14" t="inlineStr">
        <is>
          <t>Offices</t>
        </is>
      </c>
      <c r="G58" s="7" t="n">
        <v>2847</v>
      </c>
      <c r="H58" s="7">
        <f>G58</f>
        <v/>
      </c>
      <c r="I58" s="7" t="n">
        <v>3000</v>
      </c>
      <c r="J58" s="4" t="inlineStr">
        <is>
          <t>Vacant</t>
        </is>
      </c>
      <c r="M58" s="9" t="n">
        <v>45219</v>
      </c>
      <c r="P58" s="10" t="n">
        <v>0</v>
      </c>
      <c r="Q58" s="10">
        <f>P58</f>
        <v/>
      </c>
      <c r="S58" s="10" t="n">
        <v>170000</v>
      </c>
      <c r="T58" s="10">
        <f>S58</f>
        <v/>
      </c>
      <c r="U58" s="27" t="n">
        <v>185100</v>
      </c>
      <c r="V58" s="10">
        <f>U58</f>
        <v/>
      </c>
      <c r="W58" s="277">
        <f>S58/G58</f>
        <v/>
      </c>
      <c r="X58" s="10" t="inlineStr">
        <is>
          <t>B</t>
        </is>
      </c>
      <c r="Y58" s="60" t="n"/>
      <c r="Z58" s="395" t="n"/>
      <c r="AA58" s="14" t="inlineStr">
        <is>
          <t>No</t>
        </is>
      </c>
      <c r="AB58" s="4" t="inlineStr">
        <is>
          <t>LEM marketing.</t>
        </is>
      </c>
      <c r="AC58" s="303" t="n">
        <v>70</v>
      </c>
      <c r="AE58" s="278" t="n">
        <v>7</v>
      </c>
      <c r="AF58" s="4" t="inlineStr">
        <is>
          <t>LEM / Savills</t>
        </is>
      </c>
    </row>
    <row r="59">
      <c r="A59" s="11" t="inlineStr">
        <is>
          <t>CD</t>
        </is>
      </c>
      <c r="B59" s="11" t="inlineStr">
        <is>
          <t>MEL</t>
        </is>
      </c>
      <c r="C59" s="2" t="n">
        <v>550410</v>
      </c>
      <c r="D59" s="4" t="inlineStr">
        <is>
          <t>19-21 Great Portland Street .</t>
        </is>
      </c>
      <c r="E59" s="4" t="inlineStr">
        <is>
          <t>Third Floor</t>
        </is>
      </c>
      <c r="F59" s="14" t="inlineStr">
        <is>
          <t>Offices</t>
        </is>
      </c>
      <c r="G59" s="7" t="n">
        <v>2651</v>
      </c>
      <c r="H59" s="7">
        <f>G59</f>
        <v/>
      </c>
      <c r="I59" s="7" t="n">
        <v>2500</v>
      </c>
      <c r="J59" s="4" t="inlineStr">
        <is>
          <t>Vacant</t>
        </is>
      </c>
      <c r="K59" s="8" t="n"/>
      <c r="L59" s="9" t="n"/>
      <c r="M59" s="9" t="n">
        <v>44124</v>
      </c>
      <c r="N59" s="9" t="n"/>
      <c r="O59" s="9" t="n"/>
      <c r="P59" s="10" t="n">
        <v>0</v>
      </c>
      <c r="Q59" s="10">
        <f>P59</f>
        <v/>
      </c>
      <c r="R59" s="10" t="n"/>
      <c r="S59" s="10" t="n">
        <v>172000</v>
      </c>
      <c r="T59" s="10">
        <f>S59</f>
        <v/>
      </c>
      <c r="U59" s="27" t="n">
        <v>181600</v>
      </c>
      <c r="V59" s="10">
        <f>U59</f>
        <v/>
      </c>
      <c r="W59" s="277">
        <f>S59/G59</f>
        <v/>
      </c>
      <c r="X59" s="10" t="inlineStr">
        <is>
          <t>B</t>
        </is>
      </c>
      <c r="Y59" s="60" t="n"/>
      <c r="Z59" s="395" t="n"/>
      <c r="AA59" s="14" t="inlineStr">
        <is>
          <t>No</t>
        </is>
      </c>
      <c r="AB59" s="4" t="inlineStr">
        <is>
          <t>LEM marketing.</t>
        </is>
      </c>
      <c r="AC59" s="303" t="n">
        <v>72.5</v>
      </c>
      <c r="AD59" s="4" t="n"/>
      <c r="AE59" s="278" t="n">
        <v>7</v>
      </c>
      <c r="AF59" s="4" t="inlineStr">
        <is>
          <t>LEM / Savills</t>
        </is>
      </c>
    </row>
    <row r="60">
      <c r="A60" s="11" t="inlineStr">
        <is>
          <t>CD</t>
        </is>
      </c>
      <c r="B60" s="11" t="inlineStr">
        <is>
          <t>MEL</t>
        </is>
      </c>
      <c r="C60" s="2" t="n">
        <v>550410</v>
      </c>
      <c r="D60" s="4" t="inlineStr">
        <is>
          <t>19-21 Great Portland Street .</t>
        </is>
      </c>
      <c r="E60" s="4" t="inlineStr">
        <is>
          <t>Fourth Floor</t>
        </is>
      </c>
      <c r="F60" s="14" t="inlineStr">
        <is>
          <t>Offices</t>
        </is>
      </c>
      <c r="G60" s="7" t="n">
        <v>1197</v>
      </c>
      <c r="H60" s="7">
        <f>G60</f>
        <v/>
      </c>
      <c r="I60" s="7" t="n">
        <v>1000</v>
      </c>
      <c r="J60" s="4" t="inlineStr">
        <is>
          <t>Factory Studios Limited.</t>
        </is>
      </c>
      <c r="K60" s="8" t="n">
        <v>44362</v>
      </c>
      <c r="L60" s="9" t="n">
        <v>48013</v>
      </c>
      <c r="M60" s="9" t="n"/>
      <c r="N60" s="9" t="n">
        <v>46197</v>
      </c>
      <c r="O60" s="9" t="n">
        <v>46197</v>
      </c>
      <c r="P60" s="10" t="n">
        <v>80000</v>
      </c>
      <c r="Q60" s="10">
        <f>P60</f>
        <v/>
      </c>
      <c r="R60" s="10" t="n"/>
      <c r="S60" s="10" t="n">
        <v>80000</v>
      </c>
      <c r="T60" s="10">
        <f>S60</f>
        <v/>
      </c>
      <c r="U60" s="27" t="n">
        <v>80800</v>
      </c>
      <c r="V60" s="10">
        <f>U60</f>
        <v/>
      </c>
      <c r="W60" s="277">
        <f>S60/G60</f>
        <v/>
      </c>
      <c r="X60" s="10" t="inlineStr">
        <is>
          <t>B</t>
        </is>
      </c>
      <c r="Y60" s="60" t="n"/>
      <c r="Z60" s="395" t="n"/>
      <c r="AA60" s="14" t="inlineStr">
        <is>
          <t>No</t>
        </is>
      </c>
      <c r="AB60" s="4" t="inlineStr">
        <is>
          <t>Tenant break subject to 6 months notice.</t>
        </is>
      </c>
      <c r="AC60" s="303" t="n"/>
      <c r="AD60" s="4" t="n"/>
      <c r="AE60" s="278" t="n"/>
      <c r="AF60" s="4" t="n"/>
    </row>
    <row r="61">
      <c r="A61" s="11" t="inlineStr">
        <is>
          <t>WS</t>
        </is>
      </c>
      <c r="B61" s="11" t="inlineStr">
        <is>
          <t>MEL</t>
        </is>
      </c>
      <c r="C61" s="2" t="n">
        <v>550795</v>
      </c>
      <c r="D61" s="4" t="inlineStr">
        <is>
          <t>20 Great Portland Street</t>
        </is>
      </c>
      <c r="E61" s="4" t="inlineStr">
        <is>
          <t>Basement</t>
        </is>
      </c>
      <c r="F61" s="14" t="inlineStr">
        <is>
          <t>Studio</t>
        </is>
      </c>
      <c r="G61" s="7" t="n">
        <v>1330</v>
      </c>
      <c r="H61" s="7">
        <f>G61</f>
        <v/>
      </c>
      <c r="J61" s="4" t="inlineStr">
        <is>
          <t>Vacant / Landlord</t>
        </is>
      </c>
      <c r="M61" s="9" t="n">
        <v>43670</v>
      </c>
      <c r="P61" s="10" t="n">
        <v>0</v>
      </c>
      <c r="Q61" s="10">
        <f>P61</f>
        <v/>
      </c>
      <c r="S61" s="10" t="n">
        <v>25000</v>
      </c>
      <c r="T61" s="10">
        <f>S61</f>
        <v/>
      </c>
      <c r="U61" s="27" t="n">
        <v>25000</v>
      </c>
      <c r="V61" s="10">
        <f>U61</f>
        <v/>
      </c>
      <c r="W61" s="277">
        <f>S61/G61</f>
        <v/>
      </c>
      <c r="X61" s="10" t="inlineStr">
        <is>
          <t>D</t>
        </is>
      </c>
      <c r="Y61" s="60" t="n"/>
      <c r="Z61" s="394" t="n"/>
      <c r="AA61" s="14" t="inlineStr">
        <is>
          <t>No</t>
        </is>
      </c>
      <c r="AE61" s="278" t="n"/>
    </row>
    <row r="62">
      <c r="A62" s="11" t="inlineStr">
        <is>
          <t>WS</t>
        </is>
      </c>
      <c r="B62" s="11" t="inlineStr">
        <is>
          <t>MEL</t>
        </is>
      </c>
      <c r="C62" s="2" t="n">
        <v>550795</v>
      </c>
      <c r="D62" s="4" t="inlineStr">
        <is>
          <t>20 Great Portland Street</t>
        </is>
      </c>
      <c r="E62" s="4" t="inlineStr">
        <is>
          <t>Ground Floor Rear</t>
        </is>
      </c>
      <c r="F62" s="14" t="inlineStr">
        <is>
          <t>Retail</t>
        </is>
      </c>
      <c r="G62" s="7" t="n">
        <v>260</v>
      </c>
      <c r="H62" s="7">
        <f>G62</f>
        <v/>
      </c>
      <c r="I62" s="7" t="n">
        <v>250</v>
      </c>
      <c r="J62" s="4" t="inlineStr">
        <is>
          <t>Express Alteration and Tailoring Ltd</t>
        </is>
      </c>
      <c r="K62" s="8" t="n">
        <v>45645</v>
      </c>
      <c r="L62" s="9" t="n">
        <v>46739</v>
      </c>
      <c r="P62" s="10" t="n">
        <v>18000</v>
      </c>
      <c r="Q62" s="10">
        <f>P62</f>
        <v/>
      </c>
      <c r="S62" s="10" t="n">
        <v>11700</v>
      </c>
      <c r="T62" s="10">
        <f>S62</f>
        <v/>
      </c>
      <c r="U62" s="27" t="n">
        <v>18000</v>
      </c>
      <c r="V62" s="10">
        <f>U62</f>
        <v/>
      </c>
      <c r="W62" s="277">
        <f>S62/G62</f>
        <v/>
      </c>
      <c r="X62" s="10" t="inlineStr">
        <is>
          <t>C</t>
        </is>
      </c>
      <c r="Y62" s="60" t="n"/>
      <c r="Z62" s="394" t="n"/>
      <c r="AA62" s="14" t="inlineStr">
        <is>
          <t>No</t>
        </is>
      </c>
      <c r="AE62" s="278" t="n">
        <v>1</v>
      </c>
      <c r="AF62" s="4" t="inlineStr">
        <is>
          <t>LEM / RIB</t>
        </is>
      </c>
    </row>
    <row r="63">
      <c r="A63" s="11" t="inlineStr">
        <is>
          <t>WS</t>
        </is>
      </c>
      <c r="B63" s="11" t="inlineStr">
        <is>
          <t>MEL</t>
        </is>
      </c>
      <c r="C63" s="2" t="n">
        <v>550795</v>
      </c>
      <c r="D63" s="4" t="inlineStr">
        <is>
          <t>20 Great Portland Street</t>
        </is>
      </c>
      <c r="E63" s="4" t="inlineStr">
        <is>
          <t xml:space="preserve">Ground Floor Front </t>
        </is>
      </c>
      <c r="F63" s="14" t="inlineStr">
        <is>
          <t>Retail</t>
        </is>
      </c>
      <c r="G63" s="7" t="n">
        <v>652</v>
      </c>
      <c r="H63" s="7">
        <f>G63</f>
        <v/>
      </c>
      <c r="I63" s="7" t="n">
        <v>750</v>
      </c>
      <c r="J63" s="4" t="inlineStr">
        <is>
          <t>Explore Global Limited</t>
        </is>
      </c>
      <c r="K63" s="8" t="n">
        <v>44851</v>
      </c>
      <c r="L63" s="9" t="n">
        <v>48503</v>
      </c>
      <c r="N63" s="9" t="n">
        <v>46677</v>
      </c>
      <c r="P63" s="10" t="n">
        <v>55000</v>
      </c>
      <c r="Q63" s="10">
        <f>P63</f>
        <v/>
      </c>
      <c r="S63" s="10" t="n">
        <v>55000</v>
      </c>
      <c r="T63" s="10">
        <f>S63</f>
        <v/>
      </c>
      <c r="U63" s="27" t="n">
        <v>55000</v>
      </c>
      <c r="V63" s="10">
        <f>U63</f>
        <v/>
      </c>
      <c r="W63" s="277">
        <f>S63/G63</f>
        <v/>
      </c>
      <c r="X63" s="10" t="inlineStr">
        <is>
          <t>D</t>
        </is>
      </c>
      <c r="Y63" s="60" t="n"/>
      <c r="Z63" s="394" t="n"/>
      <c r="AA63" s="14" t="inlineStr">
        <is>
          <t>No</t>
        </is>
      </c>
      <c r="AE63" s="278" t="n"/>
    </row>
    <row r="64">
      <c r="A64" s="11" t="inlineStr">
        <is>
          <t>WS</t>
        </is>
      </c>
      <c r="B64" s="11" t="inlineStr">
        <is>
          <t>MEL</t>
        </is>
      </c>
      <c r="C64" s="2" t="n">
        <v>550795</v>
      </c>
      <c r="D64" s="4" t="inlineStr">
        <is>
          <t>20 Great Portland Street</t>
        </is>
      </c>
      <c r="E64" s="4" t="inlineStr">
        <is>
          <t>First Floor Front</t>
        </is>
      </c>
      <c r="F64" s="14" t="inlineStr">
        <is>
          <t>Offices</t>
        </is>
      </c>
      <c r="G64" s="7" t="n">
        <v>558</v>
      </c>
      <c r="H64" s="7">
        <f>G64</f>
        <v/>
      </c>
      <c r="I64" s="7" t="n">
        <v>500</v>
      </c>
      <c r="J64" s="4" t="inlineStr">
        <is>
          <t>Des Baines Ltd</t>
        </is>
      </c>
      <c r="K64" s="8" t="n">
        <v>45114</v>
      </c>
      <c r="L64" s="9" t="n">
        <v>46940</v>
      </c>
      <c r="O64" s="9" t="n">
        <v>46209</v>
      </c>
      <c r="P64" s="10" t="n">
        <v>32400</v>
      </c>
      <c r="Q64" s="10">
        <f>P64</f>
        <v/>
      </c>
      <c r="S64" s="10" t="n">
        <v>29300</v>
      </c>
      <c r="T64" s="10">
        <f>S64</f>
        <v/>
      </c>
      <c r="U64" s="27" t="n">
        <v>29300</v>
      </c>
      <c r="V64" s="10">
        <f>U64</f>
        <v/>
      </c>
      <c r="W64" s="277">
        <f>S64/G64</f>
        <v/>
      </c>
      <c r="X64" s="10" t="inlineStr">
        <is>
          <t>C</t>
        </is>
      </c>
      <c r="Y64" s="60" t="n"/>
      <c r="Z64" s="394" t="n"/>
      <c r="AA64" s="14" t="inlineStr">
        <is>
          <t>No</t>
        </is>
      </c>
      <c r="AB64" s="4" t="inlineStr">
        <is>
          <t>Tenant break on 6 months notice.</t>
        </is>
      </c>
      <c r="AE64" s="278" t="n"/>
    </row>
    <row r="65">
      <c r="A65" s="11" t="inlineStr">
        <is>
          <t>WS</t>
        </is>
      </c>
      <c r="B65" s="11" t="inlineStr">
        <is>
          <t>MEL</t>
        </is>
      </c>
      <c r="C65" s="2" t="n">
        <v>550795</v>
      </c>
      <c r="D65" s="4" t="inlineStr">
        <is>
          <t>20 Great Portland Street</t>
        </is>
      </c>
      <c r="E65" s="4" t="inlineStr">
        <is>
          <t>First Floor Rear</t>
        </is>
      </c>
      <c r="F65" s="14" t="inlineStr">
        <is>
          <t>Offices</t>
        </is>
      </c>
      <c r="G65" s="7" t="n">
        <v>310</v>
      </c>
      <c r="H65" s="7">
        <f>G65</f>
        <v/>
      </c>
      <c r="I65" s="7" t="n">
        <v>250</v>
      </c>
      <c r="J65" s="4" t="inlineStr">
        <is>
          <t>One Therapy Ltd.</t>
        </is>
      </c>
      <c r="K65" s="8" t="n">
        <v>45869</v>
      </c>
      <c r="L65" s="9" t="n">
        <v>47694</v>
      </c>
      <c r="O65" s="9" t="n">
        <v>46964</v>
      </c>
      <c r="P65" s="10" t="n">
        <v>15500</v>
      </c>
      <c r="Q65" s="10">
        <f>P65</f>
        <v/>
      </c>
      <c r="S65" s="10" t="n">
        <v>15500</v>
      </c>
      <c r="T65" s="10">
        <f>S65</f>
        <v/>
      </c>
      <c r="U65" s="27" t="n">
        <v>15500</v>
      </c>
      <c r="V65" s="10">
        <f>U65</f>
        <v/>
      </c>
      <c r="W65" s="277">
        <f>S65/G65</f>
        <v/>
      </c>
      <c r="X65" s="10" t="inlineStr">
        <is>
          <t>C</t>
        </is>
      </c>
      <c r="Y65" s="60" t="n"/>
      <c r="Z65" s="394" t="n"/>
      <c r="AA65" s="14" t="inlineStr">
        <is>
          <t>No</t>
        </is>
      </c>
      <c r="AB65" s="4" t="inlineStr">
        <is>
          <t>Tenant break on 6 months notice.</t>
        </is>
      </c>
      <c r="AE65" s="278" t="n"/>
    </row>
    <row r="66">
      <c r="A66" s="11" t="inlineStr">
        <is>
          <t>WS</t>
        </is>
      </c>
      <c r="B66" s="11" t="inlineStr">
        <is>
          <t>MEL</t>
        </is>
      </c>
      <c r="C66" s="2" t="n">
        <v>550795</v>
      </c>
      <c r="D66" s="4" t="inlineStr">
        <is>
          <t>20 Great Portland Street</t>
        </is>
      </c>
      <c r="E66" s="4" t="inlineStr">
        <is>
          <t>Second Floor Front</t>
        </is>
      </c>
      <c r="F66" s="14" t="inlineStr">
        <is>
          <t>Offices</t>
        </is>
      </c>
      <c r="G66" s="7" t="n">
        <v>455</v>
      </c>
      <c r="H66" s="7">
        <f>G66</f>
        <v/>
      </c>
      <c r="I66" s="7" t="n">
        <v>500</v>
      </c>
      <c r="J66" s="4" t="inlineStr">
        <is>
          <t>The Campbell Napier Practice Ltd</t>
        </is>
      </c>
      <c r="K66" s="8" t="n">
        <v>44505</v>
      </c>
      <c r="L66" s="9" t="n">
        <v>45965</v>
      </c>
      <c r="P66" s="10" t="n">
        <v>22800</v>
      </c>
      <c r="Q66" s="10">
        <f>P66</f>
        <v/>
      </c>
      <c r="S66" s="10" t="n">
        <v>22800</v>
      </c>
      <c r="T66" s="10">
        <f>S66</f>
        <v/>
      </c>
      <c r="U66" s="27" t="n">
        <v>22800</v>
      </c>
      <c r="V66" s="10">
        <f>U66</f>
        <v/>
      </c>
      <c r="W66" s="277">
        <f>S66/G66</f>
        <v/>
      </c>
      <c r="X66" s="10" t="inlineStr">
        <is>
          <t>E</t>
        </is>
      </c>
      <c r="Y66" s="60" t="n"/>
      <c r="Z66" s="394" t="n"/>
      <c r="AA66" s="14" t="inlineStr">
        <is>
          <t>No</t>
        </is>
      </c>
      <c r="AB66" s="4" t="inlineStr">
        <is>
          <t>Reversionary lease completed. Lease expiring 29/09/26 @ same rent.</t>
        </is>
      </c>
      <c r="AE66" s="278" t="n"/>
    </row>
    <row r="67">
      <c r="A67" s="11" t="inlineStr">
        <is>
          <t>WS</t>
        </is>
      </c>
      <c r="B67" s="11" t="inlineStr">
        <is>
          <t>MEL</t>
        </is>
      </c>
      <c r="C67" s="2" t="n">
        <v>550795</v>
      </c>
      <c r="D67" s="4" t="inlineStr">
        <is>
          <t>20 Great Portland Street</t>
        </is>
      </c>
      <c r="E67" s="4" t="inlineStr">
        <is>
          <t>Second Floor Rear</t>
        </is>
      </c>
      <c r="F67" s="14" t="inlineStr">
        <is>
          <t>Offices</t>
        </is>
      </c>
      <c r="G67" s="7" t="n">
        <v>310</v>
      </c>
      <c r="H67" s="7">
        <f>G67</f>
        <v/>
      </c>
      <c r="I67" s="7" t="n">
        <v>250</v>
      </c>
      <c r="J67" s="4" t="inlineStr">
        <is>
          <t>PsychotherapyUK Training Ltd.</t>
        </is>
      </c>
      <c r="K67" s="8" t="n">
        <v>45869</v>
      </c>
      <c r="L67" s="9" t="n">
        <v>47694</v>
      </c>
      <c r="O67" s="9" t="n">
        <v>46964</v>
      </c>
      <c r="P67" s="10" t="n">
        <v>15500</v>
      </c>
      <c r="Q67" s="10">
        <f>P67</f>
        <v/>
      </c>
      <c r="S67" s="10" t="n">
        <v>15500</v>
      </c>
      <c r="T67" s="10">
        <f>S67</f>
        <v/>
      </c>
      <c r="U67" s="27" t="n">
        <v>15500</v>
      </c>
      <c r="V67" s="10">
        <f>U67</f>
        <v/>
      </c>
      <c r="W67" s="277">
        <f>S67/G67</f>
        <v/>
      </c>
      <c r="X67" s="10" t="inlineStr">
        <is>
          <t>E</t>
        </is>
      </c>
      <c r="Y67" s="60" t="n"/>
      <c r="Z67" s="394" t="n"/>
      <c r="AA67" s="14" t="inlineStr">
        <is>
          <t>No</t>
        </is>
      </c>
      <c r="AB67" s="4" t="inlineStr">
        <is>
          <t>Tenant break on 6 months notice.</t>
        </is>
      </c>
      <c r="AE67" s="278" t="n"/>
    </row>
    <row r="68">
      <c r="A68" s="11" t="inlineStr">
        <is>
          <t>WS</t>
        </is>
      </c>
      <c r="B68" s="11" t="inlineStr">
        <is>
          <t>MEL</t>
        </is>
      </c>
      <c r="C68" s="2" t="n">
        <v>550795</v>
      </c>
      <c r="D68" s="4" t="inlineStr">
        <is>
          <t>20 Great Portland Street</t>
        </is>
      </c>
      <c r="E68" s="4" t="inlineStr">
        <is>
          <t>Third Floor Front</t>
        </is>
      </c>
      <c r="F68" s="14" t="inlineStr">
        <is>
          <t>Offices</t>
        </is>
      </c>
      <c r="G68" s="7" t="n">
        <v>450</v>
      </c>
      <c r="H68" s="7">
        <f>G68</f>
        <v/>
      </c>
      <c r="I68" s="7" t="n">
        <v>500</v>
      </c>
      <c r="J68" s="4" t="inlineStr">
        <is>
          <t>The Campbell Napier Practice Ltd</t>
        </is>
      </c>
      <c r="K68" s="8" t="n">
        <v>45199</v>
      </c>
      <c r="L68" s="9" t="n">
        <v>47025</v>
      </c>
      <c r="O68" s="9" t="n">
        <v>46294</v>
      </c>
      <c r="P68" s="10" t="n">
        <v>24750</v>
      </c>
      <c r="Q68" s="10">
        <f>P68</f>
        <v/>
      </c>
      <c r="S68" s="10" t="n">
        <v>22838</v>
      </c>
      <c r="T68" s="10">
        <f>S68</f>
        <v/>
      </c>
      <c r="U68" s="27" t="n">
        <v>23400</v>
      </c>
      <c r="V68" s="10">
        <f>U68</f>
        <v/>
      </c>
      <c r="W68" s="277">
        <f>S68/G68</f>
        <v/>
      </c>
      <c r="X68" s="10" t="inlineStr">
        <is>
          <t>E</t>
        </is>
      </c>
      <c r="Y68" s="60" t="n"/>
      <c r="Z68" s="394" t="n"/>
      <c r="AA68" s="14" t="inlineStr">
        <is>
          <t>No</t>
        </is>
      </c>
      <c r="AB68" s="4" t="inlineStr">
        <is>
          <t>Rent rises to £26,325 wef 29/09/26. Tenant break on 6 months notice.</t>
        </is>
      </c>
      <c r="AE68" s="278" t="n"/>
    </row>
    <row r="69">
      <c r="A69" s="11" t="inlineStr">
        <is>
          <t>WS</t>
        </is>
      </c>
      <c r="B69" s="11" t="inlineStr">
        <is>
          <t>MEL</t>
        </is>
      </c>
      <c r="C69" s="2" t="n">
        <v>550795</v>
      </c>
      <c r="D69" s="4" t="inlineStr">
        <is>
          <t>20 Great Portland Street</t>
        </is>
      </c>
      <c r="E69" s="4" t="inlineStr">
        <is>
          <t>Third Floor Rear</t>
        </is>
      </c>
      <c r="F69" s="14" t="inlineStr">
        <is>
          <t>Offices</t>
        </is>
      </c>
      <c r="G69" s="7" t="n">
        <v>215</v>
      </c>
      <c r="H69" s="7">
        <f>G69</f>
        <v/>
      </c>
      <c r="I69" s="7" t="n">
        <v>250</v>
      </c>
      <c r="J69" s="4" t="inlineStr">
        <is>
          <t>One Therapy Ltd.</t>
        </is>
      </c>
      <c r="K69" s="8" t="n">
        <v>45869</v>
      </c>
      <c r="L69" s="9" t="n">
        <v>47694</v>
      </c>
      <c r="O69" s="9" t="n">
        <v>46964</v>
      </c>
      <c r="P69" s="10" t="n">
        <v>11502</v>
      </c>
      <c r="Q69" s="10">
        <f>P69</f>
        <v/>
      </c>
      <c r="S69" s="10" t="n">
        <v>10200</v>
      </c>
      <c r="T69" s="10">
        <f>S69</f>
        <v/>
      </c>
      <c r="U69" s="27" t="n">
        <v>11400</v>
      </c>
      <c r="V69" s="10">
        <f>U69</f>
        <v/>
      </c>
      <c r="W69" s="277">
        <f>S69/G69</f>
        <v/>
      </c>
      <c r="X69" s="10" t="inlineStr">
        <is>
          <t>E</t>
        </is>
      </c>
      <c r="Y69" s="60" t="n"/>
      <c r="Z69" s="394" t="n"/>
      <c r="AA69" s="14" t="inlineStr">
        <is>
          <t>No</t>
        </is>
      </c>
      <c r="AB69" s="4" t="inlineStr">
        <is>
          <t>Tenant break on 6 months notice.</t>
        </is>
      </c>
      <c r="AE69" s="278" t="n"/>
    </row>
    <row r="70">
      <c r="A70" s="11" t="inlineStr">
        <is>
          <t>WS</t>
        </is>
      </c>
      <c r="B70" s="11" t="inlineStr">
        <is>
          <t>MEL</t>
        </is>
      </c>
      <c r="C70" s="2" t="n">
        <v>550795</v>
      </c>
      <c r="D70" s="4" t="inlineStr">
        <is>
          <t>20 Great Portland Street</t>
        </is>
      </c>
      <c r="E70" s="4" t="inlineStr">
        <is>
          <t>Fourth Floor</t>
        </is>
      </c>
      <c r="F70" s="14" t="inlineStr">
        <is>
          <t>Offices</t>
        </is>
      </c>
      <c r="G70" s="7" t="n">
        <v>410</v>
      </c>
      <c r="H70" s="7">
        <f>G70</f>
        <v/>
      </c>
      <c r="I70" s="7" t="n">
        <v>500</v>
      </c>
      <c r="J70" s="4" t="inlineStr">
        <is>
          <t>The Campbell Napier Practice Ltd</t>
        </is>
      </c>
      <c r="K70" s="8" t="n">
        <v>45199</v>
      </c>
      <c r="L70" s="9" t="n">
        <v>47025</v>
      </c>
      <c r="O70" s="9" t="n">
        <v>46294</v>
      </c>
      <c r="P70" s="10" t="n">
        <v>22550</v>
      </c>
      <c r="Q70" s="10">
        <f>P70</f>
        <v/>
      </c>
      <c r="S70" s="10" t="n">
        <v>21100</v>
      </c>
      <c r="T70" s="10">
        <f>S70</f>
        <v/>
      </c>
      <c r="U70" s="27" t="n">
        <v>21700</v>
      </c>
      <c r="V70" s="10">
        <f>U70</f>
        <v/>
      </c>
      <c r="W70" s="277">
        <f>S70/G70</f>
        <v/>
      </c>
      <c r="X70" s="10" t="inlineStr">
        <is>
          <t>D</t>
        </is>
      </c>
      <c r="Y70" s="60" t="n"/>
      <c r="Z70" s="394" t="n"/>
      <c r="AA70" s="14" t="inlineStr">
        <is>
          <t>No</t>
        </is>
      </c>
      <c r="AB70" s="4" t="inlineStr">
        <is>
          <t>Rent rises to £23,985 wef 29/09/26. Tenant break on 6 months notice.</t>
        </is>
      </c>
      <c r="AE70" s="278" t="n"/>
    </row>
    <row r="71">
      <c r="A71" s="11" t="inlineStr">
        <is>
          <t>WS</t>
        </is>
      </c>
      <c r="B71" s="11" t="inlineStr">
        <is>
          <t>MEL</t>
        </is>
      </c>
      <c r="C71" s="2" t="n">
        <v>550080</v>
      </c>
      <c r="D71" s="4" t="inlineStr">
        <is>
          <t>Highlight House, 22-24 Great Portland Street</t>
        </is>
      </c>
      <c r="E71" s="4" t="inlineStr">
        <is>
          <t>Basement &amp; Ground Floor</t>
        </is>
      </c>
      <c r="F71" s="14" t="inlineStr">
        <is>
          <t>Restaurant</t>
        </is>
      </c>
      <c r="G71" s="7" t="n">
        <v>3626</v>
      </c>
      <c r="H71" s="7">
        <f>G71</f>
        <v/>
      </c>
      <c r="I71" s="7" t="n">
        <v>3500</v>
      </c>
      <c r="J71" s="4" t="inlineStr">
        <is>
          <t>Mamaye UK Limited.</t>
        </is>
      </c>
      <c r="K71" s="8" t="n">
        <v>44635</v>
      </c>
      <c r="L71" s="9" t="n">
        <v>48287</v>
      </c>
      <c r="N71" s="9" t="n">
        <v>46461</v>
      </c>
      <c r="O71" s="9" t="n">
        <v>46460</v>
      </c>
      <c r="P71" s="10" t="n">
        <v>220000</v>
      </c>
      <c r="Q71" s="10">
        <f>P71</f>
        <v/>
      </c>
      <c r="S71" s="10" t="n">
        <v>210000</v>
      </c>
      <c r="T71" s="10">
        <f>S71</f>
        <v/>
      </c>
      <c r="U71" s="27" t="n">
        <v>237500</v>
      </c>
      <c r="V71" s="10">
        <f>U71</f>
        <v/>
      </c>
      <c r="W71" s="277">
        <f>S71/G71</f>
        <v/>
      </c>
      <c r="X71" s="10" t="inlineStr">
        <is>
          <t>D</t>
        </is>
      </c>
      <c r="Y71" s="60" t="n"/>
      <c r="Z71" s="394" t="n"/>
      <c r="AA71" s="14" t="inlineStr">
        <is>
          <t>No</t>
        </is>
      </c>
      <c r="AB71" s="4" t="inlineStr">
        <is>
          <t>Rent rises to £237,500 wef 15/03/26.</t>
        </is>
      </c>
      <c r="AE71" s="278" t="n"/>
    </row>
    <row r="72">
      <c r="A72" s="11" t="inlineStr">
        <is>
          <t>WS</t>
        </is>
      </c>
      <c r="B72" s="11" t="inlineStr">
        <is>
          <t>MEL</t>
        </is>
      </c>
      <c r="C72" s="2" t="n">
        <v>550080</v>
      </c>
      <c r="D72" s="4" t="inlineStr">
        <is>
          <t>Highlight House, 22-24 Great Portland Street</t>
        </is>
      </c>
      <c r="E72" s="4" t="inlineStr">
        <is>
          <t>First Floor</t>
        </is>
      </c>
      <c r="F72" s="14" t="inlineStr">
        <is>
          <t xml:space="preserve"> Office</t>
        </is>
      </c>
      <c r="G72" s="7" t="n">
        <v>1493</v>
      </c>
      <c r="H72" s="7">
        <f>G72</f>
        <v/>
      </c>
      <c r="I72" s="7" t="n">
        <v>1500</v>
      </c>
      <c r="J72" s="4" t="inlineStr">
        <is>
          <t>Vacant</t>
        </is>
      </c>
      <c r="M72" s="9" t="n">
        <v>43279</v>
      </c>
      <c r="P72" s="10" t="n">
        <v>0</v>
      </c>
      <c r="Q72" s="10">
        <f>P72</f>
        <v/>
      </c>
      <c r="S72" s="10" t="n">
        <v>86600</v>
      </c>
      <c r="T72" s="10">
        <f>S72</f>
        <v/>
      </c>
      <c r="U72" s="27" t="n">
        <v>93300</v>
      </c>
      <c r="V72" s="10">
        <f>U72</f>
        <v/>
      </c>
      <c r="W72" s="277">
        <f>S72/G72</f>
        <v/>
      </c>
      <c r="X72" s="10" t="inlineStr">
        <is>
          <t>D</t>
        </is>
      </c>
      <c r="Y72" s="60" t="n"/>
      <c r="Z72" s="394" t="n"/>
      <c r="AA72" s="14" t="inlineStr">
        <is>
          <t>No</t>
        </is>
      </c>
      <c r="AB72" s="4" t="inlineStr">
        <is>
          <t>Mothballed.</t>
        </is>
      </c>
      <c r="AD72" s="29" t="n"/>
      <c r="AE72" s="279" t="n"/>
      <c r="AF72" s="29" t="n"/>
    </row>
    <row r="73">
      <c r="A73" s="11" t="inlineStr">
        <is>
          <t>WS</t>
        </is>
      </c>
      <c r="B73" s="11" t="inlineStr">
        <is>
          <t>MEL</t>
        </is>
      </c>
      <c r="C73" s="2" t="n">
        <v>550080</v>
      </c>
      <c r="D73" s="4" t="inlineStr">
        <is>
          <t>Highlight House, 22-24 Great Portland Street</t>
        </is>
      </c>
      <c r="E73" s="4" t="inlineStr">
        <is>
          <t>Second Floor</t>
        </is>
      </c>
      <c r="F73" s="14" t="inlineStr">
        <is>
          <t>Office</t>
        </is>
      </c>
      <c r="G73" s="7" t="n">
        <v>1503</v>
      </c>
      <c r="H73" s="7">
        <f>G73</f>
        <v/>
      </c>
      <c r="I73" s="7" t="n">
        <v>1500</v>
      </c>
      <c r="J73" s="4" t="inlineStr">
        <is>
          <t>Vacant</t>
        </is>
      </c>
      <c r="M73" s="9" t="n">
        <v>43354</v>
      </c>
      <c r="P73" s="10" t="n">
        <v>0</v>
      </c>
      <c r="Q73" s="10">
        <f>P73</f>
        <v/>
      </c>
      <c r="S73" s="10" t="n">
        <v>88100</v>
      </c>
      <c r="T73" s="10">
        <f>S73</f>
        <v/>
      </c>
      <c r="U73" s="27" t="n">
        <v>93900</v>
      </c>
      <c r="V73" s="10">
        <f>U73</f>
        <v/>
      </c>
      <c r="W73" s="277">
        <f>S73/G73</f>
        <v/>
      </c>
      <c r="X73" s="10" t="inlineStr">
        <is>
          <t>D</t>
        </is>
      </c>
      <c r="Y73" s="60" t="n"/>
      <c r="Z73" s="394" t="n"/>
      <c r="AA73" s="14" t="inlineStr">
        <is>
          <t>No</t>
        </is>
      </c>
      <c r="AB73" s="4" t="inlineStr">
        <is>
          <t>Mothballed.</t>
        </is>
      </c>
      <c r="AD73" s="29" t="n"/>
      <c r="AE73" s="279" t="n"/>
      <c r="AF73" s="29" t="n"/>
    </row>
    <row r="74">
      <c r="A74" s="11" t="inlineStr">
        <is>
          <t>WS</t>
        </is>
      </c>
      <c r="B74" s="11" t="inlineStr">
        <is>
          <t>MEL</t>
        </is>
      </c>
      <c r="C74" s="2" t="n">
        <v>550080</v>
      </c>
      <c r="D74" s="4" t="inlineStr">
        <is>
          <t>Highlight House, 22-24 Great Portland Street</t>
        </is>
      </c>
      <c r="E74" s="4" t="inlineStr">
        <is>
          <t>Third Floor</t>
        </is>
      </c>
      <c r="F74" s="14" t="inlineStr">
        <is>
          <t>Office</t>
        </is>
      </c>
      <c r="G74" s="7" t="n">
        <v>1519</v>
      </c>
      <c r="H74" s="7">
        <f>G74</f>
        <v/>
      </c>
      <c r="I74" s="7" t="n">
        <v>1500</v>
      </c>
      <c r="J74" s="4" t="inlineStr">
        <is>
          <t>Vacant</t>
        </is>
      </c>
      <c r="M74" s="9" t="n">
        <v>43354</v>
      </c>
      <c r="P74" s="10" t="n">
        <v>0</v>
      </c>
      <c r="Q74" s="10">
        <f>P74</f>
        <v/>
      </c>
      <c r="S74" s="10" t="n">
        <v>83100</v>
      </c>
      <c r="T74" s="10">
        <f>S74</f>
        <v/>
      </c>
      <c r="U74" s="27" t="n">
        <v>91100</v>
      </c>
      <c r="V74" s="10">
        <f>U74</f>
        <v/>
      </c>
      <c r="W74" s="277">
        <f>S74/G74</f>
        <v/>
      </c>
      <c r="X74" s="10" t="inlineStr">
        <is>
          <t>D</t>
        </is>
      </c>
      <c r="Y74" s="60" t="n"/>
      <c r="Z74" s="394" t="n"/>
      <c r="AA74" s="14" t="inlineStr">
        <is>
          <t>No</t>
        </is>
      </c>
      <c r="AB74" s="4" t="inlineStr">
        <is>
          <t>Mothballed.</t>
        </is>
      </c>
      <c r="AD74" s="29" t="n"/>
      <c r="AE74" s="279" t="n"/>
      <c r="AF74" s="29" t="n"/>
    </row>
    <row r="75">
      <c r="A75" s="11" t="inlineStr">
        <is>
          <t>WS</t>
        </is>
      </c>
      <c r="B75" s="11" t="inlineStr">
        <is>
          <t>MEL</t>
        </is>
      </c>
      <c r="C75" s="2" t="n">
        <v>550080</v>
      </c>
      <c r="D75" s="4" t="inlineStr">
        <is>
          <t>Highlight House, 22-24 Great Portland Street</t>
        </is>
      </c>
      <c r="E75" s="4" t="inlineStr">
        <is>
          <t>Fourth Floor</t>
        </is>
      </c>
      <c r="F75" s="14" t="inlineStr">
        <is>
          <t>Office</t>
        </is>
      </c>
      <c r="G75" s="7" t="n">
        <v>1505</v>
      </c>
      <c r="H75" s="7">
        <f>G75</f>
        <v/>
      </c>
      <c r="I75" s="7" t="n">
        <v>1500</v>
      </c>
      <c r="J75" s="4" t="inlineStr">
        <is>
          <t>Vacant</t>
        </is>
      </c>
      <c r="M75" s="9" t="n">
        <v>43354</v>
      </c>
      <c r="P75" s="10" t="n">
        <v>0</v>
      </c>
      <c r="Q75" s="10">
        <f>P75</f>
        <v/>
      </c>
      <c r="S75" s="10" t="n">
        <v>83800</v>
      </c>
      <c r="T75" s="10">
        <f>S75</f>
        <v/>
      </c>
      <c r="U75" s="27" t="n">
        <v>90300</v>
      </c>
      <c r="V75" s="10">
        <f>U75</f>
        <v/>
      </c>
      <c r="W75" s="277">
        <f>S75/G75</f>
        <v/>
      </c>
      <c r="X75" s="10" t="inlineStr">
        <is>
          <t>D</t>
        </is>
      </c>
      <c r="Y75" s="60" t="n"/>
      <c r="Z75" s="394" t="n"/>
      <c r="AA75" s="14" t="inlineStr">
        <is>
          <t>No</t>
        </is>
      </c>
      <c r="AB75" s="4" t="inlineStr">
        <is>
          <t>Mothballed.</t>
        </is>
      </c>
      <c r="AD75" s="29" t="n"/>
      <c r="AE75" s="279" t="n"/>
      <c r="AF75" s="29" t="n"/>
    </row>
    <row r="76">
      <c r="A76" s="11" t="inlineStr">
        <is>
          <t>CD</t>
        </is>
      </c>
      <c r="B76" s="11" t="inlineStr">
        <is>
          <t>MEL</t>
        </is>
      </c>
      <c r="C76" s="2" t="n">
        <v>550400</v>
      </c>
      <c r="D76" s="4" t="inlineStr">
        <is>
          <t>23-25 Great Portland Street &amp; 54-55 Margaret Street</t>
        </is>
      </c>
      <c r="E76" s="4" t="inlineStr">
        <is>
          <t>Basement &amp; Ground Floor</t>
        </is>
      </c>
      <c r="F76" s="14" t="inlineStr">
        <is>
          <t>Shop/Cafe</t>
        </is>
      </c>
      <c r="G76" s="7" t="n">
        <v>2164</v>
      </c>
      <c r="H76" s="7">
        <f>G76</f>
        <v/>
      </c>
      <c r="I76" s="7" t="n">
        <v>2000</v>
      </c>
      <c r="J76" s="4" t="inlineStr">
        <is>
          <t>Florian James Limited</t>
        </is>
      </c>
      <c r="K76" s="8" t="n">
        <v>44995</v>
      </c>
      <c r="L76" s="9" t="n">
        <v>48647</v>
      </c>
      <c r="N76" s="9" t="n">
        <v>46822</v>
      </c>
      <c r="P76" s="10" t="n">
        <v>165000</v>
      </c>
      <c r="Q76" s="10">
        <f>P76</f>
        <v/>
      </c>
      <c r="S76" s="10" t="n">
        <v>165000</v>
      </c>
      <c r="T76" s="10">
        <f>S76</f>
        <v/>
      </c>
      <c r="U76" s="27" t="n">
        <v>165000</v>
      </c>
      <c r="V76" s="10">
        <f>U76</f>
        <v/>
      </c>
      <c r="W76" s="277">
        <f>S76/G76</f>
        <v/>
      </c>
      <c r="X76" s="10" t="inlineStr">
        <is>
          <t>D</t>
        </is>
      </c>
      <c r="Y76" s="60" t="n"/>
      <c r="Z76" s="394" t="n"/>
      <c r="AA76" s="14" t="inlineStr">
        <is>
          <t>No</t>
        </is>
      </c>
      <c r="AE76" s="278" t="n"/>
    </row>
    <row r="77">
      <c r="A77" s="11" t="inlineStr">
        <is>
          <t>CD</t>
        </is>
      </c>
      <c r="B77" s="11" t="inlineStr">
        <is>
          <t>MEL</t>
        </is>
      </c>
      <c r="C77" s="2" t="n">
        <v>550400</v>
      </c>
      <c r="D77" s="4" t="inlineStr">
        <is>
          <t>23-25 Great Portland Street &amp; 54-55 Margaret Street</t>
        </is>
      </c>
      <c r="E77" s="13" t="inlineStr">
        <is>
          <t>First to Fourth Floors</t>
        </is>
      </c>
      <c r="F77" s="14" t="inlineStr">
        <is>
          <t>Office</t>
        </is>
      </c>
      <c r="G77" s="7" t="n">
        <v>3545</v>
      </c>
      <c r="H77" s="7">
        <f>G77</f>
        <v/>
      </c>
      <c r="I77" s="7" t="n">
        <v>3500</v>
      </c>
      <c r="J77" s="4" t="inlineStr">
        <is>
          <t>Factory Studios Limited.</t>
        </is>
      </c>
      <c r="K77" s="8" t="n">
        <v>44362</v>
      </c>
      <c r="L77" s="9" t="n">
        <v>48013</v>
      </c>
      <c r="N77" s="9" t="n">
        <v>46197</v>
      </c>
      <c r="O77" s="9" t="n">
        <v>46197</v>
      </c>
      <c r="P77" s="10" t="n">
        <v>220000</v>
      </c>
      <c r="Q77" s="10">
        <f>P77</f>
        <v/>
      </c>
      <c r="S77" s="10" t="n">
        <v>220000</v>
      </c>
      <c r="T77" s="10">
        <f>S77</f>
        <v/>
      </c>
      <c r="U77" s="27" t="n">
        <v>220000</v>
      </c>
      <c r="V77" s="10">
        <f>U77</f>
        <v/>
      </c>
      <c r="W77" s="277">
        <f>S77/G77</f>
        <v/>
      </c>
      <c r="X77" s="10" t="inlineStr">
        <is>
          <t>C</t>
        </is>
      </c>
      <c r="Y77" s="60" t="n"/>
      <c r="Z77" s="394" t="n"/>
      <c r="AA77" s="14" t="inlineStr">
        <is>
          <t>No</t>
        </is>
      </c>
      <c r="AB77" s="4" t="inlineStr">
        <is>
          <t>Tenant break on 6 months notice.</t>
        </is>
      </c>
      <c r="AE77" s="278" t="n"/>
    </row>
    <row r="78">
      <c r="A78" s="11" t="inlineStr">
        <is>
          <t>CM</t>
        </is>
      </c>
      <c r="B78" s="11" t="inlineStr">
        <is>
          <t>MEL</t>
        </is>
      </c>
      <c r="C78" s="2" t="n">
        <v>550740</v>
      </c>
      <c r="D78" s="4" t="inlineStr">
        <is>
          <t>39 Great Portland Street</t>
        </is>
      </c>
      <c r="E78" s="4" t="inlineStr">
        <is>
          <t>Basement &amp; Ground Floor</t>
        </is>
      </c>
      <c r="F78" s="14" t="inlineStr">
        <is>
          <t>Showroom</t>
        </is>
      </c>
      <c r="G78" s="7" t="n">
        <v>1524</v>
      </c>
      <c r="H78" s="7">
        <f>G78</f>
        <v/>
      </c>
      <c r="I78" s="7" t="n">
        <v>1500</v>
      </c>
      <c r="J78" s="4" t="inlineStr">
        <is>
          <t>Fads Boutique Limited</t>
        </is>
      </c>
      <c r="K78" s="8" t="n">
        <v>44833</v>
      </c>
      <c r="L78" s="9" t="n">
        <v>45928</v>
      </c>
      <c r="P78" s="10" t="n">
        <v>72000</v>
      </c>
      <c r="Q78" s="10">
        <f>P78</f>
        <v/>
      </c>
      <c r="S78" s="10" t="n">
        <v>72000</v>
      </c>
      <c r="T78" s="10">
        <f>S78</f>
        <v/>
      </c>
      <c r="U78" s="27" t="n">
        <v>72038</v>
      </c>
      <c r="V78" s="10">
        <f>U78</f>
        <v/>
      </c>
      <c r="W78" s="277">
        <f>S78/G78</f>
        <v/>
      </c>
      <c r="X78" s="10" t="inlineStr">
        <is>
          <t>D</t>
        </is>
      </c>
      <c r="Y78" s="60" t="n"/>
      <c r="Z78" s="394" t="n"/>
      <c r="AA78" s="14" t="inlineStr">
        <is>
          <t>No</t>
        </is>
      </c>
      <c r="AB78" s="29" t="inlineStr">
        <is>
          <t>Short term lease renewal agreed.</t>
        </is>
      </c>
      <c r="AC78" s="303" t="n"/>
      <c r="AD78" s="4" t="n"/>
      <c r="AE78" s="278" t="n"/>
      <c r="AF78" s="4" t="n"/>
    </row>
    <row r="79">
      <c r="A79" s="11" t="inlineStr">
        <is>
          <t>CM</t>
        </is>
      </c>
      <c r="B79" s="11" t="inlineStr">
        <is>
          <t>MEL</t>
        </is>
      </c>
      <c r="C79" s="2" t="n">
        <v>550740</v>
      </c>
      <c r="D79" s="4" t="inlineStr">
        <is>
          <t>39 Great Portland Street</t>
        </is>
      </c>
      <c r="E79" s="4" t="inlineStr">
        <is>
          <t>First Floor</t>
        </is>
      </c>
      <c r="F79" s="14" t="inlineStr">
        <is>
          <t>Office</t>
        </is>
      </c>
      <c r="G79" s="7" t="n">
        <v>730</v>
      </c>
      <c r="H79" s="7">
        <f>G79</f>
        <v/>
      </c>
      <c r="I79" s="7" t="n">
        <v>750</v>
      </c>
      <c r="J79" s="4" t="inlineStr">
        <is>
          <t>Studio Boum Limited.</t>
        </is>
      </c>
      <c r="K79" s="8" t="n">
        <v>45271</v>
      </c>
      <c r="L79" s="9" t="n">
        <v>46561</v>
      </c>
      <c r="P79" s="10" t="n">
        <v>42705</v>
      </c>
      <c r="Q79" s="10">
        <f>P79</f>
        <v/>
      </c>
      <c r="S79" s="10" t="n">
        <v>42000</v>
      </c>
      <c r="T79" s="10">
        <f>S79</f>
        <v/>
      </c>
      <c r="U79" s="27" t="n">
        <v>41975</v>
      </c>
      <c r="V79" s="10">
        <f>U79</f>
        <v/>
      </c>
      <c r="W79" s="277">
        <f>S79/G79</f>
        <v/>
      </c>
      <c r="X79" s="10" t="inlineStr">
        <is>
          <t>D</t>
        </is>
      </c>
      <c r="Y79" s="60" t="n"/>
      <c r="Z79" s="394" t="n"/>
      <c r="AA79" s="14" t="inlineStr">
        <is>
          <t>No</t>
        </is>
      </c>
      <c r="AB79" s="4" t="n"/>
      <c r="AC79" s="303" t="n"/>
      <c r="AD79" s="4" t="n"/>
      <c r="AE79" s="278" t="n"/>
      <c r="AF79" s="4" t="n"/>
    </row>
    <row r="80">
      <c r="A80" s="11" t="inlineStr">
        <is>
          <t>CM</t>
        </is>
      </c>
      <c r="B80" s="11" t="inlineStr">
        <is>
          <t>MEL</t>
        </is>
      </c>
      <c r="C80" s="2" t="n">
        <v>550740</v>
      </c>
      <c r="D80" s="4" t="inlineStr">
        <is>
          <t>39 Great Portland Street</t>
        </is>
      </c>
      <c r="E80" s="4" t="inlineStr">
        <is>
          <t>Second Floor</t>
        </is>
      </c>
      <c r="F80" s="14" t="inlineStr">
        <is>
          <t>Office</t>
        </is>
      </c>
      <c r="G80" s="7" t="n">
        <v>730</v>
      </c>
      <c r="H80" s="7">
        <f>G80</f>
        <v/>
      </c>
      <c r="I80" s="7" t="n">
        <v>750</v>
      </c>
      <c r="J80" s="4" t="inlineStr">
        <is>
          <t>David Walker Architects Ltd.</t>
        </is>
      </c>
      <c r="K80" s="8" t="n">
        <v>44833</v>
      </c>
      <c r="L80" s="9" t="n">
        <v>46658</v>
      </c>
      <c r="P80" s="10" t="n">
        <v>42000</v>
      </c>
      <c r="Q80" s="10">
        <f>P80</f>
        <v/>
      </c>
      <c r="S80" s="10" t="n">
        <v>42000</v>
      </c>
      <c r="T80" s="10">
        <f>S80</f>
        <v/>
      </c>
      <c r="U80" s="27" t="n">
        <v>41975</v>
      </c>
      <c r="V80" s="10">
        <f>U80</f>
        <v/>
      </c>
      <c r="W80" s="277">
        <f>S80/G80</f>
        <v/>
      </c>
      <c r="X80" s="10" t="inlineStr">
        <is>
          <t>D</t>
        </is>
      </c>
      <c r="Y80" s="60" t="n"/>
      <c r="Z80" s="394" t="n"/>
      <c r="AA80" s="14" t="inlineStr">
        <is>
          <t>No</t>
        </is>
      </c>
      <c r="AE80" s="278" t="n"/>
    </row>
    <row r="81">
      <c r="A81" s="11" t="inlineStr">
        <is>
          <t>CM</t>
        </is>
      </c>
      <c r="B81" s="11" t="inlineStr">
        <is>
          <t>MEL</t>
        </is>
      </c>
      <c r="C81" s="2" t="n">
        <v>550740</v>
      </c>
      <c r="D81" s="4" t="inlineStr">
        <is>
          <t>39 Great Portland Street</t>
        </is>
      </c>
      <c r="E81" s="4" t="inlineStr">
        <is>
          <t>Third Floor</t>
        </is>
      </c>
      <c r="F81" s="14" t="inlineStr">
        <is>
          <t>Office</t>
        </is>
      </c>
      <c r="G81" s="7" t="n">
        <v>730</v>
      </c>
      <c r="H81" s="7">
        <f>G81</f>
        <v/>
      </c>
      <c r="I81" s="7" t="n">
        <v>750</v>
      </c>
      <c r="J81" s="4" t="inlineStr">
        <is>
          <t>Studio Boum Limited.</t>
        </is>
      </c>
      <c r="K81" s="8" t="n">
        <v>45271</v>
      </c>
      <c r="L81" s="9" t="n">
        <v>46561</v>
      </c>
      <c r="P81" s="10" t="n">
        <v>42705</v>
      </c>
      <c r="Q81" s="10">
        <f>P81</f>
        <v/>
      </c>
      <c r="S81" s="10" t="n">
        <v>42000</v>
      </c>
      <c r="T81" s="10">
        <f>S81</f>
        <v/>
      </c>
      <c r="U81" s="27" t="n">
        <v>41975</v>
      </c>
      <c r="V81" s="10">
        <f>U81</f>
        <v/>
      </c>
      <c r="W81" s="277">
        <f>S81/G81</f>
        <v/>
      </c>
      <c r="X81" s="10" t="inlineStr">
        <is>
          <t>D</t>
        </is>
      </c>
      <c r="Y81" s="60" t="n"/>
      <c r="Z81" s="394" t="n"/>
      <c r="AA81" s="14" t="inlineStr">
        <is>
          <t>No</t>
        </is>
      </c>
      <c r="AB81" s="4" t="n"/>
      <c r="AE81" s="278" t="n"/>
    </row>
    <row r="82">
      <c r="A82" s="11" t="inlineStr">
        <is>
          <t>CM</t>
        </is>
      </c>
      <c r="B82" s="11" t="inlineStr">
        <is>
          <t>MEL</t>
        </is>
      </c>
      <c r="C82" s="2" t="n">
        <v>550740</v>
      </c>
      <c r="D82" s="4" t="inlineStr">
        <is>
          <t>39 Great Portland Street</t>
        </is>
      </c>
      <c r="E82" s="4" t="inlineStr">
        <is>
          <t>Fourth &amp; Fifth Floors</t>
        </is>
      </c>
      <c r="F82" s="14" t="inlineStr">
        <is>
          <t>Residential</t>
        </is>
      </c>
      <c r="G82" s="7" t="n">
        <v>1180</v>
      </c>
      <c r="H82" s="7">
        <f>G82</f>
        <v/>
      </c>
      <c r="I82" s="7" t="n">
        <v>1000</v>
      </c>
      <c r="J82" s="29" t="inlineStr">
        <is>
          <t>T. Ciss &amp; JB Paleologue</t>
        </is>
      </c>
      <c r="K82" s="388" t="n">
        <v>45845</v>
      </c>
      <c r="L82" s="387" t="n">
        <v>45997</v>
      </c>
      <c r="M82" s="387" t="n"/>
      <c r="N82" s="387" t="n"/>
      <c r="O82" s="387" t="n"/>
      <c r="P82" s="27" t="n">
        <v>66000</v>
      </c>
      <c r="Q82" s="10">
        <f>P82</f>
        <v/>
      </c>
      <c r="S82" s="10" t="n">
        <v>61360</v>
      </c>
      <c r="T82" s="10">
        <f>S82</f>
        <v/>
      </c>
      <c r="U82" s="27" t="n">
        <v>63177</v>
      </c>
      <c r="V82" s="10">
        <f>U82</f>
        <v/>
      </c>
      <c r="W82" s="277">
        <f>S82/G82</f>
        <v/>
      </c>
      <c r="X82" s="10" t="inlineStr">
        <is>
          <t>C</t>
        </is>
      </c>
      <c r="Y82" s="60" t="n"/>
      <c r="Z82" s="394" t="n"/>
      <c r="AA82" s="14" t="inlineStr">
        <is>
          <t>No</t>
        </is>
      </c>
      <c r="AB82" s="29" t="inlineStr">
        <is>
          <t>Lease renewal completed. Tenant change of name.</t>
        </is>
      </c>
      <c r="AE82" s="278" t="n"/>
    </row>
    <row r="83">
      <c r="A83" s="11" t="inlineStr">
        <is>
          <t>CD</t>
        </is>
      </c>
      <c r="B83" s="11" t="inlineStr">
        <is>
          <t>MEL</t>
        </is>
      </c>
      <c r="C83" s="2" t="n">
        <v>550840</v>
      </c>
      <c r="D83" s="4" t="inlineStr">
        <is>
          <t>41 Great Portland Street</t>
        </is>
      </c>
      <c r="E83" s="4" t="inlineStr">
        <is>
          <t>Basement to Fourth</t>
        </is>
      </c>
      <c r="F83" s="14" t="inlineStr">
        <is>
          <t>Offices</t>
        </is>
      </c>
      <c r="G83" s="18" t="n">
        <v>2313</v>
      </c>
      <c r="H83" s="10">
        <f>G83</f>
        <v/>
      </c>
      <c r="I83" s="10" t="n">
        <v>2250</v>
      </c>
      <c r="J83" s="4" t="inlineStr">
        <is>
          <t>S.Hardwick &amp; L.Morris (t/a Hardwick &amp; Morris Chartered Accountants)</t>
        </is>
      </c>
      <c r="K83" s="8" t="n">
        <v>42339</v>
      </c>
      <c r="L83" s="9" t="n">
        <v>45991</v>
      </c>
      <c r="N83" s="9" t="n">
        <v>44166</v>
      </c>
      <c r="P83" s="19" t="n">
        <v>112000</v>
      </c>
      <c r="Q83" s="10">
        <f>P83</f>
        <v/>
      </c>
      <c r="R83" s="19">
        <f>Q83</f>
        <v/>
      </c>
      <c r="S83" s="18" t="n">
        <v>106600</v>
      </c>
      <c r="T83" s="10">
        <f>S83</f>
        <v/>
      </c>
      <c r="U83" s="361" t="n">
        <v>102100</v>
      </c>
      <c r="V83" s="10">
        <f>U83</f>
        <v/>
      </c>
      <c r="W83" s="277">
        <f>S83/G83</f>
        <v/>
      </c>
      <c r="X83" s="10" t="inlineStr">
        <is>
          <t>E</t>
        </is>
      </c>
      <c r="Y83" s="60" t="n"/>
      <c r="Z83" s="361" t="n">
        <v>1375000</v>
      </c>
      <c r="AA83" s="14" t="inlineStr">
        <is>
          <t>No</t>
        </is>
      </c>
      <c r="AE83" s="278" t="n"/>
    </row>
    <row r="84">
      <c r="A84" s="11" t="inlineStr">
        <is>
          <t>CM</t>
        </is>
      </c>
      <c r="B84" s="11" t="inlineStr">
        <is>
          <t>MEL</t>
        </is>
      </c>
      <c r="C84" s="2" t="n">
        <v>550830</v>
      </c>
      <c r="D84" s="4" t="inlineStr">
        <is>
          <t>42-48 Great Portland Street</t>
        </is>
      </c>
      <c r="E84" s="4" t="inlineStr">
        <is>
          <t xml:space="preserve">Basement &amp; Ground Floor </t>
        </is>
      </c>
      <c r="F84" s="11" t="inlineStr">
        <is>
          <t>Shop</t>
        </is>
      </c>
      <c r="G84" s="7" t="n">
        <v>4259</v>
      </c>
      <c r="H84" s="7">
        <f>G84</f>
        <v/>
      </c>
      <c r="I84" s="7" t="n">
        <v>4250</v>
      </c>
      <c r="J84" s="4" t="inlineStr">
        <is>
          <t>GP Acoustics (UK) Limited</t>
        </is>
      </c>
      <c r="K84" s="8" t="n">
        <v>44967</v>
      </c>
      <c r="L84" s="9" t="n">
        <v>48619</v>
      </c>
      <c r="N84" s="9" t="n">
        <v>46793</v>
      </c>
      <c r="O84" s="9" t="n">
        <v>46792</v>
      </c>
      <c r="P84" s="10" t="n">
        <v>215000</v>
      </c>
      <c r="Q84" s="10">
        <f>P84</f>
        <v/>
      </c>
      <c r="S84" s="7" t="n">
        <v>215000</v>
      </c>
      <c r="T84" s="10">
        <f>S84</f>
        <v/>
      </c>
      <c r="U84" s="359" t="n">
        <v>215000</v>
      </c>
      <c r="V84" s="10">
        <f>U84</f>
        <v/>
      </c>
      <c r="W84" s="277">
        <f>S84/G84</f>
        <v/>
      </c>
      <c r="X84" s="10" t="inlineStr">
        <is>
          <t>C</t>
        </is>
      </c>
      <c r="Y84" s="64" t="n"/>
      <c r="Z84" s="394" t="n"/>
      <c r="AA84" s="14" t="inlineStr">
        <is>
          <t>No</t>
        </is>
      </c>
      <c r="AB84" s="4" t="inlineStr">
        <is>
          <t>Tenant break on 6 months notice.</t>
        </is>
      </c>
      <c r="AE84" s="278" t="n"/>
    </row>
    <row r="85">
      <c r="A85" s="11" t="inlineStr">
        <is>
          <t>CM</t>
        </is>
      </c>
      <c r="B85" s="11" t="inlineStr">
        <is>
          <t>MEL</t>
        </is>
      </c>
      <c r="C85" s="2" t="n">
        <v>550830</v>
      </c>
      <c r="D85" s="4" t="inlineStr">
        <is>
          <t>42-48 Great Portland Street</t>
        </is>
      </c>
      <c r="E85" s="4" t="inlineStr">
        <is>
          <t>First Floor</t>
        </is>
      </c>
      <c r="F85" s="11" t="inlineStr">
        <is>
          <t>Office</t>
        </is>
      </c>
      <c r="G85" s="7" t="n">
        <v>1902</v>
      </c>
      <c r="H85" s="7">
        <f>G85</f>
        <v/>
      </c>
      <c r="I85" s="7" t="n">
        <v>2000</v>
      </c>
      <c r="J85" s="4" t="inlineStr">
        <is>
          <t>GP Acoustics (UK) Limited</t>
        </is>
      </c>
      <c r="K85" s="8" t="n">
        <v>44967</v>
      </c>
      <c r="L85" s="9" t="n">
        <v>48619</v>
      </c>
      <c r="N85" s="9" t="n">
        <v>46793</v>
      </c>
      <c r="O85" s="9" t="n">
        <v>46792</v>
      </c>
      <c r="P85" s="10" t="n">
        <v>109620</v>
      </c>
      <c r="Q85" s="10">
        <f>P85</f>
        <v/>
      </c>
      <c r="S85" s="7" t="n">
        <v>109620</v>
      </c>
      <c r="T85" s="10">
        <f>S85</f>
        <v/>
      </c>
      <c r="U85" s="359" t="n">
        <v>123600</v>
      </c>
      <c r="V85" s="10">
        <f>U85</f>
        <v/>
      </c>
      <c r="W85" s="277">
        <f>S85/G85</f>
        <v/>
      </c>
      <c r="X85" s="10" t="inlineStr">
        <is>
          <t>C</t>
        </is>
      </c>
      <c r="Y85" s="60" t="n"/>
      <c r="Z85" s="394" t="n"/>
      <c r="AA85" s="14" t="inlineStr">
        <is>
          <t>No</t>
        </is>
      </c>
      <c r="AB85" s="4" t="inlineStr">
        <is>
          <t>Tenant break on 6 months notice.</t>
        </is>
      </c>
      <c r="AE85" s="278" t="n"/>
    </row>
    <row r="86">
      <c r="A86" s="11" t="inlineStr">
        <is>
          <t>CM</t>
        </is>
      </c>
      <c r="B86" s="11" t="inlineStr">
        <is>
          <t>MEL</t>
        </is>
      </c>
      <c r="C86" s="2" t="n">
        <v>550830</v>
      </c>
      <c r="D86" s="4" t="inlineStr">
        <is>
          <t>42-48 Great Portland Street</t>
        </is>
      </c>
      <c r="E86" s="4" t="inlineStr">
        <is>
          <t>Second Floor</t>
        </is>
      </c>
      <c r="F86" s="11" t="inlineStr">
        <is>
          <t>Office</t>
        </is>
      </c>
      <c r="G86" s="7" t="n">
        <v>1440</v>
      </c>
      <c r="H86" s="7">
        <f>G86</f>
        <v/>
      </c>
      <c r="I86" s="7" t="n">
        <v>1500</v>
      </c>
      <c r="J86" s="4" t="inlineStr">
        <is>
          <t>Vacant</t>
        </is>
      </c>
      <c r="M86" s="9" t="n">
        <v>44593</v>
      </c>
      <c r="P86" s="10" t="n">
        <v>0</v>
      </c>
      <c r="Q86" s="10">
        <f>P86</f>
        <v/>
      </c>
      <c r="S86" s="7" t="n">
        <v>79800</v>
      </c>
      <c r="T86" s="10">
        <f>S86</f>
        <v/>
      </c>
      <c r="U86" s="359" t="n">
        <v>93600</v>
      </c>
      <c r="V86" s="10">
        <f>U86</f>
        <v/>
      </c>
      <c r="W86" s="277">
        <f>S86/G86</f>
        <v/>
      </c>
      <c r="X86" s="10" t="inlineStr">
        <is>
          <t>D</t>
        </is>
      </c>
      <c r="Y86" s="60" t="n"/>
      <c r="Z86" s="394" t="n"/>
      <c r="AA86" s="14" t="inlineStr">
        <is>
          <t>No</t>
        </is>
      </c>
      <c r="AB86" s="29" t="inlineStr">
        <is>
          <t>Unit being refurbished.</t>
        </is>
      </c>
      <c r="AE86" s="278" t="n"/>
    </row>
    <row r="87">
      <c r="A87" s="11" t="inlineStr">
        <is>
          <t>CM</t>
        </is>
      </c>
      <c r="B87" s="11" t="inlineStr">
        <is>
          <t>MEL</t>
        </is>
      </c>
      <c r="C87" s="2" t="n">
        <v>550830</v>
      </c>
      <c r="D87" s="4" t="inlineStr">
        <is>
          <t>42-48 Great Portland Street</t>
        </is>
      </c>
      <c r="E87" s="4" t="inlineStr">
        <is>
          <t>Third Floor</t>
        </is>
      </c>
      <c r="F87" s="11" t="inlineStr">
        <is>
          <t>Office</t>
        </is>
      </c>
      <c r="G87" s="7" t="n">
        <v>1433</v>
      </c>
      <c r="H87" s="7">
        <f>G87</f>
        <v/>
      </c>
      <c r="I87" s="7" t="n">
        <v>1500</v>
      </c>
      <c r="J87" s="4" t="inlineStr">
        <is>
          <t>Vacant</t>
        </is>
      </c>
      <c r="M87" s="9" t="n">
        <v>43313</v>
      </c>
      <c r="P87" s="10" t="n">
        <v>0</v>
      </c>
      <c r="Q87" s="10">
        <f>P87</f>
        <v/>
      </c>
      <c r="S87" s="7" t="n">
        <v>79750</v>
      </c>
      <c r="T87" s="10">
        <f>S87</f>
        <v/>
      </c>
      <c r="U87" s="359" t="n">
        <v>93100</v>
      </c>
      <c r="V87" s="10">
        <f>U87</f>
        <v/>
      </c>
      <c r="W87" s="277">
        <f>S87/G87</f>
        <v/>
      </c>
      <c r="X87" s="10" t="inlineStr">
        <is>
          <t>D</t>
        </is>
      </c>
      <c r="Y87" s="60" t="n"/>
      <c r="Z87" s="394" t="n"/>
      <c r="AA87" s="14" t="inlineStr">
        <is>
          <t>No</t>
        </is>
      </c>
      <c r="AB87" s="29" t="inlineStr">
        <is>
          <t>Unit being refurbished.</t>
        </is>
      </c>
      <c r="AE87" s="278" t="n"/>
    </row>
    <row r="88">
      <c r="A88" s="11" t="inlineStr">
        <is>
          <t>CM</t>
        </is>
      </c>
      <c r="B88" s="11" t="inlineStr">
        <is>
          <t>MEL</t>
        </is>
      </c>
      <c r="C88" s="2" t="n">
        <v>550830</v>
      </c>
      <c r="D88" s="4" t="inlineStr">
        <is>
          <t>42-48 Great Portland Street</t>
        </is>
      </c>
      <c r="E88" s="4" t="inlineStr">
        <is>
          <t>Fourth Floor</t>
        </is>
      </c>
      <c r="F88" s="11" t="inlineStr">
        <is>
          <t>Office</t>
        </is>
      </c>
      <c r="G88" s="7" t="n">
        <v>1480</v>
      </c>
      <c r="H88" s="7">
        <f>G88</f>
        <v/>
      </c>
      <c r="I88" s="7" t="n">
        <v>1500</v>
      </c>
      <c r="J88" s="4" t="inlineStr">
        <is>
          <t>Vacant</t>
        </is>
      </c>
      <c r="M88" s="9" t="n">
        <v>44409</v>
      </c>
      <c r="P88" s="10" t="n">
        <v>0</v>
      </c>
      <c r="Q88" s="10">
        <f>P88</f>
        <v/>
      </c>
      <c r="S88" s="7" t="n">
        <v>79800</v>
      </c>
      <c r="T88" s="10">
        <f>S88</f>
        <v/>
      </c>
      <c r="U88" s="359" t="n">
        <v>96200</v>
      </c>
      <c r="V88" s="10">
        <f>U88</f>
        <v/>
      </c>
      <c r="W88" s="277">
        <f>S88/G88</f>
        <v/>
      </c>
      <c r="X88" s="10" t="inlineStr">
        <is>
          <t>E</t>
        </is>
      </c>
      <c r="Y88" s="60" t="n"/>
      <c r="Z88" s="394" t="n"/>
      <c r="AA88" s="14" t="inlineStr">
        <is>
          <t>No</t>
        </is>
      </c>
      <c r="AB88" s="29" t="inlineStr">
        <is>
          <t>Unit being refurbished.</t>
        </is>
      </c>
      <c r="AE88" s="278" t="n"/>
    </row>
    <row r="89">
      <c r="A89" s="11" t="inlineStr">
        <is>
          <t>CM</t>
        </is>
      </c>
      <c r="B89" s="11" t="inlineStr">
        <is>
          <t>MEL</t>
        </is>
      </c>
      <c r="C89" s="2" t="n">
        <v>550830</v>
      </c>
      <c r="D89" s="4" t="inlineStr">
        <is>
          <t>42-48 Great Portland Street</t>
        </is>
      </c>
      <c r="E89" s="4" t="inlineStr">
        <is>
          <t>Fifth Floor</t>
        </is>
      </c>
      <c r="F89" s="11" t="inlineStr">
        <is>
          <t>Office</t>
        </is>
      </c>
      <c r="G89" s="7" t="n">
        <v>784</v>
      </c>
      <c r="H89" s="7">
        <f>G89</f>
        <v/>
      </c>
      <c r="I89" s="7" t="n">
        <v>750</v>
      </c>
      <c r="J89" s="4" t="inlineStr">
        <is>
          <t>Vacant</t>
        </is>
      </c>
      <c r="M89" s="9" t="n">
        <v>44734</v>
      </c>
      <c r="P89" s="10" t="n">
        <v>0</v>
      </c>
      <c r="Q89" s="10">
        <f>P89</f>
        <v/>
      </c>
      <c r="S89" s="7" t="n">
        <v>39030</v>
      </c>
      <c r="T89" s="10">
        <f>S89</f>
        <v/>
      </c>
      <c r="U89" s="359" t="n">
        <v>49000</v>
      </c>
      <c r="V89" s="10">
        <f>U89</f>
        <v/>
      </c>
      <c r="W89" s="277">
        <f>S89/G89</f>
        <v/>
      </c>
      <c r="X89" s="10" t="inlineStr">
        <is>
          <t>D</t>
        </is>
      </c>
      <c r="Y89" s="60" t="n"/>
      <c r="Z89" s="394" t="n"/>
      <c r="AA89" s="14" t="inlineStr">
        <is>
          <t>No</t>
        </is>
      </c>
      <c r="AB89" s="29" t="inlineStr">
        <is>
          <t>Unit being refurbished.</t>
        </is>
      </c>
      <c r="AE89" s="278" t="n"/>
    </row>
    <row r="90">
      <c r="A90" s="11" t="inlineStr">
        <is>
          <t>SH</t>
        </is>
      </c>
      <c r="B90" s="11" t="inlineStr">
        <is>
          <t>MEL</t>
        </is>
      </c>
      <c r="C90" s="2" t="n">
        <v>550600</v>
      </c>
      <c r="D90" s="4" t="inlineStr">
        <is>
          <t>45-49 Great Portland Street</t>
        </is>
      </c>
      <c r="E90" s="4" t="inlineStr">
        <is>
          <t>Ground Floor &amp; Basement (North)</t>
        </is>
      </c>
      <c r="F90" s="14" t="inlineStr">
        <is>
          <t>Showroom</t>
        </is>
      </c>
      <c r="G90" s="7" t="n">
        <v>1449</v>
      </c>
      <c r="H90" s="7">
        <f>G90</f>
        <v/>
      </c>
      <c r="I90" s="7" t="n">
        <v>1500</v>
      </c>
      <c r="J90" s="4" t="inlineStr">
        <is>
          <t>Straight Forward Retail Ltd.</t>
        </is>
      </c>
      <c r="K90" s="8" t="n">
        <v>45624</v>
      </c>
      <c r="L90" s="9" t="n">
        <v>49275</v>
      </c>
      <c r="P90" s="10" t="n">
        <v>70000</v>
      </c>
      <c r="Q90" s="10">
        <f>P90</f>
        <v/>
      </c>
      <c r="S90" s="10" t="n">
        <v>76500</v>
      </c>
      <c r="T90" s="10">
        <f>S90</f>
        <v/>
      </c>
      <c r="U90" s="27" t="n">
        <v>94500</v>
      </c>
      <c r="V90" s="10">
        <f>U90</f>
        <v/>
      </c>
      <c r="W90" s="277">
        <f>S90/G90</f>
        <v/>
      </c>
      <c r="X90" s="10" t="inlineStr">
        <is>
          <t>C</t>
        </is>
      </c>
      <c r="Y90" s="60" t="n"/>
      <c r="Z90" s="394" t="n"/>
      <c r="AA90" s="14" t="inlineStr">
        <is>
          <t>No</t>
        </is>
      </c>
      <c r="AB90" s="4" t="inlineStr">
        <is>
          <t>Rent increasing to £73,000 @ 28/11/27, £77,500 @ 28/11/30. Landlord break 27/11/27 on 6 months notice.</t>
        </is>
      </c>
      <c r="AC90" s="305" t="n"/>
      <c r="AE90" s="278" t="n"/>
    </row>
    <row r="91">
      <c r="A91" s="11" t="inlineStr">
        <is>
          <t>SH</t>
        </is>
      </c>
      <c r="B91" s="11" t="inlineStr">
        <is>
          <t>MEL</t>
        </is>
      </c>
      <c r="C91" s="2" t="n">
        <v>550600</v>
      </c>
      <c r="D91" s="4" t="inlineStr">
        <is>
          <t>45-49 Great Portland Street</t>
        </is>
      </c>
      <c r="E91" s="4" t="inlineStr">
        <is>
          <t>Ground Floor &amp; Basement (South</t>
        </is>
      </c>
      <c r="F91" s="14" t="inlineStr">
        <is>
          <t>A1/D1</t>
        </is>
      </c>
      <c r="G91" s="7" t="n">
        <v>1550</v>
      </c>
      <c r="H91" s="7">
        <f>G91</f>
        <v/>
      </c>
      <c r="I91" s="7" t="n">
        <v>1500</v>
      </c>
      <c r="J91" s="4" t="inlineStr">
        <is>
          <t>Reviv Global Ltd</t>
        </is>
      </c>
      <c r="K91" s="8" t="n">
        <v>43293</v>
      </c>
      <c r="L91" s="9" t="n">
        <v>46214</v>
      </c>
      <c r="P91" s="10" t="n">
        <v>120000</v>
      </c>
      <c r="Q91" s="10">
        <f>P91</f>
        <v/>
      </c>
      <c r="S91" s="10" t="n">
        <v>81000</v>
      </c>
      <c r="T91" s="10">
        <f>S91</f>
        <v/>
      </c>
      <c r="U91" s="27" t="n">
        <v>104000</v>
      </c>
      <c r="V91" s="10">
        <f>U91</f>
        <v/>
      </c>
      <c r="W91" s="277">
        <f>S91/G91</f>
        <v/>
      </c>
      <c r="X91" s="10" t="inlineStr">
        <is>
          <t>C</t>
        </is>
      </c>
      <c r="Y91" s="60" t="n"/>
      <c r="Z91" s="394" t="n"/>
      <c r="AA91" s="14" t="inlineStr">
        <is>
          <t>No</t>
        </is>
      </c>
      <c r="AE91" s="278" t="n"/>
    </row>
    <row r="92">
      <c r="A92" s="11" t="inlineStr">
        <is>
          <t>SH</t>
        </is>
      </c>
      <c r="B92" s="11" t="inlineStr">
        <is>
          <t>MEL</t>
        </is>
      </c>
      <c r="C92" s="2" t="n">
        <v>550600</v>
      </c>
      <c r="D92" s="4" t="inlineStr">
        <is>
          <t>45-49 Great Portland Street</t>
        </is>
      </c>
      <c r="E92" s="4" t="inlineStr">
        <is>
          <t>First, Second &amp; Third Floors</t>
        </is>
      </c>
      <c r="F92" s="14" t="inlineStr">
        <is>
          <t>Office</t>
        </is>
      </c>
      <c r="G92" s="7" t="n">
        <v>3441</v>
      </c>
      <c r="H92" s="7">
        <f>G92</f>
        <v/>
      </c>
      <c r="I92" s="7" t="n">
        <v>3500</v>
      </c>
      <c r="J92" s="4" t="inlineStr">
        <is>
          <t>DMR Film Ventures (Facilities) Ltd.</t>
        </is>
      </c>
      <c r="K92" s="8" t="n">
        <v>44358</v>
      </c>
      <c r="L92" s="9" t="n">
        <v>48009</v>
      </c>
      <c r="N92" s="9" t="n">
        <v>46184</v>
      </c>
      <c r="O92" s="9" t="n">
        <v>46183</v>
      </c>
      <c r="P92" s="10" t="n">
        <v>189000</v>
      </c>
      <c r="Q92" s="10">
        <f>P92</f>
        <v/>
      </c>
      <c r="S92" s="10" t="n">
        <v>189300</v>
      </c>
      <c r="T92" s="10">
        <f>S92</f>
        <v/>
      </c>
      <c r="U92" s="27" t="n">
        <v>189300</v>
      </c>
      <c r="V92" s="10">
        <f>U92</f>
        <v/>
      </c>
      <c r="W92" s="277">
        <f>S92/G92</f>
        <v/>
      </c>
      <c r="X92" s="10" t="inlineStr">
        <is>
          <t>E</t>
        </is>
      </c>
      <c r="Y92" s="60" t="n"/>
      <c r="Z92" s="394" t="n"/>
      <c r="AA92" s="14" t="inlineStr">
        <is>
          <t>No</t>
        </is>
      </c>
      <c r="AB92" s="4" t="inlineStr">
        <is>
          <t>Tenant break on 6 months notice. 6 months rent free if not exercised.</t>
        </is>
      </c>
      <c r="AE92" s="278" t="n"/>
    </row>
    <row r="93">
      <c r="A93" s="11" t="inlineStr">
        <is>
          <t>CD</t>
        </is>
      </c>
      <c r="B93" s="11" t="inlineStr">
        <is>
          <t>MEL</t>
        </is>
      </c>
      <c r="C93" s="2" t="n">
        <v>550990</v>
      </c>
      <c r="D93" s="4" t="inlineStr">
        <is>
          <t>50 Great Portland Street</t>
        </is>
      </c>
      <c r="E93" s="4" t="inlineStr">
        <is>
          <t>Ground Floor &amp; Basement</t>
        </is>
      </c>
      <c r="F93" s="14" t="inlineStr">
        <is>
          <t>Retail</t>
        </is>
      </c>
      <c r="G93" s="7" t="n">
        <v>1361</v>
      </c>
      <c r="H93" s="7">
        <f>G93</f>
        <v/>
      </c>
      <c r="J93" s="4" t="inlineStr">
        <is>
          <t>MG Gulyas Ltd</t>
        </is>
      </c>
      <c r="K93" s="8" t="n">
        <v>45352</v>
      </c>
      <c r="L93" s="9" t="n">
        <v>49003</v>
      </c>
      <c r="N93" s="9" t="n">
        <v>47178</v>
      </c>
      <c r="O93" s="9" t="n">
        <v>47177</v>
      </c>
      <c r="P93" s="10" t="n">
        <v>60000</v>
      </c>
      <c r="Q93" s="10">
        <f>P93</f>
        <v/>
      </c>
      <c r="S93" s="10" t="n">
        <v>55600</v>
      </c>
      <c r="T93" s="10">
        <f>S93</f>
        <v/>
      </c>
      <c r="U93" s="27" t="n">
        <v>59000</v>
      </c>
      <c r="V93" s="10">
        <f>U93</f>
        <v/>
      </c>
      <c r="W93" s="277">
        <f>S93/G93</f>
        <v/>
      </c>
      <c r="X93" s="10" t="inlineStr">
        <is>
          <t>B</t>
        </is>
      </c>
      <c r="Y93" s="60" t="n"/>
      <c r="Z93" s="394" t="n"/>
      <c r="AA93" s="14" t="inlineStr">
        <is>
          <t>No</t>
        </is>
      </c>
      <c r="AB93" s="4" t="inlineStr">
        <is>
          <t>Mutual break 28/02/29 on 6 months notice. 3 months rent free if break not exercised. Lease assigned from Beatify LDN Ltd from 01/07/25</t>
        </is>
      </c>
      <c r="AE93" s="278" t="n"/>
    </row>
    <row r="94">
      <c r="A94" s="11" t="inlineStr">
        <is>
          <t>CD</t>
        </is>
      </c>
      <c r="B94" s="11" t="inlineStr">
        <is>
          <t>MEL</t>
        </is>
      </c>
      <c r="C94" s="2" t="n">
        <v>550990</v>
      </c>
      <c r="D94" s="4" t="inlineStr">
        <is>
          <t>50 Great Portland Street</t>
        </is>
      </c>
      <c r="E94" s="4" t="inlineStr">
        <is>
          <t>First Floor</t>
        </is>
      </c>
      <c r="F94" s="14" t="inlineStr">
        <is>
          <t>Office</t>
        </is>
      </c>
      <c r="G94" s="7" t="n">
        <v>552</v>
      </c>
      <c r="H94" s="7">
        <f>G94</f>
        <v/>
      </c>
      <c r="J94" s="4" t="inlineStr">
        <is>
          <t>Fresh Film Productions Ltd.</t>
        </is>
      </c>
      <c r="K94" s="8" t="n">
        <v>45579</v>
      </c>
      <c r="L94" s="9" t="n">
        <v>47404</v>
      </c>
      <c r="O94" s="9" t="n">
        <v>46673</v>
      </c>
      <c r="P94" s="10" t="n">
        <v>33000</v>
      </c>
      <c r="Q94" s="10">
        <f>P94</f>
        <v/>
      </c>
      <c r="S94" s="10" t="n">
        <v>29700</v>
      </c>
      <c r="T94" s="10">
        <f>S94</f>
        <v/>
      </c>
      <c r="U94" s="27" t="n">
        <v>30400</v>
      </c>
      <c r="V94" s="10">
        <f>U94</f>
        <v/>
      </c>
      <c r="W94" s="277">
        <f>S94/G94</f>
        <v/>
      </c>
      <c r="X94" s="10" t="inlineStr">
        <is>
          <t>D</t>
        </is>
      </c>
      <c r="Y94" s="60" t="n"/>
      <c r="Z94" s="394" t="n"/>
      <c r="AA94" s="14" t="inlineStr">
        <is>
          <t>No</t>
        </is>
      </c>
      <c r="AB94" s="4" t="inlineStr">
        <is>
          <t>Tenant break on 6 months notice.</t>
        </is>
      </c>
      <c r="AC94" s="305" t="n"/>
      <c r="AE94" s="278" t="n"/>
    </row>
    <row r="95">
      <c r="A95" s="11" t="inlineStr">
        <is>
          <t>CD</t>
        </is>
      </c>
      <c r="B95" s="11" t="inlineStr">
        <is>
          <t>MEL</t>
        </is>
      </c>
      <c r="C95" s="2" t="n">
        <v>550990</v>
      </c>
      <c r="D95" s="4" t="inlineStr">
        <is>
          <t>50 Great Portland Street</t>
        </is>
      </c>
      <c r="E95" s="4" t="inlineStr">
        <is>
          <t>Second Floor</t>
        </is>
      </c>
      <c r="F95" s="14" t="inlineStr">
        <is>
          <t>Office</t>
        </is>
      </c>
      <c r="G95" s="7" t="n">
        <v>304</v>
      </c>
      <c r="H95" s="7">
        <f>G95</f>
        <v/>
      </c>
      <c r="I95" s="7" t="n">
        <v>250</v>
      </c>
      <c r="J95" s="4" t="inlineStr">
        <is>
          <t>Vacant</t>
        </is>
      </c>
      <c r="M95" s="9" t="n">
        <v>43256</v>
      </c>
      <c r="P95" s="10" t="n">
        <v>0</v>
      </c>
      <c r="Q95" s="10">
        <f>P95</f>
        <v/>
      </c>
      <c r="S95" s="10" t="n">
        <v>15800</v>
      </c>
      <c r="T95" s="10">
        <f>S95</f>
        <v/>
      </c>
      <c r="U95" s="27" t="n">
        <v>16700</v>
      </c>
      <c r="V95" s="10">
        <f>U95</f>
        <v/>
      </c>
      <c r="W95" s="277">
        <f>S95/G95</f>
        <v/>
      </c>
      <c r="X95" s="10" t="n"/>
      <c r="Y95" s="60" t="n"/>
      <c r="Z95" s="394" t="n"/>
      <c r="AA95" s="14" t="inlineStr">
        <is>
          <t>No</t>
        </is>
      </c>
      <c r="AB95" s="4" t="inlineStr">
        <is>
          <t>To be refurbished.</t>
        </is>
      </c>
      <c r="AE95" s="278" t="n"/>
    </row>
    <row r="96">
      <c r="A96" s="11" t="inlineStr">
        <is>
          <t>CD</t>
        </is>
      </c>
      <c r="B96" s="11" t="inlineStr">
        <is>
          <t>MEL</t>
        </is>
      </c>
      <c r="C96" s="2" t="n">
        <v>550990</v>
      </c>
      <c r="D96" s="4" t="inlineStr">
        <is>
          <t>50 Great Portland Street</t>
        </is>
      </c>
      <c r="E96" s="4" t="inlineStr">
        <is>
          <t>Third Floor</t>
        </is>
      </c>
      <c r="F96" s="14" t="inlineStr">
        <is>
          <t>Office</t>
        </is>
      </c>
      <c r="G96" s="7" t="n">
        <v>314</v>
      </c>
      <c r="H96" s="7">
        <f>G96</f>
        <v/>
      </c>
      <c r="J96" s="4" t="inlineStr">
        <is>
          <t>Therapy Central LLP</t>
        </is>
      </c>
      <c r="K96" s="8" t="n">
        <v>45476</v>
      </c>
      <c r="L96" s="9" t="n">
        <v>47301</v>
      </c>
      <c r="O96" s="9" t="n">
        <v>46570</v>
      </c>
      <c r="P96" s="10" t="n">
        <v>17500</v>
      </c>
      <c r="Q96" s="10">
        <f>P96</f>
        <v/>
      </c>
      <c r="S96" s="10" t="n">
        <v>15000</v>
      </c>
      <c r="T96" s="10">
        <f>S96</f>
        <v/>
      </c>
      <c r="U96" s="27" t="n">
        <v>18100</v>
      </c>
      <c r="V96" s="10">
        <f>U96</f>
        <v/>
      </c>
      <c r="W96" s="277">
        <f>S96/G96</f>
        <v/>
      </c>
      <c r="X96" s="10" t="inlineStr">
        <is>
          <t>C</t>
        </is>
      </c>
      <c r="Y96" s="60" t="n"/>
      <c r="Z96" s="394" t="n"/>
      <c r="AA96" s="14" t="inlineStr">
        <is>
          <t>No</t>
        </is>
      </c>
      <c r="AB96" s="4" t="inlineStr">
        <is>
          <t>Tenant break on 4 months notice.</t>
        </is>
      </c>
      <c r="AD96" s="29" t="n"/>
      <c r="AE96" s="279" t="n"/>
      <c r="AF96" s="29" t="n"/>
    </row>
    <row r="97">
      <c r="A97" s="11" t="inlineStr">
        <is>
          <t>CD</t>
        </is>
      </c>
      <c r="B97" s="11" t="inlineStr">
        <is>
          <t>MEL</t>
        </is>
      </c>
      <c r="C97" s="2" t="n">
        <v>550990</v>
      </c>
      <c r="D97" s="4" t="inlineStr">
        <is>
          <t>50 Great Portland Street</t>
        </is>
      </c>
      <c r="E97" s="4" t="inlineStr">
        <is>
          <t>Fourth Floor</t>
        </is>
      </c>
      <c r="F97" s="14" t="inlineStr">
        <is>
          <t>Office</t>
        </is>
      </c>
      <c r="G97" s="7" t="n">
        <v>314</v>
      </c>
      <c r="H97" s="7">
        <f>G97</f>
        <v/>
      </c>
      <c r="J97" s="4" t="inlineStr">
        <is>
          <t>James Boatman</t>
        </is>
      </c>
      <c r="K97" s="8" t="n">
        <v>45754</v>
      </c>
      <c r="L97" s="9" t="n">
        <v>46849</v>
      </c>
      <c r="P97" s="10" t="n">
        <v>17500</v>
      </c>
      <c r="Q97" s="10">
        <f>P97</f>
        <v/>
      </c>
      <c r="S97" s="10" t="n">
        <v>15500</v>
      </c>
      <c r="T97" s="10">
        <f>S97</f>
        <v/>
      </c>
      <c r="U97" s="27" t="n">
        <v>17300</v>
      </c>
      <c r="V97" s="10">
        <f>U97</f>
        <v/>
      </c>
      <c r="W97" s="277">
        <f>S97/G97</f>
        <v/>
      </c>
      <c r="X97" s="10" t="inlineStr">
        <is>
          <t>C</t>
        </is>
      </c>
      <c r="Y97" s="60" t="n"/>
      <c r="Z97" s="394" t="n"/>
      <c r="AA97" s="14" t="inlineStr">
        <is>
          <t>No</t>
        </is>
      </c>
      <c r="AE97" s="278" t="n"/>
    </row>
    <row r="98">
      <c r="A98" s="11" t="inlineStr">
        <is>
          <t>CD</t>
        </is>
      </c>
      <c r="B98" s="11" t="inlineStr">
        <is>
          <t>MEL</t>
        </is>
      </c>
      <c r="C98" s="2" t="n">
        <v>550990</v>
      </c>
      <c r="D98" s="4" t="inlineStr">
        <is>
          <t>50 Great Portland Street</t>
        </is>
      </c>
      <c r="E98" s="4" t="inlineStr">
        <is>
          <t>Fifth Floor</t>
        </is>
      </c>
      <c r="F98" s="14" t="inlineStr">
        <is>
          <t>Office</t>
        </is>
      </c>
      <c r="G98" s="7" t="n">
        <v>309</v>
      </c>
      <c r="H98" s="7">
        <f>G98</f>
        <v/>
      </c>
      <c r="J98" s="4" t="inlineStr">
        <is>
          <t>OpenStudio Architects Ltd.</t>
        </is>
      </c>
      <c r="K98" s="8" t="n">
        <v>45863</v>
      </c>
      <c r="L98" s="9" t="n">
        <v>46958</v>
      </c>
      <c r="P98" s="10" t="n">
        <v>0</v>
      </c>
      <c r="Q98" s="10">
        <f>P98</f>
        <v/>
      </c>
      <c r="S98" s="10" t="n">
        <v>15000</v>
      </c>
      <c r="T98" s="10">
        <f>S98</f>
        <v/>
      </c>
      <c r="U98" s="27" t="n">
        <v>17000</v>
      </c>
      <c r="V98" s="10">
        <f>U98</f>
        <v/>
      </c>
      <c r="W98" s="277">
        <f>S98/G98</f>
        <v/>
      </c>
      <c r="X98" s="10" t="inlineStr">
        <is>
          <t>C</t>
        </is>
      </c>
      <c r="Y98" s="60" t="n"/>
      <c r="Z98" s="394" t="n"/>
      <c r="AA98" s="14" t="inlineStr">
        <is>
          <t>No</t>
        </is>
      </c>
      <c r="AB98" s="4" t="inlineStr">
        <is>
          <t>Rent £17,922 wef 25/09/25.</t>
        </is>
      </c>
      <c r="AE98" s="278" t="n"/>
    </row>
    <row r="99">
      <c r="A99" s="11" t="inlineStr">
        <is>
          <t>WS</t>
        </is>
      </c>
      <c r="B99" s="11" t="inlineStr">
        <is>
          <t>MEL</t>
        </is>
      </c>
      <c r="C99" s="2" t="n">
        <v>550700</v>
      </c>
      <c r="D99" s="4" t="inlineStr">
        <is>
          <t>51 Great Portland Street</t>
        </is>
      </c>
      <c r="E99" s="4" t="inlineStr">
        <is>
          <t>Ground Floor &amp; Basement</t>
        </is>
      </c>
      <c r="F99" s="14" t="inlineStr">
        <is>
          <t>Retail</t>
        </is>
      </c>
      <c r="G99" s="7" t="n">
        <v>750</v>
      </c>
      <c r="H99" s="7">
        <f>G99</f>
        <v/>
      </c>
      <c r="J99" s="4" t="inlineStr">
        <is>
          <t>Bernardo Vasconcelos Ltd</t>
        </is>
      </c>
      <c r="K99" s="8" t="n">
        <v>45377</v>
      </c>
      <c r="L99" s="9" t="n">
        <v>49028</v>
      </c>
      <c r="N99" s="9" t="n">
        <v>47203</v>
      </c>
      <c r="P99" s="10" t="n">
        <v>45000</v>
      </c>
      <c r="Q99" s="10">
        <f>P99</f>
        <v/>
      </c>
      <c r="S99" s="10" t="n">
        <v>39000</v>
      </c>
      <c r="T99" s="10">
        <f>S99</f>
        <v/>
      </c>
      <c r="U99" s="27" t="n">
        <v>45000</v>
      </c>
      <c r="V99" s="10">
        <f>U99</f>
        <v/>
      </c>
      <c r="W99" s="277">
        <f>S99/G99</f>
        <v/>
      </c>
      <c r="X99" s="10" t="inlineStr">
        <is>
          <t>D</t>
        </is>
      </c>
      <c r="Y99" s="60" t="n"/>
      <c r="Z99" s="394" t="n"/>
      <c r="AA99" s="14" t="inlineStr">
        <is>
          <t>No</t>
        </is>
      </c>
    </row>
    <row r="100">
      <c r="A100" s="11" t="inlineStr">
        <is>
          <t>WS</t>
        </is>
      </c>
      <c r="B100" s="11" t="inlineStr">
        <is>
          <t>MEL</t>
        </is>
      </c>
      <c r="C100" s="2" t="n">
        <v>550700</v>
      </c>
      <c r="D100" s="4" t="inlineStr">
        <is>
          <t>51 Great Portland Street</t>
        </is>
      </c>
      <c r="E100" s="4" t="inlineStr">
        <is>
          <t>First Floor</t>
        </is>
      </c>
      <c r="F100" s="14" t="inlineStr">
        <is>
          <t>Office</t>
        </is>
      </c>
      <c r="G100" s="7" t="n">
        <v>325</v>
      </c>
      <c r="H100" s="7">
        <f>G100</f>
        <v/>
      </c>
      <c r="I100" s="7" t="n">
        <v>500</v>
      </c>
      <c r="J100" s="4" t="inlineStr">
        <is>
          <t>Vacant</t>
        </is>
      </c>
      <c r="M100" s="9" t="n">
        <v>45282</v>
      </c>
      <c r="P100" s="10" t="n">
        <v>0</v>
      </c>
      <c r="Q100" s="10">
        <f>P100</f>
        <v/>
      </c>
      <c r="S100" s="10" t="n">
        <v>17100</v>
      </c>
      <c r="T100" s="10">
        <f>S100</f>
        <v/>
      </c>
      <c r="U100" s="27" t="n">
        <v>17100</v>
      </c>
      <c r="V100" s="10">
        <f>U100</f>
        <v/>
      </c>
      <c r="W100" s="277">
        <f>S100/G100</f>
        <v/>
      </c>
      <c r="X100" s="10" t="inlineStr">
        <is>
          <t>E</t>
        </is>
      </c>
      <c r="Y100" s="60" t="n"/>
      <c r="Z100" s="394" t="n"/>
      <c r="AA100" s="14" t="inlineStr">
        <is>
          <t>No</t>
        </is>
      </c>
      <c r="AB100" s="29" t="inlineStr">
        <is>
          <t>Under offer</t>
        </is>
      </c>
      <c r="AC100" s="303" t="n">
        <v>58</v>
      </c>
      <c r="AE100" s="278" t="n">
        <v>1</v>
      </c>
    </row>
    <row r="101">
      <c r="A101" s="11" t="inlineStr">
        <is>
          <t>WS</t>
        </is>
      </c>
      <c r="B101" s="11" t="inlineStr">
        <is>
          <t>MEL</t>
        </is>
      </c>
      <c r="C101" s="2" t="n">
        <v>550700</v>
      </c>
      <c r="D101" s="4" t="inlineStr">
        <is>
          <t>51 Great Portland Street</t>
        </is>
      </c>
      <c r="E101" s="4" t="inlineStr">
        <is>
          <t>Second Floor</t>
        </is>
      </c>
      <c r="F101" s="14" t="inlineStr">
        <is>
          <t>Office</t>
        </is>
      </c>
      <c r="G101" s="7" t="n">
        <v>325</v>
      </c>
      <c r="H101" s="7">
        <f>G101</f>
        <v/>
      </c>
      <c r="I101" s="7" t="n">
        <v>500</v>
      </c>
      <c r="J101" s="4" t="inlineStr">
        <is>
          <t>Learn Lab Language School Ltd</t>
        </is>
      </c>
      <c r="K101" s="8" t="n">
        <v>45698</v>
      </c>
      <c r="L101" s="9" t="n">
        <v>46427</v>
      </c>
      <c r="P101" s="10" t="n">
        <v>22069</v>
      </c>
      <c r="Q101" s="10">
        <f>P101</f>
        <v/>
      </c>
      <c r="S101" s="10" t="n">
        <v>17100</v>
      </c>
      <c r="T101" s="10">
        <f>S101</f>
        <v/>
      </c>
      <c r="U101" s="27" t="n">
        <v>17100</v>
      </c>
      <c r="V101" s="10">
        <f>U101</f>
        <v/>
      </c>
      <c r="W101" s="277">
        <f>S101/G101</f>
        <v/>
      </c>
      <c r="X101" s="10" t="inlineStr">
        <is>
          <t>D</t>
        </is>
      </c>
      <c r="Y101" s="60" t="n"/>
      <c r="Z101" s="394" t="n"/>
      <c r="AA101" s="14" t="inlineStr">
        <is>
          <t>No</t>
        </is>
      </c>
      <c r="AB101" s="4" t="inlineStr">
        <is>
          <t>Rent all inclusive (excl rates).</t>
        </is>
      </c>
      <c r="AE101" s="278" t="n">
        <v>1</v>
      </c>
    </row>
    <row r="102">
      <c r="A102" s="11" t="inlineStr">
        <is>
          <t>WS</t>
        </is>
      </c>
      <c r="B102" s="11" t="inlineStr">
        <is>
          <t>MEL</t>
        </is>
      </c>
      <c r="C102" s="2" t="n">
        <v>550700</v>
      </c>
      <c r="D102" s="4" t="inlineStr">
        <is>
          <t>51 Great Portland Street</t>
        </is>
      </c>
      <c r="E102" s="4" t="inlineStr">
        <is>
          <t>Third Floor</t>
        </is>
      </c>
      <c r="F102" s="14" t="inlineStr">
        <is>
          <t>Office</t>
        </is>
      </c>
      <c r="G102" s="7" t="n">
        <v>325</v>
      </c>
      <c r="H102" s="7">
        <f>G102</f>
        <v/>
      </c>
      <c r="I102" s="7" t="n">
        <v>500</v>
      </c>
      <c r="J102" s="4" t="inlineStr">
        <is>
          <t>Vacant</t>
        </is>
      </c>
      <c r="M102" s="9" t="n">
        <v>44714</v>
      </c>
      <c r="P102" s="10" t="n">
        <v>0</v>
      </c>
      <c r="Q102" s="10">
        <f>P102</f>
        <v/>
      </c>
      <c r="S102" s="10" t="n">
        <v>16300</v>
      </c>
      <c r="T102" s="10">
        <f>S102</f>
        <v/>
      </c>
      <c r="U102" s="27" t="n">
        <v>16300</v>
      </c>
      <c r="V102" s="10">
        <f>U102</f>
        <v/>
      </c>
      <c r="W102" s="277">
        <f>S102/G102</f>
        <v/>
      </c>
      <c r="X102" s="10" t="inlineStr">
        <is>
          <t>C</t>
        </is>
      </c>
      <c r="Y102" s="60" t="n"/>
      <c r="Z102" s="394" t="n"/>
      <c r="AA102" s="14" t="inlineStr">
        <is>
          <t>No</t>
        </is>
      </c>
      <c r="AB102" s="29" t="inlineStr">
        <is>
          <t>Refurbishement completed. LEM marketing.</t>
        </is>
      </c>
      <c r="AC102" s="303" t="n">
        <v>52.5</v>
      </c>
      <c r="AE102" s="278" t="n"/>
    </row>
    <row r="103">
      <c r="A103" s="11" t="inlineStr">
        <is>
          <t>WS</t>
        </is>
      </c>
      <c r="B103" s="11" t="inlineStr">
        <is>
          <t>MEL</t>
        </is>
      </c>
      <c r="C103" s="2" t="n">
        <v>550710</v>
      </c>
      <c r="D103" s="4" t="inlineStr">
        <is>
          <t>53 Great Portland Street</t>
        </is>
      </c>
      <c r="E103" s="4" t="inlineStr">
        <is>
          <t>Ground Floor &amp; Basement</t>
        </is>
      </c>
      <c r="F103" s="14" t="inlineStr">
        <is>
          <t>Café</t>
        </is>
      </c>
      <c r="G103" s="7" t="n">
        <v>807</v>
      </c>
      <c r="H103" s="7">
        <f>G103</f>
        <v/>
      </c>
      <c r="I103" s="7" t="n">
        <v>1000</v>
      </c>
      <c r="J103" s="4" t="inlineStr">
        <is>
          <t>O-Chaa Thai Ltd.</t>
        </is>
      </c>
      <c r="K103" s="388" t="n">
        <v>45832</v>
      </c>
      <c r="L103" s="387" t="n">
        <v>49483</v>
      </c>
      <c r="M103" s="387" t="n"/>
      <c r="N103" s="387" t="n">
        <v>47658</v>
      </c>
      <c r="O103" s="387" t="n">
        <v>47657</v>
      </c>
      <c r="P103" s="27" t="n">
        <v>24210</v>
      </c>
      <c r="Q103" s="10">
        <f>P103</f>
        <v/>
      </c>
      <c r="S103" s="10" t="n">
        <v>34320</v>
      </c>
      <c r="T103" s="10">
        <f>S103</f>
        <v/>
      </c>
      <c r="U103" s="27" t="n">
        <v>48420</v>
      </c>
      <c r="V103" s="10">
        <f>U103</f>
        <v/>
      </c>
      <c r="W103" s="277">
        <f>S103/G103</f>
        <v/>
      </c>
      <c r="X103" s="10" t="inlineStr">
        <is>
          <t>E</t>
        </is>
      </c>
      <c r="Y103" s="60" t="n"/>
      <c r="Z103" s="394" t="n"/>
      <c r="AA103" s="14" t="inlineStr">
        <is>
          <t>No</t>
        </is>
      </c>
      <c r="AB103" s="29" t="inlineStr">
        <is>
          <t>Lease renewal completed. Rent increases to £48,420 wef 24/12/25. Tenant break on 6 months notice.</t>
        </is>
      </c>
      <c r="AE103" s="278" t="n"/>
    </row>
    <row r="104">
      <c r="A104" s="11" t="inlineStr">
        <is>
          <t>WS</t>
        </is>
      </c>
      <c r="B104" s="11" t="inlineStr">
        <is>
          <t>MEL</t>
        </is>
      </c>
      <c r="C104" s="2" t="n">
        <v>550710</v>
      </c>
      <c r="D104" s="4" t="inlineStr">
        <is>
          <t>53 Great Portland Street</t>
        </is>
      </c>
      <c r="E104" s="4" t="inlineStr">
        <is>
          <t>Ground Floor</t>
        </is>
      </c>
      <c r="F104" s="14" t="inlineStr">
        <is>
          <t>Kiosk</t>
        </is>
      </c>
      <c r="G104" s="7" t="n">
        <v>60</v>
      </c>
      <c r="H104" s="7">
        <f>G104</f>
        <v/>
      </c>
      <c r="J104" s="4" t="inlineStr">
        <is>
          <t>J C Patel</t>
        </is>
      </c>
      <c r="K104" s="8" t="n">
        <v>44075</v>
      </c>
      <c r="L104" s="9" t="n">
        <v>45900</v>
      </c>
      <c r="P104" s="10" t="n">
        <v>12500</v>
      </c>
      <c r="Q104" s="10">
        <f>P104</f>
        <v/>
      </c>
      <c r="S104" s="10" t="n">
        <v>12000</v>
      </c>
      <c r="T104" s="10">
        <f>S104</f>
        <v/>
      </c>
      <c r="U104" s="27" t="n">
        <v>12000</v>
      </c>
      <c r="V104" s="10">
        <f>U104</f>
        <v/>
      </c>
      <c r="W104" s="277">
        <f>S104/G104</f>
        <v/>
      </c>
      <c r="X104" s="10" t="inlineStr">
        <is>
          <t>E</t>
        </is>
      </c>
      <c r="Y104" s="60" t="n"/>
      <c r="Z104" s="394" t="n"/>
      <c r="AA104" s="14" t="inlineStr">
        <is>
          <t>No</t>
        </is>
      </c>
      <c r="AB104" s="4" t="inlineStr">
        <is>
          <t>All Inclusive. Lease renewal being discussed.</t>
        </is>
      </c>
      <c r="AE104" s="278" t="n"/>
    </row>
    <row r="105">
      <c r="A105" s="11" t="inlineStr">
        <is>
          <t>WS</t>
        </is>
      </c>
      <c r="B105" s="11" t="inlineStr">
        <is>
          <t>MEL</t>
        </is>
      </c>
      <c r="C105" s="2" t="n">
        <v>550710</v>
      </c>
      <c r="D105" s="4" t="inlineStr">
        <is>
          <t>53 Great Portland Street</t>
        </is>
      </c>
      <c r="E105" s="4" t="inlineStr">
        <is>
          <t>First Floor</t>
        </is>
      </c>
      <c r="F105" s="14" t="inlineStr">
        <is>
          <t>Office</t>
        </is>
      </c>
      <c r="G105" s="7" t="n">
        <v>370</v>
      </c>
      <c r="H105" s="7">
        <f>G105</f>
        <v/>
      </c>
      <c r="I105" s="7" t="n">
        <v>500</v>
      </c>
      <c r="J105" s="4" t="inlineStr">
        <is>
          <t>Vacant</t>
        </is>
      </c>
      <c r="M105" s="9" t="n">
        <v>43738</v>
      </c>
      <c r="P105" s="10" t="n">
        <v>0</v>
      </c>
      <c r="Q105" s="10">
        <f>P105</f>
        <v/>
      </c>
      <c r="S105" s="10" t="n">
        <v>18500</v>
      </c>
      <c r="T105" s="10">
        <f>S105</f>
        <v/>
      </c>
      <c r="U105" s="27" t="n">
        <v>18500</v>
      </c>
      <c r="V105" s="10">
        <f>U105</f>
        <v/>
      </c>
      <c r="W105" s="277">
        <f>S105/G105</f>
        <v/>
      </c>
      <c r="X105" s="10" t="inlineStr">
        <is>
          <t>E</t>
        </is>
      </c>
      <c r="Y105" s="60" t="n"/>
      <c r="Z105" s="394" t="n"/>
      <c r="AA105" s="14" t="inlineStr">
        <is>
          <t>No</t>
        </is>
      </c>
      <c r="AB105" s="29" t="inlineStr">
        <is>
          <t>Refurbishment completed. LEM marketing.</t>
        </is>
      </c>
      <c r="AC105" s="303" t="n">
        <v>52.5</v>
      </c>
      <c r="AE105" s="278" t="n">
        <v>1</v>
      </c>
    </row>
    <row r="106">
      <c r="A106" s="11" t="inlineStr">
        <is>
          <t>WS</t>
        </is>
      </c>
      <c r="B106" s="11" t="inlineStr">
        <is>
          <t>MEL</t>
        </is>
      </c>
      <c r="C106" s="2" t="n">
        <v>550710</v>
      </c>
      <c r="D106" s="4" t="inlineStr">
        <is>
          <t>53 Great Portland Street</t>
        </is>
      </c>
      <c r="E106" s="4" t="inlineStr">
        <is>
          <t>Second Floor</t>
        </is>
      </c>
      <c r="F106" s="14" t="inlineStr">
        <is>
          <t>Office</t>
        </is>
      </c>
      <c r="G106" s="7" t="n">
        <v>325</v>
      </c>
      <c r="H106" s="7">
        <f>G106</f>
        <v/>
      </c>
      <c r="I106" s="7" t="n">
        <v>500</v>
      </c>
      <c r="J106" s="4" t="inlineStr">
        <is>
          <t>Vacant</t>
        </is>
      </c>
      <c r="M106" s="9" t="n">
        <v>45379</v>
      </c>
      <c r="P106" s="10" t="n">
        <v>0</v>
      </c>
      <c r="Q106" s="10">
        <f>P106</f>
        <v/>
      </c>
      <c r="S106" s="10" t="n">
        <v>17000</v>
      </c>
      <c r="T106" s="10">
        <f>S106</f>
        <v/>
      </c>
      <c r="U106" s="27" t="n">
        <v>17062</v>
      </c>
      <c r="V106" s="10">
        <f>U106</f>
        <v/>
      </c>
      <c r="W106" s="277">
        <f>S106/G106</f>
        <v/>
      </c>
      <c r="X106" s="10" t="inlineStr">
        <is>
          <t>E</t>
        </is>
      </c>
      <c r="Y106" s="60" t="n"/>
      <c r="Z106" s="394" t="n"/>
      <c r="AA106" s="14" t="inlineStr">
        <is>
          <t>No</t>
        </is>
      </c>
      <c r="AB106" s="29" t="inlineStr">
        <is>
          <t>Refurbishment completed. LEM marketing.</t>
        </is>
      </c>
      <c r="AC106" s="303" t="n">
        <v>53</v>
      </c>
      <c r="AE106" s="278" t="n"/>
    </row>
    <row r="107">
      <c r="A107" s="11" t="inlineStr">
        <is>
          <t>WS</t>
        </is>
      </c>
      <c r="B107" s="11" t="inlineStr">
        <is>
          <t>MEL</t>
        </is>
      </c>
      <c r="C107" s="2" t="n">
        <v>550710</v>
      </c>
      <c r="D107" s="4" t="inlineStr">
        <is>
          <t>53 Great Portland Street</t>
        </is>
      </c>
      <c r="E107" s="4" t="inlineStr">
        <is>
          <t>Third Floor</t>
        </is>
      </c>
      <c r="F107" s="14" t="inlineStr">
        <is>
          <t>Office</t>
        </is>
      </c>
      <c r="G107" s="7" t="n">
        <v>321</v>
      </c>
      <c r="H107" s="7">
        <f>G107</f>
        <v/>
      </c>
      <c r="I107" s="7" t="n">
        <v>500</v>
      </c>
      <c r="J107" s="4" t="inlineStr">
        <is>
          <t>Vacant</t>
        </is>
      </c>
      <c r="M107" s="9" t="n">
        <v>45170</v>
      </c>
      <c r="P107" s="10" t="n">
        <v>0</v>
      </c>
      <c r="Q107" s="10">
        <f>P107</f>
        <v/>
      </c>
      <c r="S107" s="10" t="n">
        <v>17000</v>
      </c>
      <c r="T107" s="10">
        <f>S107</f>
        <v/>
      </c>
      <c r="U107" s="27" t="n">
        <v>16852</v>
      </c>
      <c r="V107" s="10">
        <f>U107</f>
        <v/>
      </c>
      <c r="W107" s="277">
        <f>S107/G107</f>
        <v/>
      </c>
      <c r="X107" s="10" t="inlineStr">
        <is>
          <t>E</t>
        </is>
      </c>
      <c r="Y107" s="60" t="n"/>
      <c r="Z107" s="394" t="n"/>
      <c r="AA107" s="14" t="inlineStr">
        <is>
          <t>No</t>
        </is>
      </c>
      <c r="AB107" s="29" t="inlineStr">
        <is>
          <t>Refurbishment completed. LEM marketing.</t>
        </is>
      </c>
      <c r="AC107" s="303" t="n">
        <v>53</v>
      </c>
      <c r="AE107" s="278" t="n"/>
    </row>
    <row r="108">
      <c r="A108" s="11" t="inlineStr">
        <is>
          <t>CM</t>
        </is>
      </c>
      <c r="B108" s="11" t="inlineStr">
        <is>
          <t>MEL</t>
        </is>
      </c>
      <c r="C108" s="2" t="n">
        <v>550090</v>
      </c>
      <c r="D108" s="4" t="inlineStr">
        <is>
          <t>76 Great Portland Street</t>
        </is>
      </c>
      <c r="E108" s="4" t="inlineStr">
        <is>
          <t>Basement &amp; Ground Floor (Front)</t>
        </is>
      </c>
      <c r="F108" s="14" t="inlineStr">
        <is>
          <t>Showroom</t>
        </is>
      </c>
      <c r="G108" s="7" t="n">
        <v>607</v>
      </c>
      <c r="H108" s="7">
        <f>G108</f>
        <v/>
      </c>
      <c r="I108" s="7" t="n">
        <v>500</v>
      </c>
      <c r="J108" s="4" t="inlineStr">
        <is>
          <t>O-Chaa Thai Ltd.</t>
        </is>
      </c>
      <c r="K108" s="8" t="n">
        <v>45706</v>
      </c>
      <c r="L108" s="9" t="n">
        <v>49357</v>
      </c>
      <c r="N108" s="9" t="n">
        <v>47532</v>
      </c>
      <c r="O108" s="9" t="n">
        <v>47531</v>
      </c>
      <c r="P108" s="10" t="n">
        <v>27000</v>
      </c>
      <c r="Q108" s="10">
        <f>P108</f>
        <v/>
      </c>
      <c r="S108" s="10" t="n">
        <v>25000</v>
      </c>
      <c r="T108" s="10">
        <f>S108</f>
        <v/>
      </c>
      <c r="U108" s="27" t="n">
        <v>27000</v>
      </c>
      <c r="V108" s="10">
        <f>U108</f>
        <v/>
      </c>
      <c r="W108" s="277">
        <f>S108/G108</f>
        <v/>
      </c>
      <c r="X108" s="10" t="inlineStr">
        <is>
          <t>B</t>
        </is>
      </c>
      <c r="Y108" s="60" t="n"/>
      <c r="Z108" s="394" t="n"/>
      <c r="AA108" s="14" t="inlineStr">
        <is>
          <t>No</t>
        </is>
      </c>
      <c r="AB108" s="4" t="inlineStr">
        <is>
          <t xml:space="preserve">Tenant break on 6 months notice. </t>
        </is>
      </c>
      <c r="AE108" s="278" t="n"/>
    </row>
    <row r="109">
      <c r="A109" s="11" t="inlineStr">
        <is>
          <t>CM</t>
        </is>
      </c>
      <c r="B109" s="11" t="inlineStr">
        <is>
          <t>MEL</t>
        </is>
      </c>
      <c r="C109" s="2" t="n">
        <v>550090</v>
      </c>
      <c r="D109" s="4" t="inlineStr">
        <is>
          <t>76 Great Portland Street</t>
        </is>
      </c>
      <c r="E109" s="4" t="inlineStr">
        <is>
          <t>Basement &amp; Ground Floor (Rear)</t>
        </is>
      </c>
      <c r="F109" s="14" t="inlineStr">
        <is>
          <t>Restaurant</t>
        </is>
      </c>
      <c r="G109" s="7" t="n">
        <v>662</v>
      </c>
      <c r="H109" s="7">
        <f>G109</f>
        <v/>
      </c>
      <c r="I109" s="7" t="n">
        <v>500</v>
      </c>
      <c r="J109" s="4" t="inlineStr">
        <is>
          <t>O-Chaa Thai Ltd.</t>
        </is>
      </c>
      <c r="K109" s="8" t="n">
        <v>45706</v>
      </c>
      <c r="L109" s="9" t="n">
        <v>49357</v>
      </c>
      <c r="N109" s="9" t="n">
        <v>47532</v>
      </c>
      <c r="O109" s="9" t="n">
        <v>47531</v>
      </c>
      <c r="P109" s="10" t="n">
        <v>22000</v>
      </c>
      <c r="Q109" s="10">
        <f>P109</f>
        <v/>
      </c>
      <c r="S109" s="10" t="n">
        <v>20000</v>
      </c>
      <c r="T109" s="10">
        <f>S109</f>
        <v/>
      </c>
      <c r="U109" s="27" t="n">
        <v>22000</v>
      </c>
      <c r="V109" s="10">
        <f>U109</f>
        <v/>
      </c>
      <c r="W109" s="277">
        <f>S109/G109</f>
        <v/>
      </c>
      <c r="X109" s="10" t="inlineStr">
        <is>
          <t>B</t>
        </is>
      </c>
      <c r="Y109" s="60" t="n"/>
      <c r="Z109" s="394" t="n"/>
      <c r="AA109" s="14" t="inlineStr">
        <is>
          <t>No</t>
        </is>
      </c>
      <c r="AB109" s="4" t="inlineStr">
        <is>
          <t>Tenant break on 6 months notice.</t>
        </is>
      </c>
      <c r="AE109" s="278" t="n"/>
    </row>
    <row r="110">
      <c r="A110" s="11" t="inlineStr">
        <is>
          <t>CM</t>
        </is>
      </c>
      <c r="B110" s="11" t="inlineStr">
        <is>
          <t>MEL</t>
        </is>
      </c>
      <c r="C110" s="2" t="n">
        <v>550090</v>
      </c>
      <c r="D110" s="4" t="inlineStr">
        <is>
          <t>76 Great Portland Street</t>
        </is>
      </c>
      <c r="E110" s="4" t="inlineStr">
        <is>
          <t>First to Fourth Floor</t>
        </is>
      </c>
      <c r="F110" s="14" t="inlineStr">
        <is>
          <t>Office</t>
        </is>
      </c>
      <c r="G110" s="7" t="n">
        <v>1765</v>
      </c>
      <c r="H110" s="7">
        <f>G110</f>
        <v/>
      </c>
      <c r="I110" s="7" t="n">
        <v>1750</v>
      </c>
      <c r="J110" s="4" t="inlineStr">
        <is>
          <t>Vacant</t>
        </is>
      </c>
      <c r="M110" s="9" t="n">
        <v>43256</v>
      </c>
      <c r="P110" s="10" t="n">
        <v>0</v>
      </c>
      <c r="Q110" s="10">
        <f>P110</f>
        <v/>
      </c>
      <c r="S110" s="10" t="n">
        <v>90000</v>
      </c>
      <c r="T110" s="10">
        <f>S110</f>
        <v/>
      </c>
      <c r="U110" s="27" t="n">
        <v>84000</v>
      </c>
      <c r="V110" s="10">
        <f>U110</f>
        <v/>
      </c>
      <c r="W110" s="277">
        <f>S110/G110</f>
        <v/>
      </c>
      <c r="X110" s="10" t="n"/>
      <c r="Y110" s="60" t="n"/>
      <c r="Z110" s="394" t="n"/>
      <c r="AA110" s="14" t="inlineStr">
        <is>
          <t>No</t>
        </is>
      </c>
      <c r="AB110" s="4" t="inlineStr">
        <is>
          <t>Mothballed.</t>
        </is>
      </c>
      <c r="AD110" s="29" t="n"/>
      <c r="AE110" s="279" t="n"/>
      <c r="AF110" s="29" t="n"/>
    </row>
    <row r="111">
      <c r="A111" s="11" t="inlineStr">
        <is>
          <t>WS</t>
        </is>
      </c>
      <c r="B111" s="11" t="inlineStr">
        <is>
          <t>MEL</t>
        </is>
      </c>
      <c r="C111" s="2" t="n">
        <v>550750</v>
      </c>
      <c r="D111" s="4" t="inlineStr">
        <is>
          <t>1 Great Titchfield Street</t>
        </is>
      </c>
      <c r="E111" s="4" t="inlineStr">
        <is>
          <t>Basement to Third Floor</t>
        </is>
      </c>
      <c r="F111" s="14" t="inlineStr">
        <is>
          <t>Shop/Snack Bar</t>
        </is>
      </c>
      <c r="G111" s="18" t="n">
        <v>1305</v>
      </c>
      <c r="H111" s="10">
        <f>G111</f>
        <v/>
      </c>
      <c r="I111" s="10" t="n">
        <v>1250</v>
      </c>
      <c r="J111" s="4" t="inlineStr">
        <is>
          <t>Tikkas Group Ltd</t>
        </is>
      </c>
      <c r="K111" s="8" t="n">
        <v>45748</v>
      </c>
      <c r="L111" s="9" t="n">
        <v>49399</v>
      </c>
      <c r="N111" s="9" t="n">
        <v>47574</v>
      </c>
      <c r="O111" s="9" t="n">
        <v>47573</v>
      </c>
      <c r="P111" s="10" t="n">
        <v>0</v>
      </c>
      <c r="Q111" s="10">
        <f>P111</f>
        <v/>
      </c>
      <c r="R111" s="19">
        <f>Q111</f>
        <v/>
      </c>
      <c r="S111" s="19" t="n">
        <v>90000</v>
      </c>
      <c r="T111" s="10">
        <f>S111</f>
        <v/>
      </c>
      <c r="U111" s="36" t="n">
        <v>90000</v>
      </c>
      <c r="V111" s="10">
        <f>U111</f>
        <v/>
      </c>
      <c r="W111" s="277">
        <f>S111/G111</f>
        <v/>
      </c>
      <c r="X111" s="10" t="inlineStr">
        <is>
          <t>D</t>
        </is>
      </c>
      <c r="Y111" s="60" t="n"/>
      <c r="Z111" s="361" t="n">
        <v>1450000</v>
      </c>
      <c r="AA111" s="14" t="inlineStr">
        <is>
          <t>No</t>
        </is>
      </c>
      <c r="AB111" s="4" t="inlineStr">
        <is>
          <t>Rent £90,000 wef 01/09/25. Tenant break on 6 months notice. 2 months rent free if break not exercised.</t>
        </is>
      </c>
      <c r="AC111" s="303" t="n">
        <v>69</v>
      </c>
      <c r="AE111" s="278" t="n">
        <v>10</v>
      </c>
      <c r="AF111" s="4" t="inlineStr">
        <is>
          <t>LEM</t>
        </is>
      </c>
    </row>
    <row r="112">
      <c r="A112" s="11" t="inlineStr">
        <is>
          <t>CM</t>
        </is>
      </c>
      <c r="B112" s="11" t="inlineStr">
        <is>
          <t>MEL</t>
        </is>
      </c>
      <c r="C112" s="2" t="n">
        <v>550880</v>
      </c>
      <c r="D112" s="4" t="inlineStr">
        <is>
          <t>3 Great Titchfield Street</t>
        </is>
      </c>
      <c r="E112" s="4" t="inlineStr">
        <is>
          <t>Basement &amp; Ground</t>
        </is>
      </c>
      <c r="F112" s="14" t="inlineStr">
        <is>
          <t>Restaurant</t>
        </is>
      </c>
      <c r="G112" s="42" t="n">
        <v>1440</v>
      </c>
      <c r="H112" s="10">
        <f>G112</f>
        <v/>
      </c>
      <c r="I112" s="10" t="n">
        <v>1500</v>
      </c>
      <c r="J112" s="4" t="inlineStr">
        <is>
          <t>Pho Trading Ltd.</t>
        </is>
      </c>
      <c r="K112" s="9" t="n">
        <v>43430</v>
      </c>
      <c r="L112" s="9" t="n">
        <v>47082</v>
      </c>
      <c r="N112" s="9" t="n">
        <v>45256</v>
      </c>
      <c r="P112" s="10" t="n">
        <v>100000</v>
      </c>
      <c r="Q112" s="10">
        <f>P112</f>
        <v/>
      </c>
      <c r="S112" s="10" t="n">
        <v>100000</v>
      </c>
      <c r="T112" s="10">
        <f>S112</f>
        <v/>
      </c>
      <c r="U112" s="27" t="n">
        <v>100000</v>
      </c>
      <c r="V112" s="10">
        <f>U112</f>
        <v/>
      </c>
      <c r="W112" s="277">
        <f>S112/G112</f>
        <v/>
      </c>
      <c r="X112" s="10" t="inlineStr">
        <is>
          <t>C</t>
        </is>
      </c>
      <c r="Y112" s="60" t="n"/>
      <c r="Z112" s="394" t="n"/>
      <c r="AA112" s="14" t="inlineStr">
        <is>
          <t>No</t>
        </is>
      </c>
      <c r="AB112" s="4" t="inlineStr">
        <is>
          <t>Rent review not activated due to level of passing rent.</t>
        </is>
      </c>
      <c r="AE112" s="278" t="n"/>
    </row>
    <row r="113">
      <c r="A113" s="11" t="inlineStr">
        <is>
          <t>CM</t>
        </is>
      </c>
      <c r="B113" s="11" t="inlineStr">
        <is>
          <t>MEL</t>
        </is>
      </c>
      <c r="C113" s="2" t="n">
        <v>550880</v>
      </c>
      <c r="D113" s="4" t="inlineStr">
        <is>
          <t>3 Great Titchfield Street</t>
        </is>
      </c>
      <c r="E113" s="4" t="inlineStr">
        <is>
          <t xml:space="preserve">First to Third Floor </t>
        </is>
      </c>
      <c r="F113" s="11" t="inlineStr">
        <is>
          <t>Flat</t>
        </is>
      </c>
      <c r="G113" s="7" t="n">
        <v>1082</v>
      </c>
      <c r="H113" s="10">
        <f>G113</f>
        <v/>
      </c>
      <c r="I113" s="10" t="n">
        <v>1000</v>
      </c>
      <c r="J113" s="25" t="inlineStr">
        <is>
          <t>Hewson Independent Trading Company Ltd</t>
        </is>
      </c>
      <c r="K113" s="9" t="n">
        <v>45065</v>
      </c>
      <c r="L113" s="9" t="n">
        <v>46160</v>
      </c>
      <c r="P113" s="10" t="n">
        <v>88400</v>
      </c>
      <c r="Q113" s="10">
        <f>P113</f>
        <v/>
      </c>
      <c r="S113" s="10" t="n">
        <v>58968</v>
      </c>
      <c r="T113" s="10">
        <f>S113</f>
        <v/>
      </c>
      <c r="U113" s="27" t="n">
        <v>88400</v>
      </c>
      <c r="V113" s="10">
        <f>U113</f>
        <v/>
      </c>
      <c r="W113" s="10" t="n"/>
      <c r="X113" s="10" t="inlineStr">
        <is>
          <t>D</t>
        </is>
      </c>
      <c r="Y113" s="60" t="n"/>
      <c r="Z113" s="394" t="n"/>
      <c r="AA113" s="14" t="inlineStr">
        <is>
          <t>No</t>
        </is>
      </c>
      <c r="AE113" s="278" t="n"/>
    </row>
    <row r="114">
      <c r="A114" s="11" t="inlineStr">
        <is>
          <t>WS</t>
        </is>
      </c>
      <c r="B114" s="11" t="inlineStr">
        <is>
          <t>MEL</t>
        </is>
      </c>
      <c r="C114" s="2" t="n">
        <v>550180</v>
      </c>
      <c r="D114" s="4" t="inlineStr">
        <is>
          <t>Great Titchfield House,  14-18 Great Titchfield Street</t>
        </is>
      </c>
      <c r="E114" s="4" t="inlineStr">
        <is>
          <t>Ground Floor &amp; Basement (South)</t>
        </is>
      </c>
      <c r="F114" s="14" t="inlineStr">
        <is>
          <t>Showroom</t>
        </is>
      </c>
      <c r="G114" s="7" t="n">
        <v>2026</v>
      </c>
      <c r="H114" s="7">
        <f>G114</f>
        <v/>
      </c>
      <c r="I114" s="7" t="n">
        <v>2000</v>
      </c>
      <c r="J114" s="4" t="inlineStr">
        <is>
          <t>Sound Disposition Limited</t>
        </is>
      </c>
      <c r="K114" s="8" t="n">
        <v>45247</v>
      </c>
      <c r="L114" s="9" t="n">
        <v>48899</v>
      </c>
      <c r="N114" s="9" t="n">
        <v>47074</v>
      </c>
      <c r="O114" s="9" t="n">
        <v>47073</v>
      </c>
      <c r="P114" s="10" t="n">
        <v>100000</v>
      </c>
      <c r="Q114" s="10">
        <f>P114</f>
        <v/>
      </c>
      <c r="S114" s="10" t="n">
        <v>71800</v>
      </c>
      <c r="T114" s="10">
        <f>S114</f>
        <v/>
      </c>
      <c r="U114" s="27" t="n">
        <v>100000</v>
      </c>
      <c r="V114" s="10">
        <f>U114</f>
        <v/>
      </c>
      <c r="W114" s="277">
        <f>S114/G114</f>
        <v/>
      </c>
      <c r="X114" s="10" t="inlineStr">
        <is>
          <t>C</t>
        </is>
      </c>
      <c r="Y114" s="60" t="n"/>
      <c r="Z114" s="394" t="n"/>
      <c r="AA114" s="14" t="inlineStr">
        <is>
          <t>No</t>
        </is>
      </c>
      <c r="AB114" s="4" t="inlineStr">
        <is>
          <t>Tenant break on 6 months notice. 5 months rent free if not exercised (spread over 12 months).</t>
        </is>
      </c>
      <c r="AE114" s="278" t="n"/>
    </row>
    <row r="115">
      <c r="A115" s="11" t="inlineStr">
        <is>
          <t>WS</t>
        </is>
      </c>
      <c r="B115" s="11" t="inlineStr">
        <is>
          <t>MEL</t>
        </is>
      </c>
      <c r="C115" s="2" t="n">
        <v>550180</v>
      </c>
      <c r="D115" s="4" t="inlineStr">
        <is>
          <t>Great Titchfield House,  14-18 Great Titchfield Street</t>
        </is>
      </c>
      <c r="E115" s="4" t="inlineStr">
        <is>
          <t>Ground Floor &amp; Basement (North)</t>
        </is>
      </c>
      <c r="F115" s="14" t="inlineStr">
        <is>
          <t>Showroom</t>
        </is>
      </c>
      <c r="G115" s="7" t="n">
        <v>2202</v>
      </c>
      <c r="H115" s="7">
        <f>G115</f>
        <v/>
      </c>
      <c r="I115" s="7" t="n">
        <v>2000</v>
      </c>
      <c r="J115" s="4" t="inlineStr">
        <is>
          <t>Godske Group A/S</t>
        </is>
      </c>
      <c r="K115" s="8" t="n">
        <v>44497</v>
      </c>
      <c r="L115" s="9" t="n">
        <v>46322</v>
      </c>
      <c r="P115" s="10" t="n">
        <v>96000</v>
      </c>
      <c r="Q115" s="10">
        <f>P115</f>
        <v/>
      </c>
      <c r="S115" s="10" t="n">
        <v>78600</v>
      </c>
      <c r="T115" s="10">
        <f>S115</f>
        <v/>
      </c>
      <c r="U115" s="27" t="n">
        <v>96000</v>
      </c>
      <c r="V115" s="10">
        <f>U115</f>
        <v/>
      </c>
      <c r="W115" s="277">
        <f>S115/G115</f>
        <v/>
      </c>
      <c r="X115" s="10" t="inlineStr">
        <is>
          <t>C</t>
        </is>
      </c>
      <c r="Y115" s="60" t="n"/>
      <c r="Z115" s="394" t="n"/>
      <c r="AA115" s="14" t="inlineStr">
        <is>
          <t>No</t>
        </is>
      </c>
      <c r="AE115" s="278" t="n"/>
    </row>
    <row r="116">
      <c r="A116" s="11" t="inlineStr">
        <is>
          <t>WS</t>
        </is>
      </c>
      <c r="B116" s="11" t="inlineStr">
        <is>
          <t>MEL</t>
        </is>
      </c>
      <c r="C116" s="2" t="n">
        <v>550180</v>
      </c>
      <c r="D116" s="4" t="inlineStr">
        <is>
          <t>Great Titchfield House,  14-18 Great Titchfield Street</t>
        </is>
      </c>
      <c r="E116" s="4" t="inlineStr">
        <is>
          <t>First Floor</t>
        </is>
      </c>
      <c r="F116" s="14" t="inlineStr">
        <is>
          <t>Recording Studio /Office</t>
        </is>
      </c>
      <c r="G116" s="7" t="n">
        <v>1977</v>
      </c>
      <c r="H116" s="7">
        <f>G116</f>
        <v/>
      </c>
      <c r="I116" s="7" t="n">
        <v>2000</v>
      </c>
      <c r="J116" s="4" t="inlineStr">
        <is>
          <t>Sound Disposition Limited</t>
        </is>
      </c>
      <c r="K116" s="388" t="n">
        <v>45748</v>
      </c>
      <c r="L116" s="387" t="n">
        <v>45930</v>
      </c>
      <c r="P116" s="27" t="n">
        <v>96000</v>
      </c>
      <c r="Q116" s="10">
        <f>P116</f>
        <v/>
      </c>
      <c r="S116" s="10" t="n">
        <v>121900</v>
      </c>
      <c r="T116" s="10">
        <f>S116</f>
        <v/>
      </c>
      <c r="U116" s="27" t="n">
        <v>133400</v>
      </c>
      <c r="V116" s="10">
        <f>U116</f>
        <v/>
      </c>
      <c r="W116" s="277">
        <f>S116/G116</f>
        <v/>
      </c>
      <c r="X116" s="10" t="inlineStr">
        <is>
          <t>D</t>
        </is>
      </c>
      <c r="Y116" s="60" t="n"/>
      <c r="Z116" s="394" t="n"/>
      <c r="AA116" s="14" t="inlineStr">
        <is>
          <t>No</t>
        </is>
      </c>
      <c r="AB116" s="29" t="inlineStr">
        <is>
          <t>Short term lease renewal completed. Rent inclusive of service charge.</t>
        </is>
      </c>
      <c r="AD116" s="29" t="n"/>
      <c r="AE116" s="279" t="n"/>
      <c r="AF116" s="29" t="n"/>
    </row>
    <row r="117">
      <c r="A117" s="11" t="inlineStr">
        <is>
          <t>WS</t>
        </is>
      </c>
      <c r="B117" s="11" t="inlineStr">
        <is>
          <t>MEL</t>
        </is>
      </c>
      <c r="C117" s="2" t="n">
        <v>550180</v>
      </c>
      <c r="D117" s="4" t="inlineStr">
        <is>
          <t>Great Titchfield House,  14-18 Great Titchfield Street</t>
        </is>
      </c>
      <c r="E117" s="4" t="inlineStr">
        <is>
          <t>Second Floor</t>
        </is>
      </c>
      <c r="F117" s="14" t="inlineStr">
        <is>
          <t>Office</t>
        </is>
      </c>
      <c r="G117" s="7" t="n">
        <v>1938</v>
      </c>
      <c r="H117" s="7">
        <f>G117</f>
        <v/>
      </c>
      <c r="I117" s="7" t="n">
        <v>2000</v>
      </c>
      <c r="J117" s="29" t="inlineStr">
        <is>
          <t>Vacant</t>
        </is>
      </c>
      <c r="K117" s="387" t="n"/>
      <c r="L117" s="387" t="n"/>
      <c r="M117" s="387" t="n">
        <v>45864</v>
      </c>
      <c r="P117" s="27" t="n">
        <v>0</v>
      </c>
      <c r="Q117" s="10">
        <f>P117</f>
        <v/>
      </c>
      <c r="S117" s="10" t="n">
        <v>121800</v>
      </c>
      <c r="T117" s="10">
        <f>S117</f>
        <v/>
      </c>
      <c r="U117" s="27" t="n">
        <v>130800</v>
      </c>
      <c r="V117" s="10">
        <f>U117</f>
        <v/>
      </c>
      <c r="W117" s="277">
        <f>S117/G117</f>
        <v/>
      </c>
      <c r="X117" s="10" t="inlineStr">
        <is>
          <t>D</t>
        </is>
      </c>
      <c r="Y117" s="60" t="n"/>
      <c r="Z117" s="394" t="n"/>
      <c r="AA117" s="14" t="inlineStr">
        <is>
          <t>No</t>
        </is>
      </c>
      <c r="AB117" s="29" t="inlineStr">
        <is>
          <t>LEM marketing.</t>
        </is>
      </c>
      <c r="AE117" s="278" t="n"/>
    </row>
    <row r="118">
      <c r="A118" s="11" t="inlineStr">
        <is>
          <t>WS</t>
        </is>
      </c>
      <c r="B118" s="11" t="inlineStr">
        <is>
          <t>MEL</t>
        </is>
      </c>
      <c r="C118" s="2" t="n">
        <v>550180</v>
      </c>
      <c r="D118" s="4" t="inlineStr">
        <is>
          <t>Great Titchfield House,  14-18 Great Titchfield Street</t>
        </is>
      </c>
      <c r="E118" s="4" t="inlineStr">
        <is>
          <t>Third Floor</t>
        </is>
      </c>
      <c r="F118" s="14" t="inlineStr">
        <is>
          <t>Showroom/ Office</t>
        </is>
      </c>
      <c r="G118" s="7" t="n">
        <v>1961</v>
      </c>
      <c r="H118" s="7">
        <f>G118</f>
        <v/>
      </c>
      <c r="I118" s="7" t="n">
        <v>2000</v>
      </c>
      <c r="J118" s="4" t="inlineStr">
        <is>
          <t>Sam Rogoff &amp; Co Ltd</t>
        </is>
      </c>
      <c r="K118" s="8" t="n">
        <v>45357</v>
      </c>
      <c r="L118" s="9" t="n">
        <v>47182</v>
      </c>
      <c r="P118" s="10" t="n">
        <v>137025</v>
      </c>
      <c r="Q118" s="10">
        <f>P118</f>
        <v/>
      </c>
      <c r="S118" s="10" t="n">
        <v>121800</v>
      </c>
      <c r="T118" s="10">
        <f>S118</f>
        <v/>
      </c>
      <c r="U118" s="27" t="n">
        <v>137025</v>
      </c>
      <c r="V118" s="10">
        <f>U118</f>
        <v/>
      </c>
      <c r="W118" s="277">
        <f>S118/G118</f>
        <v/>
      </c>
      <c r="X118" s="10" t="inlineStr">
        <is>
          <t>B</t>
        </is>
      </c>
      <c r="Y118" s="60" t="n"/>
      <c r="Z118" s="394" t="n"/>
      <c r="AA118" s="14" t="inlineStr">
        <is>
          <t>No</t>
        </is>
      </c>
      <c r="AE118" s="278" t="n"/>
    </row>
    <row r="119">
      <c r="A119" s="11" t="inlineStr">
        <is>
          <t>WS</t>
        </is>
      </c>
      <c r="B119" s="11" t="inlineStr">
        <is>
          <t>MEL</t>
        </is>
      </c>
      <c r="C119" s="2" t="n">
        <v>550180</v>
      </c>
      <c r="D119" s="4" t="inlineStr">
        <is>
          <t>Great Titchfield House,  14-18 Great Titchfield Street</t>
        </is>
      </c>
      <c r="E119" s="4" t="inlineStr">
        <is>
          <t>Fourth Floor</t>
        </is>
      </c>
      <c r="F119" s="14" t="inlineStr">
        <is>
          <t>Showroom/ Office</t>
        </is>
      </c>
      <c r="G119" s="7" t="n">
        <v>1992</v>
      </c>
      <c r="H119" s="7">
        <f>G119</f>
        <v/>
      </c>
      <c r="I119" s="7" t="n">
        <v>2000</v>
      </c>
      <c r="J119" s="4" t="inlineStr">
        <is>
          <t>Vacant</t>
        </is>
      </c>
      <c r="K119" s="9" t="n"/>
      <c r="M119" s="9" t="n">
        <v>45596</v>
      </c>
      <c r="P119" s="10" t="n">
        <v>0</v>
      </c>
      <c r="Q119" s="10">
        <f>P119</f>
        <v/>
      </c>
      <c r="S119" s="10" t="n">
        <v>117300</v>
      </c>
      <c r="T119" s="10">
        <f>S119</f>
        <v/>
      </c>
      <c r="U119" s="27" t="n">
        <v>129500</v>
      </c>
      <c r="V119" s="10">
        <f>U119</f>
        <v/>
      </c>
      <c r="W119" s="277">
        <f>S119/G119</f>
        <v/>
      </c>
      <c r="X119" s="10" t="inlineStr">
        <is>
          <t>D</t>
        </is>
      </c>
      <c r="Y119" s="60" t="n"/>
      <c r="Z119" s="394" t="n"/>
      <c r="AA119" s="14" t="inlineStr">
        <is>
          <t>No</t>
        </is>
      </c>
      <c r="AB119" s="29" t="inlineStr">
        <is>
          <t>LEM marketing.</t>
        </is>
      </c>
      <c r="AC119" s="303" t="n">
        <v>72.5</v>
      </c>
      <c r="AE119" s="278" t="n">
        <v>2</v>
      </c>
      <c r="AF119" s="4" t="inlineStr">
        <is>
          <t>LEM</t>
        </is>
      </c>
    </row>
    <row r="120">
      <c r="A120" s="11" t="inlineStr">
        <is>
          <t>WS</t>
        </is>
      </c>
      <c r="B120" s="11" t="inlineStr">
        <is>
          <t>MEL</t>
        </is>
      </c>
      <c r="C120" s="2" t="n">
        <v>550180</v>
      </c>
      <c r="D120" s="4" t="inlineStr">
        <is>
          <t>Great Titchfield House,  14-18 Great Titchfield Street</t>
        </is>
      </c>
      <c r="E120" s="4" t="inlineStr">
        <is>
          <t>Fifth Floor</t>
        </is>
      </c>
      <c r="F120" s="14" t="inlineStr">
        <is>
          <t>Recording Studio/ Office</t>
        </is>
      </c>
      <c r="G120" s="359" t="n">
        <v>1674</v>
      </c>
      <c r="H120" s="7">
        <f>G120</f>
        <v/>
      </c>
      <c r="I120" s="7" t="n">
        <v>1500</v>
      </c>
      <c r="J120" s="4" t="inlineStr">
        <is>
          <t>Sine Audio Post Production Ltd</t>
        </is>
      </c>
      <c r="K120" s="8" t="n">
        <v>44805</v>
      </c>
      <c r="L120" s="9" t="n">
        <v>46630</v>
      </c>
      <c r="O120" s="9" t="n">
        <v>45900</v>
      </c>
      <c r="P120" s="10" t="n">
        <v>98280</v>
      </c>
      <c r="Q120" s="10">
        <f>P120</f>
        <v/>
      </c>
      <c r="S120" s="10" t="n">
        <v>100400</v>
      </c>
      <c r="T120" s="10">
        <f>S120</f>
        <v/>
      </c>
      <c r="U120" s="27" t="n">
        <v>113000</v>
      </c>
      <c r="V120" s="10">
        <f>U120</f>
        <v/>
      </c>
      <c r="W120" s="277">
        <f>S120/G120</f>
        <v/>
      </c>
      <c r="X120" s="27" t="inlineStr">
        <is>
          <t>B</t>
        </is>
      </c>
      <c r="Y120" s="60" t="n"/>
      <c r="Z120" s="394" t="n"/>
      <c r="AA120" s="14" t="inlineStr">
        <is>
          <t>No</t>
        </is>
      </c>
      <c r="AB120" s="4" t="inlineStr">
        <is>
          <t>Tenant break on 6 months notice. 3 month rent free wef 01/09/25 to 30/11/25 granted to reflect cost of tenant installing air-con. Unit remeasured.</t>
        </is>
      </c>
      <c r="AE120" s="278" t="n"/>
    </row>
    <row r="121">
      <c r="A121" s="11" t="inlineStr">
        <is>
          <t>WS</t>
        </is>
      </c>
      <c r="B121" s="11" t="inlineStr">
        <is>
          <t>MEL</t>
        </is>
      </c>
      <c r="C121" s="2" t="n">
        <v>550420</v>
      </c>
      <c r="D121" s="4" t="inlineStr">
        <is>
          <t>Golderbrock House,  15-19 Great Titchfield Street</t>
        </is>
      </c>
      <c r="E121" s="4" t="inlineStr">
        <is>
          <t>Ground &amp; Basement (South)</t>
        </is>
      </c>
      <c r="F121" s="14" t="inlineStr">
        <is>
          <t>Showroom</t>
        </is>
      </c>
      <c r="G121" s="7" t="n">
        <v>1115</v>
      </c>
      <c r="H121" s="7">
        <f>G121</f>
        <v/>
      </c>
      <c r="I121" s="7" t="n">
        <v>1000</v>
      </c>
      <c r="J121" s="4" t="inlineStr">
        <is>
          <t>Dal Fiorentino Ltd</t>
        </is>
      </c>
      <c r="K121" s="8" t="n">
        <v>45504</v>
      </c>
      <c r="L121" s="9" t="n">
        <v>47329</v>
      </c>
      <c r="O121" s="9" t="n">
        <v>46599</v>
      </c>
      <c r="P121" s="10" t="n">
        <v>65000</v>
      </c>
      <c r="Q121" s="10">
        <f>P121</f>
        <v/>
      </c>
      <c r="S121" s="10" t="n">
        <v>50400</v>
      </c>
      <c r="T121" s="10">
        <f>S121</f>
        <v/>
      </c>
      <c r="U121" s="27" t="n">
        <v>63500</v>
      </c>
      <c r="V121" s="10">
        <f>U121</f>
        <v/>
      </c>
      <c r="W121" s="277">
        <f>S121/G121</f>
        <v/>
      </c>
      <c r="X121" s="10" t="inlineStr">
        <is>
          <t>C</t>
        </is>
      </c>
      <c r="Y121" s="60" t="n"/>
      <c r="Z121" s="394" t="n"/>
      <c r="AA121" s="14" t="inlineStr">
        <is>
          <t>No</t>
        </is>
      </c>
      <c r="AB121" s="4" t="inlineStr">
        <is>
          <t>Tenant break on 6 months notice.</t>
        </is>
      </c>
      <c r="AD121" s="29" t="n"/>
      <c r="AE121" s="279" t="n"/>
      <c r="AF121" s="29" t="n"/>
    </row>
    <row r="122">
      <c r="A122" s="11" t="inlineStr">
        <is>
          <t>WS</t>
        </is>
      </c>
      <c r="B122" s="11" t="inlineStr">
        <is>
          <t>MEL</t>
        </is>
      </c>
      <c r="C122" s="2" t="n">
        <v>550420</v>
      </c>
      <c r="D122" s="4" t="inlineStr">
        <is>
          <t>Golderbrock House,  15-19 Great Titchfield Street</t>
        </is>
      </c>
      <c r="E122" s="4" t="inlineStr">
        <is>
          <t>Basement (Rear)</t>
        </is>
      </c>
      <c r="F122" s="14" t="inlineStr">
        <is>
          <t>Recording Studio</t>
        </is>
      </c>
      <c r="G122" s="7" t="n">
        <v>488</v>
      </c>
      <c r="H122" s="7">
        <f>G122</f>
        <v/>
      </c>
      <c r="I122" s="7" t="n">
        <v>500</v>
      </c>
      <c r="J122" s="4" t="inlineStr">
        <is>
          <t>Soho Sonic Ltd.</t>
        </is>
      </c>
      <c r="K122" s="8" t="n">
        <v>45439</v>
      </c>
      <c r="L122" s="9" t="n">
        <v>47264</v>
      </c>
      <c r="P122" s="10" t="n">
        <v>16000</v>
      </c>
      <c r="Q122" s="10">
        <f>P122</f>
        <v/>
      </c>
      <c r="S122" s="10" t="n">
        <v>13100</v>
      </c>
      <c r="T122" s="10">
        <f>S122</f>
        <v/>
      </c>
      <c r="U122" s="27" t="n">
        <v>14600</v>
      </c>
      <c r="V122" s="10">
        <f>U122</f>
        <v/>
      </c>
      <c r="W122" s="277">
        <f>S122/G122</f>
        <v/>
      </c>
      <c r="X122" s="10" t="inlineStr">
        <is>
          <t>C</t>
        </is>
      </c>
      <c r="Y122" s="60" t="n"/>
      <c r="Z122" s="394" t="n"/>
      <c r="AA122" s="14" t="inlineStr">
        <is>
          <t>No</t>
        </is>
      </c>
      <c r="AB122" s="13" t="n"/>
      <c r="AD122" s="13" t="n"/>
      <c r="AE122" s="282" t="n"/>
      <c r="AF122" s="13" t="n"/>
    </row>
    <row r="123">
      <c r="A123" s="11" t="inlineStr">
        <is>
          <t>WS</t>
        </is>
      </c>
      <c r="B123" s="11" t="inlineStr">
        <is>
          <t>MEL</t>
        </is>
      </c>
      <c r="C123" s="2" t="n">
        <v>550420</v>
      </c>
      <c r="D123" s="4" t="inlineStr">
        <is>
          <t>Golderbrock House,  15-19 Great Titchfield Street</t>
        </is>
      </c>
      <c r="E123" s="4" t="inlineStr">
        <is>
          <t>Ground &amp; Basement (North)</t>
        </is>
      </c>
      <c r="F123" s="14" t="inlineStr">
        <is>
          <t>Showroom</t>
        </is>
      </c>
      <c r="G123" s="7" t="n">
        <v>1064</v>
      </c>
      <c r="H123" s="7">
        <f>G123</f>
        <v/>
      </c>
      <c r="I123" s="7" t="n">
        <v>100</v>
      </c>
      <c r="J123" s="4" t="inlineStr">
        <is>
          <t>Gillian Jason Modern &amp; Contemporary Art Ltd</t>
        </is>
      </c>
      <c r="K123" s="8" t="n">
        <v>44515</v>
      </c>
      <c r="L123" s="9" t="n">
        <v>46340</v>
      </c>
      <c r="P123" s="10" t="n">
        <v>48000</v>
      </c>
      <c r="Q123" s="10">
        <f>P123</f>
        <v/>
      </c>
      <c r="S123" s="10" t="n">
        <v>48000</v>
      </c>
      <c r="T123" s="10">
        <f>S123</f>
        <v/>
      </c>
      <c r="U123" s="27" t="n">
        <v>48000</v>
      </c>
      <c r="V123" s="10">
        <f>U123</f>
        <v/>
      </c>
      <c r="W123" s="277">
        <f>S123/G123</f>
        <v/>
      </c>
      <c r="X123" s="10" t="inlineStr">
        <is>
          <t>D</t>
        </is>
      </c>
      <c r="Y123" s="60" t="n"/>
      <c r="Z123" s="394" t="n"/>
      <c r="AA123" s="14" t="inlineStr">
        <is>
          <t>No</t>
        </is>
      </c>
      <c r="AE123" s="278" t="n"/>
    </row>
    <row r="124">
      <c r="A124" s="11" t="inlineStr">
        <is>
          <t>WS</t>
        </is>
      </c>
      <c r="B124" s="11" t="inlineStr">
        <is>
          <t>MEL</t>
        </is>
      </c>
      <c r="C124" s="2" t="n">
        <v>550420</v>
      </c>
      <c r="D124" s="4" t="inlineStr">
        <is>
          <t>Golderbrock House,  15-19 Great Titchfield Street</t>
        </is>
      </c>
      <c r="E124" s="4" t="inlineStr">
        <is>
          <t xml:space="preserve">Ground Floor (Rear) </t>
        </is>
      </c>
      <c r="F124" s="14" t="inlineStr">
        <is>
          <t>Office</t>
        </is>
      </c>
      <c r="G124" s="7" t="n">
        <v>325</v>
      </c>
      <c r="H124" s="7">
        <f>G124</f>
        <v/>
      </c>
      <c r="I124" s="7" t="n">
        <v>500</v>
      </c>
      <c r="J124" s="4" t="inlineStr">
        <is>
          <t>Arlettie London Ltd.</t>
        </is>
      </c>
      <c r="K124" s="8" t="n">
        <v>45709</v>
      </c>
      <c r="L124" s="9" t="n">
        <v>47066</v>
      </c>
      <c r="P124" s="10" t="n">
        <v>25310</v>
      </c>
      <c r="Q124" s="10">
        <f>P124</f>
        <v/>
      </c>
      <c r="S124" s="10" t="n">
        <v>28000</v>
      </c>
      <c r="T124" s="10">
        <f>S124</f>
        <v/>
      </c>
      <c r="U124" s="27" t="n">
        <v>20000</v>
      </c>
      <c r="V124" s="10">
        <f>U124</f>
        <v/>
      </c>
      <c r="W124" s="277">
        <f>S124/G124</f>
        <v/>
      </c>
      <c r="X124" s="27" t="inlineStr">
        <is>
          <t>B</t>
        </is>
      </c>
      <c r="Y124" s="60" t="n"/>
      <c r="Z124" s="394" t="n"/>
      <c r="AA124" s="14" t="inlineStr">
        <is>
          <t>No</t>
        </is>
      </c>
      <c r="AB124" s="4" t="inlineStr">
        <is>
          <t>All inclusive excluding rates.</t>
        </is>
      </c>
      <c r="AE124" s="278" t="n">
        <v>1</v>
      </c>
      <c r="AF124" s="4" t="inlineStr">
        <is>
          <t>LEM</t>
        </is>
      </c>
    </row>
    <row r="125">
      <c r="A125" s="11" t="inlineStr">
        <is>
          <t>WS</t>
        </is>
      </c>
      <c r="B125" s="11" t="inlineStr">
        <is>
          <t>MEL</t>
        </is>
      </c>
      <c r="C125" s="2" t="n">
        <v>550420</v>
      </c>
      <c r="D125" s="4" t="inlineStr">
        <is>
          <t>Golderbrock House,  15-19 Great Titchfield Street</t>
        </is>
      </c>
      <c r="E125" s="4" t="inlineStr">
        <is>
          <t>First Floor (Front)</t>
        </is>
      </c>
      <c r="F125" s="14" t="inlineStr">
        <is>
          <t>Office</t>
        </is>
      </c>
      <c r="G125" s="7" t="n">
        <v>1335</v>
      </c>
      <c r="H125" s="7">
        <f>G125</f>
        <v/>
      </c>
      <c r="I125" s="7" t="n">
        <v>1250</v>
      </c>
      <c r="J125" s="4" t="inlineStr">
        <is>
          <t>Space Workplace Ltd</t>
        </is>
      </c>
      <c r="K125" s="8" t="n">
        <v>45624</v>
      </c>
      <c r="L125" s="9" t="n">
        <v>47449</v>
      </c>
      <c r="O125" s="9" t="n">
        <v>46718</v>
      </c>
      <c r="P125" s="10" t="n">
        <v>40200</v>
      </c>
      <c r="Q125" s="10">
        <f>P125</f>
        <v/>
      </c>
      <c r="S125" s="10" t="n">
        <v>73700</v>
      </c>
      <c r="T125" s="10">
        <f>S125</f>
        <v/>
      </c>
      <c r="U125" s="27" t="n">
        <v>80400</v>
      </c>
      <c r="V125" s="10">
        <f>U125</f>
        <v/>
      </c>
      <c r="W125" s="277">
        <f>S125/G125</f>
        <v/>
      </c>
      <c r="X125" s="27" t="inlineStr">
        <is>
          <t>B</t>
        </is>
      </c>
      <c r="Y125" s="60" t="n"/>
      <c r="Z125" s="394" t="n"/>
      <c r="AA125" s="14" t="inlineStr">
        <is>
          <t>No</t>
        </is>
      </c>
      <c r="AB125" s="4" t="inlineStr">
        <is>
          <t>Rent increases to £80,400 wef 28/11/25. Tenant break on 6 months notice.</t>
        </is>
      </c>
      <c r="AE125" s="278" t="n">
        <v>1</v>
      </c>
      <c r="AF125" s="4" t="inlineStr">
        <is>
          <t>LEM</t>
        </is>
      </c>
    </row>
    <row r="126">
      <c r="A126" s="11" t="inlineStr">
        <is>
          <t>WS</t>
        </is>
      </c>
      <c r="B126" s="11" t="inlineStr">
        <is>
          <t>MEL</t>
        </is>
      </c>
      <c r="C126" s="2" t="n">
        <v>550420</v>
      </c>
      <c r="D126" s="4" t="inlineStr">
        <is>
          <t>Golderbrock House,  15-19 Great Titchfield Street</t>
        </is>
      </c>
      <c r="E126" s="4" t="inlineStr">
        <is>
          <t>First Floor (Rear)</t>
        </is>
      </c>
      <c r="F126" s="14" t="inlineStr">
        <is>
          <t>Office</t>
        </is>
      </c>
      <c r="G126" s="7" t="n">
        <v>533</v>
      </c>
      <c r="H126" s="7">
        <f>G126</f>
        <v/>
      </c>
      <c r="I126" s="7" t="n">
        <v>500</v>
      </c>
      <c r="J126" s="4" t="inlineStr">
        <is>
          <t>Vacant</t>
        </is>
      </c>
      <c r="M126" s="9" t="n">
        <v>44536</v>
      </c>
      <c r="P126" s="10" t="n">
        <v>0</v>
      </c>
      <c r="Q126" s="10">
        <f>P126</f>
        <v/>
      </c>
      <c r="S126" s="10" t="n">
        <v>28900</v>
      </c>
      <c r="T126" s="10">
        <f>S126</f>
        <v/>
      </c>
      <c r="U126" s="27" t="n">
        <v>30600</v>
      </c>
      <c r="V126" s="10">
        <f>U126</f>
        <v/>
      </c>
      <c r="W126" s="277">
        <f>S126/G126</f>
        <v/>
      </c>
      <c r="X126" s="10" t="inlineStr">
        <is>
          <t>C</t>
        </is>
      </c>
      <c r="Y126" s="60" t="n"/>
      <c r="Z126" s="394" t="n"/>
      <c r="AA126" s="14" t="inlineStr">
        <is>
          <t>No</t>
        </is>
      </c>
      <c r="AB126" s="29" t="inlineStr">
        <is>
          <t>Refurbishement completed. LEM marketing.</t>
        </is>
      </c>
      <c r="AE126" s="278" t="n"/>
    </row>
    <row r="127">
      <c r="A127" s="11" t="inlineStr">
        <is>
          <t>WS</t>
        </is>
      </c>
      <c r="B127" s="11" t="inlineStr">
        <is>
          <t>MEL</t>
        </is>
      </c>
      <c r="C127" s="2" t="n">
        <v>550420</v>
      </c>
      <c r="D127" s="4" t="inlineStr">
        <is>
          <t>Golderbrock House,  15-19 Great Titchfield Street</t>
        </is>
      </c>
      <c r="E127" s="4" t="inlineStr">
        <is>
          <t>Second Floor</t>
        </is>
      </c>
      <c r="F127" s="14" t="inlineStr">
        <is>
          <t>Office</t>
        </is>
      </c>
      <c r="G127" s="7" t="n">
        <v>1404</v>
      </c>
      <c r="H127" s="7">
        <f>G127</f>
        <v/>
      </c>
      <c r="I127" s="7" t="n">
        <v>1500</v>
      </c>
      <c r="J127" s="4" t="inlineStr">
        <is>
          <t>Final Cut Ltd.</t>
        </is>
      </c>
      <c r="K127" s="8" t="n">
        <v>44490</v>
      </c>
      <c r="L127" s="9" t="n">
        <v>45930</v>
      </c>
      <c r="N127" s="9" t="n">
        <v>45258</v>
      </c>
      <c r="P127" s="10" t="n">
        <v>78800</v>
      </c>
      <c r="Q127" s="10">
        <f>P127</f>
        <v/>
      </c>
      <c r="S127" s="10" t="n">
        <v>79100</v>
      </c>
      <c r="T127" s="10">
        <f>S127</f>
        <v/>
      </c>
      <c r="U127" s="27" t="n">
        <v>87800</v>
      </c>
      <c r="V127" s="10">
        <f>U127</f>
        <v/>
      </c>
      <c r="W127" s="277">
        <f>S127/G127</f>
        <v/>
      </c>
      <c r="X127" s="10" t="inlineStr">
        <is>
          <t>C</t>
        </is>
      </c>
      <c r="Y127" s="60" t="n"/>
      <c r="Z127" s="394" t="n"/>
      <c r="AA127" s="14" t="inlineStr">
        <is>
          <t>No</t>
        </is>
      </c>
      <c r="AE127" s="278" t="n"/>
    </row>
    <row r="128">
      <c r="A128" s="11" t="inlineStr">
        <is>
          <t>WS</t>
        </is>
      </c>
      <c r="B128" s="11" t="inlineStr">
        <is>
          <t>MEL</t>
        </is>
      </c>
      <c r="C128" s="2" t="n">
        <v>550420</v>
      </c>
      <c r="D128" s="4" t="inlineStr">
        <is>
          <t>Golderbrock House,  15-19 Great Titchfield Street</t>
        </is>
      </c>
      <c r="E128" s="4" t="inlineStr">
        <is>
          <t>Third Floor</t>
        </is>
      </c>
      <c r="F128" s="14" t="inlineStr">
        <is>
          <t>Office</t>
        </is>
      </c>
      <c r="G128" s="7" t="n">
        <v>1404</v>
      </c>
      <c r="H128" s="7">
        <f>G128</f>
        <v/>
      </c>
      <c r="I128" s="7" t="n">
        <v>1500</v>
      </c>
      <c r="J128" s="4" t="inlineStr">
        <is>
          <t>Final Cut Ltd.</t>
        </is>
      </c>
      <c r="K128" s="8" t="n">
        <v>45259</v>
      </c>
      <c r="L128" s="9" t="n">
        <v>45930</v>
      </c>
      <c r="M128" s="9" t="n"/>
      <c r="N128" s="9" t="n"/>
      <c r="O128" s="9" t="n">
        <v>45930</v>
      </c>
      <c r="P128" s="10" t="n">
        <v>78800</v>
      </c>
      <c r="Q128" s="10">
        <f>P128</f>
        <v/>
      </c>
      <c r="R128" s="10" t="n"/>
      <c r="S128" s="10" t="n">
        <v>79600</v>
      </c>
      <c r="T128" s="10">
        <f>S128</f>
        <v/>
      </c>
      <c r="U128" s="27" t="n">
        <v>87800</v>
      </c>
      <c r="V128" s="10">
        <f>U128</f>
        <v/>
      </c>
      <c r="W128" s="277">
        <f>S128/G128</f>
        <v/>
      </c>
      <c r="X128" s="10" t="inlineStr">
        <is>
          <t>C</t>
        </is>
      </c>
      <c r="Y128" s="60" t="n"/>
      <c r="Z128" s="394" t="n"/>
      <c r="AA128" s="14" t="inlineStr">
        <is>
          <t>No</t>
        </is>
      </c>
      <c r="AB128" s="4" t="inlineStr">
        <is>
          <t>Tenant break on 6 months notice. Tenant break exercised. Lease to end on 30/09/25 if conditions met.</t>
        </is>
      </c>
      <c r="AC128" s="303" t="n"/>
      <c r="AD128" s="4" t="n"/>
      <c r="AE128" s="278" t="n"/>
      <c r="AF128" s="4" t="n"/>
    </row>
    <row r="129">
      <c r="A129" s="11" t="inlineStr">
        <is>
          <t>WS</t>
        </is>
      </c>
      <c r="B129" s="11" t="inlineStr">
        <is>
          <t>MEL</t>
        </is>
      </c>
      <c r="C129" s="2" t="n">
        <v>550420</v>
      </c>
      <c r="D129" s="4" t="inlineStr">
        <is>
          <t>Golderbrock House,  15-19 Great Titchfield Street</t>
        </is>
      </c>
      <c r="E129" s="4" t="inlineStr">
        <is>
          <t>Fourth Floor</t>
        </is>
      </c>
      <c r="F129" s="14" t="inlineStr">
        <is>
          <t>Office</t>
        </is>
      </c>
      <c r="G129" s="7" t="n">
        <v>1330</v>
      </c>
      <c r="H129" s="7">
        <f>G129</f>
        <v/>
      </c>
      <c r="I129" s="7" t="n">
        <v>1250</v>
      </c>
      <c r="J129" s="4" t="inlineStr">
        <is>
          <t>Autonomous UK Operations Ltd</t>
        </is>
      </c>
      <c r="K129" s="8" t="n">
        <v>45762</v>
      </c>
      <c r="L129" s="9" t="n">
        <v>47587</v>
      </c>
      <c r="M129" s="9" t="n"/>
      <c r="N129" s="9" t="n"/>
      <c r="O129" s="9" t="n">
        <v>46857</v>
      </c>
      <c r="P129" s="10" t="n">
        <v>86450</v>
      </c>
      <c r="Q129" s="10">
        <f>P129</f>
        <v/>
      </c>
      <c r="R129" s="10" t="n"/>
      <c r="S129" s="10" t="n">
        <v>78200</v>
      </c>
      <c r="T129" s="10">
        <f>S129</f>
        <v/>
      </c>
      <c r="U129" s="27" t="n">
        <v>86500</v>
      </c>
      <c r="V129" s="10">
        <f>U129</f>
        <v/>
      </c>
      <c r="W129" s="277">
        <f>S129/G129</f>
        <v/>
      </c>
      <c r="X129" s="10" t="inlineStr">
        <is>
          <t>B</t>
        </is>
      </c>
      <c r="Y129" s="60" t="n"/>
      <c r="Z129" s="394" t="n"/>
      <c r="AA129" s="14" t="inlineStr">
        <is>
          <t>No</t>
        </is>
      </c>
      <c r="AB129" s="4" t="inlineStr">
        <is>
          <t>Tenant break on 6 months notice.</t>
        </is>
      </c>
      <c r="AC129" s="303" t="n">
        <v>63</v>
      </c>
      <c r="AD129" s="4" t="n"/>
      <c r="AE129" s="278" t="n">
        <v>4</v>
      </c>
      <c r="AF129" s="4" t="inlineStr">
        <is>
          <t>LEM</t>
        </is>
      </c>
    </row>
    <row r="130">
      <c r="A130" s="11" t="inlineStr">
        <is>
          <t>SH</t>
        </is>
      </c>
      <c r="B130" s="11" t="inlineStr">
        <is>
          <t>MEL</t>
        </is>
      </c>
      <c r="C130" s="2" t="n">
        <v>550190</v>
      </c>
      <c r="D130" s="4" t="inlineStr">
        <is>
          <t>Circus House,  21 Great Titchfield Street</t>
        </is>
      </c>
      <c r="E130" s="4" t="inlineStr">
        <is>
          <t>Basement &amp; Ground (East)</t>
        </is>
      </c>
      <c r="F130" s="14" t="inlineStr">
        <is>
          <t>Showroom/ Office</t>
        </is>
      </c>
      <c r="G130" s="7" t="n">
        <v>3443</v>
      </c>
      <c r="H130" s="7">
        <f>G130</f>
        <v/>
      </c>
      <c r="I130" s="7" t="n">
        <v>3500</v>
      </c>
      <c r="J130" s="4" t="inlineStr">
        <is>
          <t>The Graphical Tree Ltd</t>
        </is>
      </c>
      <c r="K130" s="8" t="n">
        <v>44348</v>
      </c>
      <c r="L130" s="9" t="n">
        <v>47999</v>
      </c>
      <c r="N130" s="9" t="n">
        <v>46174</v>
      </c>
      <c r="O130" s="9" t="n">
        <v>46173</v>
      </c>
      <c r="P130" s="10" t="n">
        <v>75000</v>
      </c>
      <c r="Q130" s="10">
        <f>P130</f>
        <v/>
      </c>
      <c r="S130" s="10" t="n">
        <v>75800</v>
      </c>
      <c r="T130" s="10">
        <f>S130</f>
        <v/>
      </c>
      <c r="U130" s="27" t="n">
        <v>75000</v>
      </c>
      <c r="V130" s="10">
        <f>U130</f>
        <v/>
      </c>
      <c r="W130" s="277">
        <f>S130/G130</f>
        <v/>
      </c>
      <c r="X130" s="10" t="inlineStr">
        <is>
          <t>B</t>
        </is>
      </c>
      <c r="Y130" s="60" t="n"/>
      <c r="Z130" s="394" t="n"/>
      <c r="AA130" s="14" t="inlineStr">
        <is>
          <t>No</t>
        </is>
      </c>
      <c r="AB130" s="4" t="inlineStr">
        <is>
          <t>Tenant break on 6 months notice. Rent free 01/06/26 to 31/08/26 if not exercised. Landlord rolling break from 07/10/25.</t>
        </is>
      </c>
      <c r="AE130" s="278" t="n"/>
    </row>
    <row r="131">
      <c r="A131" s="11" t="inlineStr">
        <is>
          <t>SH</t>
        </is>
      </c>
      <c r="B131" s="11" t="inlineStr">
        <is>
          <t>MEL</t>
        </is>
      </c>
      <c r="C131" s="2" t="n">
        <v>550190</v>
      </c>
      <c r="D131" s="4" t="inlineStr">
        <is>
          <t>Circus House,  21 Great Titchfield Street</t>
        </is>
      </c>
      <c r="E131" s="4" t="inlineStr">
        <is>
          <t>Ground Floor (West)</t>
        </is>
      </c>
      <c r="F131" s="14" t="inlineStr">
        <is>
          <t>Office</t>
        </is>
      </c>
      <c r="G131" s="7" t="n">
        <v>1946</v>
      </c>
      <c r="H131" s="7">
        <f>G131</f>
        <v/>
      </c>
      <c r="I131" s="7" t="n">
        <v>2000</v>
      </c>
      <c r="J131" s="4" t="inlineStr">
        <is>
          <t>Vacant</t>
        </is>
      </c>
      <c r="M131" s="9" t="n">
        <v>45154</v>
      </c>
      <c r="P131" s="10" t="n">
        <v>0</v>
      </c>
      <c r="Q131" s="10">
        <f>P131</f>
        <v/>
      </c>
      <c r="S131" s="10" t="n">
        <v>113900</v>
      </c>
      <c r="T131" s="10">
        <f>S131</f>
        <v/>
      </c>
      <c r="U131" s="27" t="n">
        <v>116800</v>
      </c>
      <c r="V131" s="10">
        <f>U131</f>
        <v/>
      </c>
      <c r="W131" s="277">
        <f>S131/G131</f>
        <v/>
      </c>
      <c r="X131" s="10" t="inlineStr">
        <is>
          <t>E</t>
        </is>
      </c>
      <c r="Y131" s="60" t="n"/>
      <c r="Z131" s="394" t="n"/>
      <c r="AA131" s="14" t="inlineStr">
        <is>
          <t>No</t>
        </is>
      </c>
      <c r="AB131" s="4" t="inlineStr">
        <is>
          <t>Unit under offer.</t>
        </is>
      </c>
      <c r="AC131" s="303" t="n">
        <v>60</v>
      </c>
      <c r="AE131" s="278" t="n">
        <v>6</v>
      </c>
      <c r="AF131" s="4" t="inlineStr">
        <is>
          <t>LEM</t>
        </is>
      </c>
    </row>
    <row r="132">
      <c r="A132" s="11" t="inlineStr">
        <is>
          <t>SH</t>
        </is>
      </c>
      <c r="B132" s="11" t="inlineStr">
        <is>
          <t>MEL</t>
        </is>
      </c>
      <c r="C132" s="2" t="n">
        <v>550190</v>
      </c>
      <c r="D132" s="4" t="inlineStr">
        <is>
          <t>Circus House,  21 Great Titchfield Street</t>
        </is>
      </c>
      <c r="E132" s="4" t="inlineStr">
        <is>
          <t>First Floor</t>
        </is>
      </c>
      <c r="F132" s="14" t="inlineStr">
        <is>
          <t>Office</t>
        </is>
      </c>
      <c r="G132" s="7" t="n">
        <v>2319</v>
      </c>
      <c r="H132" s="7">
        <f>G132</f>
        <v/>
      </c>
      <c r="I132" s="7" t="n">
        <v>2250</v>
      </c>
      <c r="J132" s="4" t="inlineStr">
        <is>
          <t>Dawbell Limited</t>
        </is>
      </c>
      <c r="K132" s="8" t="n">
        <v>44839</v>
      </c>
      <c r="L132" s="9" t="n">
        <v>46664</v>
      </c>
      <c r="O132" s="9" t="n">
        <v>45935</v>
      </c>
      <c r="P132" s="10" t="n">
        <v>153216</v>
      </c>
      <c r="Q132" s="10">
        <f>P132</f>
        <v/>
      </c>
      <c r="S132" s="10" t="n">
        <v>153600</v>
      </c>
      <c r="T132" s="10">
        <f>S132</f>
        <v/>
      </c>
      <c r="U132" s="27" t="n">
        <v>151900</v>
      </c>
      <c r="V132" s="10">
        <f>U132</f>
        <v/>
      </c>
      <c r="W132" s="277">
        <f>S132/G132</f>
        <v/>
      </c>
      <c r="X132" s="10" t="inlineStr">
        <is>
          <t>D</t>
        </is>
      </c>
      <c r="Y132" s="60" t="n"/>
      <c r="Z132" s="394" t="n"/>
      <c r="AA132" s="14" t="inlineStr">
        <is>
          <t>No</t>
        </is>
      </c>
      <c r="AB132" s="4" t="inlineStr">
        <is>
          <t>Rent reducing to £134,064 wef 05/10/25. Tenant break on 6 months notice.</t>
        </is>
      </c>
      <c r="AE132" s="278" t="n"/>
    </row>
    <row r="133">
      <c r="A133" s="11" t="inlineStr">
        <is>
          <t>SH</t>
        </is>
      </c>
      <c r="B133" s="11" t="inlineStr">
        <is>
          <t>MEL</t>
        </is>
      </c>
      <c r="C133" s="2" t="n">
        <v>550190</v>
      </c>
      <c r="D133" s="4" t="inlineStr">
        <is>
          <t>Circus House,  21 Great Titchfield Street</t>
        </is>
      </c>
      <c r="E133" s="4" t="inlineStr">
        <is>
          <t>Second &amp; Third Floors</t>
        </is>
      </c>
      <c r="F133" s="14" t="inlineStr">
        <is>
          <t>Office</t>
        </is>
      </c>
      <c r="G133" s="7" t="n">
        <v>4653</v>
      </c>
      <c r="H133" s="7">
        <f>G133</f>
        <v/>
      </c>
      <c r="I133" s="7" t="n">
        <v>4500</v>
      </c>
      <c r="J133" s="4" t="inlineStr">
        <is>
          <t>Mesmerise Global Limited</t>
        </is>
      </c>
      <c r="K133" s="8" t="n">
        <v>44879</v>
      </c>
      <c r="L133" s="9" t="n">
        <v>46704</v>
      </c>
      <c r="O133" s="9" t="n">
        <v>45974</v>
      </c>
      <c r="P133" s="10" t="n">
        <v>310500</v>
      </c>
      <c r="Q133" s="10">
        <f>P133</f>
        <v/>
      </c>
      <c r="S133" s="10" t="n">
        <v>310800</v>
      </c>
      <c r="T133" s="10">
        <f>S133</f>
        <v/>
      </c>
      <c r="U133" s="27" t="n">
        <v>316400</v>
      </c>
      <c r="V133" s="10">
        <f>U133</f>
        <v/>
      </c>
      <c r="W133" s="277">
        <f>S133/G133</f>
        <v/>
      </c>
      <c r="X133" s="10" t="inlineStr">
        <is>
          <t>D</t>
        </is>
      </c>
      <c r="Y133" s="60" t="n"/>
      <c r="Z133" s="394" t="n"/>
      <c r="AA133" s="14" t="inlineStr">
        <is>
          <t>No</t>
        </is>
      </c>
      <c r="AB133" s="4" t="inlineStr">
        <is>
          <t>Tenant break on 6 months notice. 3 months rent free if not exercised. Break notice served. Ongoing discussions regarding renewal of one floor.</t>
        </is>
      </c>
      <c r="AE133" s="278" t="n"/>
    </row>
    <row r="134">
      <c r="A134" s="11" t="inlineStr">
        <is>
          <t>SH</t>
        </is>
      </c>
      <c r="B134" s="11" t="inlineStr">
        <is>
          <t>MEL</t>
        </is>
      </c>
      <c r="C134" s="2" t="n">
        <v>550190</v>
      </c>
      <c r="D134" s="4" t="inlineStr">
        <is>
          <t>Circus House,  21 Great Titchfield Street</t>
        </is>
      </c>
      <c r="E134" s="4" t="inlineStr">
        <is>
          <t>Fourth Floor</t>
        </is>
      </c>
      <c r="F134" s="14" t="inlineStr">
        <is>
          <t>Office</t>
        </is>
      </c>
      <c r="G134" s="7" t="n">
        <v>2316</v>
      </c>
      <c r="H134" s="7">
        <f>G134</f>
        <v/>
      </c>
      <c r="I134" s="7" t="n">
        <v>2250</v>
      </c>
      <c r="J134" s="4" t="inlineStr">
        <is>
          <t>Marstead Living Limited</t>
        </is>
      </c>
      <c r="K134" s="8" t="n">
        <v>44883</v>
      </c>
      <c r="L134" s="9" t="n">
        <v>47074</v>
      </c>
      <c r="P134" s="10" t="n">
        <v>151875</v>
      </c>
      <c r="Q134" s="10">
        <f>P134</f>
        <v/>
      </c>
      <c r="S134" s="10" t="n">
        <v>152900</v>
      </c>
      <c r="T134" s="10">
        <f>S134</f>
        <v/>
      </c>
      <c r="U134" s="27" t="n">
        <v>157500</v>
      </c>
      <c r="V134" s="10">
        <f>U134</f>
        <v/>
      </c>
      <c r="W134" s="277">
        <f>S134/G134</f>
        <v/>
      </c>
      <c r="X134" s="10" t="inlineStr">
        <is>
          <t>E</t>
        </is>
      </c>
      <c r="Y134" s="60" t="n"/>
      <c r="Z134" s="394" t="n"/>
      <c r="AA134" s="14" t="inlineStr">
        <is>
          <t>No</t>
        </is>
      </c>
      <c r="AB134" s="4" t="inlineStr">
        <is>
          <t>Rent free wef 18/11/25 to 17/05/26</t>
        </is>
      </c>
      <c r="AE134" s="278" t="n"/>
    </row>
    <row r="135">
      <c r="A135" s="11" t="inlineStr">
        <is>
          <t>SH</t>
        </is>
      </c>
      <c r="B135" s="11" t="inlineStr">
        <is>
          <t>MEL</t>
        </is>
      </c>
      <c r="C135" s="2" t="n">
        <v>550190</v>
      </c>
      <c r="D135" s="4" t="inlineStr">
        <is>
          <t>Circus House,  21 Great Titchfield Street</t>
        </is>
      </c>
      <c r="E135" s="4" t="inlineStr">
        <is>
          <t>Fifth Floor</t>
        </is>
      </c>
      <c r="F135" s="14" t="inlineStr">
        <is>
          <t>Office</t>
        </is>
      </c>
      <c r="G135" s="7" t="n">
        <v>2096</v>
      </c>
      <c r="H135" s="7">
        <f>G135</f>
        <v/>
      </c>
      <c r="I135" s="7" t="n">
        <v>2000</v>
      </c>
      <c r="J135" s="4" t="inlineStr">
        <is>
          <t>NSL Limited</t>
        </is>
      </c>
      <c r="K135" s="8" t="n">
        <v>44470</v>
      </c>
      <c r="L135" s="9" t="n">
        <v>46295</v>
      </c>
      <c r="P135" s="10" t="n">
        <v>120750</v>
      </c>
      <c r="Q135" s="10">
        <f>P135</f>
        <v/>
      </c>
      <c r="S135" s="10" t="n">
        <v>141800</v>
      </c>
      <c r="T135" s="10">
        <f>S135</f>
        <v/>
      </c>
      <c r="U135" s="27" t="n">
        <v>142500</v>
      </c>
      <c r="V135" s="10">
        <f>U135</f>
        <v/>
      </c>
      <c r="W135" s="277">
        <f>S135/G135</f>
        <v/>
      </c>
      <c r="X135" s="10" t="inlineStr">
        <is>
          <t>E</t>
        </is>
      </c>
      <c r="Y135" s="60" t="n"/>
      <c r="Z135" s="394" t="n"/>
      <c r="AA135" s="14" t="inlineStr">
        <is>
          <t>No</t>
        </is>
      </c>
      <c r="AE135" s="278" t="n"/>
    </row>
    <row r="136">
      <c r="A136" s="11" t="inlineStr">
        <is>
          <t>WS</t>
        </is>
      </c>
      <c r="B136" s="11" t="inlineStr">
        <is>
          <t>MEL</t>
        </is>
      </c>
      <c r="C136" s="2" t="n">
        <v>550570</v>
      </c>
      <c r="D136" s="4" t="inlineStr">
        <is>
          <t>Moray House, 23-35 Great Titchfield Street &amp; 63-65 Mortimer Street</t>
        </is>
      </c>
      <c r="E136" s="4" t="inlineStr">
        <is>
          <t>Part Lower Ground</t>
        </is>
      </c>
      <c r="F136" s="14" t="inlineStr">
        <is>
          <t>Gym / D1</t>
        </is>
      </c>
      <c r="G136" s="7" t="n">
        <v>2604</v>
      </c>
      <c r="H136" s="7">
        <f>G136</f>
        <v/>
      </c>
      <c r="I136" s="7" t="n">
        <v>2500</v>
      </c>
      <c r="J136" s="4" t="inlineStr">
        <is>
          <t>Rehabilitation &amp; Athletics Performance UK Ltd.</t>
        </is>
      </c>
      <c r="K136" s="8" t="n">
        <v>44941</v>
      </c>
      <c r="L136" s="9" t="n">
        <v>47057</v>
      </c>
      <c r="P136" s="10" t="n">
        <v>80000</v>
      </c>
      <c r="Q136" s="10">
        <f>P136</f>
        <v/>
      </c>
      <c r="S136" s="10" t="n">
        <v>80000</v>
      </c>
      <c r="T136" s="10">
        <f>S136</f>
        <v/>
      </c>
      <c r="U136" s="27" t="n">
        <v>70000</v>
      </c>
      <c r="V136" s="10">
        <f>U136</f>
        <v/>
      </c>
      <c r="W136" s="277">
        <f>S136/G136</f>
        <v/>
      </c>
      <c r="X136" s="10" t="inlineStr">
        <is>
          <t>D</t>
        </is>
      </c>
      <c r="Y136" s="60" t="n"/>
      <c r="Z136" s="394" t="n"/>
      <c r="AA136" s="14" t="inlineStr">
        <is>
          <t>No</t>
        </is>
      </c>
      <c r="AB136" s="4" t="inlineStr">
        <is>
          <t>Fixed increases 01/05/26 wef £85,000, 01/05/27 wef £90,000 and 01/05/28 wef £95,000.</t>
        </is>
      </c>
      <c r="AE136" s="278" t="n"/>
    </row>
    <row r="137">
      <c r="A137" s="11" t="inlineStr">
        <is>
          <t>WS</t>
        </is>
      </c>
      <c r="B137" s="11" t="inlineStr">
        <is>
          <t>MEL</t>
        </is>
      </c>
      <c r="C137" s="2" t="n">
        <v>550570</v>
      </c>
      <c r="D137" s="4" t="inlineStr">
        <is>
          <t>Moray House, 23-35 Great Titchfield Street &amp; 63-65 Mortimer Street</t>
        </is>
      </c>
      <c r="E137" s="4" t="inlineStr">
        <is>
          <t>Unit A &amp; B. Ground Floor</t>
        </is>
      </c>
      <c r="F137" s="14" t="inlineStr">
        <is>
          <t>Shop/Showroom</t>
        </is>
      </c>
      <c r="G137" s="7" t="n">
        <v>1452</v>
      </c>
      <c r="H137" s="7">
        <f>G137</f>
        <v/>
      </c>
      <c r="I137" s="7" t="n">
        <v>1500</v>
      </c>
      <c r="J137" s="4" t="inlineStr">
        <is>
          <t>Medialab Group Ltd.</t>
        </is>
      </c>
      <c r="K137" s="8" t="n">
        <v>45586</v>
      </c>
      <c r="L137" s="9" t="n">
        <v>46827</v>
      </c>
      <c r="O137" s="9" t="n">
        <v>46097</v>
      </c>
      <c r="P137" s="10" t="n">
        <v>117500</v>
      </c>
      <c r="Q137" s="10">
        <f>P137</f>
        <v/>
      </c>
      <c r="S137" s="10" t="n">
        <v>115000</v>
      </c>
      <c r="T137" s="10">
        <f>S137</f>
        <v/>
      </c>
      <c r="U137" s="27" t="n">
        <v>115000</v>
      </c>
      <c r="V137" s="10">
        <f>U137</f>
        <v/>
      </c>
      <c r="W137" s="277">
        <f>S137/G137</f>
        <v/>
      </c>
      <c r="X137" s="10" t="inlineStr">
        <is>
          <t>B</t>
        </is>
      </c>
      <c r="Y137" s="60" t="n"/>
      <c r="Z137" s="394" t="n"/>
      <c r="AA137" s="14" t="inlineStr">
        <is>
          <t>No</t>
        </is>
      </c>
      <c r="AB137" s="4" t="inlineStr">
        <is>
          <t>Tenant break on 6 months notice.</t>
        </is>
      </c>
      <c r="AE137" s="278" t="n"/>
    </row>
    <row r="138">
      <c r="A138" s="11" t="inlineStr">
        <is>
          <t>WS</t>
        </is>
      </c>
      <c r="B138" s="11" t="inlineStr">
        <is>
          <t>MEL</t>
        </is>
      </c>
      <c r="C138" s="2" t="n">
        <v>550570</v>
      </c>
      <c r="D138" s="4" t="inlineStr">
        <is>
          <t>Moray House, 23-35 Great Titchfield Street &amp; 63-65 Mortimer Street</t>
        </is>
      </c>
      <c r="E138" s="4" t="inlineStr">
        <is>
          <t>Unit C. Ground Floor &amp; Basement</t>
        </is>
      </c>
      <c r="F138" s="14" t="inlineStr">
        <is>
          <t>Office/ Showroom</t>
        </is>
      </c>
      <c r="G138" s="7" t="n">
        <v>1949</v>
      </c>
      <c r="H138" s="7">
        <f>G138</f>
        <v/>
      </c>
      <c r="I138" s="7" t="n">
        <v>2000</v>
      </c>
      <c r="J138" s="4" t="inlineStr">
        <is>
          <t>H Illume Ltd (t/a LAPO)</t>
        </is>
      </c>
      <c r="K138" s="8" t="n">
        <v>45687</v>
      </c>
      <c r="L138" s="9" t="n">
        <v>49338</v>
      </c>
      <c r="N138" s="9" t="n">
        <v>47513</v>
      </c>
      <c r="P138" s="10" t="n">
        <v>59000</v>
      </c>
      <c r="Q138" s="10">
        <f>P138</f>
        <v/>
      </c>
      <c r="S138" s="10" t="n">
        <v>91000</v>
      </c>
      <c r="T138" s="10">
        <f>S138</f>
        <v/>
      </c>
      <c r="U138" s="27" t="n">
        <v>114800</v>
      </c>
      <c r="V138" s="10">
        <f>U138</f>
        <v/>
      </c>
      <c r="W138" s="277">
        <f>S138/G138</f>
        <v/>
      </c>
      <c r="X138" s="10" t="inlineStr">
        <is>
          <t>D</t>
        </is>
      </c>
      <c r="Y138" s="60" t="n"/>
      <c r="Z138" s="394" t="n"/>
      <c r="AA138" s="14" t="inlineStr">
        <is>
          <t>No</t>
        </is>
      </c>
      <c r="AB138" s="4" t="inlineStr">
        <is>
          <t>Rent increasing to £118,000 wef 30/04/26.</t>
        </is>
      </c>
      <c r="AE138" s="278" t="n">
        <v>3</v>
      </c>
      <c r="AF138" s="4" t="inlineStr">
        <is>
          <t>LEM</t>
        </is>
      </c>
    </row>
    <row r="139">
      <c r="A139" s="11" t="inlineStr">
        <is>
          <t>WS</t>
        </is>
      </c>
      <c r="B139" s="11" t="inlineStr">
        <is>
          <t>MEL</t>
        </is>
      </c>
      <c r="C139" s="2" t="n">
        <v>550570</v>
      </c>
      <c r="D139" s="4" t="inlineStr">
        <is>
          <t>Moray House, 23-35 Great Titchfield Street &amp; 63-65 Mortimer Street</t>
        </is>
      </c>
      <c r="E139" s="4" t="inlineStr">
        <is>
          <t>Unit D &amp; E. Ground Floor &amp; Part Basement</t>
        </is>
      </c>
      <c r="F139" s="14" t="inlineStr">
        <is>
          <t>Gym / D1</t>
        </is>
      </c>
      <c r="G139" s="7" t="n">
        <v>4976</v>
      </c>
      <c r="H139" s="7">
        <f>G139</f>
        <v/>
      </c>
      <c r="I139" s="7" t="n">
        <v>5000</v>
      </c>
      <c r="J139" s="4" t="inlineStr">
        <is>
          <t>CSS F45 UK Ltd</t>
        </is>
      </c>
      <c r="K139" s="8" t="n">
        <v>44722</v>
      </c>
      <c r="L139" s="9" t="n">
        <v>48374</v>
      </c>
      <c r="N139" s="9" t="n">
        <v>46548</v>
      </c>
      <c r="O139" s="9" t="n">
        <v>46547</v>
      </c>
      <c r="P139" s="10" t="n">
        <v>230000</v>
      </c>
      <c r="Q139" s="10">
        <f>P139</f>
        <v/>
      </c>
      <c r="S139" s="10" t="n">
        <v>230000</v>
      </c>
      <c r="T139" s="10">
        <f>S139</f>
        <v/>
      </c>
      <c r="U139" s="27" t="n">
        <v>230000</v>
      </c>
      <c r="V139" s="10">
        <f>U139</f>
        <v/>
      </c>
      <c r="W139" s="277">
        <f>S139/G139</f>
        <v/>
      </c>
      <c r="X139" s="10" t="inlineStr">
        <is>
          <t>B</t>
        </is>
      </c>
      <c r="Y139" s="60" t="n"/>
      <c r="Z139" s="394" t="n"/>
      <c r="AA139" s="14" t="inlineStr">
        <is>
          <t>No</t>
        </is>
      </c>
      <c r="AB139" s="13" t="inlineStr">
        <is>
          <t xml:space="preserve">Tenant break on 6 months notice. </t>
        </is>
      </c>
      <c r="AD139" s="13" t="n"/>
      <c r="AE139" s="282" t="n"/>
      <c r="AF139" s="13" t="n"/>
    </row>
    <row r="140">
      <c r="A140" s="11" t="inlineStr">
        <is>
          <t>WS</t>
        </is>
      </c>
      <c r="B140" s="11" t="inlineStr">
        <is>
          <t>MEL</t>
        </is>
      </c>
      <c r="C140" s="2" t="n">
        <v>550570</v>
      </c>
      <c r="D140" s="4" t="inlineStr">
        <is>
          <t>Moray House, 23-35 Great Titchfield Street &amp; 63-65 Mortimer Street</t>
        </is>
      </c>
      <c r="E140" s="4" t="inlineStr">
        <is>
          <t>Suite 1.1 First Floor</t>
        </is>
      </c>
      <c r="F140" s="14" t="inlineStr">
        <is>
          <t>Office</t>
        </is>
      </c>
      <c r="G140" s="7" t="n">
        <v>1443</v>
      </c>
      <c r="H140" s="7">
        <f>G140</f>
        <v/>
      </c>
      <c r="I140" s="7" t="n">
        <v>1500</v>
      </c>
      <c r="J140" s="4" t="inlineStr">
        <is>
          <t>Vacant</t>
        </is>
      </c>
      <c r="M140" s="9" t="n">
        <v>44121</v>
      </c>
      <c r="P140" s="10" t="n">
        <v>0</v>
      </c>
      <c r="Q140" s="10">
        <f>P140</f>
        <v/>
      </c>
      <c r="S140" s="10" t="n">
        <v>87800</v>
      </c>
      <c r="T140" s="10">
        <f>S140</f>
        <v/>
      </c>
      <c r="U140" s="27" t="n">
        <v>93800</v>
      </c>
      <c r="V140" s="10">
        <f>U140</f>
        <v/>
      </c>
      <c r="W140" s="277">
        <f>S140/G140</f>
        <v/>
      </c>
      <c r="X140" s="10" t="inlineStr">
        <is>
          <t>D</t>
        </is>
      </c>
      <c r="Y140" s="60" t="n"/>
      <c r="Z140" s="394" t="n"/>
      <c r="AA140" s="14" t="inlineStr">
        <is>
          <t>No</t>
        </is>
      </c>
      <c r="AB140" s="4" t="inlineStr">
        <is>
          <t>To be refurbished.</t>
        </is>
      </c>
      <c r="AC140" s="303" t="n">
        <v>65</v>
      </c>
      <c r="AE140" s="278" t="n">
        <v>1</v>
      </c>
      <c r="AF140" s="4" t="inlineStr">
        <is>
          <t>LEM</t>
        </is>
      </c>
    </row>
    <row r="141">
      <c r="A141" s="11" t="inlineStr">
        <is>
          <t>WS</t>
        </is>
      </c>
      <c r="B141" s="11" t="inlineStr">
        <is>
          <t>MEL</t>
        </is>
      </c>
      <c r="C141" s="2" t="n">
        <v>550570</v>
      </c>
      <c r="D141" s="4" t="inlineStr">
        <is>
          <t>Moray House, 23-35 Great Titchfield Street &amp; 63-65 Mortimer Street</t>
        </is>
      </c>
      <c r="E141" s="4" t="inlineStr">
        <is>
          <t xml:space="preserve">Suites 2 &amp; 3 First Floor  </t>
        </is>
      </c>
      <c r="F141" s="14" t="inlineStr">
        <is>
          <t>Showroom/Office</t>
        </is>
      </c>
      <c r="G141" s="7" t="n">
        <v>2851</v>
      </c>
      <c r="H141" s="7">
        <f>G141</f>
        <v/>
      </c>
      <c r="I141" s="7" t="n">
        <v>2750</v>
      </c>
      <c r="J141" s="29" t="inlineStr">
        <is>
          <t>Vacant</t>
        </is>
      </c>
      <c r="M141" s="387" t="n">
        <v>45845</v>
      </c>
      <c r="P141" s="27" t="n">
        <v>0</v>
      </c>
      <c r="Q141" s="10">
        <f>P141</f>
        <v/>
      </c>
      <c r="S141" s="10" t="n">
        <v>151300</v>
      </c>
      <c r="T141" s="10">
        <f>S141</f>
        <v/>
      </c>
      <c r="U141" s="27" t="n">
        <v>185300</v>
      </c>
      <c r="V141" s="10">
        <f>U141</f>
        <v/>
      </c>
      <c r="W141" s="277">
        <f>S141/G141</f>
        <v/>
      </c>
      <c r="X141" s="10" t="inlineStr">
        <is>
          <t>C</t>
        </is>
      </c>
      <c r="Y141" s="60" t="n"/>
      <c r="Z141" s="394" t="n"/>
      <c r="AA141" s="14" t="inlineStr">
        <is>
          <t>No</t>
        </is>
      </c>
      <c r="AB141" s="29" t="inlineStr">
        <is>
          <t>LEM marketing.</t>
        </is>
      </c>
      <c r="AE141" s="278" t="n"/>
    </row>
    <row r="142">
      <c r="A142" s="11" t="inlineStr">
        <is>
          <t>WS</t>
        </is>
      </c>
      <c r="B142" s="11" t="inlineStr">
        <is>
          <t>MEL</t>
        </is>
      </c>
      <c r="C142" s="2" t="n">
        <v>550570</v>
      </c>
      <c r="D142" s="4" t="inlineStr">
        <is>
          <t>Moray House, 23-35 Great Titchfield Street &amp; 63-65 Mortimer Street</t>
        </is>
      </c>
      <c r="E142" s="4" t="inlineStr">
        <is>
          <t>Suite 4 First Floor</t>
        </is>
      </c>
      <c r="F142" s="14" t="inlineStr">
        <is>
          <t>Showroom/Office</t>
        </is>
      </c>
      <c r="G142" s="7" t="n">
        <v>483</v>
      </c>
      <c r="H142" s="7">
        <f>G142</f>
        <v/>
      </c>
      <c r="I142" s="7" t="n">
        <v>500</v>
      </c>
      <c r="J142" s="4" t="inlineStr">
        <is>
          <t>Oldie Publications Ltd</t>
        </is>
      </c>
      <c r="K142" s="8" t="n">
        <v>44272</v>
      </c>
      <c r="L142" s="9" t="n">
        <v>46097</v>
      </c>
      <c r="P142" s="10" t="n">
        <v>52200</v>
      </c>
      <c r="Q142" s="10">
        <f>P142</f>
        <v/>
      </c>
      <c r="S142" s="10" t="n">
        <v>54900</v>
      </c>
      <c r="T142" s="10">
        <f>S142</f>
        <v/>
      </c>
      <c r="U142" s="27" t="n">
        <v>31400</v>
      </c>
      <c r="V142" s="10">
        <f>U142</f>
        <v/>
      </c>
      <c r="W142" s="277">
        <f>S142/G142</f>
        <v/>
      </c>
      <c r="X142" s="10" t="inlineStr">
        <is>
          <t>E</t>
        </is>
      </c>
      <c r="Y142" s="60" t="n"/>
      <c r="Z142" s="394" t="n"/>
      <c r="AA142" s="14" t="inlineStr">
        <is>
          <t>No</t>
        </is>
      </c>
      <c r="AE142" s="278" t="n"/>
    </row>
    <row r="143">
      <c r="A143" s="11" t="inlineStr">
        <is>
          <t>WS</t>
        </is>
      </c>
      <c r="B143" s="11" t="inlineStr">
        <is>
          <t>MEL</t>
        </is>
      </c>
      <c r="C143" s="2" t="n">
        <v>550570</v>
      </c>
      <c r="D143" s="4" t="inlineStr">
        <is>
          <t>Moray House, 23-35 Great Titchfield Street &amp; 63-65 Mortimer Street</t>
        </is>
      </c>
      <c r="E143" s="4" t="inlineStr">
        <is>
          <t>Suites 1, 2, 3 &amp; 4, Second Floor</t>
        </is>
      </c>
      <c r="F143" s="14" t="inlineStr">
        <is>
          <t>Showroom</t>
        </is>
      </c>
      <c r="G143" s="7" t="n">
        <v>3299</v>
      </c>
      <c r="H143" s="7">
        <f>G143</f>
        <v/>
      </c>
      <c r="I143" s="7" t="n">
        <v>3250</v>
      </c>
      <c r="J143" s="4" t="inlineStr">
        <is>
          <t>InPost UK Limited</t>
        </is>
      </c>
      <c r="K143" s="8" t="n">
        <v>45807</v>
      </c>
      <c r="L143" s="9" t="n">
        <v>47143</v>
      </c>
      <c r="O143" s="9" t="n">
        <v>46408</v>
      </c>
      <c r="P143" s="10" t="n">
        <v>231000</v>
      </c>
      <c r="Q143" s="10">
        <f>P143</f>
        <v/>
      </c>
      <c r="S143" s="10" t="n">
        <v>193200</v>
      </c>
      <c r="T143" s="10">
        <f>S143</f>
        <v/>
      </c>
      <c r="U143" s="27" t="n">
        <v>231000</v>
      </c>
      <c r="V143" s="10">
        <f>U143</f>
        <v/>
      </c>
      <c r="W143" s="277">
        <f>S143/G143</f>
        <v/>
      </c>
      <c r="X143" s="27" t="inlineStr">
        <is>
          <t>B</t>
        </is>
      </c>
      <c r="Y143" s="60" t="n"/>
      <c r="Z143" s="394" t="n"/>
      <c r="AA143" s="14" t="inlineStr">
        <is>
          <t>No</t>
        </is>
      </c>
      <c r="AB143" s="4" t="inlineStr">
        <is>
          <t>Tenant break on 6 months notice. 1 month rent free wef 22/01/27 if not exercised.</t>
        </is>
      </c>
      <c r="AE143" s="278" t="n"/>
    </row>
    <row r="144">
      <c r="A144" s="11" t="inlineStr">
        <is>
          <t>WS</t>
        </is>
      </c>
      <c r="B144" s="11" t="inlineStr">
        <is>
          <t>MEL</t>
        </is>
      </c>
      <c r="C144" s="2" t="n">
        <v>550570</v>
      </c>
      <c r="D144" s="4" t="inlineStr">
        <is>
          <t>Moray House, 23-35 Great Titchfield Street &amp; 63-65 Mortimer Street</t>
        </is>
      </c>
      <c r="E144" s="4" t="inlineStr">
        <is>
          <t>Suite 5, Second Floor</t>
        </is>
      </c>
      <c r="F144" s="14" t="inlineStr">
        <is>
          <t>Showroom/ Office</t>
        </is>
      </c>
      <c r="G144" s="7" t="n">
        <v>882</v>
      </c>
      <c r="H144" s="7">
        <f>G144</f>
        <v/>
      </c>
      <c r="I144" s="7" t="n">
        <v>1000</v>
      </c>
      <c r="J144" s="4" t="inlineStr">
        <is>
          <t>Carbonaires Ltd</t>
        </is>
      </c>
      <c r="K144" s="8" t="n">
        <v>45114</v>
      </c>
      <c r="L144" s="9" t="n">
        <v>46209</v>
      </c>
      <c r="P144" s="10" t="n">
        <v>56225</v>
      </c>
      <c r="Q144" s="10">
        <f>P144</f>
        <v/>
      </c>
      <c r="S144" s="10" t="n">
        <v>52800</v>
      </c>
      <c r="T144" s="10">
        <f>S144</f>
        <v/>
      </c>
      <c r="U144" s="27" t="n">
        <v>58200</v>
      </c>
      <c r="V144" s="10">
        <f>U144</f>
        <v/>
      </c>
      <c r="W144" s="277">
        <f>S144/G144</f>
        <v/>
      </c>
      <c r="X144" s="10" t="inlineStr">
        <is>
          <t>D</t>
        </is>
      </c>
      <c r="Y144" s="60" t="n"/>
      <c r="Z144" s="394" t="n"/>
      <c r="AA144" s="14" t="inlineStr">
        <is>
          <t>No</t>
        </is>
      </c>
      <c r="AB144" s="4" t="inlineStr">
        <is>
          <t xml:space="preserve">Rent free @ 07/07/25 to 20/09/25 if not exercised. </t>
        </is>
      </c>
      <c r="AE144" s="278" t="n"/>
    </row>
    <row r="145">
      <c r="A145" s="11" t="inlineStr">
        <is>
          <t>WS</t>
        </is>
      </c>
      <c r="B145" s="11" t="inlineStr">
        <is>
          <t>MEL</t>
        </is>
      </c>
      <c r="C145" s="2" t="n">
        <v>550570</v>
      </c>
      <c r="D145" s="4" t="inlineStr">
        <is>
          <t>Moray House, 23-35 Great Titchfield Street &amp; 63-65 Mortimer Street</t>
        </is>
      </c>
      <c r="E145" s="4" t="inlineStr">
        <is>
          <t>Third Floor</t>
        </is>
      </c>
      <c r="F145" s="14" t="inlineStr">
        <is>
          <t>Showroom/ Office</t>
        </is>
      </c>
      <c r="G145" s="7" t="n">
        <v>4169</v>
      </c>
      <c r="H145" s="7">
        <f>G145</f>
        <v/>
      </c>
      <c r="I145" s="7" t="n">
        <v>4000</v>
      </c>
      <c r="J145" s="4" t="inlineStr">
        <is>
          <t>Knotel Moray House Ltd.</t>
        </is>
      </c>
      <c r="K145" s="8" t="n">
        <v>43378</v>
      </c>
      <c r="L145" s="9" t="n">
        <v>47030</v>
      </c>
      <c r="N145" s="9" t="n">
        <v>45204</v>
      </c>
      <c r="P145" s="10" t="n">
        <v>257635</v>
      </c>
      <c r="Q145" s="10">
        <f>P145</f>
        <v/>
      </c>
      <c r="S145" s="10" t="n">
        <v>264100</v>
      </c>
      <c r="T145" s="10">
        <f>S145</f>
        <v/>
      </c>
      <c r="U145" s="27" t="n">
        <v>281400</v>
      </c>
      <c r="V145" s="10">
        <f>U145</f>
        <v/>
      </c>
      <c r="W145" s="277">
        <f>S145/G145</f>
        <v/>
      </c>
      <c r="X145" s="10" t="inlineStr">
        <is>
          <t>D</t>
        </is>
      </c>
      <c r="Y145" s="60" t="n"/>
      <c r="Z145" s="394" t="n"/>
      <c r="AA145" s="14" t="inlineStr">
        <is>
          <t>No</t>
        </is>
      </c>
      <c r="AB145" s="4" t="inlineStr">
        <is>
          <t>Landlords redevelopment break @ 04/10/26 on 9 months notice.</t>
        </is>
      </c>
      <c r="AE145" s="278" t="n"/>
    </row>
    <row r="146">
      <c r="A146" s="11" t="inlineStr">
        <is>
          <t>WS</t>
        </is>
      </c>
      <c r="B146" s="11" t="inlineStr">
        <is>
          <t>MEL</t>
        </is>
      </c>
      <c r="C146" s="2" t="n">
        <v>550570</v>
      </c>
      <c r="D146" s="4" t="inlineStr">
        <is>
          <t>Moray House, 23-35 Great Titchfield Street &amp; 63-65 Mortimer Street</t>
        </is>
      </c>
      <c r="E146" s="4" t="inlineStr">
        <is>
          <t>Suite 1, 2 &amp; 3  Fourth Floor</t>
        </is>
      </c>
      <c r="F146" s="14" t="inlineStr">
        <is>
          <t>Office</t>
        </is>
      </c>
      <c r="G146" s="7" t="n">
        <v>4098</v>
      </c>
      <c r="H146" s="7">
        <f>G146</f>
        <v/>
      </c>
      <c r="I146" s="7" t="n">
        <v>4000</v>
      </c>
      <c r="J146" s="4" t="inlineStr">
        <is>
          <t>InPost UK Limited</t>
        </is>
      </c>
      <c r="K146" s="8" t="n">
        <v>45317</v>
      </c>
      <c r="L146" s="9" t="n">
        <v>47143</v>
      </c>
      <c r="O146" s="9" t="n">
        <v>46047</v>
      </c>
      <c r="P146" s="10" t="n">
        <v>304500</v>
      </c>
      <c r="Q146" s="10">
        <f>P146</f>
        <v/>
      </c>
      <c r="S146" s="10" t="n">
        <v>255600</v>
      </c>
      <c r="T146" s="10">
        <f>S146</f>
        <v/>
      </c>
      <c r="U146" s="27" t="n">
        <v>304500</v>
      </c>
      <c r="V146" s="10">
        <f>U146</f>
        <v/>
      </c>
      <c r="W146" s="277">
        <f>S146/G146</f>
        <v/>
      </c>
      <c r="X146" s="10" t="inlineStr">
        <is>
          <t>B</t>
        </is>
      </c>
      <c r="Y146" s="60" t="n"/>
      <c r="Z146" s="394" t="n"/>
      <c r="AA146" s="14" t="inlineStr">
        <is>
          <t>No</t>
        </is>
      </c>
      <c r="AB146" s="4" t="inlineStr">
        <is>
          <t>Tenant breaks @ 26/01/26 &amp; 21/01/27 on 3 months notice. One month rent free if not exercised.</t>
        </is>
      </c>
      <c r="AE146" s="278" t="n"/>
    </row>
    <row r="147">
      <c r="A147" s="11" t="inlineStr">
        <is>
          <t>WS</t>
        </is>
      </c>
      <c r="B147" s="11" t="inlineStr">
        <is>
          <t>MEL</t>
        </is>
      </c>
      <c r="C147" s="2" t="n">
        <v>550570</v>
      </c>
      <c r="D147" s="4" t="inlineStr">
        <is>
          <t>Moray House, 23-35 Great Titchfield Street &amp; 63-65 Mortimer Street</t>
        </is>
      </c>
      <c r="E147" s="4" t="inlineStr">
        <is>
          <t>Fifth Floor</t>
        </is>
      </c>
      <c r="F147" s="14" t="inlineStr">
        <is>
          <t>Office</t>
        </is>
      </c>
      <c r="G147" s="7" t="n">
        <v>3179</v>
      </c>
      <c r="H147" s="7">
        <f>G147</f>
        <v/>
      </c>
      <c r="I147" s="7" t="n">
        <v>3000</v>
      </c>
      <c r="J147" s="4" t="inlineStr">
        <is>
          <t xml:space="preserve">ACP Ltd &amp; ACM Ltd </t>
        </is>
      </c>
      <c r="K147" s="8" t="n">
        <v>45086</v>
      </c>
      <c r="L147" s="9" t="n">
        <v>46912</v>
      </c>
      <c r="O147" s="9" t="n">
        <v>46181</v>
      </c>
      <c r="P147" s="10" t="n">
        <v>225875</v>
      </c>
      <c r="Q147" s="10">
        <f>P147</f>
        <v/>
      </c>
      <c r="S147" s="10" t="n">
        <v>196883</v>
      </c>
      <c r="T147" s="10">
        <f>S147</f>
        <v/>
      </c>
      <c r="U147" s="27" t="n">
        <v>230500</v>
      </c>
      <c r="V147" s="10">
        <f>U147</f>
        <v/>
      </c>
      <c r="W147" s="277">
        <f>S147/G147</f>
        <v/>
      </c>
      <c r="X147" s="10" t="inlineStr">
        <is>
          <t>D</t>
        </is>
      </c>
      <c r="Y147" s="60" t="n"/>
      <c r="Z147" s="394" t="n"/>
      <c r="AA147" s="14" t="inlineStr">
        <is>
          <t>No</t>
        </is>
      </c>
      <c r="AB147" s="4" t="inlineStr">
        <is>
          <t>Tenant break on 6 months notice. Rent free @ 09/06/26 to 23/09/26 if not exercised.</t>
        </is>
      </c>
      <c r="AE147" s="278" t="n"/>
    </row>
    <row r="148">
      <c r="A148" s="11" t="inlineStr">
        <is>
          <t>WS</t>
        </is>
      </c>
      <c r="B148" s="11" t="inlineStr">
        <is>
          <t>MEL</t>
        </is>
      </c>
      <c r="C148" s="2" t="n">
        <v>550570</v>
      </c>
      <c r="D148" s="4" t="inlineStr">
        <is>
          <t>Moray House, 23-35 Great Titchfield Street &amp; 63-65 Mortimer Street</t>
        </is>
      </c>
      <c r="E148" s="4" t="inlineStr">
        <is>
          <t>Suites 1 &amp; 2 , Sixth Floor</t>
        </is>
      </c>
      <c r="F148" s="14" t="inlineStr">
        <is>
          <t>Office</t>
        </is>
      </c>
      <c r="G148" s="7" t="n">
        <v>2099</v>
      </c>
      <c r="H148" s="7">
        <f>G148</f>
        <v/>
      </c>
      <c r="I148" s="7" t="n">
        <v>2000</v>
      </c>
      <c r="J148" s="4" t="inlineStr">
        <is>
          <t>Katch Investment Management Ltd</t>
        </is>
      </c>
      <c r="K148" s="8" t="n">
        <v>45019</v>
      </c>
      <c r="L148" s="9" t="n">
        <v>46845</v>
      </c>
      <c r="O148" s="9" t="n">
        <v>46114</v>
      </c>
      <c r="P148" s="10" t="n">
        <v>133250</v>
      </c>
      <c r="Q148" s="10">
        <f>P148</f>
        <v/>
      </c>
      <c r="S148" s="10" t="n">
        <v>135167</v>
      </c>
      <c r="T148" s="10">
        <f>S148</f>
        <v/>
      </c>
      <c r="U148" s="27" t="n">
        <v>152200</v>
      </c>
      <c r="V148" s="10">
        <f>U148</f>
        <v/>
      </c>
      <c r="W148" s="277">
        <f>S148/G148</f>
        <v/>
      </c>
      <c r="X148" s="10" t="inlineStr">
        <is>
          <t>D</t>
        </is>
      </c>
      <c r="Y148" s="60" t="n"/>
      <c r="Z148" s="394" t="n"/>
      <c r="AA148" s="14" t="inlineStr">
        <is>
          <t>No</t>
        </is>
      </c>
      <c r="AB148" s="4" t="inlineStr">
        <is>
          <t>Tenant break on 6 months notice. Rent reduces to £66,625 for 2 months if not exercised.</t>
        </is>
      </c>
      <c r="AE148" s="278" t="n"/>
    </row>
    <row r="149">
      <c r="A149" s="11" t="inlineStr">
        <is>
          <t>WS</t>
        </is>
      </c>
      <c r="B149" s="11" t="inlineStr">
        <is>
          <t>MEL</t>
        </is>
      </c>
      <c r="C149" s="2" t="n">
        <v>550570</v>
      </c>
      <c r="D149" s="4" t="inlineStr">
        <is>
          <t>Moray House, 23-35 Great Titchfield Street &amp; 63-65 Mortimer Street</t>
        </is>
      </c>
      <c r="E149" s="4" t="inlineStr">
        <is>
          <t>Sixth Floor</t>
        </is>
      </c>
      <c r="F149" s="14" t="inlineStr">
        <is>
          <t>Residential</t>
        </is>
      </c>
      <c r="G149" s="7" t="n">
        <v>580</v>
      </c>
      <c r="H149" s="7">
        <f>G149</f>
        <v/>
      </c>
      <c r="I149" s="7" t="n">
        <v>500</v>
      </c>
      <c r="J149" s="4" t="inlineStr">
        <is>
          <t>Mr M Versteegh &amp; Mr W Antell</t>
        </is>
      </c>
      <c r="K149" s="8" t="n">
        <v>45546</v>
      </c>
      <c r="L149" s="9" t="n">
        <v>45910</v>
      </c>
      <c r="P149" s="10" t="n">
        <v>42016</v>
      </c>
      <c r="Q149" s="10">
        <f>P149</f>
        <v/>
      </c>
      <c r="S149" s="10" t="n">
        <v>26496</v>
      </c>
      <c r="T149" s="10">
        <f>S149</f>
        <v/>
      </c>
      <c r="U149" s="27" t="n">
        <v>42016</v>
      </c>
      <c r="V149" s="10">
        <f>U149</f>
        <v/>
      </c>
      <c r="W149" s="277">
        <f>S149/G149</f>
        <v/>
      </c>
      <c r="X149" s="10" t="inlineStr">
        <is>
          <t>E</t>
        </is>
      </c>
      <c r="Y149" s="60" t="n"/>
      <c r="Z149" s="394" t="n"/>
      <c r="AA149" s="14" t="inlineStr">
        <is>
          <t>No</t>
        </is>
      </c>
      <c r="AB149" s="29" t="inlineStr">
        <is>
          <t>12 month lease renewal agreed.</t>
        </is>
      </c>
      <c r="AD149" s="29" t="n"/>
      <c r="AE149" s="279" t="n"/>
      <c r="AF149" s="29" t="n"/>
    </row>
    <row r="150">
      <c r="A150" s="11" t="inlineStr">
        <is>
          <t>CD</t>
        </is>
      </c>
      <c r="B150" s="11" t="inlineStr">
        <is>
          <t>MEL</t>
        </is>
      </c>
      <c r="C150" s="2" t="n">
        <v>550430</v>
      </c>
      <c r="D150" s="4" t="inlineStr">
        <is>
          <t>56 Great Titchfield Street</t>
        </is>
      </c>
      <c r="E150" s="4" t="inlineStr">
        <is>
          <t>Whole Building</t>
        </is>
      </c>
      <c r="F150" s="14" t="inlineStr">
        <is>
          <t>Retail</t>
        </is>
      </c>
      <c r="G150" s="18" t="n">
        <v>2692</v>
      </c>
      <c r="H150" s="10">
        <f>G150</f>
        <v/>
      </c>
      <c r="I150" s="10" t="n">
        <v>2750</v>
      </c>
      <c r="J150" s="4" t="inlineStr">
        <is>
          <t>Morplan Ltd.</t>
        </is>
      </c>
      <c r="K150" s="8" t="n">
        <v>39814</v>
      </c>
      <c r="L150" s="9" t="n">
        <v>45747</v>
      </c>
      <c r="P150" s="19" t="n">
        <v>104500</v>
      </c>
      <c r="Q150" s="10">
        <f>P150</f>
        <v/>
      </c>
      <c r="R150" s="19">
        <f>Q150</f>
        <v/>
      </c>
      <c r="S150" s="19" t="n">
        <v>94400</v>
      </c>
      <c r="T150" s="10">
        <f>S150</f>
        <v/>
      </c>
      <c r="U150" s="36" t="n">
        <v>94400</v>
      </c>
      <c r="V150" s="10">
        <f>U150</f>
        <v/>
      </c>
      <c r="W150" s="277">
        <f>S150/G150</f>
        <v/>
      </c>
      <c r="X150" s="10" t="inlineStr">
        <is>
          <t>B</t>
        </is>
      </c>
      <c r="Y150" s="60" t="n"/>
      <c r="Z150" s="36" t="n">
        <v>1375000</v>
      </c>
      <c r="AA150" s="14" t="inlineStr">
        <is>
          <t>Yes</t>
        </is>
      </c>
      <c r="AB150" s="4" t="inlineStr">
        <is>
          <t>Tenant holding over. S25 served terminating tenancy @ 12/10/24. Lease renewal agreed. Awaiting completion. Lease extension agreed to 31/03/25</t>
        </is>
      </c>
      <c r="AE150" s="278" t="n"/>
    </row>
    <row r="151">
      <c r="A151" s="11" t="inlineStr">
        <is>
          <t>CD</t>
        </is>
      </c>
      <c r="B151" s="11" t="inlineStr">
        <is>
          <t>MEL</t>
        </is>
      </c>
      <c r="C151" s="2" t="n">
        <v>550440</v>
      </c>
      <c r="D151" s="4" t="inlineStr">
        <is>
          <t>58 Great Titchfield Street</t>
        </is>
      </c>
      <c r="E151" s="4" t="inlineStr">
        <is>
          <t>Basement &amp; Ground Floor</t>
        </is>
      </c>
      <c r="F151" s="14" t="inlineStr">
        <is>
          <t>Retail</t>
        </is>
      </c>
      <c r="G151" s="7" t="n">
        <v>1171</v>
      </c>
      <c r="H151" s="10">
        <f>G151</f>
        <v/>
      </c>
      <c r="I151" s="10" t="n">
        <v>1000</v>
      </c>
      <c r="J151" s="4" t="inlineStr">
        <is>
          <t>Morplan Ltd.</t>
        </is>
      </c>
      <c r="K151" s="8" t="n">
        <v>39814</v>
      </c>
      <c r="L151" s="9" t="n">
        <v>45747</v>
      </c>
      <c r="P151" s="10" t="n">
        <v>50425</v>
      </c>
      <c r="Q151" s="10">
        <f>P151</f>
        <v/>
      </c>
      <c r="S151" s="10" t="n">
        <v>41000</v>
      </c>
      <c r="T151" s="10">
        <f>S151</f>
        <v/>
      </c>
      <c r="U151" s="27" t="n">
        <v>41000</v>
      </c>
      <c r="V151" s="10">
        <f>U151</f>
        <v/>
      </c>
      <c r="W151" s="277">
        <f>S151/G151</f>
        <v/>
      </c>
      <c r="X151" s="10" t="inlineStr">
        <is>
          <t>B</t>
        </is>
      </c>
      <c r="Y151" s="60" t="n"/>
      <c r="Z151" s="36" t="n"/>
      <c r="AA151" s="14" t="inlineStr">
        <is>
          <t>Yes</t>
        </is>
      </c>
      <c r="AB151" s="4" t="inlineStr">
        <is>
          <t>Tenant holding over. S25 served terminating tenancy @ 12/10/24. Lease renewal agreed. Awaiting completion. Lease extension agreed to 31/03/25</t>
        </is>
      </c>
      <c r="AE151" s="278" t="n"/>
    </row>
    <row r="152">
      <c r="A152" s="11" t="inlineStr">
        <is>
          <t>CD</t>
        </is>
      </c>
      <c r="B152" s="11" t="inlineStr">
        <is>
          <t>MEL</t>
        </is>
      </c>
      <c r="C152" s="2" t="n">
        <v>550440</v>
      </c>
      <c r="D152" s="4" t="inlineStr">
        <is>
          <t>58 Great Titchfield Street</t>
        </is>
      </c>
      <c r="E152" s="4" t="inlineStr">
        <is>
          <t>First, Second &amp; Third Floors</t>
        </is>
      </c>
      <c r="F152" s="14" t="inlineStr">
        <is>
          <t>Retail/Showroom/Office</t>
        </is>
      </c>
      <c r="G152" s="7" t="n">
        <v>1120</v>
      </c>
      <c r="H152" s="10">
        <f>G152</f>
        <v/>
      </c>
      <c r="I152" s="10" t="n">
        <v>1000</v>
      </c>
      <c r="J152" s="4" t="inlineStr">
        <is>
          <t>Morplan Ltd.</t>
        </is>
      </c>
      <c r="K152" s="8" t="n">
        <v>45292</v>
      </c>
      <c r="P152" s="10" t="n">
        <v>61575</v>
      </c>
      <c r="Q152" s="10">
        <f>P152</f>
        <v/>
      </c>
      <c r="S152" s="10" t="n">
        <v>58800</v>
      </c>
      <c r="T152" s="10">
        <f>S152</f>
        <v/>
      </c>
      <c r="U152" s="27" t="n">
        <v>58800</v>
      </c>
      <c r="V152" s="10">
        <f>U152</f>
        <v/>
      </c>
      <c r="W152" s="10" t="n"/>
      <c r="X152" s="10" t="inlineStr">
        <is>
          <t>E</t>
        </is>
      </c>
      <c r="Y152" s="60" t="n"/>
      <c r="Z152" s="36" t="n"/>
      <c r="AA152" s="14" t="inlineStr">
        <is>
          <t>No</t>
        </is>
      </c>
      <c r="AB152" s="4" t="inlineStr">
        <is>
          <t>Lease renewal terms being discussed.</t>
        </is>
      </c>
      <c r="AE152" s="278" t="n"/>
    </row>
    <row r="153">
      <c r="A153" s="11" t="inlineStr">
        <is>
          <t>WS</t>
        </is>
      </c>
      <c r="B153" s="11" t="inlineStr">
        <is>
          <t>MEL</t>
        </is>
      </c>
      <c r="C153" s="2" t="n">
        <v>550220</v>
      </c>
      <c r="D153" s="4" t="inlineStr">
        <is>
          <t>12 Hallam Street (The Hallam Hotel)</t>
        </is>
      </c>
      <c r="E153" s="4" t="inlineStr">
        <is>
          <t xml:space="preserve">Whole Building </t>
        </is>
      </c>
      <c r="F153" s="14" t="inlineStr">
        <is>
          <t>Hotel                       25 Beds</t>
        </is>
      </c>
      <c r="G153" s="18" t="n">
        <v>4284</v>
      </c>
      <c r="H153" s="10">
        <f>G153</f>
        <v/>
      </c>
      <c r="I153" s="10" t="n">
        <v>4250</v>
      </c>
      <c r="J153" s="4" t="inlineStr">
        <is>
          <t>Vacant</t>
        </is>
      </c>
      <c r="M153" s="9" t="n">
        <v>44387</v>
      </c>
      <c r="P153" s="19" t="n">
        <v>0</v>
      </c>
      <c r="Q153" s="10">
        <f>P153</f>
        <v/>
      </c>
      <c r="R153" s="19">
        <f>Q153</f>
        <v/>
      </c>
      <c r="S153" s="19" t="n">
        <v>0</v>
      </c>
      <c r="T153" s="10">
        <f>S153</f>
        <v/>
      </c>
      <c r="U153" s="36" t="n">
        <v>0</v>
      </c>
      <c r="V153" s="10">
        <f>U153</f>
        <v/>
      </c>
      <c r="W153" s="10" t="n"/>
      <c r="X153" s="10" t="n"/>
      <c r="Y153" s="60" t="n"/>
      <c r="Z153" s="36" t="n">
        <v>1500000</v>
      </c>
      <c r="AA153" s="14" t="inlineStr">
        <is>
          <t>No</t>
        </is>
      </c>
      <c r="AB153" s="4" t="inlineStr">
        <is>
          <t>Mothballed.</t>
        </is>
      </c>
      <c r="AD153" s="29" t="n"/>
      <c r="AE153" s="279" t="n"/>
      <c r="AF153" s="29" t="n"/>
    </row>
    <row r="154">
      <c r="A154" s="11" t="inlineStr">
        <is>
          <t>WS</t>
        </is>
      </c>
      <c r="B154" s="11" t="inlineStr">
        <is>
          <t>MEL</t>
        </is>
      </c>
      <c r="C154" s="2" t="n">
        <v>550890</v>
      </c>
      <c r="D154" s="4" t="inlineStr">
        <is>
          <t>16-20 Hallam Street  (Astor Court Hotel)</t>
        </is>
      </c>
      <c r="E154" s="4" t="inlineStr">
        <is>
          <t>Whole Building</t>
        </is>
      </c>
      <c r="F154" s="14" t="inlineStr">
        <is>
          <t>Hotel 52 Beds</t>
        </is>
      </c>
      <c r="G154" s="18" t="n">
        <v>23500</v>
      </c>
      <c r="H154" s="10">
        <f>G154</f>
        <v/>
      </c>
      <c r="I154" s="10" t="n">
        <v>23500</v>
      </c>
      <c r="J154" s="4" t="inlineStr">
        <is>
          <t>Wesdom Investments Ltd.</t>
        </is>
      </c>
      <c r="K154" s="8" t="n">
        <v>45651</v>
      </c>
      <c r="L154" s="9" t="n">
        <v>49302</v>
      </c>
      <c r="N154" s="8" t="n">
        <v>47477</v>
      </c>
      <c r="O154" s="8" t="n"/>
      <c r="P154" s="19" t="n">
        <v>660000</v>
      </c>
      <c r="Q154" s="10">
        <f>P154</f>
        <v/>
      </c>
      <c r="R154" s="19">
        <f>Q154</f>
        <v/>
      </c>
      <c r="S154" s="19" t="n">
        <v>0</v>
      </c>
      <c r="T154" s="10">
        <f>S154</f>
        <v/>
      </c>
      <c r="U154" s="36" t="n">
        <v>0</v>
      </c>
      <c r="V154" s="10">
        <f>U154</f>
        <v/>
      </c>
      <c r="W154" s="10" t="n"/>
      <c r="X154" s="10" t="inlineStr">
        <is>
          <t>B</t>
        </is>
      </c>
      <c r="Y154" s="60" t="n"/>
      <c r="Z154" s="36" t="n">
        <v>17100000</v>
      </c>
      <c r="AA154" s="14" t="inlineStr">
        <is>
          <t>No</t>
        </is>
      </c>
      <c r="AB154" s="136" t="inlineStr">
        <is>
          <t>Internal Lease to another Lee Family Group Company. CBRE value on a DCF basis and do not adopt ERV for valuation purposes. Guide ERV is £660,000 pa. Rent review is CPI indexed.</t>
        </is>
      </c>
      <c r="AC154" s="308" t="n"/>
      <c r="AD154" s="136" t="n"/>
      <c r="AE154" s="283" t="n"/>
      <c r="AF154" s="136" t="n"/>
    </row>
    <row r="155">
      <c r="A155" s="11" t="inlineStr">
        <is>
          <t>CM</t>
        </is>
      </c>
      <c r="B155" s="11" t="inlineStr">
        <is>
          <t>MEL</t>
        </is>
      </c>
      <c r="C155" s="2" t="n">
        <v>550586</v>
      </c>
      <c r="D155" s="4" t="inlineStr">
        <is>
          <t>Flat 1, 2 Little Portland Street</t>
        </is>
      </c>
      <c r="E155" s="4" t="inlineStr">
        <is>
          <t>Flat 1</t>
        </is>
      </c>
      <c r="F155" s="14" t="inlineStr">
        <is>
          <t>Residential</t>
        </is>
      </c>
      <c r="G155" s="18" t="n">
        <v>420</v>
      </c>
      <c r="H155" s="10">
        <f>G155</f>
        <v/>
      </c>
      <c r="I155" s="10" t="n">
        <v>500</v>
      </c>
      <c r="J155" s="4" t="inlineStr">
        <is>
          <t>Miss Julia Tressler</t>
        </is>
      </c>
      <c r="K155" s="8" t="n">
        <v>45664</v>
      </c>
      <c r="L155" s="9" t="n">
        <v>46028</v>
      </c>
      <c r="P155" s="19" t="n">
        <v>25220</v>
      </c>
      <c r="Q155" s="10">
        <f>P155</f>
        <v/>
      </c>
      <c r="R155" s="19">
        <f>Q155</f>
        <v/>
      </c>
      <c r="S155" s="19" t="n">
        <v>27000</v>
      </c>
      <c r="T155" s="10">
        <f>S155</f>
        <v/>
      </c>
      <c r="U155" s="36" t="n">
        <v>25220</v>
      </c>
      <c r="V155" s="10">
        <f>U155</f>
        <v/>
      </c>
      <c r="W155" s="10" t="n"/>
      <c r="X155" s="10" t="inlineStr">
        <is>
          <t>D</t>
        </is>
      </c>
      <c r="Y155" s="60" t="n"/>
      <c r="Z155" s="36" t="n">
        <v>575000</v>
      </c>
      <c r="AA155" s="14" t="inlineStr">
        <is>
          <t>No</t>
        </is>
      </c>
      <c r="AD155" s="29" t="n"/>
      <c r="AE155" s="279" t="n"/>
      <c r="AF155" s="29" t="n"/>
    </row>
    <row r="156">
      <c r="A156" s="11" t="inlineStr">
        <is>
          <t>CD</t>
        </is>
      </c>
      <c r="B156" s="11" t="inlineStr">
        <is>
          <t>MEL</t>
        </is>
      </c>
      <c r="C156" s="2" t="n">
        <v>550300</v>
      </c>
      <c r="D156" s="4" t="inlineStr">
        <is>
          <t>3/4/4a Little Portland Street</t>
        </is>
      </c>
      <c r="E156" s="4" t="inlineStr">
        <is>
          <t>Basement (North &amp; Centre) Part Ground</t>
        </is>
      </c>
      <c r="F156" s="14" t="inlineStr">
        <is>
          <t>Storage/Cloakroom</t>
        </is>
      </c>
      <c r="G156" s="7" t="n">
        <v>1911</v>
      </c>
      <c r="H156" s="7">
        <f>G156</f>
        <v/>
      </c>
      <c r="I156" s="7" t="n">
        <v>2000</v>
      </c>
      <c r="J156" s="4" t="inlineStr">
        <is>
          <t>Pure Public Relations Ltd.</t>
        </is>
      </c>
      <c r="K156" s="8" t="n">
        <v>44774</v>
      </c>
      <c r="L156" s="9" t="n">
        <v>46599</v>
      </c>
      <c r="O156" s="9" t="n">
        <v>45870</v>
      </c>
      <c r="P156" s="10" t="n">
        <v>44735</v>
      </c>
      <c r="Q156" s="10">
        <f>P156</f>
        <v/>
      </c>
      <c r="S156" s="10" t="n">
        <v>45700</v>
      </c>
      <c r="T156" s="10">
        <f>S156</f>
        <v/>
      </c>
      <c r="U156" s="27" t="n">
        <v>47800</v>
      </c>
      <c r="V156" s="10">
        <f>U156</f>
        <v/>
      </c>
      <c r="W156" s="277">
        <f>S156/G156</f>
        <v/>
      </c>
      <c r="X156" s="10" t="inlineStr">
        <is>
          <t>E</t>
        </is>
      </c>
      <c r="Y156" s="60" t="n"/>
      <c r="Z156" s="394" t="n"/>
      <c r="AA156" s="14" t="inlineStr">
        <is>
          <t>No</t>
        </is>
      </c>
      <c r="AB156" s="4" t="inlineStr">
        <is>
          <t>Tenant break on 6 months notice. 3 months rent free if not exercised.</t>
        </is>
      </c>
      <c r="AE156" s="278" t="n"/>
    </row>
    <row r="157">
      <c r="A157" s="11" t="inlineStr">
        <is>
          <t>CD</t>
        </is>
      </c>
      <c r="B157" s="11" t="inlineStr">
        <is>
          <t>MEL</t>
        </is>
      </c>
      <c r="C157" s="2" t="n">
        <v>550300</v>
      </c>
      <c r="D157" s="4" t="inlineStr">
        <is>
          <t>3/4/4a Little Portland Street</t>
        </is>
      </c>
      <c r="E157" s="4" t="inlineStr">
        <is>
          <t>Ground Floor (Rear)</t>
        </is>
      </c>
      <c r="F157" s="14" t="inlineStr">
        <is>
          <t>Cloakroom</t>
        </is>
      </c>
      <c r="G157" s="7" t="n">
        <v>0</v>
      </c>
      <c r="H157" s="7">
        <f>G157</f>
        <v/>
      </c>
      <c r="J157" s="4" t="inlineStr">
        <is>
          <t>Vacant / Landlord</t>
        </is>
      </c>
      <c r="M157" s="9" t="n">
        <v>45456</v>
      </c>
      <c r="P157" s="10" t="n">
        <v>0</v>
      </c>
      <c r="Q157" s="10">
        <f>P157</f>
        <v/>
      </c>
      <c r="S157" s="10" t="n">
        <v>0</v>
      </c>
      <c r="T157" s="10">
        <f>S157</f>
        <v/>
      </c>
      <c r="U157" s="27" t="n">
        <v>0</v>
      </c>
      <c r="V157" s="10">
        <f>U157</f>
        <v/>
      </c>
      <c r="W157" s="277" t="n"/>
      <c r="X157" s="10" t="inlineStr">
        <is>
          <t>E</t>
        </is>
      </c>
      <c r="Y157" s="60" t="n"/>
      <c r="Z157" s="394" t="n"/>
      <c r="AA157" s="14" t="inlineStr">
        <is>
          <t>No</t>
        </is>
      </c>
      <c r="AE157" s="278" t="n"/>
    </row>
    <row r="158">
      <c r="A158" s="11" t="inlineStr">
        <is>
          <t>CD</t>
        </is>
      </c>
      <c r="B158" s="11" t="inlineStr">
        <is>
          <t>MEL</t>
        </is>
      </c>
      <c r="C158" s="2" t="n">
        <v>550300</v>
      </c>
      <c r="D158" s="4" t="inlineStr">
        <is>
          <t>3/4/4a Little Portland Street</t>
        </is>
      </c>
      <c r="E158" s="4" t="inlineStr">
        <is>
          <t>Ground Floor (East)</t>
        </is>
      </c>
      <c r="F158" s="14" t="inlineStr">
        <is>
          <t>Showroom</t>
        </is>
      </c>
      <c r="G158" s="7" t="n">
        <v>495</v>
      </c>
      <c r="H158" s="7">
        <f>G158</f>
        <v/>
      </c>
      <c r="I158" s="7" t="n">
        <v>500</v>
      </c>
      <c r="J158" s="4" t="inlineStr">
        <is>
          <t>Econnective UK Ltd.</t>
        </is>
      </c>
      <c r="K158" s="8" t="n">
        <v>45010</v>
      </c>
      <c r="L158" s="9" t="n">
        <v>48662</v>
      </c>
      <c r="N158" s="9" t="n">
        <v>46837</v>
      </c>
      <c r="P158" s="10" t="n">
        <v>35000</v>
      </c>
      <c r="Q158" s="10">
        <f>P158</f>
        <v/>
      </c>
      <c r="S158" s="10" t="n">
        <v>35400</v>
      </c>
      <c r="T158" s="10">
        <f>S158</f>
        <v/>
      </c>
      <c r="U158" s="27" t="n">
        <v>35000</v>
      </c>
      <c r="V158" s="10">
        <f>U158</f>
        <v/>
      </c>
      <c r="W158" s="277">
        <f>S158/G158</f>
        <v/>
      </c>
      <c r="X158" s="10" t="inlineStr">
        <is>
          <t>E</t>
        </is>
      </c>
      <c r="Y158" s="60" t="n"/>
      <c r="Z158" s="394" t="n"/>
      <c r="AA158" s="14" t="inlineStr">
        <is>
          <t>No</t>
        </is>
      </c>
      <c r="AE158" s="278" t="n"/>
    </row>
    <row r="159">
      <c r="A159" s="11" t="inlineStr">
        <is>
          <t>CD</t>
        </is>
      </c>
      <c r="B159" s="11" t="inlineStr">
        <is>
          <t>MEL</t>
        </is>
      </c>
      <c r="C159" s="2" t="n">
        <v>550300</v>
      </c>
      <c r="D159" s="4" t="inlineStr">
        <is>
          <t>3/4/4a Little Portland Street</t>
        </is>
      </c>
      <c r="E159" s="4" t="inlineStr">
        <is>
          <t>Basement (South) (Front)</t>
        </is>
      </c>
      <c r="F159" s="14" t="inlineStr">
        <is>
          <t>Workshop</t>
        </is>
      </c>
      <c r="G159" s="7" t="n">
        <v>1051</v>
      </c>
      <c r="H159" s="7">
        <f>G159</f>
        <v/>
      </c>
      <c r="I159" s="7" t="n">
        <v>1000</v>
      </c>
      <c r="J159" s="4" t="inlineStr">
        <is>
          <t>Langham Estate Management Ltd</t>
        </is>
      </c>
      <c r="K159" s="8" t="n">
        <v>43549</v>
      </c>
      <c r="L159" s="9" t="n">
        <v>46836</v>
      </c>
      <c r="N159" s="9" t="n">
        <v>45010</v>
      </c>
      <c r="P159" s="10" t="n">
        <v>28200</v>
      </c>
      <c r="Q159" s="10">
        <f>P159</f>
        <v/>
      </c>
      <c r="S159" s="10" t="n">
        <v>32000</v>
      </c>
      <c r="T159" s="10">
        <f>S159</f>
        <v/>
      </c>
      <c r="U159" s="27" t="n">
        <v>21000</v>
      </c>
      <c r="V159" s="10">
        <f>U159</f>
        <v/>
      </c>
      <c r="W159" s="277">
        <f>S159/G159</f>
        <v/>
      </c>
      <c r="X159" s="10" t="inlineStr">
        <is>
          <t>E</t>
        </is>
      </c>
      <c r="Y159" s="60" t="n"/>
      <c r="Z159" s="394" t="n"/>
      <c r="AA159" s="14" t="inlineStr">
        <is>
          <t>No</t>
        </is>
      </c>
      <c r="AB159" s="4" t="inlineStr">
        <is>
          <t>Mutual rolling break on 6 months notice. Internal Lease to another Lee Family Group Company.</t>
        </is>
      </c>
      <c r="AE159" s="278" t="n"/>
    </row>
    <row r="160">
      <c r="A160" s="11" t="inlineStr">
        <is>
          <t>CD</t>
        </is>
      </c>
      <c r="B160" s="11" t="inlineStr">
        <is>
          <t>MEL</t>
        </is>
      </c>
      <c r="C160" s="2" t="n">
        <v>550300</v>
      </c>
      <c r="D160" s="4" t="inlineStr">
        <is>
          <t>3/4/4a Little Portland Street</t>
        </is>
      </c>
      <c r="E160" s="4" t="inlineStr">
        <is>
          <t>Ground Floor (West)</t>
        </is>
      </c>
      <c r="F160" s="14" t="inlineStr">
        <is>
          <t>Offices</t>
        </is>
      </c>
      <c r="G160" s="7" t="n">
        <v>2254</v>
      </c>
      <c r="H160" s="7">
        <f>G160</f>
        <v/>
      </c>
      <c r="I160" s="7" t="n">
        <v>2250</v>
      </c>
      <c r="J160" s="4" t="inlineStr">
        <is>
          <t>Medialab Group Ltd.</t>
        </is>
      </c>
      <c r="K160" s="8" t="n">
        <v>45001</v>
      </c>
      <c r="L160" s="9" t="n">
        <v>46827</v>
      </c>
      <c r="M160" s="9" t="n"/>
      <c r="O160" s="9" t="n">
        <v>46097</v>
      </c>
      <c r="P160" s="10" t="n">
        <v>148590</v>
      </c>
      <c r="Q160" s="10">
        <f>P160</f>
        <v/>
      </c>
      <c r="S160" s="10" t="n">
        <v>148600</v>
      </c>
      <c r="T160" s="10">
        <f>S160</f>
        <v/>
      </c>
      <c r="U160" s="27" t="n">
        <v>148590</v>
      </c>
      <c r="V160" s="10">
        <f>U160</f>
        <v/>
      </c>
      <c r="W160" s="277">
        <f>S160/G160</f>
        <v/>
      </c>
      <c r="X160" s="10" t="inlineStr">
        <is>
          <t>E</t>
        </is>
      </c>
      <c r="Y160" s="60" t="n"/>
      <c r="Z160" s="394" t="n"/>
      <c r="AA160" s="14" t="inlineStr">
        <is>
          <t>No</t>
        </is>
      </c>
      <c r="AB160" s="4" t="inlineStr">
        <is>
          <t>Mutual break in the event of planning enforcement. Tenant break on 6 months notice. 3 months rent free if not exercised.</t>
        </is>
      </c>
      <c r="AE160" s="278" t="n"/>
    </row>
    <row r="161">
      <c r="A161" s="11" t="inlineStr">
        <is>
          <t>CD</t>
        </is>
      </c>
      <c r="B161" s="11" t="inlineStr">
        <is>
          <t>MEL</t>
        </is>
      </c>
      <c r="C161" s="2" t="n">
        <v>550300</v>
      </c>
      <c r="D161" s="4" t="inlineStr">
        <is>
          <t>3/4/4a Little Portland Street</t>
        </is>
      </c>
      <c r="E161" s="4" t="inlineStr">
        <is>
          <t>First Floor</t>
        </is>
      </c>
      <c r="F161" s="14" t="inlineStr">
        <is>
          <t>Office</t>
        </is>
      </c>
      <c r="G161" s="7" t="n">
        <v>3205</v>
      </c>
      <c r="H161" s="7">
        <f>G161</f>
        <v/>
      </c>
      <c r="I161" s="7" t="n">
        <v>3250</v>
      </c>
      <c r="J161" s="4" t="inlineStr">
        <is>
          <t>Medialab Group Ltd.</t>
        </is>
      </c>
      <c r="K161" s="8" t="n">
        <v>45000</v>
      </c>
      <c r="L161" s="9" t="n">
        <v>46827</v>
      </c>
      <c r="M161" s="9" t="n"/>
      <c r="O161" s="9" t="n">
        <v>46097</v>
      </c>
      <c r="P161" s="10" t="n">
        <v>218325</v>
      </c>
      <c r="Q161" s="10">
        <f>P161</f>
        <v/>
      </c>
      <c r="S161" s="10" t="n">
        <v>218300</v>
      </c>
      <c r="T161" s="10">
        <f>S161</f>
        <v/>
      </c>
      <c r="U161" s="27" t="n">
        <v>218325</v>
      </c>
      <c r="V161" s="10">
        <f>U161</f>
        <v/>
      </c>
      <c r="W161" s="277">
        <f>S161/G161</f>
        <v/>
      </c>
      <c r="X161" s="10" t="inlineStr">
        <is>
          <t>E</t>
        </is>
      </c>
      <c r="Y161" s="60" t="n"/>
      <c r="Z161" s="394" t="n"/>
      <c r="AA161" s="14" t="inlineStr">
        <is>
          <t>No</t>
        </is>
      </c>
      <c r="AB161" s="4" t="inlineStr">
        <is>
          <t>Mutual break in the event of planning enforcement. Tenant break on 6 months notice. 3 months rent free if not exercised.</t>
        </is>
      </c>
      <c r="AE161" s="278" t="n"/>
    </row>
    <row r="162">
      <c r="A162" s="11" t="inlineStr">
        <is>
          <t>CD</t>
        </is>
      </c>
      <c r="B162" s="11" t="inlineStr">
        <is>
          <t>MEL</t>
        </is>
      </c>
      <c r="C162" s="2" t="n">
        <v>550300</v>
      </c>
      <c r="D162" s="4" t="inlineStr">
        <is>
          <t>3/4/4a Little Portland Street</t>
        </is>
      </c>
      <c r="E162" s="4" t="inlineStr">
        <is>
          <t>Second Floor (Middle &amp; West)</t>
        </is>
      </c>
      <c r="F162" s="14" t="inlineStr">
        <is>
          <t>Office</t>
        </is>
      </c>
      <c r="G162" s="7" t="n">
        <v>1510</v>
      </c>
      <c r="H162" s="7">
        <f>G162</f>
        <v/>
      </c>
      <c r="I162" s="7" t="n">
        <v>1500</v>
      </c>
      <c r="J162" s="4" t="inlineStr">
        <is>
          <t>Medialab Group Ltd.</t>
        </is>
      </c>
      <c r="K162" s="8" t="n">
        <v>45200</v>
      </c>
      <c r="L162" s="9" t="n">
        <v>46827</v>
      </c>
      <c r="M162" s="9" t="n"/>
      <c r="O162" s="9" t="n">
        <v>46097</v>
      </c>
      <c r="P162" s="10" t="n">
        <v>92250</v>
      </c>
      <c r="Q162" s="10">
        <f>P162</f>
        <v/>
      </c>
      <c r="S162" s="10" t="n">
        <v>92300</v>
      </c>
      <c r="T162" s="10">
        <f>S162</f>
        <v/>
      </c>
      <c r="U162" s="27" t="n">
        <v>92250</v>
      </c>
      <c r="V162" s="10">
        <f>U162</f>
        <v/>
      </c>
      <c r="W162" s="277">
        <f>S162/G162</f>
        <v/>
      </c>
      <c r="X162" s="10" t="inlineStr">
        <is>
          <t>E</t>
        </is>
      </c>
      <c r="Y162" s="60" t="n"/>
      <c r="Z162" s="394" t="n"/>
      <c r="AA162" s="14" t="inlineStr">
        <is>
          <t>No</t>
        </is>
      </c>
      <c r="AB162" s="4" t="inlineStr">
        <is>
          <t>Tenant break on 6 months notice with £7.7k penalty clause.</t>
        </is>
      </c>
      <c r="AE162" s="278" t="n"/>
    </row>
    <row r="163">
      <c r="A163" s="11" t="inlineStr">
        <is>
          <t>CD</t>
        </is>
      </c>
      <c r="B163" s="11" t="inlineStr">
        <is>
          <t>MEL</t>
        </is>
      </c>
      <c r="C163" s="2" t="n">
        <v>550300</v>
      </c>
      <c r="D163" s="4" t="inlineStr">
        <is>
          <t>3/4/4a Little Portland Street</t>
        </is>
      </c>
      <c r="E163" s="4" t="inlineStr">
        <is>
          <t xml:space="preserve">Second Floor (East) </t>
        </is>
      </c>
      <c r="F163" s="14" t="inlineStr">
        <is>
          <t>Office</t>
        </is>
      </c>
      <c r="G163" s="7" t="n">
        <v>130</v>
      </c>
      <c r="H163" s="7">
        <f>G163</f>
        <v/>
      </c>
      <c r="I163" s="7" t="n">
        <v>250</v>
      </c>
      <c r="J163" s="4" t="inlineStr">
        <is>
          <t>Vacant</t>
        </is>
      </c>
      <c r="M163" s="9" t="n">
        <v>45173</v>
      </c>
      <c r="P163" s="10" t="n">
        <v>0</v>
      </c>
      <c r="Q163" s="10">
        <f>P163</f>
        <v/>
      </c>
      <c r="S163" s="10" t="n">
        <v>8120</v>
      </c>
      <c r="T163" s="10">
        <f>S163</f>
        <v/>
      </c>
      <c r="U163" s="27" t="n">
        <v>8260</v>
      </c>
      <c r="V163" s="10">
        <f>U163</f>
        <v/>
      </c>
      <c r="W163" s="277">
        <f>S163/G163</f>
        <v/>
      </c>
      <c r="X163" s="10" t="inlineStr">
        <is>
          <t>E</t>
        </is>
      </c>
      <c r="Y163" s="60" t="n"/>
      <c r="Z163" s="394" t="n"/>
      <c r="AA163" s="14" t="inlineStr">
        <is>
          <t>No</t>
        </is>
      </c>
      <c r="AB163" s="4" t="inlineStr">
        <is>
          <t>Unit under offer.</t>
        </is>
      </c>
      <c r="AE163" s="278" t="n"/>
    </row>
    <row r="164">
      <c r="A164" s="11" t="inlineStr">
        <is>
          <t>CD</t>
        </is>
      </c>
      <c r="B164" s="11" t="inlineStr">
        <is>
          <t>MEL</t>
        </is>
      </c>
      <c r="C164" s="2" t="n">
        <v>550300</v>
      </c>
      <c r="D164" s="4" t="inlineStr">
        <is>
          <t>3/4/4a Little Portland Street</t>
        </is>
      </c>
      <c r="E164" s="117" t="inlineStr">
        <is>
          <t>Second (Rear) &amp; Part Ground (Storage)</t>
        </is>
      </c>
      <c r="F164" s="14" t="inlineStr">
        <is>
          <t xml:space="preserve"> Office &amp; Storage</t>
        </is>
      </c>
      <c r="G164" s="7" t="n">
        <v>1074</v>
      </c>
      <c r="H164" s="7">
        <f>G164</f>
        <v/>
      </c>
      <c r="I164" s="7" t="n">
        <v>1000</v>
      </c>
      <c r="J164" s="4" t="inlineStr">
        <is>
          <t>Vacant</t>
        </is>
      </c>
      <c r="M164" s="9" t="n">
        <v>45003</v>
      </c>
      <c r="P164" s="10" t="n">
        <v>0</v>
      </c>
      <c r="Q164" s="10">
        <f>P164</f>
        <v/>
      </c>
      <c r="S164" s="10" t="n">
        <v>72100</v>
      </c>
      <c r="T164" s="10">
        <f>S164</f>
        <v/>
      </c>
      <c r="U164" s="27" t="n">
        <v>68200</v>
      </c>
      <c r="V164" s="10">
        <f>U164</f>
        <v/>
      </c>
      <c r="W164" s="277">
        <f>S164/G164</f>
        <v/>
      </c>
      <c r="X164" s="10" t="inlineStr">
        <is>
          <t>E</t>
        </is>
      </c>
      <c r="Y164" s="60" t="inlineStr">
        <is>
          <t>*</t>
        </is>
      </c>
      <c r="Z164" s="394" t="n"/>
      <c r="AA164" s="14" t="inlineStr">
        <is>
          <t>No</t>
        </is>
      </c>
      <c r="AB164" s="4" t="inlineStr">
        <is>
          <t>Unit under offer.</t>
        </is>
      </c>
      <c r="AC164" s="303" t="n">
        <v>67.5</v>
      </c>
      <c r="AE164" s="278" t="n"/>
    </row>
    <row r="165">
      <c r="A165" s="11" t="inlineStr">
        <is>
          <t>CD</t>
        </is>
      </c>
      <c r="B165" s="11" t="inlineStr">
        <is>
          <t>MEL</t>
        </is>
      </c>
      <c r="C165" s="2" t="n">
        <v>550300</v>
      </c>
      <c r="D165" s="4" t="inlineStr">
        <is>
          <t>3/4/4a Little Portland Street</t>
        </is>
      </c>
      <c r="E165" s="4" t="inlineStr">
        <is>
          <t>Third Floor</t>
        </is>
      </c>
      <c r="F165" s="14" t="inlineStr">
        <is>
          <t>Office</t>
        </is>
      </c>
      <c r="G165" s="7" t="n">
        <v>2018</v>
      </c>
      <c r="H165" s="7">
        <f>G165</f>
        <v/>
      </c>
      <c r="I165" s="7" t="n">
        <v>2000</v>
      </c>
      <c r="J165" s="4" t="inlineStr">
        <is>
          <t>Total Recruitment Specialists Ltd</t>
        </is>
      </c>
      <c r="K165" s="8" t="n">
        <v>45456</v>
      </c>
      <c r="L165" s="9" t="n">
        <v>47281</v>
      </c>
      <c r="O165" s="9" t="n">
        <v>46550</v>
      </c>
      <c r="P165" s="10" t="n">
        <v>140315</v>
      </c>
      <c r="Q165" s="10">
        <f>P165</f>
        <v/>
      </c>
      <c r="S165" s="10" t="n">
        <v>129800</v>
      </c>
      <c r="T165" s="10">
        <f>S165</f>
        <v/>
      </c>
      <c r="U165" s="27" t="n">
        <v>140315</v>
      </c>
      <c r="V165" s="10">
        <f>U165</f>
        <v/>
      </c>
      <c r="W165" s="277">
        <f>S165/G165</f>
        <v/>
      </c>
      <c r="X165" s="10" t="inlineStr">
        <is>
          <t>E</t>
        </is>
      </c>
      <c r="Y165" s="60" t="n"/>
      <c r="Z165" s="394" t="n"/>
      <c r="AA165" s="14" t="inlineStr">
        <is>
          <t>No</t>
        </is>
      </c>
      <c r="AB165" s="4" t="inlineStr">
        <is>
          <t>Tenant break on 6 months notice.</t>
        </is>
      </c>
      <c r="AE165" s="278" t="n"/>
    </row>
    <row r="166">
      <c r="A166" s="11" t="inlineStr">
        <is>
          <t>CD</t>
        </is>
      </c>
      <c r="B166" s="11" t="inlineStr">
        <is>
          <t>MEL</t>
        </is>
      </c>
      <c r="C166" s="2" t="n">
        <v>550300</v>
      </c>
      <c r="D166" s="4" t="inlineStr">
        <is>
          <t>3/4/4a Little Portland Street</t>
        </is>
      </c>
      <c r="E166" s="4" t="inlineStr">
        <is>
          <t>Electricity Sub-Station</t>
        </is>
      </c>
      <c r="F166" s="14" t="inlineStr">
        <is>
          <t>Sub-Station</t>
        </is>
      </c>
      <c r="G166" s="7" t="n">
        <v>0</v>
      </c>
      <c r="H166" s="7">
        <f>G166</f>
        <v/>
      </c>
      <c r="J166" s="4" t="inlineStr">
        <is>
          <t>London Power Networks Plc</t>
        </is>
      </c>
      <c r="K166" s="8" t="n">
        <v>43866</v>
      </c>
      <c r="L166" s="9" t="n">
        <v>47518</v>
      </c>
      <c r="N166" s="9" t="n">
        <v>45693</v>
      </c>
      <c r="P166" s="10" t="n">
        <v>1000</v>
      </c>
      <c r="Q166" s="10">
        <f>P166</f>
        <v/>
      </c>
      <c r="S166" s="10" t="n">
        <v>1000</v>
      </c>
      <c r="T166" s="10">
        <f>S166</f>
        <v/>
      </c>
      <c r="U166" s="27" t="n">
        <v>1000</v>
      </c>
      <c r="V166" s="10">
        <f>U166</f>
        <v/>
      </c>
      <c r="W166" s="277" t="n"/>
      <c r="X166" s="10" t="n"/>
      <c r="Y166" s="60" t="n"/>
      <c r="Z166" s="394" t="n"/>
      <c r="AA166" s="14" t="inlineStr">
        <is>
          <t>Yes</t>
        </is>
      </c>
      <c r="AB166" s="4" t="inlineStr">
        <is>
          <t>Rent review is RPI. Rolling landlords redevelopment break after 04/02/25 on 9 months notice.</t>
        </is>
      </c>
      <c r="AE166" s="278" t="n"/>
    </row>
    <row r="167">
      <c r="A167" s="11" t="inlineStr">
        <is>
          <t>CD</t>
        </is>
      </c>
      <c r="B167" s="11" t="inlineStr">
        <is>
          <t>MEL</t>
        </is>
      </c>
      <c r="C167" s="2" t="n">
        <v>550500</v>
      </c>
      <c r="D167" s="4" t="inlineStr">
        <is>
          <t>5 Little Portland Street</t>
        </is>
      </c>
      <c r="E167" s="4" t="inlineStr">
        <is>
          <t>Ground &amp; Basement</t>
        </is>
      </c>
      <c r="F167" s="14" t="inlineStr">
        <is>
          <t>Bar</t>
        </is>
      </c>
      <c r="G167" s="7" t="n">
        <v>2520</v>
      </c>
      <c r="H167" s="10">
        <f>G167</f>
        <v/>
      </c>
      <c r="I167" s="10" t="n">
        <v>2500</v>
      </c>
      <c r="J167" s="4" t="inlineStr">
        <is>
          <t>The Social Little Portland Street Ltd.</t>
        </is>
      </c>
      <c r="K167" s="8" t="n">
        <v>43571</v>
      </c>
      <c r="L167" s="9" t="n">
        <v>47223</v>
      </c>
      <c r="N167" s="9" t="n">
        <v>45398</v>
      </c>
      <c r="P167" s="10" t="n">
        <v>82500</v>
      </c>
      <c r="Q167" s="10">
        <f>P167</f>
        <v/>
      </c>
      <c r="S167" s="10" t="n">
        <v>70000</v>
      </c>
      <c r="T167" s="10">
        <f>S167</f>
        <v/>
      </c>
      <c r="U167" s="27" t="n">
        <v>70000</v>
      </c>
      <c r="V167" s="10">
        <f>U167</f>
        <v/>
      </c>
      <c r="W167" s="277">
        <f>S167/G167</f>
        <v/>
      </c>
      <c r="X167" s="10" t="inlineStr">
        <is>
          <t>B</t>
        </is>
      </c>
      <c r="Y167" s="60" t="n"/>
      <c r="Z167" s="36" t="n"/>
      <c r="AA167" s="14" t="inlineStr">
        <is>
          <t>No</t>
        </is>
      </c>
      <c r="AE167" s="278" t="n"/>
    </row>
    <row r="168">
      <c r="A168" s="11" t="inlineStr">
        <is>
          <t>CD</t>
        </is>
      </c>
      <c r="B168" s="11" t="inlineStr">
        <is>
          <t>MEL</t>
        </is>
      </c>
      <c r="C168" s="2" t="n">
        <v>550500</v>
      </c>
      <c r="D168" s="4" t="inlineStr">
        <is>
          <t>5 Little Portland Street</t>
        </is>
      </c>
      <c r="E168" s="4" t="inlineStr">
        <is>
          <t>First to Third Floors</t>
        </is>
      </c>
      <c r="F168" s="14" t="inlineStr">
        <is>
          <t>Office</t>
        </is>
      </c>
      <c r="G168" s="7" t="n">
        <v>2186</v>
      </c>
      <c r="H168" s="10">
        <f>G168</f>
        <v/>
      </c>
      <c r="I168" s="10" t="n">
        <v>2000</v>
      </c>
      <c r="J168" s="4" t="inlineStr">
        <is>
          <t>Oaxaca Ltd.</t>
        </is>
      </c>
      <c r="K168" s="8" t="n">
        <v>43398</v>
      </c>
      <c r="L168" s="9" t="n">
        <v>47050</v>
      </c>
      <c r="N168" s="9" t="n">
        <v>45955</v>
      </c>
      <c r="O168" s="9" t="n">
        <v>45954</v>
      </c>
      <c r="P168" s="10" t="n">
        <v>101200</v>
      </c>
      <c r="Q168" s="10">
        <f>P168</f>
        <v/>
      </c>
      <c r="S168" s="10" t="n">
        <v>117100</v>
      </c>
      <c r="T168" s="10">
        <f>S168</f>
        <v/>
      </c>
      <c r="U168" s="27" t="n">
        <v>128000</v>
      </c>
      <c r="V168" s="10">
        <f>U168</f>
        <v/>
      </c>
      <c r="W168" s="277">
        <f>S168/G168</f>
        <v/>
      </c>
      <c r="X168" s="10" t="inlineStr">
        <is>
          <t>E</t>
        </is>
      </c>
      <c r="Y168" s="60" t="n"/>
      <c r="Z168" s="36" t="n"/>
      <c r="AA168" s="14" t="inlineStr">
        <is>
          <t>No</t>
        </is>
      </c>
      <c r="AB168" s="29" t="inlineStr">
        <is>
          <t>Tenant has a concession to continue paying rent of £101,200 until expiry. Tenant break option removed.</t>
        </is>
      </c>
      <c r="AE168" s="278" t="n"/>
    </row>
    <row r="169">
      <c r="A169" s="11" t="inlineStr">
        <is>
          <t>CD</t>
        </is>
      </c>
      <c r="B169" s="11" t="inlineStr">
        <is>
          <t>MEL</t>
        </is>
      </c>
      <c r="C169" s="2" t="n">
        <v>550310</v>
      </c>
      <c r="D169" s="4" t="inlineStr">
        <is>
          <t>Alexandra House, 6 Little Portland Street</t>
        </is>
      </c>
      <c r="E169" s="4" t="inlineStr">
        <is>
          <t>Ground Floor &amp; Part Basement</t>
        </is>
      </c>
      <c r="F169" s="14" t="inlineStr">
        <is>
          <t>Restaurant</t>
        </is>
      </c>
      <c r="G169" s="7" t="n">
        <v>4430</v>
      </c>
      <c r="H169" s="10">
        <f>G169</f>
        <v/>
      </c>
      <c r="I169" s="10" t="n">
        <v>4500</v>
      </c>
      <c r="J169" s="4" t="inlineStr">
        <is>
          <t>Burger &amp; Lobster Restaurant Group Ltd.</t>
        </is>
      </c>
      <c r="K169" s="8" t="n">
        <v>41585</v>
      </c>
      <c r="L169" s="9" t="n">
        <v>47063</v>
      </c>
      <c r="N169" s="9" t="n">
        <v>45237</v>
      </c>
      <c r="P169" s="10" t="n">
        <v>170000</v>
      </c>
      <c r="Q169" s="10">
        <f>P169</f>
        <v/>
      </c>
      <c r="S169" s="10" t="n">
        <v>146900</v>
      </c>
      <c r="T169" s="10">
        <f>S169</f>
        <v/>
      </c>
      <c r="U169" s="27" t="n">
        <v>152100</v>
      </c>
      <c r="V169" s="10">
        <f>U169</f>
        <v/>
      </c>
      <c r="W169" s="277">
        <f>S169/G169</f>
        <v/>
      </c>
      <c r="X169" s="10" t="inlineStr">
        <is>
          <t>B</t>
        </is>
      </c>
      <c r="Y169" s="60" t="n"/>
      <c r="Z169" s="36" t="n"/>
      <c r="AA169" s="14" t="inlineStr">
        <is>
          <t>No</t>
        </is>
      </c>
      <c r="AB169" s="4" t="inlineStr">
        <is>
          <t>Rent review not yet activated due to level of passing rent.</t>
        </is>
      </c>
      <c r="AE169" s="278" t="n"/>
    </row>
    <row r="170">
      <c r="A170" s="11" t="inlineStr">
        <is>
          <t>CD</t>
        </is>
      </c>
      <c r="B170" s="11" t="inlineStr">
        <is>
          <t>MEL</t>
        </is>
      </c>
      <c r="C170" s="2" t="n">
        <v>550310</v>
      </c>
      <c r="D170" s="4" t="inlineStr">
        <is>
          <t>Alexandra House, 6 Little Portland Street</t>
        </is>
      </c>
      <c r="E170" s="4" t="inlineStr">
        <is>
          <t>First to Fourth Floors</t>
        </is>
      </c>
      <c r="F170" s="14" t="inlineStr">
        <is>
          <t>Office</t>
        </is>
      </c>
      <c r="G170" s="7" t="n">
        <v>10421</v>
      </c>
      <c r="H170" s="10">
        <f>G170</f>
        <v/>
      </c>
      <c r="I170" s="10" t="n">
        <v>10500</v>
      </c>
      <c r="J170" s="4" t="inlineStr">
        <is>
          <t>Exposure Promotions Ltd.</t>
        </is>
      </c>
      <c r="K170" s="8" t="n">
        <v>44552</v>
      </c>
      <c r="L170" s="9" t="n">
        <v>46377</v>
      </c>
      <c r="P170" s="10" t="n">
        <v>573565</v>
      </c>
      <c r="Q170" s="10">
        <f>P170</f>
        <v/>
      </c>
      <c r="S170" s="10" t="n">
        <v>572700</v>
      </c>
      <c r="T170" s="10">
        <f>S170</f>
        <v/>
      </c>
      <c r="U170" s="27" t="n">
        <v>589700</v>
      </c>
      <c r="V170" s="10">
        <f>U170</f>
        <v/>
      </c>
      <c r="W170" s="10" t="n"/>
      <c r="X170" s="10" t="inlineStr">
        <is>
          <t>C</t>
        </is>
      </c>
      <c r="Y170" s="60" t="n"/>
      <c r="Z170" s="36" t="n"/>
      <c r="AA170" s="14" t="inlineStr">
        <is>
          <t>No</t>
        </is>
      </c>
      <c r="AB170" s="4" t="inlineStr">
        <is>
          <t>Tenant break on 6 months notice. 3 months rent free if not exercised.</t>
        </is>
      </c>
      <c r="AE170" s="278" t="n"/>
    </row>
    <row r="171">
      <c r="A171" s="11" t="inlineStr">
        <is>
          <t>CD</t>
        </is>
      </c>
      <c r="B171" s="11" t="inlineStr">
        <is>
          <t>MEL</t>
        </is>
      </c>
      <c r="C171" s="2" t="n">
        <v>551010</v>
      </c>
      <c r="D171" s="25" t="inlineStr">
        <is>
          <t>9 Little Portland Street</t>
        </is>
      </c>
      <c r="E171" s="4" t="inlineStr">
        <is>
          <t>Lower Ground and Ground Floors</t>
        </is>
      </c>
      <c r="F171" s="14" t="inlineStr">
        <is>
          <t>Showroom / Office</t>
        </is>
      </c>
      <c r="G171" s="7" t="n">
        <v>747</v>
      </c>
      <c r="H171" s="10">
        <f>G171</f>
        <v/>
      </c>
      <c r="I171" s="10" t="n">
        <v>750</v>
      </c>
      <c r="J171" s="4" t="inlineStr">
        <is>
          <t>Order Line Ltd</t>
        </is>
      </c>
      <c r="K171" s="8" t="n">
        <v>44724</v>
      </c>
      <c r="P171" s="10" t="n">
        <v>45000</v>
      </c>
      <c r="Q171" s="10">
        <f>P171</f>
        <v/>
      </c>
      <c r="S171" s="10" t="n">
        <v>41700</v>
      </c>
      <c r="T171" s="10">
        <f>S171</f>
        <v/>
      </c>
      <c r="U171" s="27" t="n">
        <v>45000</v>
      </c>
      <c r="V171" s="10">
        <f>U171</f>
        <v/>
      </c>
      <c r="W171" s="277">
        <f>S171/G171</f>
        <v/>
      </c>
      <c r="X171" s="10" t="inlineStr">
        <is>
          <t>E</t>
        </is>
      </c>
      <c r="Y171" s="60" t="n"/>
      <c r="Z171" s="394" t="n"/>
      <c r="AA171" s="14" t="inlineStr">
        <is>
          <t>No</t>
        </is>
      </c>
      <c r="AB171" s="4" t="inlineStr">
        <is>
          <t>Tenancy at will granted based at existing rent.</t>
        </is>
      </c>
      <c r="AE171" s="278" t="n"/>
    </row>
    <row r="172">
      <c r="A172" s="11" t="inlineStr">
        <is>
          <t>CD</t>
        </is>
      </c>
      <c r="B172" s="11" t="inlineStr">
        <is>
          <t>MEL</t>
        </is>
      </c>
      <c r="C172" s="2" t="n">
        <v>551010</v>
      </c>
      <c r="D172" s="25" t="inlineStr">
        <is>
          <t>9 Little Portland Street</t>
        </is>
      </c>
      <c r="E172" s="4" t="inlineStr">
        <is>
          <t>First Floor</t>
        </is>
      </c>
      <c r="F172" s="14" t="inlineStr">
        <is>
          <t>Office</t>
        </is>
      </c>
      <c r="G172" s="7" t="n">
        <v>452</v>
      </c>
      <c r="H172" s="10">
        <f>G172</f>
        <v/>
      </c>
      <c r="I172" s="10" t="n">
        <v>500</v>
      </c>
      <c r="J172" s="4" t="inlineStr">
        <is>
          <t>Vacant</t>
        </is>
      </c>
      <c r="M172" s="9" t="n">
        <v>43466</v>
      </c>
      <c r="P172" s="10" t="n">
        <v>0</v>
      </c>
      <c r="Q172" s="10">
        <f>P172</f>
        <v/>
      </c>
      <c r="S172" s="10" t="n">
        <v>24900</v>
      </c>
      <c r="T172" s="10">
        <f>S172</f>
        <v/>
      </c>
      <c r="U172" s="27" t="n">
        <v>24900</v>
      </c>
      <c r="V172" s="10">
        <f>U172</f>
        <v/>
      </c>
      <c r="W172" s="10" t="n"/>
      <c r="X172" s="10" t="inlineStr">
        <is>
          <t>E</t>
        </is>
      </c>
      <c r="Y172" s="60" t="n"/>
      <c r="Z172" s="394" t="n"/>
      <c r="AA172" s="14" t="inlineStr">
        <is>
          <t>No</t>
        </is>
      </c>
      <c r="AB172" s="4" t="inlineStr">
        <is>
          <t>To be refurbished.</t>
        </is>
      </c>
      <c r="AE172" s="278" t="n"/>
    </row>
    <row r="173">
      <c r="A173" s="11" t="inlineStr">
        <is>
          <t>CD</t>
        </is>
      </c>
      <c r="B173" s="11" t="inlineStr">
        <is>
          <t>MEL</t>
        </is>
      </c>
      <c r="C173" s="2" t="n">
        <v>551010</v>
      </c>
      <c r="D173" s="25" t="inlineStr">
        <is>
          <t>9 Little Portland Street</t>
        </is>
      </c>
      <c r="E173" s="4" t="inlineStr">
        <is>
          <t xml:space="preserve">Second Floor </t>
        </is>
      </c>
      <c r="F173" s="14" t="inlineStr">
        <is>
          <t>Office</t>
        </is>
      </c>
      <c r="G173" s="7" t="n">
        <v>437</v>
      </c>
      <c r="H173" s="10">
        <f>G173</f>
        <v/>
      </c>
      <c r="I173" s="10" t="n">
        <v>500</v>
      </c>
      <c r="J173" s="4" t="inlineStr">
        <is>
          <t>Vacant</t>
        </is>
      </c>
      <c r="M173" s="9" t="n">
        <v>43466</v>
      </c>
      <c r="P173" s="10" t="n">
        <v>0</v>
      </c>
      <c r="Q173" s="10">
        <f>P173</f>
        <v/>
      </c>
      <c r="S173" s="10" t="n">
        <v>24000</v>
      </c>
      <c r="T173" s="10">
        <f>S173</f>
        <v/>
      </c>
      <c r="U173" s="27" t="n">
        <v>24000</v>
      </c>
      <c r="V173" s="10">
        <f>U173</f>
        <v/>
      </c>
      <c r="W173" s="10" t="n"/>
      <c r="X173" s="10" t="inlineStr">
        <is>
          <t>E</t>
        </is>
      </c>
      <c r="Y173" s="60" t="n"/>
      <c r="Z173" s="394" t="n"/>
      <c r="AA173" s="14" t="inlineStr">
        <is>
          <t>No</t>
        </is>
      </c>
      <c r="AB173" s="4" t="inlineStr">
        <is>
          <t>To be refurbished.</t>
        </is>
      </c>
      <c r="AE173" s="278" t="n"/>
    </row>
    <row r="174">
      <c r="A174" s="11" t="inlineStr">
        <is>
          <t>CD</t>
        </is>
      </c>
      <c r="B174" s="11" t="inlineStr">
        <is>
          <t>MEL</t>
        </is>
      </c>
      <c r="C174" s="2" t="n">
        <v>551010</v>
      </c>
      <c r="D174" s="25" t="inlineStr">
        <is>
          <t>9 Little Portland Street</t>
        </is>
      </c>
      <c r="E174" s="4" t="inlineStr">
        <is>
          <t>Third Floor</t>
        </is>
      </c>
      <c r="F174" s="14" t="inlineStr">
        <is>
          <t>Office</t>
        </is>
      </c>
      <c r="G174" s="7" t="n">
        <v>350</v>
      </c>
      <c r="H174" s="10">
        <f>G174</f>
        <v/>
      </c>
      <c r="I174" s="10" t="n">
        <v>500</v>
      </c>
      <c r="J174" s="4" t="inlineStr">
        <is>
          <t>Skynet Ltd</t>
        </is>
      </c>
      <c r="K174" s="8" t="n">
        <v>44724</v>
      </c>
      <c r="P174" s="10" t="n">
        <v>21060</v>
      </c>
      <c r="Q174" s="10">
        <f>P174</f>
        <v/>
      </c>
      <c r="S174" s="10" t="n">
        <v>19300</v>
      </c>
      <c r="T174" s="10">
        <f>S174</f>
        <v/>
      </c>
      <c r="U174" s="27" t="n">
        <v>19300</v>
      </c>
      <c r="V174" s="10">
        <f>U174</f>
        <v/>
      </c>
      <c r="W174" s="10" t="n"/>
      <c r="X174" s="10" t="inlineStr">
        <is>
          <t>E</t>
        </is>
      </c>
      <c r="Y174" s="60" t="n"/>
      <c r="Z174" s="394" t="n"/>
      <c r="AA174" s="14" t="inlineStr">
        <is>
          <t>No</t>
        </is>
      </c>
      <c r="AB174" s="4" t="inlineStr">
        <is>
          <t>Tenancy at will granted based at existing rent.</t>
        </is>
      </c>
      <c r="AE174" s="278" t="n"/>
    </row>
    <row r="175">
      <c r="A175" s="11" t="inlineStr">
        <is>
          <t>WS</t>
        </is>
      </c>
      <c r="B175" s="11" t="inlineStr">
        <is>
          <t>MEL</t>
        </is>
      </c>
      <c r="C175" s="2" t="n">
        <v>550960</v>
      </c>
      <c r="D175" s="4" t="inlineStr">
        <is>
          <t>21 Little Portland Street</t>
        </is>
      </c>
      <c r="E175" s="4" t="inlineStr">
        <is>
          <t>Lower Ground and Ground Floors</t>
        </is>
      </c>
      <c r="F175" s="14" t="inlineStr">
        <is>
          <t>Office</t>
        </is>
      </c>
      <c r="G175" s="7" t="n">
        <v>2820</v>
      </c>
      <c r="H175" s="10">
        <f>G175</f>
        <v/>
      </c>
      <c r="I175" s="10" t="n">
        <v>3000</v>
      </c>
      <c r="J175" s="4" t="inlineStr">
        <is>
          <t>FRIBA Limited</t>
        </is>
      </c>
      <c r="K175" s="8" t="n">
        <v>43794</v>
      </c>
      <c r="L175" s="9" t="n">
        <v>47446</v>
      </c>
      <c r="N175" s="9" t="n">
        <v>45621</v>
      </c>
      <c r="P175" s="10" t="n">
        <v>124773</v>
      </c>
      <c r="Q175" s="10">
        <f>P175</f>
        <v/>
      </c>
      <c r="S175" s="10" t="n">
        <v>126900</v>
      </c>
      <c r="T175" s="10">
        <f>S175</f>
        <v/>
      </c>
      <c r="U175" s="27" t="n">
        <v>155100</v>
      </c>
      <c r="V175" s="10">
        <f>U175</f>
        <v/>
      </c>
      <c r="W175" s="277">
        <f>S175/G175</f>
        <v/>
      </c>
      <c r="X175" s="10" t="inlineStr">
        <is>
          <t>D</t>
        </is>
      </c>
      <c r="Y175" s="60" t="n"/>
      <c r="Z175" s="361" t="n"/>
      <c r="AA175" s="14" t="inlineStr">
        <is>
          <t>No</t>
        </is>
      </c>
      <c r="AB175" s="4" t="inlineStr">
        <is>
          <t>Premises inter connected with 19 Margaret Street and let under a single lease. The floor area is shown for this building only. Rent shown pro rata.</t>
        </is>
      </c>
      <c r="AE175" s="278" t="n"/>
    </row>
    <row r="176">
      <c r="A176" s="11" t="inlineStr">
        <is>
          <t>WS</t>
        </is>
      </c>
      <c r="B176" s="11" t="inlineStr">
        <is>
          <t>MEL</t>
        </is>
      </c>
      <c r="C176" s="2" t="n">
        <v>550960</v>
      </c>
      <c r="D176" s="4" t="inlineStr">
        <is>
          <t>21 Little Portland Street</t>
        </is>
      </c>
      <c r="E176" s="4" t="inlineStr">
        <is>
          <t>First Floor</t>
        </is>
      </c>
      <c r="F176" s="7" t="inlineStr">
        <is>
          <t>Office</t>
        </is>
      </c>
      <c r="G176" s="7" t="n">
        <v>1282</v>
      </c>
      <c r="H176" s="10">
        <f>G176</f>
        <v/>
      </c>
      <c r="I176" s="10" t="n">
        <v>1250</v>
      </c>
      <c r="J176" s="4" t="inlineStr">
        <is>
          <t>Vacant</t>
        </is>
      </c>
      <c r="M176" s="9" t="n">
        <v>44747</v>
      </c>
      <c r="P176" s="10" t="n">
        <v>0</v>
      </c>
      <c r="Q176" s="10">
        <f>P176</f>
        <v/>
      </c>
      <c r="S176" s="10" t="n">
        <v>70500</v>
      </c>
      <c r="T176" s="10">
        <f>S176</f>
        <v/>
      </c>
      <c r="U176" s="27" t="n">
        <v>76900</v>
      </c>
      <c r="V176" s="10">
        <f>U176</f>
        <v/>
      </c>
      <c r="W176" s="10" t="n"/>
      <c r="X176" s="10" t="inlineStr">
        <is>
          <t>D</t>
        </is>
      </c>
      <c r="Y176" s="60" t="n"/>
      <c r="Z176" s="361" t="n"/>
      <c r="AA176" s="14" t="inlineStr">
        <is>
          <t>No</t>
        </is>
      </c>
      <c r="AB176" s="29" t="inlineStr">
        <is>
          <t>Refurbishment completed. Under offer.</t>
        </is>
      </c>
      <c r="AC176" s="303" t="n">
        <v>67.5</v>
      </c>
      <c r="AE176" s="278" t="n">
        <v>1</v>
      </c>
      <c r="AF176" s="4" t="inlineStr">
        <is>
          <t>LEM</t>
        </is>
      </c>
    </row>
    <row r="177">
      <c r="A177" s="11" t="inlineStr">
        <is>
          <t>WS</t>
        </is>
      </c>
      <c r="B177" s="11" t="inlineStr">
        <is>
          <t>MEL</t>
        </is>
      </c>
      <c r="C177" s="2" t="n">
        <v>550960</v>
      </c>
      <c r="D177" s="4" t="inlineStr">
        <is>
          <t>21 Little Portland Street</t>
        </is>
      </c>
      <c r="E177" s="4" t="inlineStr">
        <is>
          <t>Second Floor</t>
        </is>
      </c>
      <c r="F177" s="14" t="inlineStr">
        <is>
          <t>Office</t>
        </is>
      </c>
      <c r="G177" s="7" t="n">
        <v>1214</v>
      </c>
      <c r="H177" s="10">
        <f>G177</f>
        <v/>
      </c>
      <c r="I177" s="10" t="n">
        <v>1250</v>
      </c>
      <c r="J177" s="4" t="inlineStr">
        <is>
          <t>Spanx UK Ltd</t>
        </is>
      </c>
      <c r="K177" s="8" t="n">
        <v>44733</v>
      </c>
      <c r="L177" s="9" t="n">
        <v>46558</v>
      </c>
      <c r="O177" s="9" t="n">
        <v>45828</v>
      </c>
      <c r="P177" s="10" t="n">
        <v>71000</v>
      </c>
      <c r="Q177" s="10">
        <f>P177</f>
        <v/>
      </c>
      <c r="S177" s="10" t="n">
        <v>71000</v>
      </c>
      <c r="T177" s="10">
        <f>S177</f>
        <v/>
      </c>
      <c r="U177" s="27" t="n">
        <v>75900</v>
      </c>
      <c r="V177" s="10">
        <f>U177</f>
        <v/>
      </c>
      <c r="W177" s="10" t="n"/>
      <c r="X177" s="10" t="inlineStr">
        <is>
          <t>D</t>
        </is>
      </c>
      <c r="Y177" s="60" t="n"/>
      <c r="Z177" s="361" t="n"/>
      <c r="AA177" s="14" t="inlineStr">
        <is>
          <t>No</t>
        </is>
      </c>
      <c r="AB177" s="4" t="inlineStr">
        <is>
          <t>Mutual break @ 20/06/25 on 6 months notice. Tenant break exercised. Break conditions not met. Lease to continue.</t>
        </is>
      </c>
      <c r="AE177" s="278" t="n"/>
    </row>
    <row r="178">
      <c r="A178" s="11" t="inlineStr">
        <is>
          <t>WS</t>
        </is>
      </c>
      <c r="B178" s="11" t="inlineStr">
        <is>
          <t>MEL</t>
        </is>
      </c>
      <c r="C178" s="2" t="n">
        <v>550960</v>
      </c>
      <c r="D178" s="4" t="inlineStr">
        <is>
          <t>21 Little Portland Street</t>
        </is>
      </c>
      <c r="E178" s="4" t="inlineStr">
        <is>
          <t>Third Floor</t>
        </is>
      </c>
      <c r="F178" s="14" t="inlineStr">
        <is>
          <t>Office</t>
        </is>
      </c>
      <c r="G178" s="7" t="n">
        <v>1226</v>
      </c>
      <c r="H178" s="10">
        <f>G178</f>
        <v/>
      </c>
      <c r="I178" s="10" t="n">
        <v>1250</v>
      </c>
      <c r="J178" s="4" t="inlineStr">
        <is>
          <t>Caneparo Associates Ltd</t>
        </is>
      </c>
      <c r="K178" s="8" t="n">
        <v>44605</v>
      </c>
      <c r="L178" s="9" t="n">
        <v>46430</v>
      </c>
      <c r="P178" s="10" t="n">
        <v>63000</v>
      </c>
      <c r="Q178" s="10">
        <f>P178</f>
        <v/>
      </c>
      <c r="S178" s="10" t="n">
        <v>63100</v>
      </c>
      <c r="T178" s="10">
        <f>S178</f>
        <v/>
      </c>
      <c r="U178" s="27" t="n">
        <v>67400</v>
      </c>
      <c r="V178" s="10">
        <f>U178</f>
        <v/>
      </c>
      <c r="W178" s="10" t="n"/>
      <c r="X178" s="10" t="inlineStr">
        <is>
          <t>D</t>
        </is>
      </c>
      <c r="Y178" s="60" t="n"/>
      <c r="Z178" s="361" t="n"/>
      <c r="AA178" s="14" t="inlineStr">
        <is>
          <t>No</t>
        </is>
      </c>
      <c r="AE178" s="278" t="n"/>
    </row>
    <row r="179">
      <c r="A179" s="11" t="inlineStr">
        <is>
          <t>WS</t>
        </is>
      </c>
      <c r="B179" s="11" t="inlineStr">
        <is>
          <t>MEL</t>
        </is>
      </c>
      <c r="C179" s="2" t="n">
        <v>550320</v>
      </c>
      <c r="D179" s="4" t="inlineStr">
        <is>
          <t>22-23 Little Portland Street</t>
        </is>
      </c>
      <c r="E179" s="4" t="inlineStr">
        <is>
          <t>Whole Building</t>
        </is>
      </c>
      <c r="F179" s="14" t="inlineStr">
        <is>
          <t>Office/ Showroom/ Storage</t>
        </is>
      </c>
      <c r="G179" s="18" t="n">
        <v>9776</v>
      </c>
      <c r="H179" s="10">
        <f>G179</f>
        <v/>
      </c>
      <c r="I179" s="10" t="n">
        <v>10000</v>
      </c>
      <c r="J179" s="4" t="inlineStr">
        <is>
          <t>David Chipperfield Architects Ltd</t>
        </is>
      </c>
      <c r="K179" s="8" t="n">
        <v>45463</v>
      </c>
      <c r="L179" s="9" t="n">
        <v>49114</v>
      </c>
      <c r="N179" s="9" t="n">
        <v>47289</v>
      </c>
      <c r="O179" s="9" t="n">
        <v>47288</v>
      </c>
      <c r="P179" s="19" t="n">
        <v>715000</v>
      </c>
      <c r="Q179" s="19">
        <f>P179</f>
        <v/>
      </c>
      <c r="R179" s="19">
        <f>Q179</f>
        <v/>
      </c>
      <c r="S179" s="19" t="n">
        <v>715000</v>
      </c>
      <c r="T179" s="10">
        <f>S179</f>
        <v/>
      </c>
      <c r="U179" s="36" t="n">
        <v>715000</v>
      </c>
      <c r="V179" s="10">
        <f>U179</f>
        <v/>
      </c>
      <c r="W179" s="277">
        <f>S179/G179</f>
        <v/>
      </c>
      <c r="X179" s="10" t="inlineStr">
        <is>
          <t>A</t>
        </is>
      </c>
      <c r="Y179" s="60" t="n"/>
      <c r="Z179" s="361" t="n">
        <v>12325000</v>
      </c>
      <c r="AA179" s="14" t="inlineStr">
        <is>
          <t>No</t>
        </is>
      </c>
      <c r="AB179" s="4" t="inlineStr">
        <is>
          <t>Tenant break on 6 months notice.</t>
        </is>
      </c>
      <c r="AE179" s="278" t="n"/>
    </row>
    <row r="180">
      <c r="A180" s="11" t="inlineStr">
        <is>
          <t>WS</t>
        </is>
      </c>
      <c r="B180" s="11" t="inlineStr">
        <is>
          <t>MEL</t>
        </is>
      </c>
      <c r="C180" s="2" t="n">
        <v>550330</v>
      </c>
      <c r="D180" s="4" t="inlineStr">
        <is>
          <t>9 Margaret Street</t>
        </is>
      </c>
      <c r="E180" s="4" t="inlineStr">
        <is>
          <t>Whole</t>
        </is>
      </c>
      <c r="F180" s="14" t="inlineStr">
        <is>
          <t>Office</t>
        </is>
      </c>
      <c r="G180" s="18" t="n">
        <v>4969</v>
      </c>
      <c r="H180" s="10">
        <f>G180</f>
        <v/>
      </c>
      <c r="I180" s="10" t="n">
        <v>5000</v>
      </c>
      <c r="J180" s="4" t="inlineStr">
        <is>
          <t>Racoon Media Services Limited</t>
        </is>
      </c>
      <c r="K180" s="8" t="n">
        <v>45198</v>
      </c>
      <c r="L180" s="9" t="n">
        <v>48850</v>
      </c>
      <c r="N180" s="9" t="n">
        <v>47025</v>
      </c>
      <c r="O180" s="9" t="n">
        <v>46293</v>
      </c>
      <c r="P180" s="19" t="n">
        <v>315000</v>
      </c>
      <c r="Q180" s="10">
        <f>P180</f>
        <v/>
      </c>
      <c r="R180" s="19">
        <f>Q180</f>
        <v/>
      </c>
      <c r="S180" s="19" t="n">
        <v>266600</v>
      </c>
      <c r="T180" s="10">
        <f>S180</f>
        <v/>
      </c>
      <c r="U180" s="36" t="n">
        <v>324500</v>
      </c>
      <c r="V180" s="10">
        <f>U180</f>
        <v/>
      </c>
      <c r="W180" s="277">
        <f>S180/G180</f>
        <v/>
      </c>
      <c r="X180" s="10" t="inlineStr">
        <is>
          <t>C</t>
        </is>
      </c>
      <c r="Y180" s="60" t="n"/>
      <c r="Z180" s="361" t="n">
        <v>5400000</v>
      </c>
      <c r="AA180" s="14" t="inlineStr">
        <is>
          <t>No</t>
        </is>
      </c>
      <c r="AB180" s="4" t="inlineStr">
        <is>
          <t>Tenant break on 6 months notice, if not exercised then a further 3 months rent free.</t>
        </is>
      </c>
      <c r="AE180" s="278" t="n"/>
    </row>
    <row r="181">
      <c r="A181" s="11" t="inlineStr">
        <is>
          <t>CM</t>
        </is>
      </c>
      <c r="B181" s="11" t="inlineStr">
        <is>
          <t>MEL</t>
        </is>
      </c>
      <c r="C181" s="2" t="n">
        <v>550340</v>
      </c>
      <c r="D181" s="4" t="inlineStr">
        <is>
          <t>London House, 9a Margaret Street</t>
        </is>
      </c>
      <c r="E181" s="4" t="inlineStr">
        <is>
          <t>Basement (Vaults)</t>
        </is>
      </c>
      <c r="F181" s="14" t="inlineStr">
        <is>
          <t>Storage</t>
        </is>
      </c>
      <c r="G181" s="7" t="n">
        <v>400</v>
      </c>
      <c r="H181" s="7">
        <f>G181</f>
        <v/>
      </c>
      <c r="J181" s="4" t="inlineStr">
        <is>
          <t>Langham Estate Management Ltd</t>
        </is>
      </c>
      <c r="K181" s="9" t="n">
        <v>43184</v>
      </c>
      <c r="L181" s="9" t="n">
        <v>46836</v>
      </c>
      <c r="N181" s="9" t="n">
        <v>45010</v>
      </c>
      <c r="P181" s="10" t="n">
        <v>2400</v>
      </c>
      <c r="Q181" s="10">
        <f>P181</f>
        <v/>
      </c>
      <c r="S181" s="10" t="n">
        <v>2000</v>
      </c>
      <c r="T181" s="10">
        <f>S181</f>
        <v/>
      </c>
      <c r="U181" s="27" t="n">
        <v>2000</v>
      </c>
      <c r="V181" s="10">
        <f>U181</f>
        <v/>
      </c>
      <c r="W181" s="277">
        <f>S181/G181</f>
        <v/>
      </c>
      <c r="X181" s="10" t="n"/>
      <c r="Y181" s="60" t="n"/>
      <c r="Z181" s="394" t="n"/>
      <c r="AA181" s="14" t="inlineStr">
        <is>
          <t>No</t>
        </is>
      </c>
      <c r="AB181" s="4" t="inlineStr">
        <is>
          <t>Mutual rolling break on 6 months notice. Internal Lease to another Lee Family Group Company.</t>
        </is>
      </c>
      <c r="AE181" s="278" t="n"/>
    </row>
    <row r="182">
      <c r="A182" s="11" t="inlineStr">
        <is>
          <t>CM</t>
        </is>
      </c>
      <c r="B182" s="11" t="inlineStr">
        <is>
          <t>MEL</t>
        </is>
      </c>
      <c r="C182" s="2" t="n">
        <v>550340</v>
      </c>
      <c r="D182" s="4" t="inlineStr">
        <is>
          <t>London House, 9a Margaret Street</t>
        </is>
      </c>
      <c r="E182" s="4" t="inlineStr">
        <is>
          <t>Basement (South)</t>
        </is>
      </c>
      <c r="F182" s="14" t="inlineStr">
        <is>
          <t>Office/ Storage</t>
        </is>
      </c>
      <c r="G182" s="7" t="n">
        <v>873</v>
      </c>
      <c r="H182" s="7">
        <f>G182</f>
        <v/>
      </c>
      <c r="J182" s="4" t="inlineStr">
        <is>
          <t>Langham Estate Management Ltd</t>
        </is>
      </c>
      <c r="K182" s="9" t="n">
        <v>43184</v>
      </c>
      <c r="L182" s="9" t="n">
        <v>46836</v>
      </c>
      <c r="N182" s="9" t="n">
        <v>45010</v>
      </c>
      <c r="P182" s="10" t="n">
        <v>24500</v>
      </c>
      <c r="Q182" s="10">
        <f>P182</f>
        <v/>
      </c>
      <c r="S182" s="10" t="n">
        <v>17500</v>
      </c>
      <c r="T182" s="10">
        <f>S182</f>
        <v/>
      </c>
      <c r="U182" s="27" t="n">
        <v>26200</v>
      </c>
      <c r="V182" s="10">
        <f>U182</f>
        <v/>
      </c>
      <c r="W182" s="10" t="n"/>
      <c r="X182" s="10" t="inlineStr">
        <is>
          <t>D</t>
        </is>
      </c>
      <c r="Y182" s="60" t="n"/>
      <c r="Z182" s="394" t="n"/>
      <c r="AA182" s="14" t="inlineStr">
        <is>
          <t>No</t>
        </is>
      </c>
      <c r="AB182" s="4" t="inlineStr">
        <is>
          <t>Mutual rolling break on 6 months notice. Internal Lease to another Lee Family Group Company.</t>
        </is>
      </c>
      <c r="AE182" s="278" t="n"/>
    </row>
    <row r="183">
      <c r="A183" s="11" t="inlineStr">
        <is>
          <t>CM</t>
        </is>
      </c>
      <c r="B183" s="11" t="inlineStr">
        <is>
          <t>MEL</t>
        </is>
      </c>
      <c r="C183" s="2" t="n">
        <v>550340</v>
      </c>
      <c r="D183" s="4" t="inlineStr">
        <is>
          <t>London House, 9a Margaret Street</t>
        </is>
      </c>
      <c r="E183" s="4" t="inlineStr">
        <is>
          <t>Basement (North)</t>
        </is>
      </c>
      <c r="F183" s="14" t="inlineStr">
        <is>
          <t>Office</t>
        </is>
      </c>
      <c r="G183" s="7" t="n">
        <v>624</v>
      </c>
      <c r="H183" s="7">
        <f>G183</f>
        <v/>
      </c>
      <c r="J183" s="4" t="inlineStr">
        <is>
          <t>Langham Estate Management Ltd</t>
        </is>
      </c>
      <c r="K183" s="9" t="n">
        <v>43184</v>
      </c>
      <c r="L183" s="9" t="n">
        <v>46836</v>
      </c>
      <c r="N183" s="9" t="n">
        <v>45010</v>
      </c>
      <c r="P183" s="10" t="n">
        <v>15600</v>
      </c>
      <c r="Q183" s="10">
        <f>P183</f>
        <v/>
      </c>
      <c r="S183" s="10" t="n">
        <v>12500</v>
      </c>
      <c r="T183" s="10">
        <f>S183</f>
        <v/>
      </c>
      <c r="U183" s="27" t="n">
        <v>18700</v>
      </c>
      <c r="V183" s="10">
        <f>U183</f>
        <v/>
      </c>
      <c r="W183" s="10" t="n"/>
      <c r="X183" s="10" t="inlineStr">
        <is>
          <t>D</t>
        </is>
      </c>
      <c r="Y183" s="60" t="n"/>
      <c r="Z183" s="394" t="n"/>
      <c r="AA183" s="14" t="inlineStr">
        <is>
          <t>No</t>
        </is>
      </c>
      <c r="AB183" s="4" t="inlineStr">
        <is>
          <t>Mutual rolling break on 6 months notice. Internal Lease to another Lee Family Group Company.</t>
        </is>
      </c>
      <c r="AE183" s="278" t="n"/>
    </row>
    <row r="184">
      <c r="A184" s="11" t="inlineStr">
        <is>
          <t>CM</t>
        </is>
      </c>
      <c r="B184" s="11" t="inlineStr">
        <is>
          <t>MEL</t>
        </is>
      </c>
      <c r="C184" s="2" t="n">
        <v>550340</v>
      </c>
      <c r="D184" s="4" t="inlineStr">
        <is>
          <t>London House, 9a Margaret Street</t>
        </is>
      </c>
      <c r="E184" s="4" t="inlineStr">
        <is>
          <t>Ground Floor (East)</t>
        </is>
      </c>
      <c r="F184" s="14" t="inlineStr">
        <is>
          <t>Office</t>
        </is>
      </c>
      <c r="G184" s="7" t="n">
        <v>1497</v>
      </c>
      <c r="H184" s="7">
        <f>G184</f>
        <v/>
      </c>
      <c r="J184" s="4" t="inlineStr">
        <is>
          <t>Langham Estate Management Ltd</t>
        </is>
      </c>
      <c r="K184" s="9" t="n">
        <v>45010</v>
      </c>
      <c r="L184" s="9" t="n">
        <v>46836</v>
      </c>
      <c r="P184" s="10" t="n">
        <v>84600</v>
      </c>
      <c r="Q184" s="10">
        <f>P184</f>
        <v/>
      </c>
      <c r="S184" s="10" t="n">
        <v>86100</v>
      </c>
      <c r="T184" s="10">
        <f>S184</f>
        <v/>
      </c>
      <c r="U184" s="27" t="n">
        <v>89800</v>
      </c>
      <c r="V184" s="10">
        <f>U184</f>
        <v/>
      </c>
      <c r="W184" s="10" t="n"/>
      <c r="X184" s="10" t="inlineStr">
        <is>
          <t>C</t>
        </is>
      </c>
      <c r="Y184" s="60" t="n"/>
      <c r="Z184" s="394" t="n"/>
      <c r="AA184" s="14" t="inlineStr">
        <is>
          <t>No</t>
        </is>
      </c>
      <c r="AB184" s="4" t="inlineStr">
        <is>
          <t>Mutual rolling break on 6 months notice. Internal Lease to another Lee Family Group Company.</t>
        </is>
      </c>
      <c r="AE184" s="278" t="n"/>
    </row>
    <row r="185">
      <c r="A185" s="11" t="inlineStr">
        <is>
          <t>CM</t>
        </is>
      </c>
      <c r="B185" s="11" t="inlineStr">
        <is>
          <t>MEL</t>
        </is>
      </c>
      <c r="C185" s="2" t="n">
        <v>550340</v>
      </c>
      <c r="D185" s="4" t="inlineStr">
        <is>
          <t>London House, 9a Margaret Street</t>
        </is>
      </c>
      <c r="E185" s="4" t="inlineStr">
        <is>
          <t>Ground Floor (West)</t>
        </is>
      </c>
      <c r="F185" s="14" t="inlineStr">
        <is>
          <t>Office</t>
        </is>
      </c>
      <c r="G185" s="7" t="n">
        <v>1553</v>
      </c>
      <c r="H185" s="7">
        <f>G185</f>
        <v/>
      </c>
      <c r="J185" s="4" t="inlineStr">
        <is>
          <t>Langham Estate Management Ltd</t>
        </is>
      </c>
      <c r="K185" s="8" t="n">
        <v>45269</v>
      </c>
      <c r="L185" s="9" t="n">
        <v>46836</v>
      </c>
      <c r="P185" s="10" t="n">
        <v>87750</v>
      </c>
      <c r="Q185" s="10">
        <f>P185</f>
        <v/>
      </c>
      <c r="S185" s="10" t="n">
        <v>89300</v>
      </c>
      <c r="T185" s="10">
        <f>S185</f>
        <v/>
      </c>
      <c r="U185" s="27" t="n">
        <v>93200</v>
      </c>
      <c r="V185" s="10">
        <f>U185</f>
        <v/>
      </c>
      <c r="W185" s="10" t="n"/>
      <c r="X185" s="10" t="inlineStr">
        <is>
          <t>D</t>
        </is>
      </c>
      <c r="Y185" s="60" t="n"/>
      <c r="Z185" s="394" t="n"/>
      <c r="AA185" s="14" t="inlineStr">
        <is>
          <t>No</t>
        </is>
      </c>
      <c r="AB185" s="4" t="inlineStr">
        <is>
          <t>Mutual rolling break on 6 months notice. Internal Lease to another Lee Family Group Company.</t>
        </is>
      </c>
      <c r="AE185" s="278" t="n"/>
    </row>
    <row r="186">
      <c r="A186" s="11" t="inlineStr">
        <is>
          <t>CM</t>
        </is>
      </c>
      <c r="B186" s="11" t="inlineStr">
        <is>
          <t>MEL</t>
        </is>
      </c>
      <c r="C186" s="2" t="n">
        <v>550340</v>
      </c>
      <c r="D186" s="4" t="inlineStr">
        <is>
          <t>London House, 9a Margaret Street</t>
        </is>
      </c>
      <c r="E186" s="4" t="inlineStr">
        <is>
          <t>First Floor (East)</t>
        </is>
      </c>
      <c r="F186" s="14" t="inlineStr">
        <is>
          <t>Office</t>
        </is>
      </c>
      <c r="G186" s="7" t="n">
        <v>1445</v>
      </c>
      <c r="H186" s="7">
        <f>G186</f>
        <v/>
      </c>
      <c r="J186" s="4" t="inlineStr">
        <is>
          <t>Langham Estate Management Ltd</t>
        </is>
      </c>
      <c r="K186" s="9" t="n">
        <v>43184</v>
      </c>
      <c r="L186" s="9" t="n">
        <v>46836</v>
      </c>
      <c r="N186" s="9" t="n">
        <v>45010</v>
      </c>
      <c r="P186" s="10" t="n">
        <v>79500</v>
      </c>
      <c r="Q186" s="10">
        <f>P186</f>
        <v/>
      </c>
      <c r="S186" s="10" t="n">
        <v>86700</v>
      </c>
      <c r="T186" s="10">
        <f>S186</f>
        <v/>
      </c>
      <c r="U186" s="27" t="n">
        <v>90300</v>
      </c>
      <c r="V186" s="10">
        <f>U186</f>
        <v/>
      </c>
      <c r="W186" s="10" t="n"/>
      <c r="X186" s="10" t="inlineStr">
        <is>
          <t>D</t>
        </is>
      </c>
      <c r="Y186" s="60" t="n"/>
      <c r="Z186" s="394" t="n"/>
      <c r="AA186" s="14" t="inlineStr">
        <is>
          <t>No</t>
        </is>
      </c>
      <c r="AB186" s="4" t="inlineStr">
        <is>
          <t>Mutual rolling break on 6 months notice. Internal Lease to another Lee Family Group Company.</t>
        </is>
      </c>
      <c r="AE186" s="278" t="n"/>
    </row>
    <row r="187">
      <c r="A187" s="11" t="inlineStr">
        <is>
          <t>CM</t>
        </is>
      </c>
      <c r="B187" s="11" t="inlineStr">
        <is>
          <t>MEL</t>
        </is>
      </c>
      <c r="C187" s="2" t="n">
        <v>550340</v>
      </c>
      <c r="D187" s="4" t="inlineStr">
        <is>
          <t>London House, 9a Margaret Street</t>
        </is>
      </c>
      <c r="E187" s="4" t="inlineStr">
        <is>
          <t>First Floor (West)</t>
        </is>
      </c>
      <c r="F187" s="14" t="inlineStr">
        <is>
          <t>Office</t>
        </is>
      </c>
      <c r="G187" s="7" t="n">
        <v>1200</v>
      </c>
      <c r="H187" s="7">
        <f>G187</f>
        <v/>
      </c>
      <c r="J187" s="4" t="inlineStr">
        <is>
          <t>Langham Estate Management Ltd</t>
        </is>
      </c>
      <c r="K187" s="9" t="n">
        <v>43184</v>
      </c>
      <c r="L187" s="9" t="n">
        <v>46836</v>
      </c>
      <c r="N187" s="9" t="n">
        <v>45010</v>
      </c>
      <c r="P187" s="10" t="n">
        <v>66000</v>
      </c>
      <c r="Q187" s="10">
        <f>P187</f>
        <v/>
      </c>
      <c r="S187" s="10" t="n">
        <v>72000</v>
      </c>
      <c r="T187" s="10">
        <f>S187</f>
        <v/>
      </c>
      <c r="U187" s="27" t="n">
        <v>75000</v>
      </c>
      <c r="V187" s="10">
        <f>U187</f>
        <v/>
      </c>
      <c r="W187" s="10" t="n"/>
      <c r="X187" s="10" t="inlineStr">
        <is>
          <t>C</t>
        </is>
      </c>
      <c r="Y187" s="60" t="n"/>
      <c r="Z187" s="394" t="n"/>
      <c r="AA187" s="14" t="inlineStr">
        <is>
          <t>No</t>
        </is>
      </c>
      <c r="AB187" s="4" t="inlineStr">
        <is>
          <t>Mutual rolling break on 6 months notice. Internal Lease to another Lee Family Group Company.</t>
        </is>
      </c>
      <c r="AE187" s="278" t="n"/>
    </row>
    <row r="188">
      <c r="A188" s="11" t="inlineStr">
        <is>
          <t>CM</t>
        </is>
      </c>
      <c r="B188" s="11" t="inlineStr">
        <is>
          <t>MEL</t>
        </is>
      </c>
      <c r="C188" s="2" t="n">
        <v>550340</v>
      </c>
      <c r="D188" s="4" t="inlineStr">
        <is>
          <t>London House, 9a Margaret Street</t>
        </is>
      </c>
      <c r="E188" s="4" t="inlineStr">
        <is>
          <t>Second Floor (East)</t>
        </is>
      </c>
      <c r="F188" s="14" t="inlineStr">
        <is>
          <t>Office</t>
        </is>
      </c>
      <c r="G188" s="7" t="n">
        <v>373</v>
      </c>
      <c r="H188" s="7">
        <f>G188</f>
        <v/>
      </c>
      <c r="J188" s="4" t="inlineStr">
        <is>
          <t>Langham Estate Management Ltd</t>
        </is>
      </c>
      <c r="K188" s="9" t="n">
        <v>43184</v>
      </c>
      <c r="L188" s="9" t="n">
        <v>46836</v>
      </c>
      <c r="N188" s="9" t="n">
        <v>45010</v>
      </c>
      <c r="P188" s="10" t="n">
        <v>18650</v>
      </c>
      <c r="Q188" s="10">
        <f>P188</f>
        <v/>
      </c>
      <c r="S188" s="10" t="n">
        <v>22400</v>
      </c>
      <c r="T188" s="10">
        <f>S188</f>
        <v/>
      </c>
      <c r="U188" s="27" t="n">
        <v>23300</v>
      </c>
      <c r="V188" s="10">
        <f>U188</f>
        <v/>
      </c>
      <c r="W188" s="10" t="n"/>
      <c r="X188" s="10" t="inlineStr">
        <is>
          <t>D</t>
        </is>
      </c>
      <c r="Y188" s="60" t="n"/>
      <c r="Z188" s="394" t="n"/>
      <c r="AA188" s="14" t="inlineStr">
        <is>
          <t>No</t>
        </is>
      </c>
      <c r="AB188" s="4" t="inlineStr">
        <is>
          <t>Mutual rolling break on 6 months notice. Internal Lease to another Lee Family Group Company.</t>
        </is>
      </c>
      <c r="AE188" s="278" t="n"/>
    </row>
    <row r="189">
      <c r="A189" s="11" t="inlineStr">
        <is>
          <t>CM</t>
        </is>
      </c>
      <c r="B189" s="11" t="inlineStr">
        <is>
          <t>MEL</t>
        </is>
      </c>
      <c r="C189" s="2" t="n">
        <v>550340</v>
      </c>
      <c r="D189" s="4" t="inlineStr">
        <is>
          <t>London House, 9a Margaret Street</t>
        </is>
      </c>
      <c r="E189" s="4" t="inlineStr">
        <is>
          <t>Second Floor (West)</t>
        </is>
      </c>
      <c r="F189" s="14" t="inlineStr">
        <is>
          <t>Office</t>
        </is>
      </c>
      <c r="G189" s="7" t="n">
        <v>346</v>
      </c>
      <c r="H189" s="7">
        <f>G189</f>
        <v/>
      </c>
      <c r="J189" s="4" t="inlineStr">
        <is>
          <t>Langham Estate Management Ltd</t>
        </is>
      </c>
      <c r="K189" s="9" t="n">
        <v>43184</v>
      </c>
      <c r="L189" s="9" t="n">
        <v>46836</v>
      </c>
      <c r="N189" s="9" t="n">
        <v>45010</v>
      </c>
      <c r="P189" s="10" t="n">
        <v>18150</v>
      </c>
      <c r="Q189" s="10">
        <f>P189</f>
        <v/>
      </c>
      <c r="S189" s="10" t="n">
        <v>20800</v>
      </c>
      <c r="T189" s="10">
        <f>S189</f>
        <v/>
      </c>
      <c r="U189" s="27" t="n">
        <v>21600</v>
      </c>
      <c r="V189" s="10">
        <f>U189</f>
        <v/>
      </c>
      <c r="W189" s="10" t="n"/>
      <c r="X189" s="10" t="inlineStr">
        <is>
          <t>D</t>
        </is>
      </c>
      <c r="Y189" s="60" t="n"/>
      <c r="Z189" s="394" t="n"/>
      <c r="AA189" s="14" t="inlineStr">
        <is>
          <t>No</t>
        </is>
      </c>
      <c r="AB189" s="4" t="inlineStr">
        <is>
          <t>Mutual rolling break on 6 months notice. Internal Lease to another Lee Family Group Company.</t>
        </is>
      </c>
      <c r="AE189" s="278" t="n"/>
    </row>
    <row r="190">
      <c r="A190" s="11" t="inlineStr">
        <is>
          <t>SH</t>
        </is>
      </c>
      <c r="B190" s="11" t="inlineStr">
        <is>
          <t>MEL</t>
        </is>
      </c>
      <c r="C190" s="2" t="n">
        <v>550900</v>
      </c>
      <c r="D190" s="4" t="inlineStr">
        <is>
          <t>10 Margaret Street</t>
        </is>
      </c>
      <c r="E190" s="4" t="inlineStr">
        <is>
          <t>Whole</t>
        </is>
      </c>
      <c r="F190" s="14" t="inlineStr">
        <is>
          <t>Office</t>
        </is>
      </c>
      <c r="G190" s="7" t="n">
        <v>8445</v>
      </c>
      <c r="H190" s="10">
        <f>G190</f>
        <v/>
      </c>
      <c r="I190" s="10" t="n">
        <v>8500</v>
      </c>
      <c r="J190" s="4" t="inlineStr">
        <is>
          <t>DMR Film Ventures (Facilities) Ltd.</t>
        </is>
      </c>
      <c r="K190" s="8" t="n">
        <v>44390</v>
      </c>
      <c r="L190" s="9" t="n">
        <v>48041</v>
      </c>
      <c r="N190" s="9" t="n">
        <v>46216</v>
      </c>
      <c r="O190" s="9" t="n">
        <v>46215</v>
      </c>
      <c r="P190" s="10" t="n">
        <v>450500</v>
      </c>
      <c r="Q190" s="10">
        <f>P190</f>
        <v/>
      </c>
      <c r="S190" s="10" t="n">
        <v>450500</v>
      </c>
      <c r="T190" s="10">
        <f>S190</f>
        <v/>
      </c>
      <c r="U190" s="27" t="n">
        <v>495300</v>
      </c>
      <c r="V190" s="10">
        <f>U190</f>
        <v/>
      </c>
      <c r="W190" s="277">
        <f>S190/G190</f>
        <v/>
      </c>
      <c r="X190" s="10" t="inlineStr">
        <is>
          <t>C</t>
        </is>
      </c>
      <c r="Y190" s="60" t="n"/>
      <c r="Z190" s="36" t="n"/>
      <c r="AA190" s="14" t="inlineStr">
        <is>
          <t>No</t>
        </is>
      </c>
      <c r="AB190" s="4" t="inlineStr">
        <is>
          <t>Tenant break on 6 months notice. 6 months rent free if break not exercised.</t>
        </is>
      </c>
      <c r="AE190" s="278" t="n"/>
    </row>
    <row r="191">
      <c r="A191" s="11" t="inlineStr">
        <is>
          <t>SH</t>
        </is>
      </c>
      <c r="B191" s="11" t="inlineStr">
        <is>
          <t>MEL</t>
        </is>
      </c>
      <c r="C191" s="2" t="n">
        <v>550900</v>
      </c>
      <c r="D191" s="4" t="inlineStr">
        <is>
          <t>10 Margaret Street</t>
        </is>
      </c>
      <c r="E191" s="4" t="inlineStr">
        <is>
          <t>Pavement Vaults</t>
        </is>
      </c>
      <c r="F191" s="14" t="inlineStr">
        <is>
          <t>Sub-Station</t>
        </is>
      </c>
      <c r="G191" s="7" t="n">
        <v>0</v>
      </c>
      <c r="H191" s="10">
        <f>G191</f>
        <v/>
      </c>
      <c r="I191" s="10" t="n"/>
      <c r="J191" s="4" t="inlineStr">
        <is>
          <t>London Power Networks Plc</t>
        </is>
      </c>
      <c r="K191" s="8" t="n">
        <v>38840</v>
      </c>
      <c r="L191" s="9" t="n">
        <v>46144</v>
      </c>
      <c r="P191" s="10" t="n">
        <v>1100</v>
      </c>
      <c r="Q191" s="10">
        <f>P191</f>
        <v/>
      </c>
      <c r="S191" s="10" t="n">
        <v>1100</v>
      </c>
      <c r="T191" s="10">
        <f>S191</f>
        <v/>
      </c>
      <c r="U191" s="27" t="n">
        <v>1100</v>
      </c>
      <c r="V191" s="10">
        <f>U191</f>
        <v/>
      </c>
      <c r="W191" s="10" t="n"/>
      <c r="X191" s="10" t="n"/>
      <c r="Y191" s="60" t="n"/>
      <c r="Z191" s="36" t="n"/>
      <c r="AA191" s="14" t="inlineStr">
        <is>
          <t>No</t>
        </is>
      </c>
      <c r="AB191" s="4" t="inlineStr">
        <is>
          <t>Landlords rolling redevelopment option on 6 months notice.</t>
        </is>
      </c>
      <c r="AE191" s="278" t="n"/>
    </row>
    <row r="192">
      <c r="A192" s="11" t="inlineStr">
        <is>
          <t>SH</t>
        </is>
      </c>
      <c r="B192" s="11" t="inlineStr">
        <is>
          <t>MEL</t>
        </is>
      </c>
      <c r="C192" s="2" t="n">
        <v>550350</v>
      </c>
      <c r="D192" s="4" t="inlineStr">
        <is>
          <t>Audley House,  12 Margaret Street</t>
        </is>
      </c>
      <c r="E192" s="4" t="inlineStr">
        <is>
          <t>Whole</t>
        </is>
      </c>
      <c r="F192" s="14" t="inlineStr">
        <is>
          <t>Office</t>
        </is>
      </c>
      <c r="G192" s="18" t="n">
        <v>6563</v>
      </c>
      <c r="H192" s="10">
        <f>G192</f>
        <v/>
      </c>
      <c r="I192" s="10" t="n">
        <v>6500</v>
      </c>
      <c r="J192" s="4" t="inlineStr">
        <is>
          <t>Wimbledon Business Centre Ltd.</t>
        </is>
      </c>
      <c r="K192" s="8" t="n">
        <v>45062</v>
      </c>
      <c r="L192" s="9" t="n">
        <v>48714</v>
      </c>
      <c r="N192" s="9" t="n">
        <v>46889</v>
      </c>
      <c r="P192" s="19" t="n">
        <v>350000</v>
      </c>
      <c r="Q192" s="10">
        <f>P192</f>
        <v/>
      </c>
      <c r="R192" s="19">
        <f>Q192</f>
        <v/>
      </c>
      <c r="S192" s="19" t="n">
        <v>350000</v>
      </c>
      <c r="T192" s="10">
        <f>S192</f>
        <v/>
      </c>
      <c r="U192" s="36" t="n">
        <v>372700</v>
      </c>
      <c r="V192" s="10">
        <f>U192</f>
        <v/>
      </c>
      <c r="W192" s="277">
        <f>S192/G192</f>
        <v/>
      </c>
      <c r="X192" s="10" t="inlineStr">
        <is>
          <t>D</t>
        </is>
      </c>
      <c r="Y192" s="60" t="n"/>
      <c r="Z192" s="364" t="n">
        <v>6300000</v>
      </c>
      <c r="AA192" s="14" t="inlineStr">
        <is>
          <t>No</t>
        </is>
      </c>
      <c r="AE192" s="278" t="n"/>
    </row>
    <row r="193">
      <c r="A193" s="11" t="inlineStr">
        <is>
          <t>WS</t>
        </is>
      </c>
      <c r="B193" s="11" t="inlineStr">
        <is>
          <t>MEL</t>
        </is>
      </c>
      <c r="C193" s="2" t="n">
        <v>550360</v>
      </c>
      <c r="D193" s="4" t="inlineStr">
        <is>
          <t>13-14 Margaret Street</t>
        </is>
      </c>
      <c r="E193" s="4" t="inlineStr">
        <is>
          <t>Basement &amp; Ground</t>
        </is>
      </c>
      <c r="F193" s="14" t="inlineStr">
        <is>
          <t>Retail</t>
        </is>
      </c>
      <c r="G193" s="7" t="n">
        <v>5735</v>
      </c>
      <c r="H193" s="10">
        <f>G193</f>
        <v/>
      </c>
      <c r="I193" s="10" t="n">
        <v>5750</v>
      </c>
      <c r="J193" s="4" t="inlineStr">
        <is>
          <t>Arlettie London Ltd.</t>
        </is>
      </c>
      <c r="K193" s="8" t="n">
        <v>45240</v>
      </c>
      <c r="L193" s="9" t="n">
        <v>48892</v>
      </c>
      <c r="N193" s="9" t="n">
        <v>47067</v>
      </c>
      <c r="O193" s="9" t="n">
        <v>47066</v>
      </c>
      <c r="P193" s="10" t="n">
        <v>282288</v>
      </c>
      <c r="Q193" s="10">
        <f>P193</f>
        <v/>
      </c>
      <c r="R193" s="19" t="n"/>
      <c r="S193" s="10" t="n">
        <v>258600</v>
      </c>
      <c r="T193" s="10">
        <f>S193</f>
        <v/>
      </c>
      <c r="U193" s="27" t="n">
        <v>282288</v>
      </c>
      <c r="V193" s="10">
        <f>U193</f>
        <v/>
      </c>
      <c r="W193" s="277">
        <f>S193/G193</f>
        <v/>
      </c>
      <c r="X193" s="10" t="inlineStr">
        <is>
          <t>C</t>
        </is>
      </c>
      <c r="Y193" s="60" t="n"/>
      <c r="Z193" s="364" t="n"/>
      <c r="AA193" s="14" t="inlineStr">
        <is>
          <t>No</t>
        </is>
      </c>
      <c r="AB193" s="4" t="inlineStr">
        <is>
          <t>Tenant break on 6 months notice and penalty clause of £48,345.</t>
        </is>
      </c>
      <c r="AE193" s="278" t="n"/>
    </row>
    <row r="194">
      <c r="A194" s="11" t="inlineStr">
        <is>
          <t>WS</t>
        </is>
      </c>
      <c r="B194" s="11" t="inlineStr">
        <is>
          <t>MEL</t>
        </is>
      </c>
      <c r="C194" s="2" t="n">
        <v>550360</v>
      </c>
      <c r="D194" s="4" t="inlineStr">
        <is>
          <t>13-14 Margaret Street</t>
        </is>
      </c>
      <c r="E194" s="4" t="inlineStr">
        <is>
          <t>First Floor</t>
        </is>
      </c>
      <c r="F194" s="14" t="inlineStr">
        <is>
          <t>Office</t>
        </is>
      </c>
      <c r="G194" s="7" t="n">
        <v>2400</v>
      </c>
      <c r="H194" s="10">
        <f>G194</f>
        <v/>
      </c>
      <c r="I194" s="10" t="n">
        <v>2500</v>
      </c>
      <c r="J194" s="4" t="inlineStr">
        <is>
          <t>Final Cut Ltd.</t>
        </is>
      </c>
      <c r="K194" s="8" t="n">
        <v>44665</v>
      </c>
      <c r="L194" s="9" t="n">
        <v>48852</v>
      </c>
      <c r="N194" s="9" t="n">
        <v>46491</v>
      </c>
      <c r="O194" s="9" t="n">
        <v>47026</v>
      </c>
      <c r="P194" s="10" t="n">
        <v>152500</v>
      </c>
      <c r="Q194" s="10">
        <f>P194</f>
        <v/>
      </c>
      <c r="R194" s="19" t="n"/>
      <c r="S194" s="10" t="n">
        <v>152400</v>
      </c>
      <c r="T194" s="10">
        <f>S194</f>
        <v/>
      </c>
      <c r="U194" s="27" t="n">
        <v>152400</v>
      </c>
      <c r="V194" s="10">
        <f>U194</f>
        <v/>
      </c>
      <c r="W194" s="277">
        <f>S194/G194</f>
        <v/>
      </c>
      <c r="X194" s="10" t="inlineStr">
        <is>
          <t>E</t>
        </is>
      </c>
      <c r="Y194" s="60" t="n"/>
      <c r="Z194" s="364" t="n"/>
      <c r="AA194" s="14" t="inlineStr">
        <is>
          <t>No</t>
        </is>
      </c>
      <c r="AB194" s="4" t="inlineStr">
        <is>
          <t xml:space="preserve">Tenant break on 6 months notice. </t>
        </is>
      </c>
      <c r="AE194" s="278" t="n"/>
    </row>
    <row r="195">
      <c r="A195" s="11" t="inlineStr">
        <is>
          <t>WS</t>
        </is>
      </c>
      <c r="B195" s="11" t="inlineStr">
        <is>
          <t>MEL</t>
        </is>
      </c>
      <c r="C195" s="2" t="n">
        <v>550360</v>
      </c>
      <c r="D195" s="4" t="inlineStr">
        <is>
          <t>13-14 Margaret Street</t>
        </is>
      </c>
      <c r="E195" s="4" t="inlineStr">
        <is>
          <t>Second Floor</t>
        </is>
      </c>
      <c r="F195" s="14" t="inlineStr">
        <is>
          <t>Office</t>
        </is>
      </c>
      <c r="G195" s="7" t="n">
        <v>2516</v>
      </c>
      <c r="H195" s="10">
        <f>G195</f>
        <v/>
      </c>
      <c r="I195" s="10" t="n">
        <v>2500</v>
      </c>
      <c r="J195" s="4" t="inlineStr">
        <is>
          <t>Final Cut Ltd.</t>
        </is>
      </c>
      <c r="K195" s="8" t="n">
        <v>44445</v>
      </c>
      <c r="L195" s="9" t="n">
        <v>47026</v>
      </c>
      <c r="N195" s="9" t="n">
        <v>46271</v>
      </c>
      <c r="P195" s="10" t="n">
        <v>150000</v>
      </c>
      <c r="Q195" s="10">
        <f>P195</f>
        <v/>
      </c>
      <c r="R195" s="19" t="n"/>
      <c r="S195" s="10" t="n">
        <v>158800</v>
      </c>
      <c r="T195" s="10">
        <f>S195</f>
        <v/>
      </c>
      <c r="U195" s="27" t="n">
        <v>159800</v>
      </c>
      <c r="V195" s="10">
        <f>U195</f>
        <v/>
      </c>
      <c r="W195" s="277">
        <f>S195/G195</f>
        <v/>
      </c>
      <c r="X195" s="10" t="inlineStr">
        <is>
          <t>E</t>
        </is>
      </c>
      <c r="Y195" s="60" t="n"/>
      <c r="Z195" s="364" t="n"/>
      <c r="AA195" s="14" t="inlineStr">
        <is>
          <t>No</t>
        </is>
      </c>
      <c r="AE195" s="278" t="n"/>
    </row>
    <row r="196">
      <c r="A196" s="11" t="inlineStr">
        <is>
          <t>WS</t>
        </is>
      </c>
      <c r="B196" s="11" t="inlineStr">
        <is>
          <t>MEL</t>
        </is>
      </c>
      <c r="C196" s="2" t="n">
        <v>550360</v>
      </c>
      <c r="D196" s="4" t="inlineStr">
        <is>
          <t>13-14 Margaret Street</t>
        </is>
      </c>
      <c r="E196" s="4" t="inlineStr">
        <is>
          <t>Third &amp; Fourth Floor</t>
        </is>
      </c>
      <c r="F196" s="14" t="inlineStr">
        <is>
          <t>Office</t>
        </is>
      </c>
      <c r="G196" s="7" t="n">
        <v>4902</v>
      </c>
      <c r="H196" s="10">
        <f>G196</f>
        <v/>
      </c>
      <c r="I196" s="10" t="n">
        <v>5000</v>
      </c>
      <c r="J196" s="4" t="inlineStr">
        <is>
          <t>Final Cut Ltd.</t>
        </is>
      </c>
      <c r="K196" s="8" t="n">
        <v>45259</v>
      </c>
      <c r="L196" s="9" t="n">
        <v>47026</v>
      </c>
      <c r="P196" s="10" t="n">
        <v>307687</v>
      </c>
      <c r="Q196" s="10">
        <f>P196</f>
        <v/>
      </c>
      <c r="R196" s="19" t="n"/>
      <c r="S196" s="10" t="n">
        <v>314300</v>
      </c>
      <c r="T196" s="10">
        <f>S196</f>
        <v/>
      </c>
      <c r="U196" s="27" t="n">
        <v>311300</v>
      </c>
      <c r="V196" s="10">
        <f>U196</f>
        <v/>
      </c>
      <c r="W196" s="277">
        <f>S196/G196</f>
        <v/>
      </c>
      <c r="X196" s="10" t="inlineStr">
        <is>
          <t>E</t>
        </is>
      </c>
      <c r="Y196" s="60" t="n"/>
      <c r="Z196" s="364" t="n"/>
      <c r="AA196" s="14" t="inlineStr">
        <is>
          <t>No</t>
        </is>
      </c>
      <c r="AE196" s="278" t="n"/>
    </row>
    <row r="197">
      <c r="A197" s="11" t="inlineStr">
        <is>
          <t>WS</t>
        </is>
      </c>
      <c r="B197" s="11" t="inlineStr">
        <is>
          <t>MEL</t>
        </is>
      </c>
      <c r="C197" s="2" t="n">
        <v>550360</v>
      </c>
      <c r="D197" s="4" t="inlineStr">
        <is>
          <t>13-14 Margaret Street</t>
        </is>
      </c>
      <c r="E197" s="4" t="inlineStr">
        <is>
          <t>Fifth Floor</t>
        </is>
      </c>
      <c r="F197" s="14" t="inlineStr">
        <is>
          <t>Office</t>
        </is>
      </c>
      <c r="G197" s="7" t="n">
        <v>2251</v>
      </c>
      <c r="H197" s="10">
        <f>G197</f>
        <v/>
      </c>
      <c r="I197" s="10" t="n">
        <v>2250</v>
      </c>
      <c r="J197" s="4" t="inlineStr">
        <is>
          <t>Final Cut Ltd.</t>
        </is>
      </c>
      <c r="K197" s="8" t="n">
        <v>45259</v>
      </c>
      <c r="L197" s="9" t="n">
        <v>47026</v>
      </c>
      <c r="P197" s="10" t="n">
        <v>138500</v>
      </c>
      <c r="Q197" s="10">
        <f>P197</f>
        <v/>
      </c>
      <c r="R197" s="19" t="n"/>
      <c r="S197" s="10" t="n">
        <v>138500</v>
      </c>
      <c r="T197" s="10">
        <f>S197</f>
        <v/>
      </c>
      <c r="U197" s="27" t="n">
        <v>140700</v>
      </c>
      <c r="V197" s="10">
        <f>U197</f>
        <v/>
      </c>
      <c r="W197" s="277">
        <f>S197/G197</f>
        <v/>
      </c>
      <c r="X197" s="10" t="inlineStr">
        <is>
          <t>E</t>
        </is>
      </c>
      <c r="Y197" s="60" t="n"/>
      <c r="Z197" s="364" t="n"/>
      <c r="AA197" s="14" t="inlineStr">
        <is>
          <t>No</t>
        </is>
      </c>
      <c r="AE197" s="278" t="n"/>
    </row>
    <row r="198">
      <c r="A198" s="11" t="inlineStr">
        <is>
          <t>WS</t>
        </is>
      </c>
      <c r="B198" s="11" t="inlineStr">
        <is>
          <t>MEL</t>
        </is>
      </c>
      <c r="C198" s="2" t="n">
        <v>550370</v>
      </c>
      <c r="D198" s="4" t="inlineStr">
        <is>
          <t>15-16 Margaret Street</t>
        </is>
      </c>
      <c r="E198" s="4" t="inlineStr">
        <is>
          <t>Lower Ground</t>
        </is>
      </c>
      <c r="F198" s="14" t="inlineStr">
        <is>
          <t>Office</t>
        </is>
      </c>
      <c r="G198" s="7" t="n">
        <v>2161</v>
      </c>
      <c r="H198" s="7">
        <f>G198</f>
        <v/>
      </c>
      <c r="I198" s="7" t="n">
        <v>2000</v>
      </c>
      <c r="J198" s="29" t="inlineStr">
        <is>
          <t>Ludorum Club Ltd</t>
        </is>
      </c>
      <c r="K198" s="388" t="n">
        <v>45887</v>
      </c>
      <c r="L198" s="387" t="n">
        <v>49538</v>
      </c>
      <c r="M198" s="387" t="n"/>
      <c r="N198" s="387" t="n">
        <v>47713</v>
      </c>
      <c r="O198" s="387" t="n">
        <v>47712</v>
      </c>
      <c r="P198" s="27" t="n">
        <v>0</v>
      </c>
      <c r="Q198" s="10">
        <f>P198</f>
        <v/>
      </c>
      <c r="S198" s="10" t="n">
        <v>53800</v>
      </c>
      <c r="T198" s="10">
        <f>S198</f>
        <v/>
      </c>
      <c r="U198" s="27" t="n">
        <v>54000</v>
      </c>
      <c r="V198" s="10">
        <f>U198</f>
        <v/>
      </c>
      <c r="W198" s="277">
        <f>S198/G198</f>
        <v/>
      </c>
      <c r="X198" s="10" t="inlineStr">
        <is>
          <t>E</t>
        </is>
      </c>
      <c r="Y198" s="60" t="n"/>
      <c r="Z198" s="364" t="n"/>
      <c r="AA198" s="14" t="inlineStr">
        <is>
          <t>No</t>
        </is>
      </c>
      <c r="AB198" s="29" t="inlineStr">
        <is>
          <t>New letiing completed. Rent £35,000 wef 18/02/26. Fixed increase to £70,000 wef 18/08/26. Tenant break on 6 months notice. 8 months rent free amortised over 12 months if not exercised.</t>
        </is>
      </c>
      <c r="AD198" s="4" t="n">
        <v>2</v>
      </c>
      <c r="AE198" s="278" t="n">
        <v>8</v>
      </c>
      <c r="AF198" s="4" t="inlineStr">
        <is>
          <t>LEM</t>
        </is>
      </c>
    </row>
    <row r="199">
      <c r="A199" s="11" t="inlineStr">
        <is>
          <t>WS</t>
        </is>
      </c>
      <c r="B199" s="11" t="inlineStr">
        <is>
          <t>MEL</t>
        </is>
      </c>
      <c r="C199" s="2" t="n">
        <v>550370</v>
      </c>
      <c r="D199" s="4" t="inlineStr">
        <is>
          <t>15-16 Margaret Street</t>
        </is>
      </c>
      <c r="E199" s="4" t="inlineStr">
        <is>
          <t>Ground Floor</t>
        </is>
      </c>
      <c r="F199" s="14" t="inlineStr">
        <is>
          <t>Office</t>
        </is>
      </c>
      <c r="G199" s="7" t="n">
        <v>2185</v>
      </c>
      <c r="H199" s="7">
        <f>G199</f>
        <v/>
      </c>
      <c r="I199" s="7" t="n">
        <v>2000</v>
      </c>
      <c r="J199" s="4" t="inlineStr">
        <is>
          <t>Arlettie London Ltd.</t>
        </is>
      </c>
      <c r="K199" s="8" t="n">
        <v>45240</v>
      </c>
      <c r="L199" s="9" t="n">
        <v>48892</v>
      </c>
      <c r="N199" s="9" t="n">
        <v>47067</v>
      </c>
      <c r="O199" s="9" t="n">
        <v>47066</v>
      </c>
      <c r="P199" s="10" t="n">
        <v>132000</v>
      </c>
      <c r="Q199" s="10">
        <f>P199</f>
        <v/>
      </c>
      <c r="S199" s="10" t="n">
        <v>130000</v>
      </c>
      <c r="T199" s="10">
        <f>S199</f>
        <v/>
      </c>
      <c r="U199" s="27" t="n">
        <v>132000</v>
      </c>
      <c r="V199" s="10">
        <f>U199</f>
        <v/>
      </c>
      <c r="W199" s="277">
        <f>S199/G199</f>
        <v/>
      </c>
      <c r="X199" s="10" t="inlineStr">
        <is>
          <t>C</t>
        </is>
      </c>
      <c r="Y199" s="60" t="n"/>
      <c r="Z199" s="364" t="n"/>
      <c r="AA199" s="14" t="inlineStr">
        <is>
          <t>No</t>
        </is>
      </c>
      <c r="AB199" s="4" t="inlineStr">
        <is>
          <t>Tenant break on 6 months notice</t>
        </is>
      </c>
      <c r="AE199" s="278" t="n"/>
    </row>
    <row r="200">
      <c r="A200" s="11" t="inlineStr">
        <is>
          <t>WS</t>
        </is>
      </c>
      <c r="B200" s="11" t="inlineStr">
        <is>
          <t>MEL</t>
        </is>
      </c>
      <c r="C200" s="2" t="n">
        <v>550370</v>
      </c>
      <c r="D200" s="4" t="inlineStr">
        <is>
          <t>15-16 Margaret Street</t>
        </is>
      </c>
      <c r="E200" s="4" t="inlineStr">
        <is>
          <t>First Floor</t>
        </is>
      </c>
      <c r="F200" s="14" t="inlineStr">
        <is>
          <t>Office</t>
        </is>
      </c>
      <c r="G200" s="7" t="n">
        <v>1606</v>
      </c>
      <c r="H200" s="7">
        <f>G200</f>
        <v/>
      </c>
      <c r="I200" s="7" t="n">
        <v>1500</v>
      </c>
      <c r="J200" s="4" t="inlineStr">
        <is>
          <t>Vacant</t>
        </is>
      </c>
      <c r="M200" s="9" t="n">
        <v>44403</v>
      </c>
      <c r="P200" s="10" t="n">
        <v>0</v>
      </c>
      <c r="Q200" s="10">
        <f>P200</f>
        <v/>
      </c>
      <c r="S200" s="10" t="n">
        <v>85800</v>
      </c>
      <c r="T200" s="10">
        <f>S200</f>
        <v/>
      </c>
      <c r="U200" s="27" t="n">
        <v>106800</v>
      </c>
      <c r="V200" s="10">
        <f>U200</f>
        <v/>
      </c>
      <c r="W200" s="277">
        <f>S200/G200</f>
        <v/>
      </c>
      <c r="X200" s="10" t="inlineStr">
        <is>
          <t>D</t>
        </is>
      </c>
      <c r="Y200" s="60" t="n"/>
      <c r="Z200" s="364" t="n"/>
      <c r="AA200" s="14" t="inlineStr">
        <is>
          <t>No</t>
        </is>
      </c>
      <c r="AB200" s="4" t="inlineStr">
        <is>
          <t>Unit under offer.</t>
        </is>
      </c>
      <c r="AC200" s="303" t="n">
        <v>65</v>
      </c>
      <c r="AE200" s="278" t="n">
        <v>1</v>
      </c>
      <c r="AF200" s="4" t="inlineStr">
        <is>
          <t>LEM</t>
        </is>
      </c>
    </row>
    <row r="201">
      <c r="A201" s="11" t="inlineStr">
        <is>
          <t>WS</t>
        </is>
      </c>
      <c r="B201" s="11" t="inlineStr">
        <is>
          <t>MEL</t>
        </is>
      </c>
      <c r="C201" s="2" t="n">
        <v>550370</v>
      </c>
      <c r="D201" s="4" t="inlineStr">
        <is>
          <t>15-16 Margaret Street</t>
        </is>
      </c>
      <c r="E201" s="4" t="inlineStr">
        <is>
          <t>Second Floor</t>
        </is>
      </c>
      <c r="F201" s="14" t="inlineStr">
        <is>
          <t>Office</t>
        </is>
      </c>
      <c r="G201" s="7" t="n">
        <v>1296</v>
      </c>
      <c r="H201" s="7">
        <f>G201</f>
        <v/>
      </c>
      <c r="I201" s="7" t="n">
        <v>1250</v>
      </c>
      <c r="J201" s="4" t="inlineStr">
        <is>
          <t>Marson Property Ltd</t>
        </is>
      </c>
      <c r="K201" s="8" t="n">
        <v>44798</v>
      </c>
      <c r="L201" s="9" t="n">
        <v>46623</v>
      </c>
      <c r="P201" s="10" t="n">
        <v>73700</v>
      </c>
      <c r="Q201" s="10">
        <f>P201</f>
        <v/>
      </c>
      <c r="S201" s="10" t="n">
        <v>73500</v>
      </c>
      <c r="T201" s="10">
        <f>S201</f>
        <v/>
      </c>
      <c r="U201" s="27" t="n">
        <v>86200</v>
      </c>
      <c r="V201" s="10">
        <f>U201</f>
        <v/>
      </c>
      <c r="W201" s="277">
        <f>S201/G201</f>
        <v/>
      </c>
      <c r="X201" s="10" t="inlineStr">
        <is>
          <t>D</t>
        </is>
      </c>
      <c r="Y201" s="60" t="n"/>
      <c r="Z201" s="364" t="n"/>
      <c r="AA201" s="14" t="inlineStr">
        <is>
          <t>No</t>
        </is>
      </c>
      <c r="AE201" s="278" t="n"/>
    </row>
    <row r="202">
      <c r="A202" s="11" t="inlineStr">
        <is>
          <t>WS</t>
        </is>
      </c>
      <c r="B202" s="11" t="inlineStr">
        <is>
          <t>MEL</t>
        </is>
      </c>
      <c r="C202" s="2" t="n">
        <v>550370</v>
      </c>
      <c r="D202" s="4" t="inlineStr">
        <is>
          <t>15-16 Margaret Street</t>
        </is>
      </c>
      <c r="E202" s="4" t="inlineStr">
        <is>
          <t>Third Floor</t>
        </is>
      </c>
      <c r="F202" s="14" t="inlineStr">
        <is>
          <t>Office</t>
        </is>
      </c>
      <c r="G202" s="7" t="n">
        <v>1129</v>
      </c>
      <c r="H202" s="7">
        <f>G202</f>
        <v/>
      </c>
      <c r="I202" s="7" t="n">
        <v>1000</v>
      </c>
      <c r="J202" s="4" t="inlineStr">
        <is>
          <t>Vacant</t>
        </is>
      </c>
      <c r="M202" s="9" t="n">
        <v>44097</v>
      </c>
      <c r="P202" s="10" t="n">
        <v>0</v>
      </c>
      <c r="Q202" s="10">
        <f>P202</f>
        <v/>
      </c>
      <c r="S202" s="10" t="n">
        <v>65600</v>
      </c>
      <c r="T202" s="10">
        <f>S202</f>
        <v/>
      </c>
      <c r="U202" s="27" t="n">
        <v>75100</v>
      </c>
      <c r="V202" s="10">
        <f>U202</f>
        <v/>
      </c>
      <c r="W202" s="277">
        <f>S202/G202</f>
        <v/>
      </c>
      <c r="X202" s="10" t="inlineStr">
        <is>
          <t>D</t>
        </is>
      </c>
      <c r="Y202" s="60" t="n"/>
      <c r="Z202" s="364" t="n"/>
      <c r="AA202" s="14" t="inlineStr">
        <is>
          <t>No</t>
        </is>
      </c>
      <c r="AB202" s="4" t="inlineStr">
        <is>
          <t>LEM marketing</t>
        </is>
      </c>
      <c r="AC202" s="303" t="n">
        <v>65</v>
      </c>
      <c r="AE202" s="278" t="n"/>
    </row>
    <row r="203">
      <c r="A203" s="11" t="inlineStr">
        <is>
          <t>WS</t>
        </is>
      </c>
      <c r="B203" s="11" t="inlineStr">
        <is>
          <t>MEL</t>
        </is>
      </c>
      <c r="C203" s="2" t="n">
        <v>550370</v>
      </c>
      <c r="D203" s="4" t="inlineStr">
        <is>
          <t>15-16 Margaret Street</t>
        </is>
      </c>
      <c r="E203" s="4" t="inlineStr">
        <is>
          <t>Fourth Floor</t>
        </is>
      </c>
      <c r="F203" s="14" t="inlineStr">
        <is>
          <t>Office</t>
        </is>
      </c>
      <c r="G203" s="7" t="n">
        <v>856</v>
      </c>
      <c r="H203" s="7">
        <f>G203</f>
        <v/>
      </c>
      <c r="I203" s="7" t="n">
        <v>1000</v>
      </c>
      <c r="J203" s="4" t="inlineStr">
        <is>
          <t>Vacant</t>
        </is>
      </c>
      <c r="M203" s="9" t="n">
        <v>44814</v>
      </c>
      <c r="P203" s="10" t="n">
        <v>0</v>
      </c>
      <c r="Q203" s="10">
        <f>P203</f>
        <v/>
      </c>
      <c r="S203" s="10" t="n">
        <v>45000</v>
      </c>
      <c r="T203" s="10">
        <f>S203</f>
        <v/>
      </c>
      <c r="U203" s="27" t="n">
        <v>55200</v>
      </c>
      <c r="V203" s="10">
        <f>U203</f>
        <v/>
      </c>
      <c r="W203" s="277">
        <f>S203/G203</f>
        <v/>
      </c>
      <c r="X203" s="10" t="inlineStr">
        <is>
          <t>E</t>
        </is>
      </c>
      <c r="Y203" s="60" t="n"/>
      <c r="Z203" s="364" t="n"/>
      <c r="AA203" s="14" t="inlineStr">
        <is>
          <t>No</t>
        </is>
      </c>
      <c r="AB203" s="4" t="inlineStr">
        <is>
          <t>LEM marketing</t>
        </is>
      </c>
      <c r="AC203" s="303" t="n">
        <v>65</v>
      </c>
      <c r="AE203" s="278" t="n"/>
    </row>
    <row r="204">
      <c r="A204" s="11" t="inlineStr">
        <is>
          <t>WS</t>
        </is>
      </c>
      <c r="B204" s="11" t="inlineStr">
        <is>
          <t>MEL</t>
        </is>
      </c>
      <c r="C204" s="2" t="n">
        <v>550370</v>
      </c>
      <c r="D204" s="4" t="inlineStr">
        <is>
          <t>15-16 Margaret Street</t>
        </is>
      </c>
      <c r="E204" s="4" t="inlineStr">
        <is>
          <t>Fifth Floor</t>
        </is>
      </c>
      <c r="F204" s="14" t="inlineStr">
        <is>
          <t>Office</t>
        </is>
      </c>
      <c r="G204" s="7" t="n">
        <v>766</v>
      </c>
      <c r="H204" s="7">
        <f>G204</f>
        <v/>
      </c>
      <c r="I204" s="7" t="n">
        <v>750</v>
      </c>
      <c r="J204" s="4" t="inlineStr">
        <is>
          <t>Vacant</t>
        </is>
      </c>
      <c r="M204" s="9" t="n">
        <v>44063</v>
      </c>
      <c r="P204" s="10" t="n">
        <v>0</v>
      </c>
      <c r="Q204" s="10">
        <f>P204</f>
        <v/>
      </c>
      <c r="S204" s="10" t="n">
        <v>39300</v>
      </c>
      <c r="T204" s="10">
        <f>S204</f>
        <v/>
      </c>
      <c r="U204" s="27" t="n">
        <v>44500</v>
      </c>
      <c r="V204" s="10">
        <f>U204</f>
        <v/>
      </c>
      <c r="W204" s="277">
        <f>S204/G204</f>
        <v/>
      </c>
      <c r="X204" s="10" t="inlineStr">
        <is>
          <t>E</t>
        </is>
      </c>
      <c r="Y204" s="60" t="n"/>
      <c r="Z204" s="364" t="n"/>
      <c r="AA204" s="14" t="inlineStr">
        <is>
          <t>No</t>
        </is>
      </c>
      <c r="AB204" s="4" t="inlineStr">
        <is>
          <t>LEM marketing</t>
        </is>
      </c>
      <c r="AC204" s="303" t="n">
        <v>65</v>
      </c>
      <c r="AE204" s="278" t="n"/>
    </row>
    <row r="205">
      <c r="A205" s="11" t="inlineStr">
        <is>
          <t>WS</t>
        </is>
      </c>
      <c r="B205" s="11" t="inlineStr">
        <is>
          <t>MEL</t>
        </is>
      </c>
      <c r="C205" s="2" t="n">
        <v>550380</v>
      </c>
      <c r="D205" s="4" t="inlineStr">
        <is>
          <t>17-18 Margaret Street</t>
        </is>
      </c>
      <c r="E205" s="4" t="inlineStr">
        <is>
          <t>Basement</t>
        </is>
      </c>
      <c r="F205" s="14" t="inlineStr">
        <is>
          <t>Office/ Showroom</t>
        </is>
      </c>
      <c r="G205" s="7" t="n">
        <v>2481</v>
      </c>
      <c r="H205" s="7">
        <f>G205</f>
        <v/>
      </c>
      <c r="I205" s="7" t="n">
        <v>2500</v>
      </c>
      <c r="J205" s="46" t="inlineStr">
        <is>
          <t>Arrow International Media Ltd.</t>
        </is>
      </c>
      <c r="K205" s="8" t="n">
        <v>44758</v>
      </c>
      <c r="L205" s="9" t="n">
        <v>46583</v>
      </c>
      <c r="P205" s="10" t="n">
        <v>69440</v>
      </c>
      <c r="Q205" s="10">
        <f>P205</f>
        <v/>
      </c>
      <c r="S205" s="10" t="n">
        <v>69500</v>
      </c>
      <c r="T205" s="10">
        <f>S205</f>
        <v/>
      </c>
      <c r="U205" s="27" t="n">
        <v>69500</v>
      </c>
      <c r="V205" s="10">
        <f>U205</f>
        <v/>
      </c>
      <c r="W205" s="277">
        <f>S205/G205</f>
        <v/>
      </c>
      <c r="X205" s="10" t="inlineStr">
        <is>
          <t>E</t>
        </is>
      </c>
      <c r="Y205" s="60" t="n"/>
      <c r="Z205" s="394" t="n"/>
      <c r="AA205" s="14" t="inlineStr">
        <is>
          <t>No</t>
        </is>
      </c>
      <c r="AE205" s="278" t="n"/>
    </row>
    <row r="206">
      <c r="A206" s="11" t="inlineStr">
        <is>
          <t>WS</t>
        </is>
      </c>
      <c r="B206" s="11" t="inlineStr">
        <is>
          <t>MEL</t>
        </is>
      </c>
      <c r="C206" s="2" t="n">
        <v>550380</v>
      </c>
      <c r="D206" s="4" t="inlineStr">
        <is>
          <t>17-18 Margaret Street</t>
        </is>
      </c>
      <c r="E206" s="4" t="inlineStr">
        <is>
          <t xml:space="preserve">Ground Floor (E) </t>
        </is>
      </c>
      <c r="F206" s="14" t="inlineStr">
        <is>
          <t>Showroom</t>
        </is>
      </c>
      <c r="G206" s="7" t="n">
        <v>1616</v>
      </c>
      <c r="H206" s="7">
        <f>G206</f>
        <v/>
      </c>
      <c r="I206" s="7" t="n">
        <v>1500</v>
      </c>
      <c r="J206" s="4" t="inlineStr">
        <is>
          <t>Arlettie London Ltd.</t>
        </is>
      </c>
      <c r="K206" s="8" t="n">
        <v>45240</v>
      </c>
      <c r="L206" s="9" t="n">
        <v>48892</v>
      </c>
      <c r="N206" s="9" t="n">
        <v>47067</v>
      </c>
      <c r="O206" s="9" t="n">
        <v>47066</v>
      </c>
      <c r="P206" s="10" t="n">
        <v>85500</v>
      </c>
      <c r="Q206" s="10">
        <f>P206</f>
        <v/>
      </c>
      <c r="S206" s="10" t="n">
        <v>84800</v>
      </c>
      <c r="T206" s="10">
        <f>S206</f>
        <v/>
      </c>
      <c r="U206" s="27" t="n">
        <v>85000</v>
      </c>
      <c r="V206" s="10">
        <f>U206</f>
        <v/>
      </c>
      <c r="W206" s="277">
        <f>S206/G206</f>
        <v/>
      </c>
      <c r="X206" s="10" t="inlineStr">
        <is>
          <t>D</t>
        </is>
      </c>
      <c r="Y206" s="60" t="n"/>
      <c r="Z206" s="394" t="n"/>
      <c r="AA206" s="14" t="inlineStr">
        <is>
          <t>No</t>
        </is>
      </c>
      <c r="AB206" s="4" t="inlineStr">
        <is>
          <t>Tenant break on 6 months notice</t>
        </is>
      </c>
      <c r="AE206" s="278" t="n"/>
    </row>
    <row r="207">
      <c r="A207" s="11" t="inlineStr">
        <is>
          <t>WS</t>
        </is>
      </c>
      <c r="B207" s="11" t="inlineStr">
        <is>
          <t>MEL</t>
        </is>
      </c>
      <c r="C207" s="2" t="n">
        <v>550380</v>
      </c>
      <c r="D207" s="4" t="inlineStr">
        <is>
          <t>17-18 Margaret Street</t>
        </is>
      </c>
      <c r="E207" s="4" t="inlineStr">
        <is>
          <t>Ground Floor (W)</t>
        </is>
      </c>
      <c r="F207" s="14" t="inlineStr">
        <is>
          <t>Office/ Showroom</t>
        </is>
      </c>
      <c r="G207" s="7" t="n">
        <v>1485</v>
      </c>
      <c r="H207" s="7">
        <f>G207</f>
        <v/>
      </c>
      <c r="I207" s="7" t="n">
        <v>1500</v>
      </c>
      <c r="J207" s="4" t="inlineStr">
        <is>
          <t>Yamaha Music Europe GMBH.</t>
        </is>
      </c>
      <c r="K207" s="8" t="n">
        <v>45525</v>
      </c>
      <c r="L207" s="9" t="n">
        <v>47350</v>
      </c>
      <c r="O207" s="9" t="n">
        <v>46620</v>
      </c>
      <c r="P207" s="10" t="n">
        <v>90000</v>
      </c>
      <c r="Q207" s="10">
        <f>P207</f>
        <v/>
      </c>
      <c r="S207" s="10" t="n">
        <v>78000</v>
      </c>
      <c r="T207" s="10">
        <f>S207</f>
        <v/>
      </c>
      <c r="U207" s="27" t="n">
        <v>90000</v>
      </c>
      <c r="V207" s="10">
        <f>U207</f>
        <v/>
      </c>
      <c r="W207" s="277">
        <f>S207/G207</f>
        <v/>
      </c>
      <c r="X207" s="10" t="inlineStr">
        <is>
          <t>E</t>
        </is>
      </c>
      <c r="Y207" s="60" t="n"/>
      <c r="Z207" s="394" t="n"/>
      <c r="AA207" s="14" t="inlineStr">
        <is>
          <t>No</t>
        </is>
      </c>
      <c r="AB207" s="4" t="inlineStr">
        <is>
          <t xml:space="preserve">Tenant break on 6 months notice. </t>
        </is>
      </c>
      <c r="AE207" s="278" t="n"/>
    </row>
    <row r="208">
      <c r="A208" s="11" t="inlineStr">
        <is>
          <t>WS</t>
        </is>
      </c>
      <c r="B208" s="11" t="inlineStr">
        <is>
          <t>MEL</t>
        </is>
      </c>
      <c r="C208" s="2" t="n">
        <v>550380</v>
      </c>
      <c r="D208" s="4" t="inlineStr">
        <is>
          <t>17-18 Margaret Street</t>
        </is>
      </c>
      <c r="E208" s="4" t="inlineStr">
        <is>
          <t>First Floor</t>
        </is>
      </c>
      <c r="F208" s="14" t="inlineStr">
        <is>
          <t>Office</t>
        </is>
      </c>
      <c r="G208" s="7" t="n">
        <v>1855</v>
      </c>
      <c r="H208" s="7">
        <f>G208</f>
        <v/>
      </c>
      <c r="I208" s="7" t="n">
        <v>2000</v>
      </c>
      <c r="J208" s="4" t="inlineStr">
        <is>
          <t>Arrow International Media Ltd.</t>
        </is>
      </c>
      <c r="K208" s="8" t="n">
        <v>44758</v>
      </c>
      <c r="L208" s="9" t="n">
        <v>46583</v>
      </c>
      <c r="P208" s="10" t="n">
        <v>106663</v>
      </c>
      <c r="Q208" s="10">
        <f>P208</f>
        <v/>
      </c>
      <c r="S208" s="10" t="n">
        <v>106700</v>
      </c>
      <c r="T208" s="10">
        <f>S208</f>
        <v/>
      </c>
      <c r="U208" s="27" t="n">
        <v>108500</v>
      </c>
      <c r="V208" s="10">
        <f>U208</f>
        <v/>
      </c>
      <c r="W208" s="277">
        <f>S208/G208</f>
        <v/>
      </c>
      <c r="X208" s="10" t="inlineStr">
        <is>
          <t>E</t>
        </is>
      </c>
      <c r="Y208" s="60" t="n"/>
      <c r="Z208" s="394" t="n"/>
      <c r="AA208" s="14" t="inlineStr">
        <is>
          <t>No</t>
        </is>
      </c>
      <c r="AE208" s="278" t="n"/>
    </row>
    <row r="209">
      <c r="A209" s="11" t="inlineStr">
        <is>
          <t>WS</t>
        </is>
      </c>
      <c r="B209" s="11" t="inlineStr">
        <is>
          <t>MEL</t>
        </is>
      </c>
      <c r="C209" s="2" t="n">
        <v>550380</v>
      </c>
      <c r="D209" s="4" t="inlineStr">
        <is>
          <t>17-18 Margaret Street</t>
        </is>
      </c>
      <c r="E209" s="4" t="inlineStr">
        <is>
          <t>Second Floor (E)</t>
        </is>
      </c>
      <c r="F209" s="14" t="inlineStr">
        <is>
          <t>Office</t>
        </is>
      </c>
      <c r="G209" s="7" t="n">
        <v>726</v>
      </c>
      <c r="H209" s="7">
        <f>G209</f>
        <v/>
      </c>
      <c r="I209" s="7" t="n">
        <v>750</v>
      </c>
      <c r="J209" s="4" t="inlineStr">
        <is>
          <t>Arrow International Media Ltd.</t>
        </is>
      </c>
      <c r="K209" s="8" t="n">
        <v>44758</v>
      </c>
      <c r="L209" s="9" t="n">
        <v>46583</v>
      </c>
      <c r="P209" s="10" t="n">
        <v>41975</v>
      </c>
      <c r="Q209" s="10">
        <f>P209</f>
        <v/>
      </c>
      <c r="S209" s="10" t="n">
        <v>41700</v>
      </c>
      <c r="T209" s="10">
        <f>S209</f>
        <v/>
      </c>
      <c r="U209" s="27" t="n">
        <v>42500</v>
      </c>
      <c r="V209" s="10">
        <f>U209</f>
        <v/>
      </c>
      <c r="W209" s="277">
        <f>S209/G209</f>
        <v/>
      </c>
      <c r="X209" s="10" t="inlineStr">
        <is>
          <t>E</t>
        </is>
      </c>
      <c r="Y209" s="60" t="n"/>
      <c r="Z209" s="394" t="n"/>
      <c r="AA209" s="14" t="inlineStr">
        <is>
          <t>No</t>
        </is>
      </c>
      <c r="AE209" s="278" t="n"/>
    </row>
    <row r="210">
      <c r="A210" s="11" t="inlineStr">
        <is>
          <t>WS</t>
        </is>
      </c>
      <c r="B210" s="11" t="inlineStr">
        <is>
          <t>MEL</t>
        </is>
      </c>
      <c r="C210" s="2" t="n">
        <v>550380</v>
      </c>
      <c r="D210" s="4" t="inlineStr">
        <is>
          <t>17-18 Margaret Street</t>
        </is>
      </c>
      <c r="E210" s="4" t="inlineStr">
        <is>
          <t>Second Floor (W &amp; N)</t>
        </is>
      </c>
      <c r="F210" s="11" t="inlineStr">
        <is>
          <t>Office</t>
        </is>
      </c>
      <c r="G210" s="7" t="n">
        <v>1220</v>
      </c>
      <c r="H210" s="7">
        <f>G210</f>
        <v/>
      </c>
      <c r="I210" s="7" t="n">
        <v>1250</v>
      </c>
      <c r="J210" s="4" t="inlineStr">
        <is>
          <t>Smiggle UK Limited</t>
        </is>
      </c>
      <c r="K210" s="8" t="n">
        <v>45438</v>
      </c>
      <c r="L210" s="9" t="n">
        <v>47263</v>
      </c>
      <c r="O210" s="9" t="n">
        <v>46532</v>
      </c>
      <c r="P210" s="10" t="n">
        <v>70200</v>
      </c>
      <c r="Q210" s="10">
        <f>P210</f>
        <v/>
      </c>
      <c r="S210" s="10" t="n">
        <v>70200</v>
      </c>
      <c r="T210" s="10">
        <f>S210</f>
        <v/>
      </c>
      <c r="U210" s="27" t="n">
        <v>71400</v>
      </c>
      <c r="V210" s="10">
        <f>U210</f>
        <v/>
      </c>
      <c r="W210" s="277">
        <f>S210/G210</f>
        <v/>
      </c>
      <c r="X210" s="10" t="inlineStr">
        <is>
          <t>D</t>
        </is>
      </c>
      <c r="Y210" s="60" t="n"/>
      <c r="Z210" s="394" t="n"/>
      <c r="AA210" s="14" t="inlineStr">
        <is>
          <t>No</t>
        </is>
      </c>
      <c r="AB210" s="4" t="inlineStr">
        <is>
          <t>Tenant break on 3 months notice. Two months rent free if not exercised.</t>
        </is>
      </c>
      <c r="AE210" s="278" t="n"/>
    </row>
    <row r="211">
      <c r="A211" s="11" t="inlineStr">
        <is>
          <t>WS</t>
        </is>
      </c>
      <c r="B211" s="11" t="inlineStr">
        <is>
          <t>MEL</t>
        </is>
      </c>
      <c r="C211" s="2" t="n">
        <v>550380</v>
      </c>
      <c r="D211" s="4" t="inlineStr">
        <is>
          <t>17-18 Margaret Street</t>
        </is>
      </c>
      <c r="E211" s="4" t="inlineStr">
        <is>
          <t>Third Floor</t>
        </is>
      </c>
      <c r="F211" s="14" t="inlineStr">
        <is>
          <t>Office</t>
        </is>
      </c>
      <c r="G211" s="7" t="n">
        <v>1963</v>
      </c>
      <c r="H211" s="7">
        <f>G211</f>
        <v/>
      </c>
      <c r="I211" s="7" t="n">
        <v>2000</v>
      </c>
      <c r="J211" s="4" t="inlineStr">
        <is>
          <t>Arrow International Media Ltd.</t>
        </is>
      </c>
      <c r="K211" s="8" t="n">
        <v>44758</v>
      </c>
      <c r="L211" s="9" t="n">
        <v>46583</v>
      </c>
      <c r="P211" s="10" t="n">
        <v>107965</v>
      </c>
      <c r="Q211" s="10">
        <f>P211</f>
        <v/>
      </c>
      <c r="S211" s="10" t="n">
        <v>108000</v>
      </c>
      <c r="T211" s="10">
        <f>S211</f>
        <v/>
      </c>
      <c r="U211" s="27" t="n">
        <v>108000</v>
      </c>
      <c r="V211" s="10">
        <f>U211</f>
        <v/>
      </c>
      <c r="W211" s="277">
        <f>S211/G211</f>
        <v/>
      </c>
      <c r="X211" s="10" t="inlineStr">
        <is>
          <t>E</t>
        </is>
      </c>
      <c r="Y211" s="60" t="n"/>
      <c r="Z211" s="394" t="n"/>
      <c r="AA211" s="14" t="inlineStr">
        <is>
          <t>No</t>
        </is>
      </c>
      <c r="AE211" s="278" t="n"/>
    </row>
    <row r="212">
      <c r="A212" s="11" t="inlineStr">
        <is>
          <t>WS</t>
        </is>
      </c>
      <c r="B212" s="11" t="inlineStr">
        <is>
          <t>MEL</t>
        </is>
      </c>
      <c r="C212" s="2" t="n">
        <v>550380</v>
      </c>
      <c r="D212" s="4" t="inlineStr">
        <is>
          <t>17-18 Margaret Street</t>
        </is>
      </c>
      <c r="E212" s="4" t="inlineStr">
        <is>
          <t xml:space="preserve">Fourth Floor (R) </t>
        </is>
      </c>
      <c r="F212" s="14" t="inlineStr">
        <is>
          <t>Office</t>
        </is>
      </c>
      <c r="G212" s="7" t="n">
        <v>94</v>
      </c>
      <c r="H212" s="7">
        <f>G212</f>
        <v/>
      </c>
      <c r="I212" s="7" t="n">
        <v>100</v>
      </c>
      <c r="J212" s="4" t="inlineStr">
        <is>
          <t>The London Child &amp; Family Therapy Centre Ltd.</t>
        </is>
      </c>
      <c r="K212" s="8" t="n">
        <v>45735</v>
      </c>
      <c r="L212" s="9" t="n">
        <v>47560</v>
      </c>
      <c r="P212" s="10" t="n">
        <v>7200</v>
      </c>
      <c r="Q212" s="10">
        <f>P212</f>
        <v/>
      </c>
      <c r="S212" s="10" t="n">
        <v>5410</v>
      </c>
      <c r="T212" s="10">
        <f>S212</f>
        <v/>
      </c>
      <c r="U212" s="27" t="n">
        <v>7200</v>
      </c>
      <c r="V212" s="10">
        <f>U212</f>
        <v/>
      </c>
      <c r="W212" s="277">
        <f>S212/G212</f>
        <v/>
      </c>
      <c r="X212" s="10" t="inlineStr">
        <is>
          <t>E</t>
        </is>
      </c>
      <c r="Y212" s="60" t="inlineStr">
        <is>
          <t>*</t>
        </is>
      </c>
      <c r="Z212" s="394" t="n"/>
      <c r="AA212" s="14" t="inlineStr">
        <is>
          <t>No</t>
        </is>
      </c>
      <c r="AB212" s="4" t="inlineStr">
        <is>
          <t xml:space="preserve">All inclusive rent (excl rates). </t>
        </is>
      </c>
      <c r="AE212" s="278" t="n"/>
    </row>
    <row r="213">
      <c r="A213" s="11" t="inlineStr">
        <is>
          <t>WS</t>
        </is>
      </c>
      <c r="B213" s="11" t="inlineStr">
        <is>
          <t>MEL</t>
        </is>
      </c>
      <c r="C213" s="2" t="n">
        <v>550380</v>
      </c>
      <c r="D213" s="4" t="inlineStr">
        <is>
          <t>17-18 Margaret Street</t>
        </is>
      </c>
      <c r="E213" s="4" t="inlineStr">
        <is>
          <t>Fourth Floor (RW)</t>
        </is>
      </c>
      <c r="F213" s="14" t="inlineStr">
        <is>
          <t>Office</t>
        </is>
      </c>
      <c r="G213" s="7" t="n">
        <v>284</v>
      </c>
      <c r="H213" s="7">
        <f>G213</f>
        <v/>
      </c>
      <c r="I213" s="7" t="n">
        <v>250</v>
      </c>
      <c r="J213" s="4" t="inlineStr">
        <is>
          <t>Vacant</t>
        </is>
      </c>
      <c r="M213" s="9" t="n">
        <v>43909</v>
      </c>
      <c r="P213" s="10" t="n">
        <v>0</v>
      </c>
      <c r="Q213" s="10">
        <f>P213</f>
        <v/>
      </c>
      <c r="S213" s="10" t="n">
        <v>16300</v>
      </c>
      <c r="T213" s="10">
        <f>S213</f>
        <v/>
      </c>
      <c r="U213" s="27" t="n">
        <v>16300</v>
      </c>
      <c r="V213" s="10">
        <f>U213</f>
        <v/>
      </c>
      <c r="W213" s="277">
        <f>S213/G213</f>
        <v/>
      </c>
      <c r="X213" s="10" t="inlineStr">
        <is>
          <t>E</t>
        </is>
      </c>
      <c r="Y213" s="60" t="inlineStr">
        <is>
          <t>*</t>
        </is>
      </c>
      <c r="Z213" s="394" t="n"/>
      <c r="AA213" s="14" t="n"/>
      <c r="AB213" s="4" t="inlineStr">
        <is>
          <t>To be refurbished.</t>
        </is>
      </c>
      <c r="AE213" s="278" t="n"/>
    </row>
    <row r="214">
      <c r="A214" s="11" t="inlineStr">
        <is>
          <t>WS</t>
        </is>
      </c>
      <c r="B214" s="11" t="inlineStr">
        <is>
          <t>MEL</t>
        </is>
      </c>
      <c r="C214" s="2" t="n">
        <v>550380</v>
      </c>
      <c r="D214" s="4" t="inlineStr">
        <is>
          <t>17-18 Margaret Street</t>
        </is>
      </c>
      <c r="E214" s="4" t="inlineStr">
        <is>
          <t>Fourth Floor (E)</t>
        </is>
      </c>
      <c r="F214" s="14" t="inlineStr">
        <is>
          <t>Office</t>
        </is>
      </c>
      <c r="G214" s="7" t="n">
        <v>619</v>
      </c>
      <c r="H214" s="7">
        <f>G214</f>
        <v/>
      </c>
      <c r="I214" s="7" t="n">
        <v>500</v>
      </c>
      <c r="J214" s="4" t="inlineStr">
        <is>
          <t>Vacant</t>
        </is>
      </c>
      <c r="M214" s="9" t="n">
        <v>45678</v>
      </c>
      <c r="P214" s="10" t="n">
        <v>0</v>
      </c>
      <c r="Q214" s="10">
        <f>P214</f>
        <v/>
      </c>
      <c r="S214" s="10" t="n">
        <v>35600</v>
      </c>
      <c r="T214" s="10">
        <f>S214</f>
        <v/>
      </c>
      <c r="U214" s="27" t="n">
        <v>35600</v>
      </c>
      <c r="V214" s="10">
        <f>U214</f>
        <v/>
      </c>
      <c r="W214" s="277">
        <f>S214/G214</f>
        <v/>
      </c>
      <c r="X214" s="10" t="inlineStr">
        <is>
          <t>E</t>
        </is>
      </c>
      <c r="Y214" s="60" t="n"/>
      <c r="Z214" s="394" t="n"/>
      <c r="AA214" s="14" t="inlineStr">
        <is>
          <t>No</t>
        </is>
      </c>
      <c r="AB214" s="4" t="inlineStr">
        <is>
          <t>LEM marketing.</t>
        </is>
      </c>
      <c r="AE214" s="278" t="n"/>
    </row>
    <row r="215">
      <c r="A215" s="11" t="inlineStr">
        <is>
          <t>WS</t>
        </is>
      </c>
      <c r="B215" s="11" t="inlineStr">
        <is>
          <t>MEL</t>
        </is>
      </c>
      <c r="C215" s="2" t="n">
        <v>550380</v>
      </c>
      <c r="D215" s="4" t="inlineStr">
        <is>
          <t>17-18 Margaret Street</t>
        </is>
      </c>
      <c r="E215" s="4" t="inlineStr">
        <is>
          <t>Fourth Floor (W)</t>
        </is>
      </c>
      <c r="F215" s="14" t="inlineStr">
        <is>
          <t>Office</t>
        </is>
      </c>
      <c r="G215" s="7" t="n">
        <v>653</v>
      </c>
      <c r="H215" s="7">
        <f>G215</f>
        <v/>
      </c>
      <c r="I215" s="7" t="n">
        <v>750</v>
      </c>
      <c r="J215" s="4" t="inlineStr">
        <is>
          <t>Vacant</t>
        </is>
      </c>
      <c r="M215" s="9" t="n">
        <v>44555</v>
      </c>
      <c r="P215" s="10" t="n">
        <v>0</v>
      </c>
      <c r="Q215" s="10">
        <f>P215</f>
        <v/>
      </c>
      <c r="S215" s="10" t="n">
        <v>37500</v>
      </c>
      <c r="T215" s="10">
        <f>S215</f>
        <v/>
      </c>
      <c r="U215" s="27" t="n">
        <v>37500</v>
      </c>
      <c r="V215" s="10">
        <f>U215</f>
        <v/>
      </c>
      <c r="W215" s="277">
        <f>S215/G215</f>
        <v/>
      </c>
      <c r="X215" s="10" t="inlineStr">
        <is>
          <t>E</t>
        </is>
      </c>
      <c r="Y215" s="60" t="n"/>
      <c r="Z215" s="394" t="n"/>
      <c r="AA215" s="14" t="inlineStr">
        <is>
          <t>No</t>
        </is>
      </c>
      <c r="AB215" s="4" t="inlineStr">
        <is>
          <t>To be refurbished.</t>
        </is>
      </c>
      <c r="AC215" s="303" t="n">
        <v>62.5</v>
      </c>
      <c r="AE215" s="278" t="n">
        <v>1</v>
      </c>
      <c r="AF215" s="4" t="inlineStr">
        <is>
          <t>LEM</t>
        </is>
      </c>
    </row>
    <row r="216">
      <c r="A216" s="11" t="inlineStr">
        <is>
          <t>WS</t>
        </is>
      </c>
      <c r="B216" s="11" t="inlineStr">
        <is>
          <t>MEL</t>
        </is>
      </c>
      <c r="C216" s="2" t="n">
        <v>550950</v>
      </c>
      <c r="D216" s="4" t="inlineStr">
        <is>
          <t>19 Margaret Street</t>
        </is>
      </c>
      <c r="E216" s="4" t="inlineStr">
        <is>
          <t>Lower Ground and Ground Floors</t>
        </is>
      </c>
      <c r="F216" s="14" t="inlineStr">
        <is>
          <t>Office</t>
        </is>
      </c>
      <c r="G216" s="7" t="n">
        <v>2370</v>
      </c>
      <c r="H216" s="7">
        <f>G216</f>
        <v/>
      </c>
      <c r="J216" s="4" t="inlineStr">
        <is>
          <t>FRIBA Limited</t>
        </is>
      </c>
      <c r="K216" s="8" t="n">
        <v>43794</v>
      </c>
      <c r="L216" s="9" t="n">
        <v>47446</v>
      </c>
      <c r="N216" s="9" t="n">
        <v>45621</v>
      </c>
      <c r="P216" s="10" t="n">
        <v>104885</v>
      </c>
      <c r="Q216" s="10">
        <f>P216</f>
        <v/>
      </c>
      <c r="S216" s="10" t="n">
        <v>100700</v>
      </c>
      <c r="T216" s="10">
        <f>S216</f>
        <v/>
      </c>
      <c r="U216" s="27" t="n">
        <v>142200</v>
      </c>
      <c r="V216" s="10">
        <f>U216</f>
        <v/>
      </c>
      <c r="W216" s="277">
        <f>S216/G216</f>
        <v/>
      </c>
      <c r="X216" s="10" t="inlineStr">
        <is>
          <t>D</t>
        </is>
      </c>
      <c r="Y216" s="60" t="n"/>
      <c r="Z216" s="36" t="n"/>
      <c r="AA216" s="14" t="inlineStr">
        <is>
          <t>No</t>
        </is>
      </c>
      <c r="AB216" s="4" t="inlineStr">
        <is>
          <t>This unit interconnects with G &amp; B, 21 Lt Portland St. The floor area shown is only for this unit. Rent shown pro rata. Tenant break on 6 months notice. Rent review @ 25/11/24.</t>
        </is>
      </c>
      <c r="AE216" s="278" t="n"/>
    </row>
    <row r="217">
      <c r="A217" s="11" t="inlineStr">
        <is>
          <t>WS</t>
        </is>
      </c>
      <c r="B217" s="11" t="inlineStr">
        <is>
          <t>MEL</t>
        </is>
      </c>
      <c r="C217" s="2" t="n">
        <v>550950</v>
      </c>
      <c r="D217" s="4" t="inlineStr">
        <is>
          <t>19 Margaret Street</t>
        </is>
      </c>
      <c r="E217" s="4" t="inlineStr">
        <is>
          <t>First Floor</t>
        </is>
      </c>
      <c r="F217" s="14" t="inlineStr">
        <is>
          <t>Office</t>
        </is>
      </c>
      <c r="G217" s="7" t="n">
        <v>980</v>
      </c>
      <c r="H217" s="7">
        <f>G217</f>
        <v/>
      </c>
      <c r="I217" s="7" t="n">
        <v>1000</v>
      </c>
      <c r="J217" s="4" t="inlineStr">
        <is>
          <t>Vacant</t>
        </is>
      </c>
      <c r="M217" s="9" t="n">
        <v>43323</v>
      </c>
      <c r="P217" s="10" t="n">
        <v>0</v>
      </c>
      <c r="Q217" s="10">
        <f>P217</f>
        <v/>
      </c>
      <c r="S217" s="10" t="n">
        <v>53900</v>
      </c>
      <c r="T217" s="10">
        <f>S217</f>
        <v/>
      </c>
      <c r="U217" s="27" t="n">
        <v>56400</v>
      </c>
      <c r="V217" s="10">
        <f>U217</f>
        <v/>
      </c>
      <c r="W217" s="277">
        <f>S217/G217</f>
        <v/>
      </c>
      <c r="X217" s="10" t="inlineStr">
        <is>
          <t>D</t>
        </is>
      </c>
      <c r="Y217" s="60" t="n"/>
      <c r="Z217" s="36" t="n"/>
      <c r="AA217" s="14" t="inlineStr">
        <is>
          <t>No</t>
        </is>
      </c>
      <c r="AB217" s="4" t="inlineStr">
        <is>
          <t>LEM Marketing.</t>
        </is>
      </c>
      <c r="AC217" s="303" t="n">
        <v>61.5</v>
      </c>
      <c r="AE217" s="278" t="n"/>
    </row>
    <row r="218">
      <c r="A218" s="11" t="inlineStr">
        <is>
          <t>WS</t>
        </is>
      </c>
      <c r="B218" s="11" t="inlineStr">
        <is>
          <t>MEL</t>
        </is>
      </c>
      <c r="C218" s="2" t="n">
        <v>550950</v>
      </c>
      <c r="D218" s="4" t="inlineStr">
        <is>
          <t>19 Margaret Street</t>
        </is>
      </c>
      <c r="E218" s="4" t="inlineStr">
        <is>
          <t>Second Floor</t>
        </is>
      </c>
      <c r="F218" s="14" t="inlineStr">
        <is>
          <t>Office</t>
        </is>
      </c>
      <c r="G218" s="7" t="n">
        <v>980</v>
      </c>
      <c r="H218" s="7">
        <f>G218</f>
        <v/>
      </c>
      <c r="I218" s="7" t="n">
        <v>1000</v>
      </c>
      <c r="J218" s="4" t="inlineStr">
        <is>
          <t>Effigest UK Ltd.</t>
        </is>
      </c>
      <c r="K218" s="8" t="n">
        <v>45210</v>
      </c>
      <c r="L218" s="9" t="n">
        <v>46305</v>
      </c>
      <c r="P218" s="10" t="n">
        <v>52800</v>
      </c>
      <c r="Q218" s="10">
        <f>P218</f>
        <v/>
      </c>
      <c r="S218" s="10" t="n">
        <v>53900</v>
      </c>
      <c r="T218" s="10">
        <f>S218</f>
        <v/>
      </c>
      <c r="U218" s="27" t="n">
        <v>56400</v>
      </c>
      <c r="V218" s="10">
        <f>U218</f>
        <v/>
      </c>
      <c r="W218" s="277">
        <f>S218/G218</f>
        <v/>
      </c>
      <c r="X218" s="10" t="inlineStr">
        <is>
          <t>E</t>
        </is>
      </c>
      <c r="Y218" s="60" t="n"/>
      <c r="Z218" s="36" t="n"/>
      <c r="AA218" s="14" t="inlineStr">
        <is>
          <t>No</t>
        </is>
      </c>
      <c r="AE218" s="278" t="n"/>
    </row>
    <row r="219">
      <c r="A219" s="11" t="inlineStr">
        <is>
          <t>WS</t>
        </is>
      </c>
      <c r="B219" s="11" t="inlineStr">
        <is>
          <t>MEL</t>
        </is>
      </c>
      <c r="C219" s="2" t="n">
        <v>550950</v>
      </c>
      <c r="D219" s="4" t="inlineStr">
        <is>
          <t>19 Margaret Street</t>
        </is>
      </c>
      <c r="E219" s="4" t="inlineStr">
        <is>
          <t>Third Floor</t>
        </is>
      </c>
      <c r="F219" s="14" t="inlineStr">
        <is>
          <t>Office</t>
        </is>
      </c>
      <c r="G219" s="7" t="n">
        <v>836</v>
      </c>
      <c r="H219" s="7">
        <f>G219</f>
        <v/>
      </c>
      <c r="I219" s="7" t="n">
        <v>1000</v>
      </c>
      <c r="J219" s="4" t="inlineStr">
        <is>
          <t>Theatrical Rights Worldwide Limited</t>
        </is>
      </c>
      <c r="K219" s="8" t="n">
        <v>44869</v>
      </c>
      <c r="L219" s="9" t="n">
        <v>46694</v>
      </c>
      <c r="O219" s="9" t="n">
        <v>45964</v>
      </c>
      <c r="P219" s="10" t="n">
        <v>48300</v>
      </c>
      <c r="Q219" s="10">
        <f>P219</f>
        <v/>
      </c>
      <c r="S219" s="10" t="n">
        <v>46000</v>
      </c>
      <c r="T219" s="10">
        <f>S219</f>
        <v/>
      </c>
      <c r="U219" s="27" t="n">
        <v>48100</v>
      </c>
      <c r="V219" s="10">
        <f>U219</f>
        <v/>
      </c>
      <c r="W219" s="277">
        <f>S219/G219</f>
        <v/>
      </c>
      <c r="X219" s="10" t="inlineStr">
        <is>
          <t>E</t>
        </is>
      </c>
      <c r="Y219" s="60" t="n"/>
      <c r="Z219" s="36" t="n"/>
      <c r="AA219" s="14" t="inlineStr">
        <is>
          <t>No</t>
        </is>
      </c>
      <c r="AB219" s="4" t="inlineStr">
        <is>
          <t>Tenant break on 6 months notice.</t>
        </is>
      </c>
      <c r="AE219" s="278" t="n"/>
    </row>
    <row r="220">
      <c r="A220" s="11" t="inlineStr">
        <is>
          <t>WS</t>
        </is>
      </c>
      <c r="B220" s="11" t="inlineStr">
        <is>
          <t>MEL</t>
        </is>
      </c>
      <c r="C220" s="2" t="n">
        <v>550950</v>
      </c>
      <c r="D220" s="4" t="inlineStr">
        <is>
          <t>19 Margaret Street</t>
        </is>
      </c>
      <c r="E220" s="4" t="inlineStr">
        <is>
          <t>Fourth Floor</t>
        </is>
      </c>
      <c r="F220" s="14" t="inlineStr">
        <is>
          <t>Office</t>
        </is>
      </c>
      <c r="G220" s="7" t="n">
        <v>830</v>
      </c>
      <c r="H220" s="7">
        <f>G220</f>
        <v/>
      </c>
      <c r="I220" s="7" t="n">
        <v>1000</v>
      </c>
      <c r="J220" s="4" t="inlineStr">
        <is>
          <t>Theatrical Rights Worldwide Limited</t>
        </is>
      </c>
      <c r="K220" s="8" t="n">
        <v>45436</v>
      </c>
      <c r="L220" s="9" t="n">
        <v>46694</v>
      </c>
      <c r="O220" s="9" t="n">
        <v>45964</v>
      </c>
      <c r="P220" s="10" t="n">
        <v>47725</v>
      </c>
      <c r="Q220" s="10">
        <f>P220</f>
        <v/>
      </c>
      <c r="S220" s="10" t="n">
        <v>45700</v>
      </c>
      <c r="T220" s="10">
        <f>S220</f>
        <v/>
      </c>
      <c r="U220" s="27" t="n">
        <v>47700</v>
      </c>
      <c r="V220" s="10">
        <f>U220</f>
        <v/>
      </c>
      <c r="W220" s="277">
        <f>S220/G220</f>
        <v/>
      </c>
      <c r="X220" s="10" t="inlineStr">
        <is>
          <t>D</t>
        </is>
      </c>
      <c r="Y220" s="60" t="n"/>
      <c r="Z220" s="36" t="n"/>
      <c r="AA220" s="14" t="inlineStr">
        <is>
          <t>No</t>
        </is>
      </c>
      <c r="AB220" s="4" t="inlineStr">
        <is>
          <t>Tenant break on 6 months notice.</t>
        </is>
      </c>
      <c r="AE220" s="278" t="n"/>
    </row>
    <row r="221">
      <c r="A221" s="11" t="inlineStr">
        <is>
          <t>WS</t>
        </is>
      </c>
      <c r="B221" s="11" t="inlineStr">
        <is>
          <t>MEL</t>
        </is>
      </c>
      <c r="C221" s="2" t="n">
        <v>550950</v>
      </c>
      <c r="D221" s="4" t="inlineStr">
        <is>
          <t>19 Margaret Street</t>
        </is>
      </c>
      <c r="E221" s="4" t="inlineStr">
        <is>
          <t>Fifth Floor</t>
        </is>
      </c>
      <c r="F221" s="14" t="inlineStr">
        <is>
          <t>Office</t>
        </is>
      </c>
      <c r="G221" s="7" t="n">
        <v>685</v>
      </c>
      <c r="H221" s="7">
        <f>G221</f>
        <v/>
      </c>
      <c r="I221" s="7" t="n">
        <v>750</v>
      </c>
      <c r="J221" s="4" t="inlineStr">
        <is>
          <t>Vacant</t>
        </is>
      </c>
      <c r="M221" s="9" t="n">
        <v>45627</v>
      </c>
      <c r="P221" s="10" t="n">
        <v>0</v>
      </c>
      <c r="Q221" s="10">
        <f>P221</f>
        <v/>
      </c>
      <c r="S221" s="10" t="n">
        <v>37700</v>
      </c>
      <c r="T221" s="10">
        <f>S221</f>
        <v/>
      </c>
      <c r="U221" s="27" t="n">
        <v>39400</v>
      </c>
      <c r="V221" s="10">
        <f>U221</f>
        <v/>
      </c>
      <c r="W221" s="277">
        <f>S221/G221</f>
        <v/>
      </c>
      <c r="X221" s="10" t="inlineStr">
        <is>
          <t>E</t>
        </is>
      </c>
      <c r="Y221" s="60" t="n"/>
      <c r="Z221" s="36" t="n"/>
      <c r="AA221" s="14" t="inlineStr">
        <is>
          <t>No</t>
        </is>
      </c>
      <c r="AB221" s="4" t="inlineStr">
        <is>
          <t>LEM marketing.</t>
        </is>
      </c>
      <c r="AE221" s="278" t="n"/>
    </row>
    <row r="222">
      <c r="A222" s="11" t="inlineStr">
        <is>
          <t>WS</t>
        </is>
      </c>
      <c r="B222" s="11" t="inlineStr">
        <is>
          <t>MEL</t>
        </is>
      </c>
      <c r="C222" s="2" t="n">
        <v>550730</v>
      </c>
      <c r="D222" s="4" t="inlineStr">
        <is>
          <t>20 Margaret Street</t>
        </is>
      </c>
      <c r="E222" s="4" t="inlineStr">
        <is>
          <t>Basement &amp; Ground Floor</t>
        </is>
      </c>
      <c r="F222" s="14" t="inlineStr">
        <is>
          <t>Showroom</t>
        </is>
      </c>
      <c r="G222" s="7" t="n">
        <v>1946</v>
      </c>
      <c r="H222" s="7">
        <f>G222</f>
        <v/>
      </c>
      <c r="I222" s="7" t="n">
        <v>2000</v>
      </c>
      <c r="J222" s="4" t="inlineStr">
        <is>
          <t>Outform Group UK Ltd.</t>
        </is>
      </c>
      <c r="K222" s="8" t="n">
        <v>45457</v>
      </c>
      <c r="L222" s="9" t="n">
        <v>47282</v>
      </c>
      <c r="O222" s="9" t="n">
        <v>46186</v>
      </c>
      <c r="P222" s="10" t="n">
        <v>94417</v>
      </c>
      <c r="Q222" s="10">
        <f>P222</f>
        <v/>
      </c>
      <c r="S222" s="10" t="n">
        <v>86800</v>
      </c>
      <c r="T222" s="10">
        <f>S222</f>
        <v/>
      </c>
      <c r="U222" s="27" t="n">
        <v>94000</v>
      </c>
      <c r="V222" s="10">
        <f>U222</f>
        <v/>
      </c>
      <c r="W222" s="277">
        <f>S222/G222</f>
        <v/>
      </c>
      <c r="X222" s="10" t="inlineStr">
        <is>
          <t>E</t>
        </is>
      </c>
      <c r="Y222" s="60" t="n"/>
      <c r="Z222" s="394" t="n"/>
      <c r="AA222" s="14" t="inlineStr">
        <is>
          <t>No</t>
        </is>
      </c>
      <c r="AB222" s="4" t="inlineStr">
        <is>
          <t>Rent increasing to £103,000 wef 14/06/27. Tenant break on 6 months notice. Penalty payment due if exercised. Further tenant break 13/06/27 on 6 months notice.</t>
        </is>
      </c>
      <c r="AE222" s="278" t="n"/>
    </row>
    <row r="223">
      <c r="A223" s="11" t="inlineStr">
        <is>
          <t>WS</t>
        </is>
      </c>
      <c r="B223" s="11" t="inlineStr">
        <is>
          <t>MEL</t>
        </is>
      </c>
      <c r="C223" s="2" t="n">
        <v>550730</v>
      </c>
      <c r="D223" s="4" t="inlineStr">
        <is>
          <t>20 Margaret Street</t>
        </is>
      </c>
      <c r="E223" s="4" t="inlineStr">
        <is>
          <t>First Floor</t>
        </is>
      </c>
      <c r="F223" s="14" t="inlineStr">
        <is>
          <t>Office</t>
        </is>
      </c>
      <c r="G223" s="7" t="n">
        <v>804</v>
      </c>
      <c r="H223" s="7">
        <f>G223</f>
        <v/>
      </c>
      <c r="I223" s="7" t="n">
        <v>750</v>
      </c>
      <c r="J223" s="4" t="inlineStr">
        <is>
          <t>Vacant</t>
        </is>
      </c>
      <c r="M223" s="9" t="n">
        <v>43132</v>
      </c>
      <c r="P223" s="10" t="n">
        <v>0</v>
      </c>
      <c r="Q223" s="10">
        <f>P223</f>
        <v/>
      </c>
      <c r="S223" s="10" t="n">
        <v>44200</v>
      </c>
      <c r="T223" s="10">
        <f>S223</f>
        <v/>
      </c>
      <c r="U223" s="27" t="n">
        <v>46200</v>
      </c>
      <c r="V223" s="10">
        <f>U223</f>
        <v/>
      </c>
      <c r="W223" s="277">
        <f>S223/G223</f>
        <v/>
      </c>
      <c r="X223" s="10" t="inlineStr">
        <is>
          <t>E</t>
        </is>
      </c>
      <c r="Y223" s="60" t="n"/>
      <c r="Z223" s="394" t="n"/>
      <c r="AA223" s="14" t="inlineStr">
        <is>
          <t>No</t>
        </is>
      </c>
      <c r="AB223" s="29" t="inlineStr">
        <is>
          <t>Unit under refurbishment</t>
        </is>
      </c>
      <c r="AC223" s="303" t="n">
        <v>62.5</v>
      </c>
      <c r="AD223" s="4" t="n">
        <v>1</v>
      </c>
      <c r="AE223" s="278" t="n">
        <v>2</v>
      </c>
      <c r="AF223" s="4" t="inlineStr">
        <is>
          <t>LEM</t>
        </is>
      </c>
    </row>
    <row r="224">
      <c r="A224" s="11" t="inlineStr">
        <is>
          <t>WS</t>
        </is>
      </c>
      <c r="B224" s="11" t="inlineStr">
        <is>
          <t>MEL</t>
        </is>
      </c>
      <c r="C224" s="2" t="n">
        <v>550730</v>
      </c>
      <c r="D224" s="4" t="inlineStr">
        <is>
          <t>20 Margaret Street</t>
        </is>
      </c>
      <c r="E224" s="4" t="inlineStr">
        <is>
          <t>Second Floor</t>
        </is>
      </c>
      <c r="F224" s="14" t="inlineStr">
        <is>
          <t>Office</t>
        </is>
      </c>
      <c r="G224" s="7" t="n">
        <v>813</v>
      </c>
      <c r="H224" s="7">
        <f>G224</f>
        <v/>
      </c>
      <c r="I224" s="7" t="n">
        <v>750</v>
      </c>
      <c r="J224" s="4" t="inlineStr">
        <is>
          <t>Vacant</t>
        </is>
      </c>
      <c r="M224" s="9" t="n">
        <v>42819</v>
      </c>
      <c r="P224" s="10" t="n">
        <v>0</v>
      </c>
      <c r="Q224" s="10">
        <f>P224</f>
        <v/>
      </c>
      <c r="R224" s="25" t="n"/>
      <c r="S224" s="10" t="n">
        <v>44700</v>
      </c>
      <c r="T224" s="10">
        <f>S224</f>
        <v/>
      </c>
      <c r="U224" s="27" t="n">
        <v>46700</v>
      </c>
      <c r="V224" s="10">
        <f>U224</f>
        <v/>
      </c>
      <c r="W224" s="277">
        <f>S224/G224</f>
        <v/>
      </c>
      <c r="X224" s="10" t="inlineStr">
        <is>
          <t>E</t>
        </is>
      </c>
      <c r="Y224" s="60" t="n"/>
      <c r="Z224" s="394" t="n"/>
      <c r="AA224" s="14" t="inlineStr">
        <is>
          <t>No</t>
        </is>
      </c>
      <c r="AB224" s="29" t="inlineStr">
        <is>
          <t>Unit under refurbishment</t>
        </is>
      </c>
      <c r="AC224" s="303" t="n">
        <v>62.5</v>
      </c>
      <c r="AD224" s="4" t="n">
        <v>1</v>
      </c>
      <c r="AE224" s="278" t="n">
        <v>2</v>
      </c>
      <c r="AF224" s="4" t="inlineStr">
        <is>
          <t>LEM</t>
        </is>
      </c>
    </row>
    <row r="225">
      <c r="A225" s="11" t="inlineStr">
        <is>
          <t>WS</t>
        </is>
      </c>
      <c r="B225" s="11" t="inlineStr">
        <is>
          <t>MEL</t>
        </is>
      </c>
      <c r="C225" s="2" t="n">
        <v>550730</v>
      </c>
      <c r="D225" s="4" t="inlineStr">
        <is>
          <t>20 Margaret Street</t>
        </is>
      </c>
      <c r="E225" s="4" t="inlineStr">
        <is>
          <t>Third Floor</t>
        </is>
      </c>
      <c r="F225" s="14" t="inlineStr">
        <is>
          <t>Office</t>
        </is>
      </c>
      <c r="G225" s="7" t="n">
        <v>791</v>
      </c>
      <c r="H225" s="7">
        <f>G225</f>
        <v/>
      </c>
      <c r="I225" s="7" t="n">
        <v>750</v>
      </c>
      <c r="J225" s="4" t="inlineStr">
        <is>
          <t>Vesper Investments Ltd</t>
        </is>
      </c>
      <c r="K225" s="8" t="n">
        <v>45533</v>
      </c>
      <c r="L225" s="9" t="n">
        <v>47358</v>
      </c>
      <c r="P225" s="10" t="n">
        <v>46273</v>
      </c>
      <c r="Q225" s="10">
        <f>P225</f>
        <v/>
      </c>
      <c r="S225" s="10" t="n">
        <v>43500</v>
      </c>
      <c r="T225" s="10">
        <f>S225</f>
        <v/>
      </c>
      <c r="U225" s="27" t="n">
        <v>45500</v>
      </c>
      <c r="V225" s="10">
        <f>U225</f>
        <v/>
      </c>
      <c r="W225" s="277">
        <f>S225/G225</f>
        <v/>
      </c>
      <c r="X225" s="10" t="inlineStr">
        <is>
          <t>E</t>
        </is>
      </c>
      <c r="Y225" s="60" t="n"/>
      <c r="Z225" s="394" t="n"/>
      <c r="AA225" s="14" t="inlineStr">
        <is>
          <t>No</t>
        </is>
      </c>
      <c r="AD225" s="29" t="n"/>
      <c r="AE225" s="279" t="n"/>
      <c r="AF225" s="29" t="n"/>
    </row>
    <row r="226">
      <c r="A226" s="11" t="inlineStr">
        <is>
          <t>WS</t>
        </is>
      </c>
      <c r="B226" s="11" t="inlineStr">
        <is>
          <t>MEL</t>
        </is>
      </c>
      <c r="C226" s="2" t="n">
        <v>550730</v>
      </c>
      <c r="D226" s="4" t="inlineStr">
        <is>
          <t>20 Margaret Street</t>
        </is>
      </c>
      <c r="E226" s="4" t="inlineStr">
        <is>
          <t>Fourth Floor</t>
        </is>
      </c>
      <c r="F226" s="14" t="inlineStr">
        <is>
          <t>Office</t>
        </is>
      </c>
      <c r="G226" s="7" t="n">
        <v>797</v>
      </c>
      <c r="H226" s="7">
        <f>G226</f>
        <v/>
      </c>
      <c r="I226" s="7" t="n">
        <v>750</v>
      </c>
      <c r="J226" s="4" t="inlineStr">
        <is>
          <t>Vacant</t>
        </is>
      </c>
      <c r="M226" s="9" t="n">
        <v>44439</v>
      </c>
      <c r="P226" s="10" t="n">
        <v>0</v>
      </c>
      <c r="Q226" s="10">
        <f>P226</f>
        <v/>
      </c>
      <c r="S226" s="10" t="n">
        <v>43800</v>
      </c>
      <c r="T226" s="10">
        <f>S226</f>
        <v/>
      </c>
      <c r="U226" s="27" t="n">
        <v>45800</v>
      </c>
      <c r="V226" s="10">
        <f>U226</f>
        <v/>
      </c>
      <c r="W226" s="277">
        <f>S226/G226</f>
        <v/>
      </c>
      <c r="X226" s="10" t="inlineStr">
        <is>
          <t>E</t>
        </is>
      </c>
      <c r="Y226" s="60" t="n"/>
      <c r="Z226" s="394" t="n"/>
      <c r="AA226" s="14" t="inlineStr">
        <is>
          <t>No</t>
        </is>
      </c>
      <c r="AB226" s="29" t="inlineStr">
        <is>
          <t>Unit under refurbishment</t>
        </is>
      </c>
      <c r="AC226" s="303" t="n">
        <v>62.5</v>
      </c>
      <c r="AD226" s="4" t="n">
        <v>1</v>
      </c>
      <c r="AE226" s="278" t="n">
        <v>2</v>
      </c>
      <c r="AF226" s="4" t="inlineStr">
        <is>
          <t>LEM</t>
        </is>
      </c>
    </row>
    <row r="227">
      <c r="A227" s="11" t="inlineStr">
        <is>
          <t>WS</t>
        </is>
      </c>
      <c r="B227" s="11" t="inlineStr">
        <is>
          <t>MEL</t>
        </is>
      </c>
      <c r="C227" s="2" t="n">
        <v>550730</v>
      </c>
      <c r="D227" s="4" t="inlineStr">
        <is>
          <t>20 Margaret Street</t>
        </is>
      </c>
      <c r="E227" s="4" t="inlineStr">
        <is>
          <t>Fifth Floor</t>
        </is>
      </c>
      <c r="F227" s="14" t="inlineStr">
        <is>
          <t>Office</t>
        </is>
      </c>
      <c r="G227" s="7" t="n">
        <v>747</v>
      </c>
      <c r="H227" s="7">
        <f>G227</f>
        <v/>
      </c>
      <c r="I227" s="7" t="n">
        <v>750</v>
      </c>
      <c r="J227" s="4" t="inlineStr">
        <is>
          <t>Moods Beauty Ltd</t>
        </is>
      </c>
      <c r="K227" s="8" t="n">
        <v>45553</v>
      </c>
      <c r="L227" s="9" t="n">
        <v>46282</v>
      </c>
      <c r="P227" s="10" t="n">
        <v>41250</v>
      </c>
      <c r="Q227" s="10">
        <f>P227</f>
        <v/>
      </c>
      <c r="S227" s="10" t="n">
        <v>39200</v>
      </c>
      <c r="T227" s="10">
        <f>S227</f>
        <v/>
      </c>
      <c r="U227" s="27" t="n">
        <v>41250</v>
      </c>
      <c r="V227" s="10">
        <f>U227</f>
        <v/>
      </c>
      <c r="W227" s="277">
        <f>S227/G227</f>
        <v/>
      </c>
      <c r="X227" s="10" t="inlineStr">
        <is>
          <t>E</t>
        </is>
      </c>
      <c r="Y227" s="60" t="n"/>
      <c r="Z227" s="394" t="n"/>
      <c r="AA227" s="14" t="inlineStr">
        <is>
          <t>No</t>
        </is>
      </c>
      <c r="AE227" s="278" t="n"/>
    </row>
    <row r="228">
      <c r="A228" s="11" t="inlineStr">
        <is>
          <t>CM</t>
        </is>
      </c>
      <c r="B228" s="11" t="inlineStr">
        <is>
          <t>MEL</t>
        </is>
      </c>
      <c r="C228" s="2" t="n">
        <v>550800</v>
      </c>
      <c r="D228" s="4" t="inlineStr">
        <is>
          <t>25 Margaret Street</t>
        </is>
      </c>
      <c r="E228" s="4" t="inlineStr">
        <is>
          <t>Basement</t>
        </is>
      </c>
      <c r="F228" s="14" t="inlineStr">
        <is>
          <t>Showroom</t>
        </is>
      </c>
      <c r="G228" s="7" t="n">
        <v>424</v>
      </c>
      <c r="H228" s="7">
        <f>G228</f>
        <v/>
      </c>
      <c r="I228" s="7" t="n">
        <v>500</v>
      </c>
      <c r="J228" s="4" t="inlineStr">
        <is>
          <t>Mr K Saraj</t>
        </is>
      </c>
      <c r="K228" s="8" t="n">
        <v>45262</v>
      </c>
      <c r="L228" s="9" t="n">
        <v>47088</v>
      </c>
      <c r="P228" s="10" t="n">
        <v>11872</v>
      </c>
      <c r="Q228" s="10">
        <f>P228</f>
        <v/>
      </c>
      <c r="S228" s="10" t="n">
        <v>11660</v>
      </c>
      <c r="T228" s="10">
        <f>S228</f>
        <v/>
      </c>
      <c r="U228" s="27" t="n">
        <v>11660</v>
      </c>
      <c r="V228" s="10">
        <f>U228</f>
        <v/>
      </c>
      <c r="W228" s="277">
        <f>S228/G228</f>
        <v/>
      </c>
      <c r="X228" s="10" t="inlineStr">
        <is>
          <t>E</t>
        </is>
      </c>
      <c r="Y228" s="60" t="n"/>
      <c r="Z228" s="36" t="n"/>
      <c r="AA228" s="14" t="inlineStr">
        <is>
          <t>No</t>
        </is>
      </c>
      <c r="AC228" s="305" t="n"/>
      <c r="AE228" s="278" t="n"/>
    </row>
    <row r="229">
      <c r="A229" s="11" t="inlineStr">
        <is>
          <t>CM</t>
        </is>
      </c>
      <c r="B229" s="11" t="inlineStr">
        <is>
          <t>MEL</t>
        </is>
      </c>
      <c r="C229" s="2" t="n">
        <v>550800</v>
      </c>
      <c r="D229" s="4" t="inlineStr">
        <is>
          <t>25 Margaret Street</t>
        </is>
      </c>
      <c r="E229" s="4" t="inlineStr">
        <is>
          <t xml:space="preserve">Ground Floor </t>
        </is>
      </c>
      <c r="F229" s="14" t="inlineStr">
        <is>
          <t>Retail</t>
        </is>
      </c>
      <c r="G229" s="7" t="n">
        <v>515</v>
      </c>
      <c r="H229" s="7">
        <f>G229</f>
        <v/>
      </c>
      <c r="I229" s="7" t="n">
        <v>500</v>
      </c>
      <c r="J229" s="4" t="inlineStr">
        <is>
          <t>Camran Naseri &amp; Rehana Miah</t>
        </is>
      </c>
      <c r="K229" s="8" t="n">
        <v>44756</v>
      </c>
      <c r="L229" s="9" t="n">
        <v>47154</v>
      </c>
      <c r="N229" s="9" t="n">
        <v>45328</v>
      </c>
      <c r="P229" s="10" t="n">
        <v>37500</v>
      </c>
      <c r="Q229" s="10">
        <f>P229</f>
        <v/>
      </c>
      <c r="S229" s="10" t="n">
        <v>37502</v>
      </c>
      <c r="T229" s="10">
        <f>S229</f>
        <v/>
      </c>
      <c r="U229" s="27" t="n">
        <v>37500</v>
      </c>
      <c r="V229" s="10">
        <f>U229</f>
        <v/>
      </c>
      <c r="W229" s="277">
        <f>S229/G229</f>
        <v/>
      </c>
      <c r="X229" s="10" t="inlineStr">
        <is>
          <t>B</t>
        </is>
      </c>
      <c r="Y229" s="60" t="n"/>
      <c r="Z229" s="36" t="n"/>
      <c r="AA229" s="14" t="inlineStr">
        <is>
          <t>No</t>
        </is>
      </c>
      <c r="AE229" s="278" t="n"/>
    </row>
    <row r="230">
      <c r="A230" s="11" t="inlineStr">
        <is>
          <t>CM</t>
        </is>
      </c>
      <c r="B230" s="11" t="inlineStr">
        <is>
          <t>MEL</t>
        </is>
      </c>
      <c r="C230" s="2" t="n">
        <v>550800</v>
      </c>
      <c r="D230" s="4" t="inlineStr">
        <is>
          <t>25 Margaret Street</t>
        </is>
      </c>
      <c r="E230" s="4" t="inlineStr">
        <is>
          <t>First Floor (F)</t>
        </is>
      </c>
      <c r="F230" s="14" t="inlineStr">
        <is>
          <t>Office</t>
        </is>
      </c>
      <c r="G230" s="7" t="n">
        <v>172</v>
      </c>
      <c r="H230" s="7">
        <f>G230</f>
        <v/>
      </c>
      <c r="I230" s="7" t="n">
        <v>250</v>
      </c>
      <c r="J230" s="4" t="inlineStr">
        <is>
          <t>Mr Christos Tombras</t>
        </is>
      </c>
      <c r="K230" s="8" t="n">
        <v>44750</v>
      </c>
      <c r="L230" s="9" t="n">
        <v>46575</v>
      </c>
      <c r="P230" s="10" t="n">
        <v>9400</v>
      </c>
      <c r="Q230" s="10">
        <f>P230</f>
        <v/>
      </c>
      <c r="S230" s="10" t="n">
        <v>9460</v>
      </c>
      <c r="T230" s="10">
        <f>S230</f>
        <v/>
      </c>
      <c r="U230" s="27" t="n">
        <v>11180</v>
      </c>
      <c r="V230" s="10">
        <f>U230</f>
        <v/>
      </c>
      <c r="W230" s="277">
        <f>S230/G230</f>
        <v/>
      </c>
      <c r="X230" s="10" t="inlineStr">
        <is>
          <t>E</t>
        </is>
      </c>
      <c r="Y230" s="60" t="n"/>
      <c r="Z230" s="36" t="n"/>
      <c r="AA230" s="14" t="inlineStr">
        <is>
          <t>No</t>
        </is>
      </c>
      <c r="AE230" s="278" t="n"/>
    </row>
    <row r="231">
      <c r="A231" s="11" t="inlineStr">
        <is>
          <t>CM</t>
        </is>
      </c>
      <c r="B231" s="11" t="inlineStr">
        <is>
          <t>MEL</t>
        </is>
      </c>
      <c r="C231" s="2" t="n">
        <v>550800</v>
      </c>
      <c r="D231" s="4" t="inlineStr">
        <is>
          <t>25 Margaret Street</t>
        </is>
      </c>
      <c r="E231" s="4" t="inlineStr">
        <is>
          <t>First Floor (R)</t>
        </is>
      </c>
      <c r="F231" s="14" t="inlineStr">
        <is>
          <t>Office</t>
        </is>
      </c>
      <c r="G231" s="7" t="n">
        <v>117</v>
      </c>
      <c r="H231" s="7">
        <f>G231</f>
        <v/>
      </c>
      <c r="I231" s="7" t="n">
        <v>250</v>
      </c>
      <c r="J231" s="4" t="inlineStr">
        <is>
          <t>Ms J. Hogan</t>
        </is>
      </c>
      <c r="K231" s="8" t="n">
        <v>45194</v>
      </c>
      <c r="L231" s="9" t="n">
        <v>47020</v>
      </c>
      <c r="O231" s="9" t="n">
        <v>46289</v>
      </c>
      <c r="P231" s="10" t="n">
        <v>7100</v>
      </c>
      <c r="Q231" s="10">
        <f>P231</f>
        <v/>
      </c>
      <c r="S231" s="10" t="n">
        <v>7000</v>
      </c>
      <c r="T231" s="10">
        <f>S231</f>
        <v/>
      </c>
      <c r="U231" s="27" t="n">
        <v>7605</v>
      </c>
      <c r="V231" s="10">
        <f>U231</f>
        <v/>
      </c>
      <c r="W231" s="277">
        <f>S231/G231</f>
        <v/>
      </c>
      <c r="X231" s="10" t="inlineStr">
        <is>
          <t>E</t>
        </is>
      </c>
      <c r="Y231" s="60" t="n"/>
      <c r="Z231" s="36" t="n"/>
      <c r="AA231" s="14" t="inlineStr">
        <is>
          <t>No</t>
        </is>
      </c>
      <c r="AB231" s="4" t="inlineStr">
        <is>
          <t>Tenant break on 6 months notice.</t>
        </is>
      </c>
      <c r="AE231" s="278" t="n"/>
    </row>
    <row r="232">
      <c r="A232" s="11" t="inlineStr">
        <is>
          <t>CM</t>
        </is>
      </c>
      <c r="B232" s="11" t="inlineStr">
        <is>
          <t>MEL</t>
        </is>
      </c>
      <c r="C232" s="2" t="n">
        <v>550800</v>
      </c>
      <c r="D232" s="4" t="inlineStr">
        <is>
          <t>25 Margaret Street</t>
        </is>
      </c>
      <c r="E232" s="4" t="inlineStr">
        <is>
          <t>Second Floor (F)</t>
        </is>
      </c>
      <c r="F232" s="14" t="inlineStr">
        <is>
          <t>Office</t>
        </is>
      </c>
      <c r="G232" s="7" t="n">
        <v>170</v>
      </c>
      <c r="H232" s="7">
        <f>G232</f>
        <v/>
      </c>
      <c r="I232" s="7" t="n">
        <v>250</v>
      </c>
      <c r="J232" s="4" t="inlineStr">
        <is>
          <t>Ms Tara Harrison</t>
        </is>
      </c>
      <c r="K232" s="8" t="n">
        <v>45632</v>
      </c>
      <c r="L232" s="9" t="n">
        <v>47457</v>
      </c>
      <c r="O232" s="9" t="n">
        <v>46519</v>
      </c>
      <c r="P232" s="10" t="n">
        <v>9400</v>
      </c>
      <c r="Q232" s="10">
        <f>P232</f>
        <v/>
      </c>
      <c r="S232" s="10" t="n">
        <v>8925</v>
      </c>
      <c r="T232" s="10">
        <f>S232</f>
        <v/>
      </c>
      <c r="U232" s="27" t="n">
        <v>11050</v>
      </c>
      <c r="V232" s="10">
        <f>U232</f>
        <v/>
      </c>
      <c r="W232" s="277">
        <f>S232/G232</f>
        <v/>
      </c>
      <c r="X232" s="10" t="inlineStr">
        <is>
          <t>E</t>
        </is>
      </c>
      <c r="Y232" s="60" t="n"/>
      <c r="Z232" s="36" t="n"/>
      <c r="AA232" s="14" t="inlineStr">
        <is>
          <t>No</t>
        </is>
      </c>
      <c r="AB232" s="4" t="inlineStr">
        <is>
          <t>Tenant break 12/05/27 on 6 months notice.</t>
        </is>
      </c>
      <c r="AE232" s="278" t="n"/>
    </row>
    <row r="233">
      <c r="A233" s="11" t="inlineStr">
        <is>
          <t>CM</t>
        </is>
      </c>
      <c r="B233" s="11" t="inlineStr">
        <is>
          <t>MEL</t>
        </is>
      </c>
      <c r="C233" s="2" t="n">
        <v>550800</v>
      </c>
      <c r="D233" s="4" t="inlineStr">
        <is>
          <t>25 Margaret Street</t>
        </is>
      </c>
      <c r="E233" s="4" t="inlineStr">
        <is>
          <t>Second Floor (R)</t>
        </is>
      </c>
      <c r="F233" s="14" t="inlineStr">
        <is>
          <t>Office</t>
        </is>
      </c>
      <c r="G233" s="7" t="n">
        <v>130</v>
      </c>
      <c r="H233" s="7">
        <f>G233</f>
        <v/>
      </c>
      <c r="I233" s="7" t="n">
        <v>250</v>
      </c>
      <c r="J233" s="4" t="inlineStr">
        <is>
          <t>Mr R Backes</t>
        </is>
      </c>
      <c r="K233" s="8" t="n">
        <v>44762</v>
      </c>
      <c r="L233" s="9" t="n">
        <v>46587</v>
      </c>
      <c r="P233" s="10" t="n">
        <v>7605</v>
      </c>
      <c r="Q233" s="10">
        <f>P233</f>
        <v/>
      </c>
      <c r="S233" s="10" t="n">
        <v>7605</v>
      </c>
      <c r="T233" s="10">
        <f>S233</f>
        <v/>
      </c>
      <c r="U233" s="27" t="n">
        <v>8450</v>
      </c>
      <c r="V233" s="10">
        <f>U233</f>
        <v/>
      </c>
      <c r="W233" s="277">
        <f>S233/G233</f>
        <v/>
      </c>
      <c r="X233" s="10" t="inlineStr">
        <is>
          <t>E</t>
        </is>
      </c>
      <c r="Y233" s="60" t="n"/>
      <c r="Z233" s="36" t="n"/>
      <c r="AA233" s="14" t="inlineStr">
        <is>
          <t>No</t>
        </is>
      </c>
      <c r="AE233" s="278" t="n"/>
    </row>
    <row r="234">
      <c r="A234" s="11" t="inlineStr">
        <is>
          <t>CM</t>
        </is>
      </c>
      <c r="B234" s="11" t="inlineStr">
        <is>
          <t>MEL</t>
        </is>
      </c>
      <c r="C234" s="2" t="n">
        <v>550800</v>
      </c>
      <c r="D234" s="4" t="inlineStr">
        <is>
          <t>25 Margaret Street</t>
        </is>
      </c>
      <c r="E234" s="4" t="inlineStr">
        <is>
          <t>Third &amp; Fourth Floors</t>
        </is>
      </c>
      <c r="F234" s="14" t="inlineStr">
        <is>
          <t>Residential</t>
        </is>
      </c>
      <c r="G234" s="7" t="n">
        <v>600</v>
      </c>
      <c r="H234" s="7">
        <f>G234</f>
        <v/>
      </c>
      <c r="I234" s="7" t="n">
        <v>500</v>
      </c>
      <c r="J234" s="4" t="inlineStr">
        <is>
          <t>Mr Bick Ole &amp; Miss Ana Roomas Ledo</t>
        </is>
      </c>
      <c r="K234" s="8" t="n">
        <v>45866</v>
      </c>
      <c r="L234" s="9" t="n">
        <v>46230</v>
      </c>
      <c r="P234" s="10" t="n">
        <v>41600</v>
      </c>
      <c r="Q234" s="10">
        <f>P234</f>
        <v/>
      </c>
      <c r="S234" s="10" t="n">
        <v>36140</v>
      </c>
      <c r="T234" s="10">
        <f>S234</f>
        <v/>
      </c>
      <c r="U234" s="27" t="n">
        <v>41600</v>
      </c>
      <c r="V234" s="10">
        <f>U234</f>
        <v/>
      </c>
      <c r="W234" s="277">
        <f>S234/G234</f>
        <v/>
      </c>
      <c r="X234" s="10" t="inlineStr">
        <is>
          <t>E</t>
        </is>
      </c>
      <c r="Y234" s="60" t="n"/>
      <c r="Z234" s="36" t="n"/>
      <c r="AA234" s="14" t="inlineStr">
        <is>
          <t>No</t>
        </is>
      </c>
      <c r="AE234" s="278" t="n"/>
    </row>
    <row r="235">
      <c r="A235" s="11" t="inlineStr">
        <is>
          <t>SH</t>
        </is>
      </c>
      <c r="B235" s="11" t="inlineStr">
        <is>
          <t>MEL</t>
        </is>
      </c>
      <c r="C235" s="2" t="n">
        <v>550550</v>
      </c>
      <c r="D235" s="4" t="inlineStr">
        <is>
          <t>47,48 &amp; 50 Margaret Street</t>
        </is>
      </c>
      <c r="E235" s="4" t="inlineStr">
        <is>
          <t>Basement (48-50)</t>
        </is>
      </c>
      <c r="F235" s="14" t="inlineStr">
        <is>
          <t>Nightclub</t>
        </is>
      </c>
      <c r="G235" s="7" t="n">
        <v>3664</v>
      </c>
      <c r="H235" s="7">
        <f>G235</f>
        <v/>
      </c>
      <c r="I235" s="7" t="n">
        <v>3500</v>
      </c>
      <c r="J235" s="4" t="inlineStr">
        <is>
          <t>Masterbet Ltd.</t>
        </is>
      </c>
      <c r="K235" s="8" t="n">
        <v>40946</v>
      </c>
      <c r="L235" s="8" t="n">
        <v>46424</v>
      </c>
      <c r="M235" s="8" t="n"/>
      <c r="P235" s="10" t="n">
        <v>230000</v>
      </c>
      <c r="Q235" s="10">
        <f>P235</f>
        <v/>
      </c>
      <c r="S235" s="10" t="n">
        <v>225000</v>
      </c>
      <c r="T235" s="10">
        <f>S235</f>
        <v/>
      </c>
      <c r="U235" s="27" t="n">
        <v>201500</v>
      </c>
      <c r="V235" s="10">
        <f>U235</f>
        <v/>
      </c>
      <c r="W235" s="277">
        <f>S235/G235</f>
        <v/>
      </c>
      <c r="X235" s="10" t="inlineStr">
        <is>
          <t>B</t>
        </is>
      </c>
      <c r="Y235" s="60" t="n"/>
      <c r="Z235" s="394" t="n"/>
      <c r="AA235" s="14" t="inlineStr">
        <is>
          <t>No</t>
        </is>
      </c>
      <c r="AB235" s="4" t="inlineStr">
        <is>
          <t>Rent rises to £232,500 @ 07/02/26.</t>
        </is>
      </c>
      <c r="AE235" s="278" t="n"/>
    </row>
    <row r="236">
      <c r="A236" s="11" t="inlineStr">
        <is>
          <t>SH</t>
        </is>
      </c>
      <c r="B236" s="11" t="inlineStr">
        <is>
          <t>MEL</t>
        </is>
      </c>
      <c r="C236" s="2" t="n">
        <v>550550</v>
      </c>
      <c r="D236" s="4" t="inlineStr">
        <is>
          <t>47,48 &amp; 50 Margaret Street</t>
        </is>
      </c>
      <c r="E236" s="4" t="inlineStr">
        <is>
          <t>Ground Floor &amp; Basement (47)</t>
        </is>
      </c>
      <c r="F236" s="14" t="inlineStr">
        <is>
          <t>Retail</t>
        </is>
      </c>
      <c r="G236" s="7" t="n">
        <v>1496</v>
      </c>
      <c r="H236" s="7">
        <f>G236</f>
        <v/>
      </c>
      <c r="I236" s="7" t="n">
        <v>1500</v>
      </c>
      <c r="J236" s="4" t="inlineStr">
        <is>
          <t>MSBB Ltd.</t>
        </is>
      </c>
      <c r="K236" s="8" t="n">
        <v>45178</v>
      </c>
      <c r="L236" s="9" t="n">
        <v>47004</v>
      </c>
      <c r="M236" s="9" t="n"/>
      <c r="P236" s="10" t="n">
        <v>53200</v>
      </c>
      <c r="Q236" s="10">
        <f>P236</f>
        <v/>
      </c>
      <c r="S236" s="10" t="n">
        <v>53200</v>
      </c>
      <c r="T236" s="10">
        <f>S236</f>
        <v/>
      </c>
      <c r="U236" s="27" t="n">
        <v>58000</v>
      </c>
      <c r="V236" s="10">
        <f>U236</f>
        <v/>
      </c>
      <c r="W236" s="277">
        <f>S236/G236</f>
        <v/>
      </c>
      <c r="X236" s="10" t="inlineStr">
        <is>
          <t>B</t>
        </is>
      </c>
      <c r="Y236" s="60" t="n"/>
      <c r="Z236" s="394" t="n"/>
      <c r="AA236" s="14" t="inlineStr">
        <is>
          <t>No</t>
        </is>
      </c>
      <c r="AB236" s="4" t="inlineStr">
        <is>
          <t>Landlord break @ 08/09/26 on 6 months notice</t>
        </is>
      </c>
      <c r="AE236" s="278" t="n"/>
    </row>
    <row r="237">
      <c r="A237" s="11" t="inlineStr">
        <is>
          <t>SH</t>
        </is>
      </c>
      <c r="B237" s="11" t="inlineStr">
        <is>
          <t>MEL</t>
        </is>
      </c>
      <c r="C237" s="2" t="n">
        <v>550550</v>
      </c>
      <c r="D237" s="4" t="inlineStr">
        <is>
          <t>47,48 &amp; 50 Margaret Street</t>
        </is>
      </c>
      <c r="E237" s="4" t="inlineStr">
        <is>
          <t>Ground Floor (50)</t>
        </is>
      </c>
      <c r="F237" s="14" t="inlineStr">
        <is>
          <t>Restaurant</t>
        </is>
      </c>
      <c r="G237" s="7" t="n">
        <v>1592</v>
      </c>
      <c r="H237" s="7">
        <f>G237</f>
        <v/>
      </c>
      <c r="I237" s="7" t="n">
        <v>1500</v>
      </c>
      <c r="J237" s="4" t="inlineStr">
        <is>
          <t>Oreno Ramen Limited</t>
        </is>
      </c>
      <c r="K237" s="8" t="n">
        <v>44663</v>
      </c>
      <c r="L237" s="9" t="n">
        <v>50141</v>
      </c>
      <c r="N237" s="9" t="n">
        <v>46489</v>
      </c>
      <c r="O237" s="9" t="n">
        <v>48315</v>
      </c>
      <c r="P237" s="10" t="n">
        <v>95000</v>
      </c>
      <c r="Q237" s="10">
        <f>P237</f>
        <v/>
      </c>
      <c r="S237" s="10" t="n">
        <v>100500</v>
      </c>
      <c r="T237" s="10">
        <f>S237</f>
        <v/>
      </c>
      <c r="U237" s="27" t="n">
        <v>95500</v>
      </c>
      <c r="V237" s="10">
        <f>U237</f>
        <v/>
      </c>
      <c r="W237" s="277">
        <f>S237/G237</f>
        <v/>
      </c>
      <c r="X237" s="27" t="inlineStr">
        <is>
          <t>B</t>
        </is>
      </c>
      <c r="Y237" s="60" t="n"/>
      <c r="Z237" s="394" t="n"/>
      <c r="AA237" s="14" t="inlineStr">
        <is>
          <t>No</t>
        </is>
      </c>
      <c r="AB237" s="4" t="inlineStr">
        <is>
          <t>Stepped rent. £100,000 wef 12/04/26. Mutual break on 9 months notice.</t>
        </is>
      </c>
      <c r="AE237" s="278" t="n"/>
    </row>
    <row r="238">
      <c r="A238" s="11" t="inlineStr">
        <is>
          <t>SH</t>
        </is>
      </c>
      <c r="B238" s="11" t="inlineStr">
        <is>
          <t>MEL</t>
        </is>
      </c>
      <c r="C238" s="2" t="n">
        <v>550550</v>
      </c>
      <c r="D238" s="4" t="inlineStr">
        <is>
          <t>47,48 &amp; 50 Margaret Street</t>
        </is>
      </c>
      <c r="E238" s="4" t="inlineStr">
        <is>
          <t xml:space="preserve">Ground Floor (48) </t>
        </is>
      </c>
      <c r="F238" s="14" t="inlineStr">
        <is>
          <t>Retail</t>
        </is>
      </c>
      <c r="G238" s="7" t="n">
        <v>1704</v>
      </c>
      <c r="H238" s="7">
        <f>G238</f>
        <v/>
      </c>
      <c r="I238" s="7" t="n">
        <v>1750</v>
      </c>
      <c r="J238" s="4" t="inlineStr">
        <is>
          <t>48 Margaret Street Trading Ltd</t>
        </is>
      </c>
      <c r="K238" s="8" t="n">
        <v>45111</v>
      </c>
      <c r="L238" s="9" t="n">
        <v>48763</v>
      </c>
      <c r="N238" s="9" t="n">
        <v>46938</v>
      </c>
      <c r="P238" s="10" t="n">
        <v>105000</v>
      </c>
      <c r="Q238" s="10">
        <f>P238</f>
        <v/>
      </c>
      <c r="S238" s="10" t="n">
        <v>96300</v>
      </c>
      <c r="T238" s="10">
        <f>S238</f>
        <v/>
      </c>
      <c r="U238" s="27" t="n">
        <v>102200</v>
      </c>
      <c r="V238" s="10">
        <f>U238</f>
        <v/>
      </c>
      <c r="W238" s="277">
        <f>S238/G238</f>
        <v/>
      </c>
      <c r="X238" s="10" t="inlineStr">
        <is>
          <t>B</t>
        </is>
      </c>
      <c r="Y238" s="60" t="n"/>
      <c r="Z238" s="394" t="n"/>
      <c r="AA238" s="14" t="inlineStr">
        <is>
          <t>No</t>
        </is>
      </c>
      <c r="AE238" s="278" t="n"/>
    </row>
    <row r="239">
      <c r="A239" s="11" t="inlineStr">
        <is>
          <t>SH</t>
        </is>
      </c>
      <c r="B239" s="11" t="inlineStr">
        <is>
          <t>MEL</t>
        </is>
      </c>
      <c r="C239" s="2" t="n">
        <v>550550</v>
      </c>
      <c r="D239" s="4" t="inlineStr">
        <is>
          <t>47,48 &amp; 50 Margaret Street</t>
        </is>
      </c>
      <c r="E239" s="4" t="inlineStr">
        <is>
          <t>First Floor (East)</t>
        </is>
      </c>
      <c r="F239" s="14" t="inlineStr">
        <is>
          <t>D1</t>
        </is>
      </c>
      <c r="G239" s="7" t="n">
        <v>2955</v>
      </c>
      <c r="H239" s="7">
        <f>G239</f>
        <v/>
      </c>
      <c r="I239" s="7" t="n">
        <v>3000</v>
      </c>
      <c r="J239" s="4" t="inlineStr">
        <is>
          <t>Sun Kyeong Qi</t>
        </is>
      </c>
      <c r="K239" s="8" t="n">
        <v>45329</v>
      </c>
      <c r="L239" s="9" t="n">
        <v>46059</v>
      </c>
      <c r="P239" s="10" t="n">
        <v>150000</v>
      </c>
      <c r="Q239" s="10">
        <f>P239</f>
        <v/>
      </c>
      <c r="S239" s="10" t="n">
        <v>180000</v>
      </c>
      <c r="T239" s="10">
        <f>S239</f>
        <v/>
      </c>
      <c r="U239" s="27" t="n">
        <v>177300</v>
      </c>
      <c r="V239" s="10">
        <f>U239</f>
        <v/>
      </c>
      <c r="W239" s="277">
        <f>S239/G239</f>
        <v/>
      </c>
      <c r="X239" s="10" t="inlineStr">
        <is>
          <t>C</t>
        </is>
      </c>
      <c r="Y239" s="60" t="n"/>
      <c r="Z239" s="394" t="n"/>
      <c r="AA239" s="14" t="inlineStr">
        <is>
          <t>No</t>
        </is>
      </c>
      <c r="AE239" s="278" t="n"/>
    </row>
    <row r="240">
      <c r="A240" s="11" t="inlineStr">
        <is>
          <t>SH</t>
        </is>
      </c>
      <c r="B240" s="11" t="inlineStr">
        <is>
          <t>MEL</t>
        </is>
      </c>
      <c r="C240" s="2" t="n">
        <v>550550</v>
      </c>
      <c r="D240" s="4" t="inlineStr">
        <is>
          <t>47,48 &amp; 50 Margaret Street</t>
        </is>
      </c>
      <c r="E240" s="4" t="inlineStr">
        <is>
          <t>First Floor (West)</t>
        </is>
      </c>
      <c r="F240" s="14" t="inlineStr">
        <is>
          <t>Office</t>
        </is>
      </c>
      <c r="G240" s="7" t="n">
        <v>388</v>
      </c>
      <c r="H240" s="7">
        <f>G240</f>
        <v/>
      </c>
      <c r="I240" s="7" t="n">
        <v>500</v>
      </c>
      <c r="J240" s="4" t="inlineStr">
        <is>
          <t>Hypecore Limited</t>
        </is>
      </c>
      <c r="K240" s="8" t="n">
        <v>45429</v>
      </c>
      <c r="L240" s="9" t="n">
        <v>47254</v>
      </c>
      <c r="O240" s="9" t="n">
        <v>46158</v>
      </c>
      <c r="P240" s="10" t="n">
        <v>20520</v>
      </c>
      <c r="Q240" s="10">
        <f>P240</f>
        <v/>
      </c>
      <c r="S240" s="10" t="n">
        <v>19000</v>
      </c>
      <c r="T240" s="10">
        <f>S240</f>
        <v/>
      </c>
      <c r="U240" s="27" t="n">
        <v>21000</v>
      </c>
      <c r="V240" s="10">
        <f>U240</f>
        <v/>
      </c>
      <c r="W240" s="277">
        <f>S240/G240</f>
        <v/>
      </c>
      <c r="X240" s="10" t="inlineStr">
        <is>
          <t>C</t>
        </is>
      </c>
      <c r="Y240" s="60" t="n"/>
      <c r="Z240" s="394" t="n"/>
      <c r="AA240" s="14" t="inlineStr">
        <is>
          <t>No</t>
        </is>
      </c>
      <c r="AB240" s="4" t="inlineStr">
        <is>
          <t>Tenant break on 6 months notice.</t>
        </is>
      </c>
      <c r="AE240" s="278" t="n"/>
    </row>
    <row r="241">
      <c r="A241" s="11" t="inlineStr">
        <is>
          <t>SH</t>
        </is>
      </c>
      <c r="B241" s="11" t="inlineStr">
        <is>
          <t>MEL</t>
        </is>
      </c>
      <c r="C241" s="2" t="n">
        <v>550550</v>
      </c>
      <c r="D241" s="4" t="inlineStr">
        <is>
          <t>47,48 &amp; 50 Margaret Street</t>
        </is>
      </c>
      <c r="E241" s="4" t="inlineStr">
        <is>
          <t xml:space="preserve">Second Floor (West) </t>
        </is>
      </c>
      <c r="F241" s="14" t="inlineStr">
        <is>
          <t>Office</t>
        </is>
      </c>
      <c r="G241" s="7" t="n">
        <v>395</v>
      </c>
      <c r="H241" s="7">
        <f>G241</f>
        <v/>
      </c>
      <c r="I241" s="7" t="n">
        <v>500</v>
      </c>
      <c r="J241" s="4" t="inlineStr">
        <is>
          <t>Gnosco Ltd &amp; Fortis Block Management Ltd</t>
        </is>
      </c>
      <c r="K241" s="8" t="n">
        <v>45450</v>
      </c>
      <c r="L241" s="9" t="n">
        <v>47275</v>
      </c>
      <c r="O241" s="9" t="n">
        <v>46574</v>
      </c>
      <c r="P241" s="10" t="n">
        <v>21850</v>
      </c>
      <c r="Q241" s="10">
        <f>P241</f>
        <v/>
      </c>
      <c r="S241" s="10" t="n">
        <v>18900</v>
      </c>
      <c r="T241" s="10">
        <f>S241</f>
        <v/>
      </c>
      <c r="U241" s="27" t="n">
        <v>22700</v>
      </c>
      <c r="V241" s="10">
        <f>U241</f>
        <v/>
      </c>
      <c r="W241" s="277">
        <f>S241/G241</f>
        <v/>
      </c>
      <c r="X241" s="10" t="inlineStr">
        <is>
          <t>C</t>
        </is>
      </c>
      <c r="Y241" s="60" t="n"/>
      <c r="Z241" s="394" t="n"/>
      <c r="AA241" s="14" t="inlineStr">
        <is>
          <t>No</t>
        </is>
      </c>
      <c r="AB241" s="4" t="inlineStr">
        <is>
          <t>Tenant break on 6 months notice. One month rent free from 07/06/27 if break not exercised.</t>
        </is>
      </c>
      <c r="AE241" s="278" t="n"/>
    </row>
    <row r="242">
      <c r="A242" s="11" t="inlineStr">
        <is>
          <t>SH</t>
        </is>
      </c>
      <c r="B242" s="11" t="inlineStr">
        <is>
          <t>MEL</t>
        </is>
      </c>
      <c r="C242" s="2" t="n">
        <v>550550</v>
      </c>
      <c r="D242" s="4" t="inlineStr">
        <is>
          <t>47,48 &amp; 50 Margaret Street</t>
        </is>
      </c>
      <c r="E242" s="4" t="inlineStr">
        <is>
          <t>Second Floor (East)</t>
        </is>
      </c>
      <c r="F242" s="14" t="inlineStr">
        <is>
          <t>Office</t>
        </is>
      </c>
      <c r="G242" s="7" t="n">
        <v>2610</v>
      </c>
      <c r="H242" s="7">
        <f>G242</f>
        <v/>
      </c>
      <c r="I242" s="7" t="n">
        <v>2500</v>
      </c>
      <c r="J242" s="4" t="inlineStr">
        <is>
          <t>Fitzrovia IT Ltd</t>
        </is>
      </c>
      <c r="K242" s="8" t="n">
        <v>45846</v>
      </c>
      <c r="L242" s="9" t="n">
        <v>48402</v>
      </c>
      <c r="N242" s="9" t="n">
        <v>47672</v>
      </c>
      <c r="O242" s="9" t="n">
        <v>47671</v>
      </c>
      <c r="P242" s="10" t="n">
        <v>0</v>
      </c>
      <c r="Q242" s="10">
        <f>P242</f>
        <v/>
      </c>
      <c r="S242" s="10" t="n">
        <v>182500</v>
      </c>
      <c r="T242" s="10">
        <f>S242</f>
        <v/>
      </c>
      <c r="U242" s="27" t="n">
        <v>151400</v>
      </c>
      <c r="V242" s="10">
        <f>U242</f>
        <v/>
      </c>
      <c r="W242" s="277">
        <f>S242/G242</f>
        <v/>
      </c>
      <c r="X242" s="10" t="inlineStr">
        <is>
          <t>C</t>
        </is>
      </c>
      <c r="Y242" s="60" t="n"/>
      <c r="Z242" s="394" t="n"/>
      <c r="AA242" s="14" t="inlineStr">
        <is>
          <t>No</t>
        </is>
      </c>
      <c r="AB242" s="4" t="inlineStr">
        <is>
          <t>Rent £75,980 wef 08/11/25 increasing to £151,960 wef 08/01/27. Tenant break on 6 months notice. Penalty of £25,327 if exercised.</t>
        </is>
      </c>
      <c r="AC242" s="303" t="n">
        <v>72.5</v>
      </c>
      <c r="AD242" s="4" t="n">
        <v>1</v>
      </c>
      <c r="AE242" s="278" t="n">
        <v>1</v>
      </c>
    </row>
    <row r="243">
      <c r="A243" s="11" t="inlineStr">
        <is>
          <t>SH</t>
        </is>
      </c>
      <c r="B243" s="11" t="inlineStr">
        <is>
          <t>MEL</t>
        </is>
      </c>
      <c r="C243" s="2" t="n">
        <v>550550</v>
      </c>
      <c r="D243" s="4" t="inlineStr">
        <is>
          <t>47,48 &amp; 50 Margaret Street</t>
        </is>
      </c>
      <c r="E243" s="4" t="inlineStr">
        <is>
          <t>Third Floor (East)</t>
        </is>
      </c>
      <c r="F243" s="14" t="inlineStr">
        <is>
          <t>Office</t>
        </is>
      </c>
      <c r="G243" s="7" t="n">
        <v>2508</v>
      </c>
      <c r="H243" s="7">
        <f>G243</f>
        <v/>
      </c>
      <c r="I243" s="7" t="n">
        <v>2500</v>
      </c>
      <c r="J243" s="4" t="inlineStr">
        <is>
          <t>Vacant</t>
        </is>
      </c>
      <c r="M243" s="9" t="n">
        <v>45504</v>
      </c>
      <c r="P243" s="10" t="n">
        <v>0</v>
      </c>
      <c r="Q243" s="10">
        <f>P243</f>
        <v/>
      </c>
      <c r="S243" s="10" t="n">
        <v>138800</v>
      </c>
      <c r="T243" s="10">
        <f>S243</f>
        <v/>
      </c>
      <c r="U243" s="27" t="n">
        <v>141700</v>
      </c>
      <c r="V243" s="10">
        <f>U243</f>
        <v/>
      </c>
      <c r="W243" s="277">
        <f>S243/G243</f>
        <v/>
      </c>
      <c r="X243" s="10" t="inlineStr">
        <is>
          <t>C</t>
        </is>
      </c>
      <c r="Y243" s="60" t="n"/>
      <c r="Z243" s="394" t="n"/>
      <c r="AA243" s="14" t="inlineStr">
        <is>
          <t>No</t>
        </is>
      </c>
      <c r="AC243" s="303" t="n">
        <v>72.5</v>
      </c>
      <c r="AD243" s="29" t="n">
        <v>1</v>
      </c>
      <c r="AE243" s="279" t="n">
        <v>3</v>
      </c>
      <c r="AF243" s="29" t="inlineStr">
        <is>
          <t>LDG</t>
        </is>
      </c>
    </row>
    <row r="244">
      <c r="A244" s="11" t="inlineStr">
        <is>
          <t>SH</t>
        </is>
      </c>
      <c r="B244" s="11" t="inlineStr">
        <is>
          <t>MEL</t>
        </is>
      </c>
      <c r="C244" s="2" t="n">
        <v>550550</v>
      </c>
      <c r="D244" s="4" t="inlineStr">
        <is>
          <t>47,48 &amp; 50 Margaret Street</t>
        </is>
      </c>
      <c r="E244" s="4" t="inlineStr">
        <is>
          <t>Third Floor (West)</t>
        </is>
      </c>
      <c r="F244" s="14" t="inlineStr">
        <is>
          <t>Office</t>
        </is>
      </c>
      <c r="G244" s="7" t="n">
        <v>389</v>
      </c>
      <c r="H244" s="7">
        <f>G244</f>
        <v/>
      </c>
      <c r="I244" s="7" t="n">
        <v>500</v>
      </c>
      <c r="J244" s="4" t="inlineStr">
        <is>
          <t>Vacant</t>
        </is>
      </c>
      <c r="M244" s="9" t="n">
        <v>45635</v>
      </c>
      <c r="P244" s="10" t="n">
        <v>0</v>
      </c>
      <c r="Q244" s="10">
        <f>P244</f>
        <v/>
      </c>
      <c r="S244" s="10" t="n">
        <v>19500</v>
      </c>
      <c r="T244" s="10">
        <f>S244</f>
        <v/>
      </c>
      <c r="U244" s="27" t="n">
        <v>22400</v>
      </c>
      <c r="V244" s="10">
        <f>U244</f>
        <v/>
      </c>
      <c r="W244" s="277">
        <f>S244/G244</f>
        <v/>
      </c>
      <c r="X244" s="10" t="inlineStr">
        <is>
          <t>C</t>
        </is>
      </c>
      <c r="Y244" s="60" t="n"/>
      <c r="Z244" s="394" t="n"/>
      <c r="AA244" s="14" t="inlineStr">
        <is>
          <t>No</t>
        </is>
      </c>
      <c r="AB244" s="4" t="inlineStr">
        <is>
          <t>LEM marketing.</t>
        </is>
      </c>
      <c r="AC244" s="305" t="n"/>
      <c r="AE244" s="278" t="n"/>
    </row>
    <row r="245">
      <c r="A245" s="11" t="inlineStr">
        <is>
          <t>SH</t>
        </is>
      </c>
      <c r="B245" s="11" t="inlineStr">
        <is>
          <t>MEL</t>
        </is>
      </c>
      <c r="C245" s="2" t="n">
        <v>550550</v>
      </c>
      <c r="D245" s="4" t="inlineStr">
        <is>
          <t>47,48 &amp; 50 Margaret Street</t>
        </is>
      </c>
      <c r="E245" s="4" t="inlineStr">
        <is>
          <t>Fourth Floor (West)</t>
        </is>
      </c>
      <c r="F245" s="14" t="inlineStr">
        <is>
          <t>Office</t>
        </is>
      </c>
      <c r="G245" s="7" t="n">
        <v>390</v>
      </c>
      <c r="H245" s="7">
        <f>G245</f>
        <v/>
      </c>
      <c r="I245" s="7" t="n">
        <v>500</v>
      </c>
      <c r="J245" s="4" t="inlineStr">
        <is>
          <t>Sen Yoga Limited</t>
        </is>
      </c>
      <c r="K245" s="8" t="n">
        <v>45680</v>
      </c>
      <c r="L245" s="9" t="n">
        <v>47505</v>
      </c>
      <c r="M245" s="9" t="n"/>
      <c r="N245" s="9" t="n"/>
      <c r="O245" s="9" t="n">
        <v>46774</v>
      </c>
      <c r="P245" s="10" t="n">
        <v>21060</v>
      </c>
      <c r="Q245" s="10">
        <f>P245</f>
        <v/>
      </c>
      <c r="R245" s="10" t="n"/>
      <c r="S245" s="10" t="n">
        <v>0</v>
      </c>
      <c r="T245" s="10">
        <f>S245</f>
        <v/>
      </c>
      <c r="U245" s="27" t="n">
        <v>19500</v>
      </c>
      <c r="V245" s="10">
        <f>U245</f>
        <v/>
      </c>
      <c r="W245" s="277">
        <f>S245/G245</f>
        <v/>
      </c>
      <c r="X245" s="10" t="inlineStr">
        <is>
          <t>C</t>
        </is>
      </c>
      <c r="Y245" s="60" t="n"/>
      <c r="Z245" s="394" t="n"/>
      <c r="AA245" s="14" t="inlineStr">
        <is>
          <t>No</t>
        </is>
      </c>
      <c r="AB245" s="4" t="inlineStr">
        <is>
          <t>Tenant break on 6 months notice.</t>
        </is>
      </c>
      <c r="AC245" s="303" t="n"/>
      <c r="AD245" s="4" t="n"/>
      <c r="AE245" s="278" t="n"/>
      <c r="AF245" s="4" t="n"/>
    </row>
    <row r="246">
      <c r="A246" s="11" t="inlineStr">
        <is>
          <t>SH</t>
        </is>
      </c>
      <c r="B246" s="11" t="inlineStr">
        <is>
          <t>MEL</t>
        </is>
      </c>
      <c r="C246" s="2" t="n">
        <v>550550</v>
      </c>
      <c r="D246" s="4" t="inlineStr">
        <is>
          <t>47,48 &amp; 50 Margaret Street</t>
        </is>
      </c>
      <c r="E246" s="4" t="inlineStr">
        <is>
          <t>Fourth Floor (East)</t>
        </is>
      </c>
      <c r="F246" s="14" t="inlineStr">
        <is>
          <t>D1</t>
        </is>
      </c>
      <c r="G246" s="7" t="n">
        <v>691</v>
      </c>
      <c r="H246" s="7">
        <f>G246</f>
        <v/>
      </c>
      <c r="I246" s="7" t="n">
        <v>750</v>
      </c>
      <c r="J246" s="4" t="inlineStr">
        <is>
          <t>Vacant</t>
        </is>
      </c>
      <c r="K246" s="8" t="n"/>
      <c r="L246" s="9" t="n"/>
      <c r="M246" s="9" t="n">
        <v>45434</v>
      </c>
      <c r="N246" s="9" t="n"/>
      <c r="O246" s="9" t="n"/>
      <c r="P246" s="10" t="n">
        <v>0</v>
      </c>
      <c r="Q246" s="10">
        <f>P246</f>
        <v/>
      </c>
      <c r="R246" s="10" t="n"/>
      <c r="S246" s="10" t="n">
        <v>42000</v>
      </c>
      <c r="T246" s="10">
        <f>S246</f>
        <v/>
      </c>
      <c r="U246" s="27" t="n">
        <v>41500</v>
      </c>
      <c r="V246" s="10">
        <f>U246</f>
        <v/>
      </c>
      <c r="W246" s="277">
        <f>S246/G246</f>
        <v/>
      </c>
      <c r="X246" s="10" t="inlineStr">
        <is>
          <t>C</t>
        </is>
      </c>
      <c r="Y246" s="60" t="n"/>
      <c r="Z246" s="394" t="n"/>
      <c r="AA246" s="14" t="inlineStr">
        <is>
          <t>No</t>
        </is>
      </c>
      <c r="AB246" s="4" t="inlineStr">
        <is>
          <t>LEM marketing.</t>
        </is>
      </c>
      <c r="AC246" s="303" t="n">
        <v>62.5</v>
      </c>
      <c r="AD246" s="4" t="n"/>
      <c r="AE246" s="278" t="n"/>
      <c r="AF246" s="4" t="n"/>
    </row>
    <row r="247">
      <c r="A247" s="11" t="inlineStr">
        <is>
          <t>SH</t>
        </is>
      </c>
      <c r="B247" s="11" t="inlineStr">
        <is>
          <t>MEL</t>
        </is>
      </c>
      <c r="C247" s="2" t="n">
        <v>550510</v>
      </c>
      <c r="D247" s="4" t="inlineStr">
        <is>
          <t>51-53 Margaret Street</t>
        </is>
      </c>
      <c r="E247" s="4" t="inlineStr">
        <is>
          <t>Basement Vault</t>
        </is>
      </c>
      <c r="F247" s="14" t="inlineStr">
        <is>
          <t>Storage</t>
        </is>
      </c>
      <c r="G247" s="7" t="n">
        <v>120</v>
      </c>
      <c r="H247" s="7">
        <f>G247</f>
        <v/>
      </c>
      <c r="I247" s="7" t="n">
        <v>250</v>
      </c>
      <c r="J247" s="4" t="inlineStr">
        <is>
          <t>Kiss The Hippo Fritzrovia Ltd.</t>
        </is>
      </c>
      <c r="K247" s="8" t="n">
        <v>43881</v>
      </c>
      <c r="L247" s="8" t="n">
        <v>47240</v>
      </c>
      <c r="M247" s="8" t="n"/>
      <c r="P247" s="10" t="n">
        <v>0</v>
      </c>
      <c r="Q247" s="10">
        <f>P247</f>
        <v/>
      </c>
      <c r="S247" s="10" t="n">
        <v>0</v>
      </c>
      <c r="T247" s="10">
        <f>S247</f>
        <v/>
      </c>
      <c r="U247" s="27" t="n">
        <v>0</v>
      </c>
      <c r="V247" s="10">
        <f>U247</f>
        <v/>
      </c>
      <c r="W247" s="277">
        <f>S247/G247</f>
        <v/>
      </c>
      <c r="X247" s="10" t="n"/>
      <c r="Y247" s="60" t="inlineStr">
        <is>
          <t>*</t>
        </is>
      </c>
      <c r="Z247" s="394" t="n"/>
      <c r="AA247" s="14" t="inlineStr">
        <is>
          <t>No</t>
        </is>
      </c>
      <c r="AB247" s="4" t="inlineStr">
        <is>
          <t>The rent is a peppercorn.</t>
        </is>
      </c>
      <c r="AE247" s="278" t="n"/>
    </row>
    <row r="248">
      <c r="A248" s="11" t="inlineStr">
        <is>
          <t>SH</t>
        </is>
      </c>
      <c r="B248" s="11" t="inlineStr">
        <is>
          <t>MEL</t>
        </is>
      </c>
      <c r="C248" s="2" t="n">
        <v>550510</v>
      </c>
      <c r="D248" s="4" t="inlineStr">
        <is>
          <t>51-53 Margaret Street</t>
        </is>
      </c>
      <c r="E248" s="4" t="inlineStr">
        <is>
          <t>Basement &amp; Ground Floor (West)</t>
        </is>
      </c>
      <c r="F248" s="14" t="inlineStr">
        <is>
          <t>Shop</t>
        </is>
      </c>
      <c r="G248" s="7" t="n">
        <v>1032</v>
      </c>
      <c r="H248" s="7">
        <f>G248</f>
        <v/>
      </c>
      <c r="I248" s="7">
        <f>H248</f>
        <v/>
      </c>
      <c r="J248" s="4" t="inlineStr">
        <is>
          <t>Kiss The Hippo Fritzrovia Ltd.</t>
        </is>
      </c>
      <c r="K248" s="8" t="n">
        <v>43588</v>
      </c>
      <c r="L248" s="8" t="n">
        <v>47240</v>
      </c>
      <c r="M248" s="8" t="n"/>
      <c r="P248" s="10" t="n">
        <v>70000</v>
      </c>
      <c r="Q248" s="10">
        <f>P248</f>
        <v/>
      </c>
      <c r="S248" s="10" t="n">
        <v>57500</v>
      </c>
      <c r="T248" s="10">
        <f>S248</f>
        <v/>
      </c>
      <c r="U248" s="27" t="n">
        <v>57500</v>
      </c>
      <c r="V248" s="10">
        <f>U248</f>
        <v/>
      </c>
      <c r="W248" s="277">
        <f>S248/G248</f>
        <v/>
      </c>
      <c r="X248" s="10" t="inlineStr">
        <is>
          <t>A</t>
        </is>
      </c>
      <c r="Y248" s="60" t="n"/>
      <c r="Z248" s="394" t="n"/>
      <c r="AA248" s="14" t="inlineStr">
        <is>
          <t>No</t>
        </is>
      </c>
      <c r="AE248" s="278" t="n"/>
    </row>
    <row r="249">
      <c r="A249" s="11" t="inlineStr">
        <is>
          <t>SH</t>
        </is>
      </c>
      <c r="B249" s="11" t="inlineStr">
        <is>
          <t>MEL</t>
        </is>
      </c>
      <c r="C249" s="2" t="n">
        <v>550510</v>
      </c>
      <c r="D249" s="4" t="inlineStr">
        <is>
          <t>51-53 Margaret Street</t>
        </is>
      </c>
      <c r="E249" s="4" t="inlineStr">
        <is>
          <t>Basement Vault</t>
        </is>
      </c>
      <c r="F249" s="14" t="inlineStr">
        <is>
          <t>Storage</t>
        </is>
      </c>
      <c r="G249" s="7" t="n">
        <v>90</v>
      </c>
      <c r="H249" s="7">
        <f>G249</f>
        <v/>
      </c>
      <c r="I249" s="7">
        <f>H249</f>
        <v/>
      </c>
      <c r="J249" s="4" t="inlineStr">
        <is>
          <t>Vacant / Landlord</t>
        </is>
      </c>
      <c r="L249" s="9" t="n"/>
      <c r="M249" s="9" t="n">
        <v>44681</v>
      </c>
      <c r="P249" s="10" t="n">
        <v>0</v>
      </c>
      <c r="Q249" s="10">
        <f>P249</f>
        <v/>
      </c>
      <c r="S249" s="10" t="n">
        <v>5665</v>
      </c>
      <c r="T249" s="10">
        <f>S249</f>
        <v/>
      </c>
      <c r="U249" s="27" t="n">
        <v>900</v>
      </c>
      <c r="V249" s="10">
        <f>U249</f>
        <v/>
      </c>
      <c r="W249" s="277">
        <f>S249/G249</f>
        <v/>
      </c>
      <c r="X249" s="10" t="n"/>
      <c r="Y249" s="60" t="n"/>
      <c r="Z249" s="394" t="n"/>
      <c r="AA249" s="14" t="inlineStr">
        <is>
          <t>No</t>
        </is>
      </c>
      <c r="AE249" s="278" t="n"/>
    </row>
    <row r="250">
      <c r="A250" s="355" t="inlineStr">
        <is>
          <t>SH</t>
        </is>
      </c>
      <c r="B250" s="355" t="inlineStr">
        <is>
          <t>MEL</t>
        </is>
      </c>
      <c r="C250" s="356" t="n">
        <v>550510</v>
      </c>
      <c r="D250" s="357" t="inlineStr">
        <is>
          <t>51-53 Margaret Street</t>
        </is>
      </c>
      <c r="E250" s="4" t="inlineStr">
        <is>
          <t>Basement &amp; Ground Floor (East)</t>
        </is>
      </c>
      <c r="F250" s="22" t="inlineStr">
        <is>
          <t>Shop</t>
        </is>
      </c>
      <c r="G250" s="359" t="n">
        <v>1922</v>
      </c>
      <c r="H250" s="7">
        <f>G250</f>
        <v/>
      </c>
      <c r="I250" s="7">
        <f>H250</f>
        <v/>
      </c>
      <c r="J250" s="4" t="inlineStr">
        <is>
          <t>Fred Bakery Ltd.</t>
        </is>
      </c>
      <c r="K250" s="8" t="n">
        <v>45845</v>
      </c>
      <c r="L250" s="9" t="n">
        <v>51323</v>
      </c>
      <c r="N250" s="9" t="n">
        <v>47671</v>
      </c>
      <c r="O250" s="9" t="n">
        <v>47670</v>
      </c>
      <c r="P250" s="10" t="n">
        <v>0</v>
      </c>
      <c r="Q250" s="10">
        <f>P250</f>
        <v/>
      </c>
      <c r="S250" s="10" t="n">
        <v>126000</v>
      </c>
      <c r="T250" s="10">
        <f>S250</f>
        <v/>
      </c>
      <c r="U250" s="27" t="n">
        <v>132000</v>
      </c>
      <c r="V250" s="10">
        <f>U250</f>
        <v/>
      </c>
      <c r="W250" s="277">
        <f>S250/G250</f>
        <v/>
      </c>
      <c r="X250" s="10" t="inlineStr">
        <is>
          <t>D</t>
        </is>
      </c>
      <c r="Y250" s="60" t="n"/>
      <c r="Z250" s="394" t="n"/>
      <c r="AA250" s="14" t="inlineStr">
        <is>
          <t>No</t>
        </is>
      </c>
      <c r="AB250" s="4" t="inlineStr">
        <is>
          <t>Rent £66,000 wef 07/11/25 increasing to £132,000 wef 07/05/26. Mutual break on 6 months notice.</t>
        </is>
      </c>
      <c r="AE250" s="278" t="n"/>
    </row>
    <row r="251">
      <c r="A251" s="11" t="inlineStr">
        <is>
          <t>SH</t>
        </is>
      </c>
      <c r="B251" s="11" t="inlineStr">
        <is>
          <t>MEL</t>
        </is>
      </c>
      <c r="C251" s="2" t="n">
        <v>550510</v>
      </c>
      <c r="D251" s="4" t="inlineStr">
        <is>
          <t>51-53 Margaret Street</t>
        </is>
      </c>
      <c r="E251" s="4" t="inlineStr">
        <is>
          <t>First Floor (East)</t>
        </is>
      </c>
      <c r="F251" s="22" t="inlineStr">
        <is>
          <t>Office</t>
        </is>
      </c>
      <c r="G251" s="7" t="n">
        <v>635</v>
      </c>
      <c r="H251" s="7">
        <f>G251</f>
        <v/>
      </c>
      <c r="I251" s="7" t="n">
        <v>750</v>
      </c>
      <c r="J251" s="4" t="inlineStr">
        <is>
          <t>More &amp; More Studio Limited</t>
        </is>
      </c>
      <c r="K251" s="8" t="n">
        <v>45431</v>
      </c>
      <c r="L251" s="9" t="n">
        <v>46525</v>
      </c>
      <c r="P251" s="10" t="n">
        <v>36500</v>
      </c>
      <c r="Q251" s="10">
        <f>P251</f>
        <v/>
      </c>
      <c r="S251" s="10" t="n">
        <v>36500</v>
      </c>
      <c r="T251" s="10">
        <f>S251</f>
        <v/>
      </c>
      <c r="U251" s="27" t="n">
        <v>38100</v>
      </c>
      <c r="V251" s="10">
        <f>U251</f>
        <v/>
      </c>
      <c r="W251" s="277">
        <f>S251/G251</f>
        <v/>
      </c>
      <c r="X251" s="10" t="inlineStr">
        <is>
          <t>E</t>
        </is>
      </c>
      <c r="Y251" s="60" t="n"/>
      <c r="Z251" s="394" t="n"/>
      <c r="AA251" s="14" t="inlineStr">
        <is>
          <t>No</t>
        </is>
      </c>
      <c r="AE251" s="278" t="n"/>
    </row>
    <row r="252">
      <c r="A252" s="11" t="inlineStr">
        <is>
          <t>SH</t>
        </is>
      </c>
      <c r="B252" s="11" t="inlineStr">
        <is>
          <t>MEL</t>
        </is>
      </c>
      <c r="C252" s="2" t="n">
        <v>550510</v>
      </c>
      <c r="D252" s="4" t="inlineStr">
        <is>
          <t>51-53 Margaret Street</t>
        </is>
      </c>
      <c r="E252" s="4" t="inlineStr">
        <is>
          <t>First Floor (West)</t>
        </is>
      </c>
      <c r="F252" s="14" t="inlineStr">
        <is>
          <t>Office</t>
        </is>
      </c>
      <c r="G252" s="42" t="n">
        <v>450</v>
      </c>
      <c r="H252" s="7">
        <f>G252</f>
        <v/>
      </c>
      <c r="I252" s="7" t="n">
        <v>500</v>
      </c>
      <c r="J252" s="4" t="inlineStr">
        <is>
          <t>Vacant</t>
        </is>
      </c>
      <c r="M252" s="9" t="n">
        <v>42943</v>
      </c>
      <c r="P252" s="10" t="n">
        <v>0</v>
      </c>
      <c r="Q252" s="10">
        <f>P252</f>
        <v/>
      </c>
      <c r="S252" s="10" t="n">
        <v>23600</v>
      </c>
      <c r="T252" s="10">
        <f>S252</f>
        <v/>
      </c>
      <c r="U252" s="27" t="n">
        <v>25900</v>
      </c>
      <c r="V252" s="10">
        <f>U252</f>
        <v/>
      </c>
      <c r="W252" s="277">
        <f>S252/G252</f>
        <v/>
      </c>
      <c r="X252" s="10" t="inlineStr">
        <is>
          <t>B</t>
        </is>
      </c>
      <c r="Y252" s="60" t="n"/>
      <c r="Z252" s="394" t="n"/>
      <c r="AA252" s="14" t="inlineStr">
        <is>
          <t>No</t>
        </is>
      </c>
      <c r="AE252" s="278" t="n">
        <v>2</v>
      </c>
      <c r="AF252" s="4" t="inlineStr">
        <is>
          <t>LEM / RIB</t>
        </is>
      </c>
    </row>
    <row r="253">
      <c r="A253" s="11" t="inlineStr">
        <is>
          <t>SH</t>
        </is>
      </c>
      <c r="B253" s="11" t="inlineStr">
        <is>
          <t>MEL</t>
        </is>
      </c>
      <c r="C253" s="2" t="n">
        <v>550510</v>
      </c>
      <c r="D253" s="4" t="inlineStr">
        <is>
          <t>51-53 Margaret Street</t>
        </is>
      </c>
      <c r="E253" s="4" t="inlineStr">
        <is>
          <t>Second Floor (East)</t>
        </is>
      </c>
      <c r="F253" s="14" t="inlineStr">
        <is>
          <t>Office</t>
        </is>
      </c>
      <c r="G253" s="7" t="n">
        <v>615</v>
      </c>
      <c r="H253" s="7">
        <f>G253</f>
        <v/>
      </c>
      <c r="I253" s="7" t="n">
        <v>500</v>
      </c>
      <c r="J253" s="4" t="inlineStr">
        <is>
          <t>G. McGonagle &amp; I. Robertson</t>
        </is>
      </c>
      <c r="K253" s="8" t="n">
        <v>45092</v>
      </c>
      <c r="L253" s="9" t="n">
        <v>46918</v>
      </c>
      <c r="O253" s="9" t="n">
        <v>46187</v>
      </c>
      <c r="P253" s="10" t="n">
        <v>35363</v>
      </c>
      <c r="Q253" s="10">
        <f>P253</f>
        <v/>
      </c>
      <c r="S253" s="10" t="n">
        <v>32300</v>
      </c>
      <c r="T253" s="10">
        <f>S253</f>
        <v/>
      </c>
      <c r="U253" s="27" t="n">
        <v>35363</v>
      </c>
      <c r="V253" s="10">
        <f>U253</f>
        <v/>
      </c>
      <c r="W253" s="277">
        <f>S253/G253</f>
        <v/>
      </c>
      <c r="X253" s="10" t="n"/>
      <c r="Y253" s="60" t="n"/>
      <c r="Z253" s="394" t="n"/>
      <c r="AA253" s="14" t="inlineStr">
        <is>
          <t>No</t>
        </is>
      </c>
      <c r="AB253" s="4" t="inlineStr">
        <is>
          <t>Tenant break on 6 months notice. 2 months rent free if not exercised.</t>
        </is>
      </c>
      <c r="AE253" s="278" t="n"/>
    </row>
    <row r="254">
      <c r="A254" s="11" t="inlineStr">
        <is>
          <t>SH</t>
        </is>
      </c>
      <c r="B254" s="11" t="inlineStr">
        <is>
          <t>MEL</t>
        </is>
      </c>
      <c r="C254" s="2" t="n">
        <v>550510</v>
      </c>
      <c r="D254" s="4" t="inlineStr">
        <is>
          <t>51-53 Margaret Street</t>
        </is>
      </c>
      <c r="E254" s="4" t="inlineStr">
        <is>
          <t>Second Floor (West)</t>
        </is>
      </c>
      <c r="F254" s="14" t="inlineStr">
        <is>
          <t>Office</t>
        </is>
      </c>
      <c r="G254" s="7" t="n">
        <v>500</v>
      </c>
      <c r="H254" s="7">
        <f>G254</f>
        <v/>
      </c>
      <c r="I254" s="7" t="n">
        <v>500</v>
      </c>
      <c r="J254" s="4" t="inlineStr">
        <is>
          <t>Vacant</t>
        </is>
      </c>
      <c r="M254" s="9" t="n">
        <v>43820</v>
      </c>
      <c r="P254" s="10" t="n">
        <v>0</v>
      </c>
      <c r="Q254" s="10">
        <f>P254</f>
        <v/>
      </c>
      <c r="S254" s="10" t="n">
        <v>26300</v>
      </c>
      <c r="T254" s="10">
        <f>S254</f>
        <v/>
      </c>
      <c r="U254" s="27" t="n">
        <v>28800</v>
      </c>
      <c r="V254" s="10">
        <f>U254</f>
        <v/>
      </c>
      <c r="W254" s="277">
        <f>S254/G254</f>
        <v/>
      </c>
      <c r="X254" s="10" t="inlineStr">
        <is>
          <t>E</t>
        </is>
      </c>
      <c r="Y254" s="60" t="n"/>
      <c r="Z254" s="394" t="n"/>
      <c r="AA254" s="14" t="inlineStr">
        <is>
          <t>No</t>
        </is>
      </c>
      <c r="AB254" s="4" t="inlineStr">
        <is>
          <t>LEM marketing.</t>
        </is>
      </c>
      <c r="AC254" s="303" t="n">
        <v>58.5</v>
      </c>
      <c r="AE254" s="278" t="n">
        <v>1</v>
      </c>
      <c r="AF254" s="4" t="inlineStr">
        <is>
          <t>LEM / RIB</t>
        </is>
      </c>
    </row>
    <row r="255">
      <c r="A255" s="11" t="inlineStr">
        <is>
          <t>SH</t>
        </is>
      </c>
      <c r="B255" s="11" t="inlineStr">
        <is>
          <t>MEL</t>
        </is>
      </c>
      <c r="C255" s="2" t="n">
        <v>550510</v>
      </c>
      <c r="D255" s="4" t="inlineStr">
        <is>
          <t>51-53 Margaret Street</t>
        </is>
      </c>
      <c r="E255" s="4" t="inlineStr">
        <is>
          <t>Third Floor (West)</t>
        </is>
      </c>
      <c r="F255" s="14" t="inlineStr">
        <is>
          <t>Office</t>
        </is>
      </c>
      <c r="G255" s="7" t="n">
        <v>504</v>
      </c>
      <c r="H255" s="7">
        <f>G255</f>
        <v/>
      </c>
      <c r="I255" s="7" t="n">
        <v>500</v>
      </c>
      <c r="J255" s="4" t="inlineStr">
        <is>
          <t>Reishi Clinic Ltd</t>
        </is>
      </c>
      <c r="K255" s="8" t="n">
        <v>45601</v>
      </c>
      <c r="L255" s="9" t="n">
        <v>47426</v>
      </c>
      <c r="O255" s="9" t="n">
        <v>46330</v>
      </c>
      <c r="P255" s="10" t="n">
        <v>28050</v>
      </c>
      <c r="Q255" s="10">
        <f>P255</f>
        <v/>
      </c>
      <c r="S255" s="10" t="n">
        <v>26500</v>
      </c>
      <c r="T255" s="10">
        <f>S255</f>
        <v/>
      </c>
      <c r="U255" s="27" t="n">
        <v>29000</v>
      </c>
      <c r="V255" s="10">
        <f>U255</f>
        <v/>
      </c>
      <c r="W255" s="277">
        <f>S255/G255</f>
        <v/>
      </c>
      <c r="X255" s="10" t="inlineStr">
        <is>
          <t>E</t>
        </is>
      </c>
      <c r="Y255" s="60" t="n"/>
      <c r="Z255" s="394" t="n"/>
      <c r="AA255" s="14" t="inlineStr">
        <is>
          <t>No</t>
        </is>
      </c>
      <c r="AB255" s="4" t="inlineStr">
        <is>
          <t>Tenant break on 6 months notice.</t>
        </is>
      </c>
      <c r="AC255" s="305" t="n"/>
      <c r="AE255" s="278" t="n"/>
    </row>
    <row r="256">
      <c r="A256" s="11" t="inlineStr">
        <is>
          <t>SH</t>
        </is>
      </c>
      <c r="B256" s="11" t="inlineStr">
        <is>
          <t>MEL</t>
        </is>
      </c>
      <c r="C256" s="2" t="n">
        <v>550510</v>
      </c>
      <c r="D256" s="4" t="inlineStr">
        <is>
          <t>51-53 Margaret Street</t>
        </is>
      </c>
      <c r="E256" s="4" t="inlineStr">
        <is>
          <t>Third Floor (East)</t>
        </is>
      </c>
      <c r="F256" s="14" t="inlineStr">
        <is>
          <t>Office</t>
        </is>
      </c>
      <c r="G256" s="7" t="n">
        <v>591</v>
      </c>
      <c r="H256" s="7">
        <f>G256</f>
        <v/>
      </c>
      <c r="I256" s="7" t="n">
        <v>500</v>
      </c>
      <c r="J256" s="4" t="inlineStr">
        <is>
          <t>Vacant</t>
        </is>
      </c>
      <c r="M256" s="9" t="n">
        <v>44119</v>
      </c>
      <c r="P256" s="10" t="n">
        <v>0</v>
      </c>
      <c r="Q256" s="10">
        <f>P256</f>
        <v/>
      </c>
      <c r="S256" s="10" t="n">
        <v>31000</v>
      </c>
      <c r="T256" s="10">
        <f>S256</f>
        <v/>
      </c>
      <c r="U256" s="27" t="n">
        <v>34000</v>
      </c>
      <c r="V256" s="10">
        <f>U256</f>
        <v/>
      </c>
      <c r="W256" s="277">
        <f>S256/G256</f>
        <v/>
      </c>
      <c r="X256" s="10" t="inlineStr">
        <is>
          <t>E</t>
        </is>
      </c>
      <c r="Y256" s="60" t="n"/>
      <c r="Z256" s="394" t="n"/>
      <c r="AA256" s="14" t="inlineStr">
        <is>
          <t>No</t>
        </is>
      </c>
      <c r="AB256" s="4" t="inlineStr">
        <is>
          <t>LEM marketing.</t>
        </is>
      </c>
      <c r="AC256" s="303" t="n">
        <v>58.5</v>
      </c>
      <c r="AE256" s="278" t="n">
        <v>1</v>
      </c>
      <c r="AF256" s="4" t="inlineStr">
        <is>
          <t>LEM/LDG</t>
        </is>
      </c>
    </row>
    <row r="257">
      <c r="A257" s="11" t="inlineStr">
        <is>
          <t>SH</t>
        </is>
      </c>
      <c r="B257" s="11" t="inlineStr">
        <is>
          <t>MEL</t>
        </is>
      </c>
      <c r="C257" s="2" t="n">
        <v>550510</v>
      </c>
      <c r="D257" s="4" t="inlineStr">
        <is>
          <t>51-53 Margaret Street</t>
        </is>
      </c>
      <c r="E257" s="4" t="inlineStr">
        <is>
          <t>Fourth Floor (West)</t>
        </is>
      </c>
      <c r="F257" s="14" t="inlineStr">
        <is>
          <t>Office</t>
        </is>
      </c>
      <c r="G257" s="7" t="n">
        <v>450</v>
      </c>
      <c r="H257" s="7">
        <f>G257</f>
        <v/>
      </c>
      <c r="I257" s="7" t="n">
        <v>500</v>
      </c>
      <c r="J257" s="4" t="inlineStr">
        <is>
          <t>Vacant</t>
        </is>
      </c>
      <c r="M257" s="9" t="n">
        <v>43389</v>
      </c>
      <c r="P257" s="10" t="n">
        <v>0</v>
      </c>
      <c r="Q257" s="10">
        <f>P257</f>
        <v/>
      </c>
      <c r="S257" s="10" t="n">
        <v>23600</v>
      </c>
      <c r="T257" s="10">
        <f>S257</f>
        <v/>
      </c>
      <c r="U257" s="27" t="n">
        <v>25900</v>
      </c>
      <c r="V257" s="10">
        <f>U257</f>
        <v/>
      </c>
      <c r="W257" s="277">
        <f>S257/G257</f>
        <v/>
      </c>
      <c r="X257" s="10" t="inlineStr">
        <is>
          <t>E</t>
        </is>
      </c>
      <c r="Y257" s="60" t="n"/>
      <c r="Z257" s="394" t="n"/>
      <c r="AA257" s="14" t="inlineStr">
        <is>
          <t>No</t>
        </is>
      </c>
      <c r="AB257" s="4" t="inlineStr">
        <is>
          <t>LEM marketing.</t>
        </is>
      </c>
      <c r="AC257" s="303" t="n">
        <v>58.5</v>
      </c>
      <c r="AE257" s="278" t="n"/>
    </row>
    <row r="258">
      <c r="A258" s="11" t="inlineStr">
        <is>
          <t>SH</t>
        </is>
      </c>
      <c r="B258" s="11" t="inlineStr">
        <is>
          <t>MEL</t>
        </is>
      </c>
      <c r="C258" s="2" t="n">
        <v>550510</v>
      </c>
      <c r="D258" s="4" t="inlineStr">
        <is>
          <t>51-53 Margaret Street</t>
        </is>
      </c>
      <c r="E258" s="4" t="inlineStr">
        <is>
          <t>Fourth Floor (East)</t>
        </is>
      </c>
      <c r="F258" s="14" t="inlineStr">
        <is>
          <t>Office</t>
        </is>
      </c>
      <c r="G258" s="7" t="n">
        <v>582</v>
      </c>
      <c r="H258" s="7">
        <f>G258</f>
        <v/>
      </c>
      <c r="I258" s="7" t="n">
        <v>500</v>
      </c>
      <c r="J258" s="4" t="inlineStr">
        <is>
          <t>MDB Sarl</t>
        </is>
      </c>
      <c r="K258" s="8" t="n">
        <v>45614</v>
      </c>
      <c r="L258" s="9" t="n">
        <v>46343</v>
      </c>
      <c r="P258" s="10" t="n">
        <v>42282</v>
      </c>
      <c r="Q258" s="10">
        <f>P258</f>
        <v/>
      </c>
      <c r="S258" s="10" t="n">
        <v>34000</v>
      </c>
      <c r="T258" s="10">
        <f>S258</f>
        <v/>
      </c>
      <c r="U258" s="27" t="n">
        <v>35500</v>
      </c>
      <c r="V258" s="10">
        <f>U258</f>
        <v/>
      </c>
      <c r="W258" s="277">
        <f>S258/G258</f>
        <v/>
      </c>
      <c r="X258" s="10" t="inlineStr">
        <is>
          <t>E</t>
        </is>
      </c>
      <c r="Y258" s="60" t="n"/>
      <c r="Z258" s="394" t="n"/>
      <c r="AA258" s="14" t="inlineStr">
        <is>
          <t>No</t>
        </is>
      </c>
      <c r="AB258" s="4" t="inlineStr">
        <is>
          <t>All inclusive Service charge &amp; Insurance.</t>
        </is>
      </c>
      <c r="AC258" s="305" t="n"/>
      <c r="AE258" s="278" t="n"/>
    </row>
    <row r="259">
      <c r="A259" s="11" t="inlineStr">
        <is>
          <t>CM</t>
        </is>
      </c>
      <c r="B259" s="11" t="inlineStr">
        <is>
          <t>MEL</t>
        </is>
      </c>
      <c r="C259" s="2" t="n">
        <v>550610</v>
      </c>
      <c r="D259" s="4" t="inlineStr">
        <is>
          <t>63-64 Margaret Street</t>
        </is>
      </c>
      <c r="E259" s="4" t="inlineStr">
        <is>
          <t>Ground Floor &amp; Basement (East)</t>
        </is>
      </c>
      <c r="F259" s="14" t="inlineStr">
        <is>
          <t>Showroom/ Educational</t>
        </is>
      </c>
      <c r="G259" s="7" t="n">
        <v>2047</v>
      </c>
      <c r="H259" s="7">
        <f>G259</f>
        <v/>
      </c>
      <c r="I259" s="7" t="n">
        <v>2000</v>
      </c>
      <c r="J259" s="4" t="inlineStr">
        <is>
          <t>Apollo Galleries Limited</t>
        </is>
      </c>
      <c r="K259" s="8" t="n">
        <v>45100</v>
      </c>
      <c r="L259" s="9" t="n">
        <v>48752</v>
      </c>
      <c r="N259" s="9" t="n">
        <v>46926</v>
      </c>
      <c r="O259" s="9" t="n">
        <v>46195</v>
      </c>
      <c r="P259" s="10" t="n">
        <v>105000</v>
      </c>
      <c r="Q259" s="10">
        <f>P259</f>
        <v/>
      </c>
      <c r="S259" s="10" t="n">
        <v>100000</v>
      </c>
      <c r="T259" s="10">
        <f>S259</f>
        <v/>
      </c>
      <c r="U259" s="27" t="n">
        <v>105000</v>
      </c>
      <c r="V259" s="10">
        <f>U259</f>
        <v/>
      </c>
      <c r="W259" s="277">
        <f>S259/G259</f>
        <v/>
      </c>
      <c r="X259" s="10" t="inlineStr">
        <is>
          <t>E</t>
        </is>
      </c>
      <c r="Y259" s="60" t="n"/>
      <c r="Z259" s="394" t="n"/>
      <c r="AA259" s="14" t="inlineStr">
        <is>
          <t>No</t>
        </is>
      </c>
      <c r="AB259" s="4" t="inlineStr">
        <is>
          <t>Tenant break on 6 months notice.</t>
        </is>
      </c>
      <c r="AE259" s="278" t="n"/>
    </row>
    <row r="260">
      <c r="A260" s="11" t="inlineStr">
        <is>
          <t>CM</t>
        </is>
      </c>
      <c r="B260" s="11" t="inlineStr">
        <is>
          <t>MEL</t>
        </is>
      </c>
      <c r="C260" s="2" t="n">
        <v>550610</v>
      </c>
      <c r="D260" s="4" t="inlineStr">
        <is>
          <t>63-64 Margaret Street</t>
        </is>
      </c>
      <c r="E260" s="4" t="inlineStr">
        <is>
          <t>Ground  &amp; Basement (West) &amp; Rear Block</t>
        </is>
      </c>
      <c r="F260" s="14" t="inlineStr">
        <is>
          <t>Retail</t>
        </is>
      </c>
      <c r="G260" s="7" t="n">
        <v>2185</v>
      </c>
      <c r="H260" s="7">
        <f>G260</f>
        <v/>
      </c>
      <c r="I260" s="7" t="n">
        <v>2000</v>
      </c>
      <c r="J260" s="4" t="inlineStr">
        <is>
          <t>Margaret Howell Ltd</t>
        </is>
      </c>
      <c r="K260" s="8" t="n">
        <v>42655</v>
      </c>
      <c r="L260" s="9" t="n">
        <v>46306</v>
      </c>
      <c r="P260" s="10" t="n">
        <v>100000</v>
      </c>
      <c r="Q260" s="10">
        <f>P260</f>
        <v/>
      </c>
      <c r="S260" s="10" t="n">
        <v>90000</v>
      </c>
      <c r="T260" s="10">
        <f>S260</f>
        <v/>
      </c>
      <c r="U260" s="27" t="n">
        <v>100000</v>
      </c>
      <c r="V260" s="10">
        <f>U260</f>
        <v/>
      </c>
      <c r="W260" s="277">
        <f>S260/G260</f>
        <v/>
      </c>
      <c r="X260" s="10" t="inlineStr">
        <is>
          <t>C</t>
        </is>
      </c>
      <c r="Y260" s="60" t="n"/>
      <c r="Z260" s="394" t="n"/>
      <c r="AA260" s="14" t="inlineStr">
        <is>
          <t>No</t>
        </is>
      </c>
      <c r="AB260" s="4" t="inlineStr">
        <is>
          <t xml:space="preserve">Tenant break on 6 months notice and a Landlord Redevelopment Break @ 01/09/22 on 6 months notice. Break not exercised. </t>
        </is>
      </c>
      <c r="AE260" s="278" t="n"/>
    </row>
    <row r="261">
      <c r="A261" s="11" t="inlineStr">
        <is>
          <t>CM</t>
        </is>
      </c>
      <c r="B261" s="11" t="inlineStr">
        <is>
          <t>MEL</t>
        </is>
      </c>
      <c r="C261" s="2" t="n">
        <v>550610</v>
      </c>
      <c r="D261" s="4" t="inlineStr">
        <is>
          <t>63-64 Margaret Street</t>
        </is>
      </c>
      <c r="E261" s="4" t="inlineStr">
        <is>
          <t>First Floor (East)</t>
        </is>
      </c>
      <c r="F261" s="14" t="inlineStr">
        <is>
          <t>Office</t>
        </is>
      </c>
      <c r="G261" s="7" t="n">
        <v>727</v>
      </c>
      <c r="H261" s="7">
        <f>G261</f>
        <v/>
      </c>
      <c r="I261" s="7" t="n">
        <v>250</v>
      </c>
      <c r="J261" s="4" t="inlineStr">
        <is>
          <t>Kipas London Ltd</t>
        </is>
      </c>
      <c r="K261" s="8" t="n">
        <v>44703</v>
      </c>
      <c r="L261" s="9" t="n">
        <v>46528</v>
      </c>
      <c r="P261" s="10" t="n">
        <v>42350</v>
      </c>
      <c r="Q261" s="10">
        <f>P261</f>
        <v/>
      </c>
      <c r="S261" s="10" t="n">
        <v>40000</v>
      </c>
      <c r="T261" s="10">
        <f>S261</f>
        <v/>
      </c>
      <c r="U261" s="27" t="n">
        <v>48700</v>
      </c>
      <c r="V261" s="10">
        <f>U261</f>
        <v/>
      </c>
      <c r="W261" s="277">
        <f>S261/G261</f>
        <v/>
      </c>
      <c r="X261" s="10" t="inlineStr">
        <is>
          <t>D</t>
        </is>
      </c>
      <c r="Y261" s="60" t="n"/>
      <c r="Z261" s="394" t="n"/>
      <c r="AA261" s="14" t="inlineStr">
        <is>
          <t>No</t>
        </is>
      </c>
      <c r="AE261" s="278" t="n"/>
    </row>
    <row r="262">
      <c r="A262" s="11" t="inlineStr">
        <is>
          <t>CM</t>
        </is>
      </c>
      <c r="B262" s="11" t="inlineStr">
        <is>
          <t>MEL</t>
        </is>
      </c>
      <c r="C262" s="2" t="n">
        <v>550610</v>
      </c>
      <c r="D262" s="4" t="inlineStr">
        <is>
          <t>63-64 Margaret Street</t>
        </is>
      </c>
      <c r="E262" s="4" t="inlineStr">
        <is>
          <t>First Floor (West) (Front)</t>
        </is>
      </c>
      <c r="F262" s="14" t="inlineStr">
        <is>
          <t>Office</t>
        </is>
      </c>
      <c r="G262" s="7" t="n">
        <v>710</v>
      </c>
      <c r="H262" s="7">
        <f>G262</f>
        <v/>
      </c>
      <c r="I262" s="7" t="n">
        <v>750</v>
      </c>
      <c r="J262" s="4" t="inlineStr">
        <is>
          <t>Staybrook Asset Management Ltd</t>
        </is>
      </c>
      <c r="K262" s="8" t="n">
        <v>45551</v>
      </c>
      <c r="L262" s="9" t="n">
        <v>46645</v>
      </c>
      <c r="O262" s="9" t="n">
        <v>46280</v>
      </c>
      <c r="P262" s="10" t="n">
        <v>47250</v>
      </c>
      <c r="Q262" s="10">
        <f>P262</f>
        <v/>
      </c>
      <c r="S262" s="10" t="n">
        <v>35000</v>
      </c>
      <c r="T262" s="10">
        <f>S262</f>
        <v/>
      </c>
      <c r="U262" s="27" t="n">
        <v>47600</v>
      </c>
      <c r="V262" s="10">
        <f>U262</f>
        <v/>
      </c>
      <c r="W262" s="277">
        <f>S262/G262</f>
        <v/>
      </c>
      <c r="X262" s="10" t="inlineStr">
        <is>
          <t>D</t>
        </is>
      </c>
      <c r="Y262" s="60" t="n"/>
      <c r="Z262" s="394" t="n"/>
      <c r="AA262" s="14" t="inlineStr">
        <is>
          <t>No</t>
        </is>
      </c>
      <c r="AB262" s="4" t="inlineStr">
        <is>
          <t>Tenant break on 6 months notice. 1 month rent free if not exercised.</t>
        </is>
      </c>
      <c r="AD262" s="29" t="n"/>
      <c r="AE262" s="279" t="n"/>
      <c r="AF262" s="29" t="n"/>
    </row>
    <row r="263">
      <c r="A263" s="11" t="inlineStr">
        <is>
          <t>CM</t>
        </is>
      </c>
      <c r="B263" s="11" t="inlineStr">
        <is>
          <t>MEL</t>
        </is>
      </c>
      <c r="C263" s="2" t="n">
        <v>550610</v>
      </c>
      <c r="D263" s="4" t="inlineStr">
        <is>
          <t>63-64 Margaret Street</t>
        </is>
      </c>
      <c r="E263" s="4" t="inlineStr">
        <is>
          <t>First Floor (West) (Rear)</t>
        </is>
      </c>
      <c r="F263" s="14" t="inlineStr">
        <is>
          <t>Office</t>
        </is>
      </c>
      <c r="G263" s="7" t="n">
        <v>130</v>
      </c>
      <c r="H263" s="7">
        <f>G263</f>
        <v/>
      </c>
      <c r="I263" s="7" t="n">
        <v>250</v>
      </c>
      <c r="J263" s="4" t="inlineStr">
        <is>
          <t>Face2Face Counselling Services Ltd</t>
        </is>
      </c>
      <c r="K263" s="8" t="n">
        <v>45456</v>
      </c>
      <c r="L263" s="9" t="n">
        <v>47085</v>
      </c>
      <c r="O263" s="9" t="n">
        <v>46354</v>
      </c>
      <c r="P263" s="10" t="n">
        <v>7320</v>
      </c>
      <c r="Q263" s="10">
        <f>P263</f>
        <v/>
      </c>
      <c r="S263" s="10" t="n">
        <v>7000</v>
      </c>
      <c r="T263" s="10">
        <f>S263</f>
        <v/>
      </c>
      <c r="U263" s="27" t="n">
        <v>7360</v>
      </c>
      <c r="V263" s="10">
        <f>U263</f>
        <v/>
      </c>
      <c r="W263" s="277">
        <f>S263/G263</f>
        <v/>
      </c>
      <c r="X263" s="10" t="inlineStr">
        <is>
          <t>D</t>
        </is>
      </c>
      <c r="Y263" s="60" t="n"/>
      <c r="Z263" s="394" t="n"/>
      <c r="AA263" s="14" t="inlineStr">
        <is>
          <t>No</t>
        </is>
      </c>
      <c r="AB263" s="4" t="inlineStr">
        <is>
          <t>Tenant break on 6 months notice.</t>
        </is>
      </c>
      <c r="AE263" s="278" t="n"/>
    </row>
    <row r="264">
      <c r="A264" s="11" t="inlineStr">
        <is>
          <t>CM</t>
        </is>
      </c>
      <c r="B264" s="11" t="inlineStr">
        <is>
          <t>MEL</t>
        </is>
      </c>
      <c r="C264" s="2" t="n">
        <v>550610</v>
      </c>
      <c r="D264" s="4" t="inlineStr">
        <is>
          <t>63-64 Margaret Street</t>
        </is>
      </c>
      <c r="E264" s="4" t="inlineStr">
        <is>
          <t>Second Floor (East)</t>
        </is>
      </c>
      <c r="F264" s="39" t="inlineStr">
        <is>
          <t>Office</t>
        </is>
      </c>
      <c r="G264" s="7" t="n">
        <v>710</v>
      </c>
      <c r="H264" s="7">
        <f>G264</f>
        <v/>
      </c>
      <c r="I264" s="7" t="n">
        <v>750</v>
      </c>
      <c r="J264" s="4" t="inlineStr">
        <is>
          <t>Cihangir Group Limited.</t>
        </is>
      </c>
      <c r="K264" s="8" t="n">
        <v>45253</v>
      </c>
      <c r="L264" s="9" t="n">
        <v>46348</v>
      </c>
      <c r="P264" s="10" t="n">
        <v>42350</v>
      </c>
      <c r="Q264" s="10">
        <f>P264</f>
        <v/>
      </c>
      <c r="S264" s="10" t="n">
        <v>38700</v>
      </c>
      <c r="T264" s="10">
        <f>S264</f>
        <v/>
      </c>
      <c r="U264" s="27" t="n">
        <v>45100</v>
      </c>
      <c r="V264" s="10">
        <f>U264</f>
        <v/>
      </c>
      <c r="W264" s="277">
        <f>S264/G264</f>
        <v/>
      </c>
      <c r="X264" s="10" t="inlineStr">
        <is>
          <t>D</t>
        </is>
      </c>
      <c r="Y264" s="60" t="n"/>
      <c r="Z264" s="394" t="n"/>
      <c r="AA264" s="14" t="inlineStr">
        <is>
          <t>No</t>
        </is>
      </c>
      <c r="AE264" s="278" t="n"/>
    </row>
    <row r="265">
      <c r="A265" s="11" t="inlineStr">
        <is>
          <t>CM</t>
        </is>
      </c>
      <c r="B265" s="11" t="inlineStr">
        <is>
          <t>MEL</t>
        </is>
      </c>
      <c r="C265" s="2" t="n">
        <v>550610</v>
      </c>
      <c r="D265" s="4" t="inlineStr">
        <is>
          <t>63-64 Margaret Street</t>
        </is>
      </c>
      <c r="E265" s="4" t="inlineStr">
        <is>
          <t>Second Floor (Rear)</t>
        </is>
      </c>
      <c r="F265" s="39" t="inlineStr">
        <is>
          <t>Office</t>
        </is>
      </c>
      <c r="G265" s="7" t="n">
        <v>130</v>
      </c>
      <c r="H265" s="7">
        <f>G265</f>
        <v/>
      </c>
      <c r="I265" s="7" t="n">
        <v>250</v>
      </c>
      <c r="J265" s="4" t="inlineStr">
        <is>
          <t>Face2Face Counselling Services Ltd</t>
        </is>
      </c>
      <c r="K265" s="8" t="n">
        <v>45259</v>
      </c>
      <c r="L265" s="9" t="n">
        <v>47085</v>
      </c>
      <c r="O265" s="9" t="n">
        <v>46354</v>
      </c>
      <c r="P265" s="10" t="n">
        <v>7320</v>
      </c>
      <c r="Q265" s="10">
        <f>P265</f>
        <v/>
      </c>
      <c r="S265" s="10" t="n">
        <v>6300</v>
      </c>
      <c r="T265" s="10">
        <f>S265</f>
        <v/>
      </c>
      <c r="U265" s="27" t="n">
        <v>8700</v>
      </c>
      <c r="V265" s="10">
        <f>U265</f>
        <v/>
      </c>
      <c r="W265" s="277">
        <f>S265/G265</f>
        <v/>
      </c>
      <c r="X265" s="10" t="inlineStr">
        <is>
          <t>D</t>
        </is>
      </c>
      <c r="Y265" s="60" t="n"/>
      <c r="Z265" s="394" t="n"/>
      <c r="AA265" s="14" t="inlineStr">
        <is>
          <t>No</t>
        </is>
      </c>
      <c r="AB265" s="4" t="inlineStr">
        <is>
          <t>Tenant break on 6 months notice.</t>
        </is>
      </c>
      <c r="AE265" s="278" t="n"/>
    </row>
    <row r="266">
      <c r="A266" s="11" t="inlineStr">
        <is>
          <t>CM</t>
        </is>
      </c>
      <c r="B266" s="11" t="inlineStr">
        <is>
          <t>MEL</t>
        </is>
      </c>
      <c r="C266" s="2" t="n">
        <v>550610</v>
      </c>
      <c r="D266" s="4" t="inlineStr">
        <is>
          <t>63-64 Margaret Street</t>
        </is>
      </c>
      <c r="E266" s="4" t="inlineStr">
        <is>
          <t>Second Floor (West)</t>
        </is>
      </c>
      <c r="F266" s="14" t="inlineStr">
        <is>
          <t>Office</t>
        </is>
      </c>
      <c r="G266" s="7" t="n">
        <v>727</v>
      </c>
      <c r="H266" s="7">
        <f>G266</f>
        <v/>
      </c>
      <c r="I266" s="7" t="n">
        <v>750</v>
      </c>
      <c r="J266" s="4" t="inlineStr">
        <is>
          <t>Vacant</t>
        </is>
      </c>
      <c r="M266" s="9" t="n">
        <v>43080</v>
      </c>
      <c r="P266" s="10" t="n">
        <v>0</v>
      </c>
      <c r="Q266" s="10">
        <f>P266</f>
        <v/>
      </c>
      <c r="S266" s="10" t="n">
        <v>35000</v>
      </c>
      <c r="T266" s="10">
        <f>S266</f>
        <v/>
      </c>
      <c r="U266" s="27" t="n">
        <v>41800</v>
      </c>
      <c r="V266" s="10">
        <f>U266</f>
        <v/>
      </c>
      <c r="W266" s="277">
        <f>S266/G266</f>
        <v/>
      </c>
      <c r="X266" s="10" t="inlineStr">
        <is>
          <t>D</t>
        </is>
      </c>
      <c r="Y266" s="60" t="n"/>
      <c r="Z266" s="394" t="n"/>
      <c r="AA266" s="14" t="inlineStr">
        <is>
          <t>No</t>
        </is>
      </c>
      <c r="AB266" s="4" t="inlineStr">
        <is>
          <t>To be refurbished.</t>
        </is>
      </c>
      <c r="AC266" s="303" t="n">
        <v>62.5</v>
      </c>
      <c r="AE266" s="278" t="n"/>
    </row>
    <row r="267">
      <c r="A267" s="11" t="inlineStr">
        <is>
          <t>CM</t>
        </is>
      </c>
      <c r="B267" s="11" t="inlineStr">
        <is>
          <t>MEL</t>
        </is>
      </c>
      <c r="C267" s="2" t="n">
        <v>550610</v>
      </c>
      <c r="D267" s="4" t="inlineStr">
        <is>
          <t>63-64 Margaret Street</t>
        </is>
      </c>
      <c r="E267" s="4" t="inlineStr">
        <is>
          <t>Third Floor (East)</t>
        </is>
      </c>
      <c r="F267" s="14" t="inlineStr">
        <is>
          <t>Office</t>
        </is>
      </c>
      <c r="G267" s="7" t="n">
        <v>760</v>
      </c>
      <c r="H267" s="7">
        <f>G267</f>
        <v/>
      </c>
      <c r="I267" s="7" t="n">
        <v>750</v>
      </c>
      <c r="J267" s="4" t="inlineStr">
        <is>
          <t>Vacant</t>
        </is>
      </c>
      <c r="M267" s="9" t="n">
        <v>43593</v>
      </c>
      <c r="P267" s="10" t="n">
        <v>0</v>
      </c>
      <c r="Q267" s="10">
        <f>P267</f>
        <v/>
      </c>
      <c r="S267" s="10" t="n">
        <v>40000</v>
      </c>
      <c r="T267" s="10">
        <f>S267</f>
        <v/>
      </c>
      <c r="U267" s="27" t="n">
        <v>43700</v>
      </c>
      <c r="V267" s="10">
        <f>U267</f>
        <v/>
      </c>
      <c r="W267" s="277">
        <f>S267/G267</f>
        <v/>
      </c>
      <c r="X267" s="10" t="inlineStr">
        <is>
          <t>D</t>
        </is>
      </c>
      <c r="Y267" s="60" t="n"/>
      <c r="Z267" s="394" t="n"/>
      <c r="AA267" s="14" t="inlineStr">
        <is>
          <t>No</t>
        </is>
      </c>
      <c r="AB267" s="4" t="inlineStr">
        <is>
          <t>To be refurbished.</t>
        </is>
      </c>
      <c r="AC267" s="303" t="n">
        <v>62.5</v>
      </c>
      <c r="AD267" s="4" t="n">
        <v>2</v>
      </c>
      <c r="AE267" s="278" t="n">
        <v>3</v>
      </c>
      <c r="AF267" s="4" t="inlineStr">
        <is>
          <t>LEM</t>
        </is>
      </c>
    </row>
    <row r="268">
      <c r="A268" s="11" t="inlineStr">
        <is>
          <t>CM</t>
        </is>
      </c>
      <c r="B268" s="11" t="inlineStr">
        <is>
          <t>MEL</t>
        </is>
      </c>
      <c r="C268" s="2" t="n">
        <v>550610</v>
      </c>
      <c r="D268" s="4" t="inlineStr">
        <is>
          <t>63-64 Margaret Street</t>
        </is>
      </c>
      <c r="E268" s="4" t="inlineStr">
        <is>
          <t>Third Floor (West)</t>
        </is>
      </c>
      <c r="F268" s="14" t="inlineStr">
        <is>
          <t>Office</t>
        </is>
      </c>
      <c r="G268" s="7" t="n">
        <v>666</v>
      </c>
      <c r="H268" s="7">
        <f>G268</f>
        <v/>
      </c>
      <c r="I268" s="7" t="n">
        <v>750</v>
      </c>
      <c r="J268" s="4" t="inlineStr">
        <is>
          <t>Vacant</t>
        </is>
      </c>
      <c r="M268" s="9" t="n">
        <v>42905</v>
      </c>
      <c r="P268" s="10" t="n">
        <v>0</v>
      </c>
      <c r="Q268" s="10">
        <f>P268</f>
        <v/>
      </c>
      <c r="S268" s="10" t="n">
        <v>35000</v>
      </c>
      <c r="T268" s="10">
        <f>S268</f>
        <v/>
      </c>
      <c r="U268" s="27" t="n">
        <v>38300</v>
      </c>
      <c r="V268" s="10">
        <f>U268</f>
        <v/>
      </c>
      <c r="W268" s="277">
        <f>S268/G268</f>
        <v/>
      </c>
      <c r="X268" s="10" t="inlineStr">
        <is>
          <t>D</t>
        </is>
      </c>
      <c r="Y268" s="60" t="n"/>
      <c r="Z268" s="394" t="n"/>
      <c r="AA268" s="14" t="inlineStr">
        <is>
          <t>No</t>
        </is>
      </c>
      <c r="AB268" s="4" t="inlineStr">
        <is>
          <t>To be refurbished.</t>
        </is>
      </c>
      <c r="AC268" s="303" t="n">
        <v>62.5</v>
      </c>
      <c r="AD268" s="4" t="n">
        <v>0</v>
      </c>
      <c r="AE268" s="278" t="n">
        <v>1</v>
      </c>
      <c r="AF268" s="4" t="inlineStr">
        <is>
          <t>LEM</t>
        </is>
      </c>
    </row>
    <row r="269">
      <c r="A269" s="11" t="inlineStr">
        <is>
          <t>CM</t>
        </is>
      </c>
      <c r="B269" s="11" t="inlineStr">
        <is>
          <t>MEL</t>
        </is>
      </c>
      <c r="C269" s="2" t="n">
        <v>550610</v>
      </c>
      <c r="D269" s="4" t="inlineStr">
        <is>
          <t>63-64 Margaret Street</t>
        </is>
      </c>
      <c r="E269" s="4" t="inlineStr">
        <is>
          <t>Fourth Floor (East)</t>
        </is>
      </c>
      <c r="F269" s="14" t="inlineStr">
        <is>
          <t>Office</t>
        </is>
      </c>
      <c r="G269" s="7" t="n">
        <v>767</v>
      </c>
      <c r="H269" s="7">
        <f>G269</f>
        <v/>
      </c>
      <c r="I269" s="7" t="n">
        <v>750</v>
      </c>
      <c r="J269" s="4" t="inlineStr">
        <is>
          <t>Vacant</t>
        </is>
      </c>
      <c r="M269" s="9" t="n">
        <v>45719</v>
      </c>
      <c r="P269" s="10" t="n">
        <v>0</v>
      </c>
      <c r="Q269" s="10">
        <f>P269</f>
        <v/>
      </c>
      <c r="S269" s="10" t="n">
        <v>40000</v>
      </c>
      <c r="T269" s="10">
        <f>S269</f>
        <v/>
      </c>
      <c r="U269" s="27" t="n">
        <v>44100</v>
      </c>
      <c r="V269" s="10">
        <f>U269</f>
        <v/>
      </c>
      <c r="W269" s="277">
        <f>S269/G269</f>
        <v/>
      </c>
      <c r="X269" s="10" t="inlineStr">
        <is>
          <t>D</t>
        </is>
      </c>
      <c r="Y269" s="60" t="n"/>
      <c r="Z269" s="394" t="n"/>
      <c r="AA269" s="14" t="inlineStr">
        <is>
          <t>No</t>
        </is>
      </c>
      <c r="AB269" s="4" t="inlineStr">
        <is>
          <t>To be refurbished.</t>
        </is>
      </c>
      <c r="AD269" s="29" t="n"/>
      <c r="AE269" s="279" t="n"/>
      <c r="AF269" s="29" t="n"/>
    </row>
    <row r="270">
      <c r="A270" s="11" t="inlineStr">
        <is>
          <t>CM</t>
        </is>
      </c>
      <c r="B270" s="11" t="inlineStr">
        <is>
          <t>MEL</t>
        </is>
      </c>
      <c r="C270" s="2" t="n">
        <v>550610</v>
      </c>
      <c r="D270" s="4" t="inlineStr">
        <is>
          <t>63-64 Margaret Street</t>
        </is>
      </c>
      <c r="E270" s="4" t="inlineStr">
        <is>
          <t>Fourth Floor (West)</t>
        </is>
      </c>
      <c r="F270" s="14" t="inlineStr">
        <is>
          <t>Office</t>
        </is>
      </c>
      <c r="G270" s="7" t="n">
        <v>645</v>
      </c>
      <c r="H270" s="7">
        <f>G270</f>
        <v/>
      </c>
      <c r="I270" s="7" t="n">
        <v>750</v>
      </c>
      <c r="J270" s="4" t="inlineStr">
        <is>
          <t>Vacant</t>
        </is>
      </c>
      <c r="M270" s="9" t="n">
        <v>44263</v>
      </c>
      <c r="P270" s="10" t="n">
        <v>0</v>
      </c>
      <c r="Q270" s="10">
        <f>P270</f>
        <v/>
      </c>
      <c r="S270" s="10" t="n">
        <v>35000</v>
      </c>
      <c r="T270" s="10">
        <f>S270</f>
        <v/>
      </c>
      <c r="U270" s="27" t="n">
        <v>37100</v>
      </c>
      <c r="V270" s="10">
        <f>U270</f>
        <v/>
      </c>
      <c r="W270" s="277">
        <f>S270/G270</f>
        <v/>
      </c>
      <c r="X270" s="10" t="inlineStr">
        <is>
          <t>D</t>
        </is>
      </c>
      <c r="Y270" s="60" t="n"/>
      <c r="Z270" s="394" t="n"/>
      <c r="AA270" s="14" t="inlineStr">
        <is>
          <t>No</t>
        </is>
      </c>
      <c r="AB270" s="4" t="inlineStr">
        <is>
          <t>To be refurbished.</t>
        </is>
      </c>
      <c r="AC270" s="303" t="n">
        <v>60</v>
      </c>
      <c r="AE270" s="278" t="n"/>
    </row>
    <row r="271">
      <c r="A271" s="11" t="inlineStr">
        <is>
          <t>CM</t>
        </is>
      </c>
      <c r="B271" s="11" t="inlineStr">
        <is>
          <t>MEL</t>
        </is>
      </c>
      <c r="C271" s="2" t="n">
        <v>550610</v>
      </c>
      <c r="D271" s="4" t="inlineStr">
        <is>
          <t>63-64 Margaret Street</t>
        </is>
      </c>
      <c r="E271" s="4" t="inlineStr">
        <is>
          <t>Fifth Floor (East)</t>
        </is>
      </c>
      <c r="F271" s="14" t="inlineStr">
        <is>
          <t>Office</t>
        </is>
      </c>
      <c r="G271" s="7" t="n">
        <v>767</v>
      </c>
      <c r="H271" s="7">
        <f>G271</f>
        <v/>
      </c>
      <c r="I271" s="7" t="n">
        <v>750</v>
      </c>
      <c r="J271" s="4" t="inlineStr">
        <is>
          <t>Vacant</t>
        </is>
      </c>
      <c r="M271" s="9" t="n">
        <v>44263</v>
      </c>
      <c r="P271" s="10" t="n">
        <v>0</v>
      </c>
      <c r="Q271" s="10">
        <f>P271</f>
        <v/>
      </c>
      <c r="S271" s="10" t="n">
        <v>40000</v>
      </c>
      <c r="T271" s="10">
        <f>S271</f>
        <v/>
      </c>
      <c r="U271" s="27" t="n">
        <v>44100</v>
      </c>
      <c r="V271" s="10">
        <f>U271</f>
        <v/>
      </c>
      <c r="W271" s="277">
        <f>S271/G271</f>
        <v/>
      </c>
      <c r="X271" s="10" t="inlineStr">
        <is>
          <t>D</t>
        </is>
      </c>
      <c r="Y271" s="60" t="n"/>
      <c r="Z271" s="394" t="n"/>
      <c r="AA271" s="14" t="inlineStr">
        <is>
          <t>No</t>
        </is>
      </c>
      <c r="AB271" s="4" t="inlineStr">
        <is>
          <t>To be refurbished.</t>
        </is>
      </c>
      <c r="AC271" s="303" t="n">
        <v>60</v>
      </c>
      <c r="AE271" s="278" t="n"/>
    </row>
    <row r="272">
      <c r="A272" s="11" t="inlineStr">
        <is>
          <t>CM</t>
        </is>
      </c>
      <c r="B272" s="11" t="inlineStr">
        <is>
          <t>MEL</t>
        </is>
      </c>
      <c r="C272" s="2" t="n">
        <v>550610</v>
      </c>
      <c r="D272" s="4" t="inlineStr">
        <is>
          <t>63-64 Margaret Street</t>
        </is>
      </c>
      <c r="E272" s="4" t="inlineStr">
        <is>
          <t>Fifth Floor (West)</t>
        </is>
      </c>
      <c r="F272" s="14" t="inlineStr">
        <is>
          <t>Office</t>
        </is>
      </c>
      <c r="G272" s="7" t="n">
        <v>534</v>
      </c>
      <c r="H272" s="7">
        <f>G272</f>
        <v/>
      </c>
      <c r="I272" s="7" t="n">
        <v>500</v>
      </c>
      <c r="J272" s="4" t="inlineStr">
        <is>
          <t>Vacant</t>
        </is>
      </c>
      <c r="M272" s="9" t="n">
        <v>43061</v>
      </c>
      <c r="P272" s="10" t="n">
        <v>0</v>
      </c>
      <c r="Q272" s="10">
        <f>P272</f>
        <v/>
      </c>
      <c r="S272" s="10" t="n">
        <v>0</v>
      </c>
      <c r="T272" s="10">
        <f>S272</f>
        <v/>
      </c>
      <c r="U272" s="27" t="n">
        <v>30700</v>
      </c>
      <c r="V272" s="10">
        <f>U272</f>
        <v/>
      </c>
      <c r="W272" s="277">
        <f>S272/G272</f>
        <v/>
      </c>
      <c r="X272" s="10" t="inlineStr">
        <is>
          <t>D</t>
        </is>
      </c>
      <c r="Y272" s="60" t="n"/>
      <c r="Z272" s="394" t="n"/>
      <c r="AA272" s="14" t="inlineStr">
        <is>
          <t>No</t>
        </is>
      </c>
      <c r="AB272" s="4" t="inlineStr">
        <is>
          <t>To be refurbished.</t>
        </is>
      </c>
      <c r="AC272" s="303" t="n">
        <v>60</v>
      </c>
      <c r="AE272" s="278" t="n"/>
    </row>
    <row r="273">
      <c r="A273" s="11" t="inlineStr">
        <is>
          <t>CM</t>
        </is>
      </c>
      <c r="B273" s="11" t="inlineStr">
        <is>
          <t>MEL</t>
        </is>
      </c>
      <c r="C273" s="2" t="n">
        <v>550620</v>
      </c>
      <c r="D273" s="4" t="inlineStr">
        <is>
          <t>65 Margaret Street</t>
        </is>
      </c>
      <c r="E273" s="4" t="inlineStr">
        <is>
          <t>Ground Floor &amp; Basement</t>
        </is>
      </c>
      <c r="F273" s="14" t="inlineStr">
        <is>
          <t>A1/D1</t>
        </is>
      </c>
      <c r="G273" s="7" t="n">
        <v>930</v>
      </c>
      <c r="H273" s="7">
        <f>G273</f>
        <v/>
      </c>
      <c r="I273" s="7" t="n">
        <v>1000</v>
      </c>
      <c r="J273" s="4" t="inlineStr">
        <is>
          <t>Advanced Beauty Medical Clinics Ltd</t>
        </is>
      </c>
      <c r="K273" s="8" t="n">
        <v>45588</v>
      </c>
      <c r="L273" s="9" t="n">
        <v>46132</v>
      </c>
      <c r="P273" s="10" t="n">
        <v>46500</v>
      </c>
      <c r="Q273" s="10">
        <f>P273</f>
        <v/>
      </c>
      <c r="S273" s="10" t="n">
        <v>45350</v>
      </c>
      <c r="T273" s="10">
        <f>S273</f>
        <v/>
      </c>
      <c r="U273" s="27" t="n">
        <v>45350</v>
      </c>
      <c r="V273" s="10">
        <f>U273</f>
        <v/>
      </c>
      <c r="W273" s="277">
        <f>S273/G273</f>
        <v/>
      </c>
      <c r="X273" s="27" t="inlineStr">
        <is>
          <t>B</t>
        </is>
      </c>
      <c r="Y273" s="60" t="n"/>
      <c r="Z273" s="36" t="n"/>
      <c r="AA273" s="14" t="inlineStr">
        <is>
          <t>No</t>
        </is>
      </c>
      <c r="AE273" s="278" t="n"/>
    </row>
    <row r="274">
      <c r="A274" s="11" t="inlineStr">
        <is>
          <t>CM</t>
        </is>
      </c>
      <c r="B274" s="11" t="inlineStr">
        <is>
          <t>MEL</t>
        </is>
      </c>
      <c r="C274" s="2" t="n">
        <v>550620</v>
      </c>
      <c r="D274" s="4" t="inlineStr">
        <is>
          <t>65 Margaret Street</t>
        </is>
      </c>
      <c r="E274" s="4" t="inlineStr">
        <is>
          <t>First Floor</t>
        </is>
      </c>
      <c r="F274" s="14" t="inlineStr">
        <is>
          <t>Office</t>
        </is>
      </c>
      <c r="G274" s="7" t="n">
        <v>360</v>
      </c>
      <c r="H274" s="7">
        <f>G274</f>
        <v/>
      </c>
      <c r="I274" s="7" t="n">
        <v>250</v>
      </c>
      <c r="J274" s="4" t="inlineStr">
        <is>
          <t>Advanced Beauty Medical Clinics Ltd</t>
        </is>
      </c>
      <c r="K274" s="8" t="n">
        <v>44307</v>
      </c>
      <c r="L274" s="9" t="n">
        <v>46132</v>
      </c>
      <c r="P274" s="10" t="n">
        <v>18500</v>
      </c>
      <c r="Q274" s="10">
        <f>P274</f>
        <v/>
      </c>
      <c r="S274" s="10" t="n">
        <v>20200</v>
      </c>
      <c r="T274" s="10">
        <f>S274</f>
        <v/>
      </c>
      <c r="U274" s="27" t="n">
        <v>21200</v>
      </c>
      <c r="V274" s="10">
        <f>U274</f>
        <v/>
      </c>
      <c r="W274" s="277">
        <f>S274/G274</f>
        <v/>
      </c>
      <c r="X274" s="10" t="inlineStr">
        <is>
          <t>D</t>
        </is>
      </c>
      <c r="Y274" s="60" t="n"/>
      <c r="Z274" s="36" t="n"/>
      <c r="AA274" s="14" t="inlineStr">
        <is>
          <t>No</t>
        </is>
      </c>
      <c r="AE274" s="278" t="n"/>
    </row>
    <row r="275">
      <c r="A275" s="11" t="inlineStr">
        <is>
          <t>CM</t>
        </is>
      </c>
      <c r="B275" s="11" t="inlineStr">
        <is>
          <t>MEL</t>
        </is>
      </c>
      <c r="C275" s="2" t="n">
        <v>550620</v>
      </c>
      <c r="D275" s="4" t="inlineStr">
        <is>
          <t>65 Margaret Street</t>
        </is>
      </c>
      <c r="E275" s="4" t="inlineStr">
        <is>
          <t>Second Floor</t>
        </is>
      </c>
      <c r="F275" s="14" t="inlineStr">
        <is>
          <t>Office</t>
        </is>
      </c>
      <c r="G275" s="7" t="n">
        <v>375</v>
      </c>
      <c r="H275" s="7">
        <f>G275</f>
        <v/>
      </c>
      <c r="I275" s="7" t="n">
        <v>500</v>
      </c>
      <c r="J275" s="29" t="inlineStr">
        <is>
          <t>Olga Mantsiou</t>
        </is>
      </c>
      <c r="K275" s="388" t="n">
        <v>45891</v>
      </c>
      <c r="L275" s="387" t="n">
        <v>46986</v>
      </c>
      <c r="M275" s="387" t="n"/>
      <c r="N275" s="387" t="n"/>
      <c r="O275" s="387" t="n">
        <v>46440</v>
      </c>
      <c r="P275" s="27" t="n">
        <v>0</v>
      </c>
      <c r="Q275" s="10">
        <f>P275</f>
        <v/>
      </c>
      <c r="S275" s="10" t="n">
        <v>21000</v>
      </c>
      <c r="T275" s="10">
        <f>S275</f>
        <v/>
      </c>
      <c r="U275" s="27" t="n">
        <v>22100</v>
      </c>
      <c r="V275" s="10">
        <f>U275</f>
        <v/>
      </c>
      <c r="W275" s="277">
        <f>S275/G275</f>
        <v/>
      </c>
      <c r="X275" s="10" t="inlineStr">
        <is>
          <t>D</t>
        </is>
      </c>
      <c r="Y275" s="60" t="n"/>
      <c r="Z275" s="36" t="n"/>
      <c r="AA275" s="14" t="inlineStr">
        <is>
          <t>No</t>
        </is>
      </c>
      <c r="AB275" s="29" t="inlineStr">
        <is>
          <t>New letting completed. Rent £18,529 wef 22/09/25. Fixed increase to £18,667 wef 22/02/27. Tenant break on 6 months notice. 2 months rent free if not exercised.</t>
        </is>
      </c>
      <c r="AE275" s="278" t="n"/>
    </row>
    <row r="276">
      <c r="A276" s="11" t="inlineStr">
        <is>
          <t>CM</t>
        </is>
      </c>
      <c r="B276" s="11" t="inlineStr">
        <is>
          <t>MEL</t>
        </is>
      </c>
      <c r="C276" s="2" t="n">
        <v>550620</v>
      </c>
      <c r="D276" s="4" t="inlineStr">
        <is>
          <t>65 Margaret Street</t>
        </is>
      </c>
      <c r="E276" s="4" t="inlineStr">
        <is>
          <t>Third Floor</t>
        </is>
      </c>
      <c r="F276" s="14" t="inlineStr">
        <is>
          <t>Office</t>
        </is>
      </c>
      <c r="G276" s="7" t="n">
        <v>350</v>
      </c>
      <c r="H276" s="7">
        <f>G276</f>
        <v/>
      </c>
      <c r="I276" s="7" t="n">
        <v>500</v>
      </c>
      <c r="J276" s="4" t="inlineStr">
        <is>
          <t>Leap Productions Limited</t>
        </is>
      </c>
      <c r="K276" s="8" t="n">
        <v>44974</v>
      </c>
      <c r="L276" s="9" t="n">
        <v>46799</v>
      </c>
      <c r="O276" s="9" t="n">
        <v>46069</v>
      </c>
      <c r="P276" s="10" t="n">
        <v>19600</v>
      </c>
      <c r="Q276" s="10">
        <f>P276</f>
        <v/>
      </c>
      <c r="S276" s="10" t="n">
        <v>19600</v>
      </c>
      <c r="T276" s="10">
        <f>S276</f>
        <v/>
      </c>
      <c r="U276" s="27" t="n">
        <v>20700</v>
      </c>
      <c r="V276" s="10">
        <f>U276</f>
        <v/>
      </c>
      <c r="W276" s="277">
        <f>S276/G276</f>
        <v/>
      </c>
      <c r="X276" s="10" t="inlineStr">
        <is>
          <t>D</t>
        </is>
      </c>
      <c r="Y276" s="60" t="n"/>
      <c r="Z276" s="36" t="n"/>
      <c r="AA276" s="14" t="inlineStr">
        <is>
          <t>No</t>
        </is>
      </c>
      <c r="AB276" s="4" t="inlineStr">
        <is>
          <t>Tenant break on 6 months notice.</t>
        </is>
      </c>
      <c r="AE276" s="278" t="n"/>
    </row>
    <row r="277">
      <c r="A277" s="11" t="inlineStr">
        <is>
          <t>CM</t>
        </is>
      </c>
      <c r="B277" s="11" t="inlineStr">
        <is>
          <t>MEL</t>
        </is>
      </c>
      <c r="C277" s="2" t="n">
        <v>550620</v>
      </c>
      <c r="D277" s="4" t="inlineStr">
        <is>
          <t>65 Margaret Street</t>
        </is>
      </c>
      <c r="E277" s="4" t="inlineStr">
        <is>
          <t>Fourth Floor</t>
        </is>
      </c>
      <c r="F277" s="14" t="inlineStr">
        <is>
          <t>Office</t>
        </is>
      </c>
      <c r="G277" s="7" t="n">
        <v>350</v>
      </c>
      <c r="H277" s="7">
        <f>G277</f>
        <v/>
      </c>
      <c r="I277" s="7" t="n">
        <v>500</v>
      </c>
      <c r="J277" s="4" t="inlineStr">
        <is>
          <t>Philips Lockhart Ltd.</t>
        </is>
      </c>
      <c r="K277" s="8" t="n">
        <v>45359</v>
      </c>
      <c r="L277" s="9" t="n">
        <v>46453</v>
      </c>
      <c r="O277" s="9" t="n">
        <v>45907</v>
      </c>
      <c r="P277" s="10" t="n">
        <v>19600</v>
      </c>
      <c r="Q277" s="10">
        <f>P277</f>
        <v/>
      </c>
      <c r="S277" s="10" t="n">
        <v>17500</v>
      </c>
      <c r="T277" s="10">
        <f>S277</f>
        <v/>
      </c>
      <c r="U277" s="27" t="n">
        <v>20000</v>
      </c>
      <c r="V277" s="10">
        <f>U277</f>
        <v/>
      </c>
      <c r="W277" s="277">
        <f>S277/G277</f>
        <v/>
      </c>
      <c r="X277" s="10" t="inlineStr">
        <is>
          <t>D</t>
        </is>
      </c>
      <c r="Y277" s="60" t="n"/>
      <c r="Z277" s="36" t="n"/>
      <c r="AA277" s="14" t="inlineStr">
        <is>
          <t>No</t>
        </is>
      </c>
      <c r="AB277" s="4" t="inlineStr">
        <is>
          <t>Tenant break on 6 months notice. 2 months rent free at 08/09/25 if break not exercised.</t>
        </is>
      </c>
      <c r="AE277" s="278" t="n"/>
    </row>
    <row r="278">
      <c r="A278" s="11" t="inlineStr">
        <is>
          <t>CM</t>
        </is>
      </c>
      <c r="B278" s="11" t="inlineStr">
        <is>
          <t>MEL</t>
        </is>
      </c>
      <c r="C278" s="2" t="n">
        <v>550620</v>
      </c>
      <c r="D278" s="4" t="inlineStr">
        <is>
          <t>65 Margaret Street</t>
        </is>
      </c>
      <c r="E278" s="4" t="inlineStr">
        <is>
          <t>Fifth Floor</t>
        </is>
      </c>
      <c r="F278" s="14" t="inlineStr">
        <is>
          <t>Office</t>
        </is>
      </c>
      <c r="G278" s="7" t="n">
        <v>350</v>
      </c>
      <c r="H278" s="7">
        <f>G278</f>
        <v/>
      </c>
      <c r="I278" s="7" t="n">
        <v>500</v>
      </c>
      <c r="J278" s="4" t="inlineStr">
        <is>
          <t>Mercury Creations Limited</t>
        </is>
      </c>
      <c r="K278" s="8" t="n">
        <v>45744</v>
      </c>
      <c r="L278" s="9" t="n">
        <v>47569</v>
      </c>
      <c r="O278" s="9" t="n">
        <v>46839</v>
      </c>
      <c r="P278" s="10" t="n">
        <v>19950</v>
      </c>
      <c r="Q278" s="10">
        <f>P278</f>
        <v/>
      </c>
      <c r="S278" s="10" t="n">
        <v>17500</v>
      </c>
      <c r="T278" s="10">
        <f>S278</f>
        <v/>
      </c>
      <c r="U278" s="27" t="n">
        <v>20300</v>
      </c>
      <c r="V278" s="10">
        <f>U278</f>
        <v/>
      </c>
      <c r="W278" s="277">
        <f>S278/G278</f>
        <v/>
      </c>
      <c r="X278" s="10" t="inlineStr">
        <is>
          <t>D</t>
        </is>
      </c>
      <c r="Y278" s="60" t="n"/>
      <c r="Z278" s="36" t="n"/>
      <c r="AA278" s="14" t="inlineStr">
        <is>
          <t>No</t>
        </is>
      </c>
      <c r="AB278" s="4" t="inlineStr">
        <is>
          <t>Tenant break on 6 months notice. 2 months rent free if not exercised.</t>
        </is>
      </c>
      <c r="AD278" s="4" t="n">
        <v>1</v>
      </c>
      <c r="AE278" s="278" t="n">
        <v>3</v>
      </c>
      <c r="AF278" s="4" t="inlineStr">
        <is>
          <t>LEM</t>
        </is>
      </c>
    </row>
    <row r="279">
      <c r="A279" s="11" t="inlineStr">
        <is>
          <t>CD</t>
        </is>
      </c>
      <c r="B279" s="11" t="inlineStr">
        <is>
          <t>MEL</t>
        </is>
      </c>
      <c r="C279" s="2" t="n">
        <v>550640</v>
      </c>
      <c r="D279" s="4" t="inlineStr">
        <is>
          <t>75-77 Margaret Street</t>
        </is>
      </c>
      <c r="E279" s="4" t="inlineStr">
        <is>
          <t>Sub-Basement</t>
        </is>
      </c>
      <c r="F279" s="14" t="inlineStr">
        <is>
          <t>Office</t>
        </is>
      </c>
      <c r="G279" s="7" t="n">
        <v>3760</v>
      </c>
      <c r="H279" s="7">
        <f>G279</f>
        <v/>
      </c>
      <c r="I279" s="7" t="n">
        <v>2750</v>
      </c>
      <c r="J279" s="4" t="inlineStr">
        <is>
          <t>M&amp;C Saatchi World Services Ltd.</t>
        </is>
      </c>
      <c r="K279" s="8" t="n">
        <v>44769</v>
      </c>
      <c r="L279" s="9" t="n">
        <v>46594</v>
      </c>
      <c r="P279" s="10" t="n">
        <v>95000</v>
      </c>
      <c r="Q279" s="10">
        <f>P279</f>
        <v/>
      </c>
      <c r="S279" s="10" t="n">
        <v>95000</v>
      </c>
      <c r="T279" s="10">
        <f>S279</f>
        <v/>
      </c>
      <c r="U279" s="27" t="n">
        <v>95000</v>
      </c>
      <c r="V279" s="10">
        <f>U279</f>
        <v/>
      </c>
      <c r="W279" s="277">
        <f>S279/G279</f>
        <v/>
      </c>
      <c r="X279" s="10" t="inlineStr">
        <is>
          <t>E</t>
        </is>
      </c>
      <c r="Y279" s="60" t="n"/>
      <c r="Z279" s="394" t="n"/>
      <c r="AA279" s="14" t="inlineStr">
        <is>
          <t>No</t>
        </is>
      </c>
      <c r="AE279" s="278" t="n"/>
    </row>
    <row r="280">
      <c r="A280" s="11" t="inlineStr">
        <is>
          <t>CD</t>
        </is>
      </c>
      <c r="B280" s="11" t="inlineStr">
        <is>
          <t>MEL</t>
        </is>
      </c>
      <c r="C280" s="2" t="n">
        <v>550640</v>
      </c>
      <c r="D280" s="4" t="inlineStr">
        <is>
          <t>75-77 Margaret Street</t>
        </is>
      </c>
      <c r="E280" s="4" t="inlineStr">
        <is>
          <t>Lower Ground Floor</t>
        </is>
      </c>
      <c r="F280" s="14" t="inlineStr">
        <is>
          <t>Retail / Showroom</t>
        </is>
      </c>
      <c r="G280" s="7" t="n">
        <v>7994</v>
      </c>
      <c r="H280" s="7">
        <f>G280</f>
        <v/>
      </c>
      <c r="I280" s="7" t="n">
        <v>8000</v>
      </c>
      <c r="J280" s="4" t="inlineStr">
        <is>
          <t>EDC2 Ltd.</t>
        </is>
      </c>
      <c r="K280" s="8" t="n">
        <v>45417</v>
      </c>
      <c r="L280" s="9" t="n">
        <v>49068</v>
      </c>
      <c r="N280" s="9" t="n">
        <v>47243</v>
      </c>
      <c r="O280" s="9" t="n">
        <v>47242</v>
      </c>
      <c r="P280" s="10" t="n">
        <v>424275</v>
      </c>
      <c r="Q280" s="10">
        <f>P280</f>
        <v/>
      </c>
      <c r="S280" s="10" t="n">
        <v>379100</v>
      </c>
      <c r="T280" s="10">
        <f>S280</f>
        <v/>
      </c>
      <c r="U280" s="27" t="n">
        <v>424275</v>
      </c>
      <c r="V280" s="10">
        <f>U280</f>
        <v/>
      </c>
      <c r="W280" s="277">
        <f>S280/G280</f>
        <v/>
      </c>
      <c r="X280" s="10" t="inlineStr">
        <is>
          <t>B</t>
        </is>
      </c>
      <c r="Y280" s="60" t="n"/>
      <c r="Z280" s="394" t="n"/>
      <c r="AA280" s="14" t="inlineStr">
        <is>
          <t>No</t>
        </is>
      </c>
      <c r="AB280" s="4" t="inlineStr">
        <is>
          <t>Tenant break on 6 months notice. Half rent for 1year from 05/05/29 if break not exercised. Penalty clause of £106k if exercised.</t>
        </is>
      </c>
      <c r="AE280" s="278" t="n"/>
    </row>
    <row r="281">
      <c r="A281" s="11" t="inlineStr">
        <is>
          <t>CD</t>
        </is>
      </c>
      <c r="B281" s="11" t="inlineStr">
        <is>
          <t>MEL</t>
        </is>
      </c>
      <c r="C281" s="2" t="n">
        <v>550640</v>
      </c>
      <c r="D281" s="4" t="inlineStr">
        <is>
          <t>75-77 Margaret Street</t>
        </is>
      </c>
      <c r="E281" s="4" t="inlineStr">
        <is>
          <t>First Floor (Front)</t>
        </is>
      </c>
      <c r="F281" s="14" t="inlineStr">
        <is>
          <t>Office</t>
        </is>
      </c>
      <c r="G281" s="7" t="n">
        <v>2106</v>
      </c>
      <c r="H281" s="7">
        <f>G281</f>
        <v/>
      </c>
      <c r="I281" s="7" t="n">
        <v>2000</v>
      </c>
      <c r="J281" s="4" t="inlineStr">
        <is>
          <t>Maxguard Limited</t>
        </is>
      </c>
      <c r="K281" s="8" t="n">
        <v>44317</v>
      </c>
      <c r="L281" s="9" t="n">
        <v>46142</v>
      </c>
      <c r="P281" s="10" t="n">
        <v>115500</v>
      </c>
      <c r="Q281" s="10">
        <f>P281</f>
        <v/>
      </c>
      <c r="S281" s="10" t="n">
        <v>120700</v>
      </c>
      <c r="T281" s="10">
        <f>S281</f>
        <v/>
      </c>
      <c r="U281" s="27" t="n">
        <v>133700</v>
      </c>
      <c r="V281" s="10">
        <f>U281</f>
        <v/>
      </c>
      <c r="W281" s="277">
        <f>S281/G281</f>
        <v/>
      </c>
      <c r="X281" s="10" t="inlineStr">
        <is>
          <t>D</t>
        </is>
      </c>
      <c r="Y281" s="60" t="n"/>
      <c r="Z281" s="394" t="n"/>
      <c r="AA281" s="14" t="inlineStr">
        <is>
          <t>No</t>
        </is>
      </c>
      <c r="AE281" s="278" t="n"/>
    </row>
    <row r="282">
      <c r="A282" s="11" t="inlineStr">
        <is>
          <t>CD</t>
        </is>
      </c>
      <c r="B282" s="11" t="inlineStr">
        <is>
          <t>MEL</t>
        </is>
      </c>
      <c r="C282" s="2" t="n">
        <v>550640</v>
      </c>
      <c r="D282" s="4" t="inlineStr">
        <is>
          <t>75-77 Margaret Street</t>
        </is>
      </c>
      <c r="E282" s="4" t="inlineStr">
        <is>
          <t>First Floor (Rear)</t>
        </is>
      </c>
      <c r="F282" s="14" t="inlineStr">
        <is>
          <t>Office</t>
        </is>
      </c>
      <c r="G282" s="7" t="n">
        <v>1218</v>
      </c>
      <c r="H282" s="7">
        <f>G282</f>
        <v/>
      </c>
      <c r="I282" s="7" t="n">
        <v>1250</v>
      </c>
      <c r="J282" s="4" t="inlineStr">
        <is>
          <t>Vacant</t>
        </is>
      </c>
      <c r="M282" s="9" t="n">
        <v>42705</v>
      </c>
      <c r="P282" s="10" t="n">
        <v>0</v>
      </c>
      <c r="Q282" s="10">
        <f>P282</f>
        <v/>
      </c>
      <c r="S282" s="10" t="n">
        <v>61500</v>
      </c>
      <c r="T282" s="10">
        <f>S282</f>
        <v/>
      </c>
      <c r="U282" s="27" t="n">
        <v>67000</v>
      </c>
      <c r="V282" s="10">
        <f>U282</f>
        <v/>
      </c>
      <c r="W282" s="277">
        <f>S282/G282</f>
        <v/>
      </c>
      <c r="X282" s="10" t="inlineStr">
        <is>
          <t>D</t>
        </is>
      </c>
      <c r="Y282" s="60" t="n"/>
      <c r="Z282" s="394" t="n"/>
      <c r="AA282" s="14" t="inlineStr">
        <is>
          <t>No</t>
        </is>
      </c>
      <c r="AB282" s="4" t="inlineStr">
        <is>
          <t>To be refurbished.</t>
        </is>
      </c>
      <c r="AC282" s="303" t="n">
        <v>62.5</v>
      </c>
      <c r="AE282" s="278" t="n"/>
    </row>
    <row r="283">
      <c r="A283" s="11" t="inlineStr">
        <is>
          <t>CD</t>
        </is>
      </c>
      <c r="B283" s="11" t="inlineStr">
        <is>
          <t>MEL</t>
        </is>
      </c>
      <c r="C283" s="2" t="n">
        <v>550640</v>
      </c>
      <c r="D283" s="4" t="inlineStr">
        <is>
          <t>75-77 Margaret Street</t>
        </is>
      </c>
      <c r="E283" s="4" t="inlineStr">
        <is>
          <t>Second Floor (Front)</t>
        </is>
      </c>
      <c r="F283" s="14" t="inlineStr">
        <is>
          <t>Office</t>
        </is>
      </c>
      <c r="G283" s="7" t="n">
        <v>2256</v>
      </c>
      <c r="H283" s="7">
        <f>G283</f>
        <v/>
      </c>
      <c r="I283" s="7" t="n">
        <v>2250</v>
      </c>
      <c r="J283" s="4" t="inlineStr">
        <is>
          <t>Vacant</t>
        </is>
      </c>
      <c r="M283" s="9" t="n">
        <v>44782</v>
      </c>
      <c r="P283" s="10" t="n">
        <v>0</v>
      </c>
      <c r="Q283" s="10">
        <f>P283</f>
        <v/>
      </c>
      <c r="S283" s="10" t="n">
        <v>129200</v>
      </c>
      <c r="T283" s="10">
        <f>S283</f>
        <v/>
      </c>
      <c r="U283" s="27" t="n">
        <v>135400</v>
      </c>
      <c r="V283" s="10">
        <f>U283</f>
        <v/>
      </c>
      <c r="W283" s="277">
        <f>S283/G283</f>
        <v/>
      </c>
      <c r="X283" s="10" t="inlineStr">
        <is>
          <t>D</t>
        </is>
      </c>
      <c r="Y283" s="60" t="n"/>
      <c r="Z283" s="394" t="n"/>
      <c r="AA283" s="14" t="inlineStr">
        <is>
          <t>No</t>
        </is>
      </c>
      <c r="AB283" s="4" t="inlineStr">
        <is>
          <t>To be refurbished.</t>
        </is>
      </c>
      <c r="AC283" s="303" t="n">
        <v>62.5</v>
      </c>
      <c r="AD283" s="4" t="n">
        <v>1</v>
      </c>
      <c r="AE283" s="278" t="n">
        <v>1</v>
      </c>
    </row>
    <row r="284">
      <c r="A284" s="11" t="inlineStr">
        <is>
          <t>CD</t>
        </is>
      </c>
      <c r="B284" s="11" t="inlineStr">
        <is>
          <t>MEL</t>
        </is>
      </c>
      <c r="C284" s="2" t="n">
        <v>550640</v>
      </c>
      <c r="D284" s="4" t="inlineStr">
        <is>
          <t>75-77 Margaret Street</t>
        </is>
      </c>
      <c r="E284" s="4" t="inlineStr">
        <is>
          <t>Second Floor (Rear)</t>
        </is>
      </c>
      <c r="F284" s="14" t="inlineStr">
        <is>
          <t>Office</t>
        </is>
      </c>
      <c r="G284" s="7" t="n">
        <v>1218</v>
      </c>
      <c r="H284" s="7">
        <f>G284</f>
        <v/>
      </c>
      <c r="I284" s="7" t="n">
        <v>1250</v>
      </c>
      <c r="J284" s="4" t="inlineStr">
        <is>
          <t>Vacant</t>
        </is>
      </c>
      <c r="M284" s="9" t="n">
        <v>42513</v>
      </c>
      <c r="P284" s="10" t="n">
        <v>0</v>
      </c>
      <c r="Q284" s="10">
        <f>P284</f>
        <v/>
      </c>
      <c r="S284" s="10" t="n">
        <v>59700</v>
      </c>
      <c r="T284" s="10">
        <f>S284</f>
        <v/>
      </c>
      <c r="U284" s="27" t="n">
        <v>67000</v>
      </c>
      <c r="V284" s="10">
        <f>U284</f>
        <v/>
      </c>
      <c r="W284" s="277">
        <f>S284/G284</f>
        <v/>
      </c>
      <c r="X284" s="10" t="inlineStr">
        <is>
          <t>E</t>
        </is>
      </c>
      <c r="Y284" s="60" t="n"/>
      <c r="Z284" s="394" t="n"/>
      <c r="AA284" s="14" t="inlineStr">
        <is>
          <t>No</t>
        </is>
      </c>
      <c r="AB284" s="4" t="inlineStr">
        <is>
          <t>To be refurbished.</t>
        </is>
      </c>
      <c r="AC284" s="303" t="n">
        <v>62.5</v>
      </c>
      <c r="AE284" s="278" t="n"/>
    </row>
    <row r="285">
      <c r="A285" s="11" t="inlineStr">
        <is>
          <t>CD</t>
        </is>
      </c>
      <c r="B285" s="11" t="inlineStr">
        <is>
          <t>MEL</t>
        </is>
      </c>
      <c r="C285" s="2" t="n">
        <v>550640</v>
      </c>
      <c r="D285" s="4" t="inlineStr">
        <is>
          <t>75-77 Margaret Street</t>
        </is>
      </c>
      <c r="E285" s="4" t="inlineStr">
        <is>
          <t>Third Floor</t>
        </is>
      </c>
      <c r="F285" s="14" t="inlineStr">
        <is>
          <t>Office</t>
        </is>
      </c>
      <c r="G285" s="7" t="n">
        <v>2194</v>
      </c>
      <c r="H285" s="7">
        <f>G285</f>
        <v/>
      </c>
      <c r="I285" s="7" t="n">
        <v>2000</v>
      </c>
      <c r="J285" s="4" t="inlineStr">
        <is>
          <t>Major League Baseball Europe Ltd.</t>
        </is>
      </c>
      <c r="K285" s="8" t="n">
        <v>45082</v>
      </c>
      <c r="L285" s="9" t="n">
        <v>46908</v>
      </c>
      <c r="O285" s="9" t="n">
        <v>46177</v>
      </c>
      <c r="P285" s="10" t="n">
        <v>130980</v>
      </c>
      <c r="Q285" s="10">
        <f>P285</f>
        <v/>
      </c>
      <c r="S285" s="10" t="n">
        <v>122200</v>
      </c>
      <c r="T285" s="10">
        <f>S285</f>
        <v/>
      </c>
      <c r="U285" s="27" t="n">
        <v>134900</v>
      </c>
      <c r="V285" s="10">
        <f>U285</f>
        <v/>
      </c>
      <c r="W285" s="277">
        <f>S285/G285</f>
        <v/>
      </c>
      <c r="X285" s="10" t="inlineStr">
        <is>
          <t>C</t>
        </is>
      </c>
      <c r="Y285" s="60" t="n"/>
      <c r="Z285" s="394" t="n"/>
      <c r="AA285" s="14" t="inlineStr">
        <is>
          <t>No</t>
        </is>
      </c>
      <c r="AB285" s="4" t="inlineStr">
        <is>
          <t>Tenant break on 6 months notice.</t>
        </is>
      </c>
      <c r="AD285" s="29" t="n"/>
      <c r="AE285" s="279" t="n"/>
      <c r="AF285" s="29" t="n"/>
    </row>
    <row r="286">
      <c r="A286" s="11" t="inlineStr">
        <is>
          <t>CD</t>
        </is>
      </c>
      <c r="B286" s="11" t="inlineStr">
        <is>
          <t>MEL</t>
        </is>
      </c>
      <c r="C286" s="2" t="n">
        <v>550640</v>
      </c>
      <c r="D286" s="4" t="inlineStr">
        <is>
          <t>75-77 Margaret Street</t>
        </is>
      </c>
      <c r="E286" s="4" t="inlineStr">
        <is>
          <t>Fourth Floor</t>
        </is>
      </c>
      <c r="F286" s="14" t="inlineStr">
        <is>
          <t>Office</t>
        </is>
      </c>
      <c r="G286" s="7" t="n">
        <v>2080</v>
      </c>
      <c r="H286" s="7">
        <f>G286</f>
        <v/>
      </c>
      <c r="I286" s="7" t="n">
        <v>2000</v>
      </c>
      <c r="J286" s="4" t="inlineStr">
        <is>
          <t>Vacant</t>
        </is>
      </c>
      <c r="M286" s="9" t="n">
        <v>44647</v>
      </c>
      <c r="P286" s="10" t="n">
        <v>0</v>
      </c>
      <c r="Q286" s="10">
        <f>P286</f>
        <v/>
      </c>
      <c r="S286" s="10" t="n">
        <v>117900</v>
      </c>
      <c r="T286" s="10">
        <f>S286</f>
        <v/>
      </c>
      <c r="U286" s="27" t="n">
        <v>127900</v>
      </c>
      <c r="V286" s="10">
        <f>U286</f>
        <v/>
      </c>
      <c r="W286" s="277">
        <f>S286/G286</f>
        <v/>
      </c>
      <c r="X286" s="10" t="inlineStr">
        <is>
          <t>D</t>
        </is>
      </c>
      <c r="Y286" s="60" t="n"/>
      <c r="Z286" s="394" t="n"/>
      <c r="AA286" s="14" t="inlineStr">
        <is>
          <t>No</t>
        </is>
      </c>
      <c r="AB286" s="4" t="inlineStr">
        <is>
          <t>To be refurbished.</t>
        </is>
      </c>
      <c r="AC286" s="303" t="n">
        <v>63</v>
      </c>
      <c r="AD286" s="4" t="n">
        <v>1</v>
      </c>
      <c r="AE286" s="278" t="n">
        <v>4</v>
      </c>
      <c r="AF286" s="4" t="inlineStr">
        <is>
          <t>LEM / LDG</t>
        </is>
      </c>
    </row>
    <row r="287">
      <c r="A287" s="11" t="inlineStr">
        <is>
          <t>CD</t>
        </is>
      </c>
      <c r="B287" s="11" t="inlineStr">
        <is>
          <t>MEL</t>
        </is>
      </c>
      <c r="C287" s="2" t="n">
        <v>550640</v>
      </c>
      <c r="D287" s="4" t="inlineStr">
        <is>
          <t>75-77 Margaret Street</t>
        </is>
      </c>
      <c r="E287" s="4" t="inlineStr">
        <is>
          <t>Fifth Floor</t>
        </is>
      </c>
      <c r="F287" s="14" t="inlineStr">
        <is>
          <t>Office</t>
        </is>
      </c>
      <c r="G287" s="7" t="n">
        <v>1713</v>
      </c>
      <c r="H287" s="7">
        <f>G287</f>
        <v/>
      </c>
      <c r="I287" s="7" t="n">
        <v>1750</v>
      </c>
      <c r="J287" s="4" t="inlineStr">
        <is>
          <t>Vacant</t>
        </is>
      </c>
      <c r="M287" s="9" t="n">
        <v>45195</v>
      </c>
      <c r="P287" s="10" t="n">
        <v>0</v>
      </c>
      <c r="Q287" s="10">
        <f>P287</f>
        <v/>
      </c>
      <c r="S287" s="10" t="n">
        <v>94300</v>
      </c>
      <c r="T287" s="10">
        <f>S287</f>
        <v/>
      </c>
      <c r="U287" s="27" t="n">
        <v>105300</v>
      </c>
      <c r="V287" s="10">
        <f>U287</f>
        <v/>
      </c>
      <c r="W287" s="277">
        <f>S287/G287</f>
        <v/>
      </c>
      <c r="X287" s="10" t="inlineStr">
        <is>
          <t>E</t>
        </is>
      </c>
      <c r="Y287" s="60" t="n"/>
      <c r="Z287" s="394" t="n"/>
      <c r="AA287" s="14" t="inlineStr">
        <is>
          <t>No</t>
        </is>
      </c>
      <c r="AB287" s="4" t="inlineStr">
        <is>
          <t>To be refurbished.</t>
        </is>
      </c>
      <c r="AC287" s="303" t="n">
        <v>65</v>
      </c>
      <c r="AD287" s="4" t="n">
        <v>1</v>
      </c>
      <c r="AE287" s="278" t="n">
        <v>1</v>
      </c>
    </row>
    <row r="288">
      <c r="A288" s="11" t="inlineStr">
        <is>
          <t>JM</t>
        </is>
      </c>
      <c r="B288" s="11" t="inlineStr">
        <is>
          <t>MEL</t>
        </is>
      </c>
      <c r="C288" s="2" t="n">
        <v>550630</v>
      </c>
      <c r="D288" s="4" t="inlineStr">
        <is>
          <t>Sackville House - 78 Margaret Street</t>
        </is>
      </c>
      <c r="E288" s="4" t="inlineStr">
        <is>
          <t>Basement</t>
        </is>
      </c>
      <c r="F288" s="14" t="inlineStr">
        <is>
          <t>Storage</t>
        </is>
      </c>
      <c r="G288" s="7" t="n">
        <v>927</v>
      </c>
      <c r="H288" s="7">
        <f>G288</f>
        <v/>
      </c>
      <c r="I288" s="7" t="n">
        <v>1000</v>
      </c>
      <c r="J288" s="4" t="inlineStr">
        <is>
          <t>Vacant</t>
        </is>
      </c>
      <c r="K288" s="4" t="n"/>
      <c r="L288" s="4" t="n"/>
      <c r="M288" s="9" t="n">
        <v>45785</v>
      </c>
      <c r="P288" s="10" t="n">
        <v>0</v>
      </c>
      <c r="Q288" s="10">
        <f>P288</f>
        <v/>
      </c>
      <c r="S288" s="10" t="n">
        <v>13900</v>
      </c>
      <c r="T288" s="10">
        <f>S288</f>
        <v/>
      </c>
      <c r="U288" s="27" t="n">
        <v>18500</v>
      </c>
      <c r="V288" s="10">
        <f>U288</f>
        <v/>
      </c>
      <c r="W288" s="277">
        <f>S288/G288</f>
        <v/>
      </c>
      <c r="X288" s="10" t="inlineStr">
        <is>
          <t>D</t>
        </is>
      </c>
      <c r="Y288" s="60" t="n"/>
      <c r="Z288" s="36" t="n"/>
      <c r="AA288" s="14" t="inlineStr">
        <is>
          <t>No</t>
        </is>
      </c>
      <c r="AB288" s="4" t="inlineStr">
        <is>
          <t>Mothballed.</t>
        </is>
      </c>
      <c r="AD288" s="29" t="n"/>
      <c r="AE288" s="279" t="n"/>
      <c r="AF288" s="29" t="n"/>
    </row>
    <row r="289">
      <c r="A289" s="11" t="inlineStr">
        <is>
          <t>JM</t>
        </is>
      </c>
      <c r="B289" s="11" t="inlineStr">
        <is>
          <t>MEL</t>
        </is>
      </c>
      <c r="C289" s="2" t="n">
        <v>550630</v>
      </c>
      <c r="D289" s="4" t="inlineStr">
        <is>
          <t>Sackville House - 78 Margaret Street</t>
        </is>
      </c>
      <c r="E289" s="4" t="inlineStr">
        <is>
          <t>Ground</t>
        </is>
      </c>
      <c r="F289" s="14" t="inlineStr">
        <is>
          <t>Office</t>
        </is>
      </c>
      <c r="G289" s="7" t="n">
        <v>1010</v>
      </c>
      <c r="H289" s="7">
        <f>G289</f>
        <v/>
      </c>
      <c r="I289" s="7" t="n">
        <v>1000</v>
      </c>
      <c r="J289" s="4" t="inlineStr">
        <is>
          <t>Vacant</t>
        </is>
      </c>
      <c r="M289" s="9" t="n">
        <v>42794</v>
      </c>
      <c r="P289" s="10" t="n">
        <v>0</v>
      </c>
      <c r="Q289" s="10">
        <f>P289</f>
        <v/>
      </c>
      <c r="S289" s="10" t="n">
        <v>55600</v>
      </c>
      <c r="T289" s="10">
        <f>S289</f>
        <v/>
      </c>
      <c r="U289" s="27" t="n">
        <v>60600</v>
      </c>
      <c r="V289" s="10">
        <f>U289</f>
        <v/>
      </c>
      <c r="W289" s="277">
        <f>S289/G289</f>
        <v/>
      </c>
      <c r="X289" s="10" t="inlineStr">
        <is>
          <t>D</t>
        </is>
      </c>
      <c r="Y289" s="60" t="n"/>
      <c r="Z289" s="36" t="n"/>
      <c r="AA289" s="14" t="inlineStr">
        <is>
          <t>No</t>
        </is>
      </c>
      <c r="AB289" s="4" t="inlineStr">
        <is>
          <t>Mothballed.</t>
        </is>
      </c>
      <c r="AD289" s="29" t="n"/>
      <c r="AE289" s="279" t="n"/>
      <c r="AF289" s="29" t="n"/>
    </row>
    <row r="290">
      <c r="A290" s="11" t="inlineStr">
        <is>
          <t>JM</t>
        </is>
      </c>
      <c r="B290" s="11" t="inlineStr">
        <is>
          <t>MEL</t>
        </is>
      </c>
      <c r="C290" s="2" t="n">
        <v>550630</v>
      </c>
      <c r="D290" s="4" t="inlineStr">
        <is>
          <t>Sackville House - 78 Margaret Street</t>
        </is>
      </c>
      <c r="E290" s="4" t="inlineStr">
        <is>
          <t>First Floor</t>
        </is>
      </c>
      <c r="F290" s="14" t="inlineStr">
        <is>
          <t>Office</t>
        </is>
      </c>
      <c r="G290" s="7" t="n">
        <v>971</v>
      </c>
      <c r="H290" s="7">
        <f>G290</f>
        <v/>
      </c>
      <c r="I290" s="7" t="n">
        <v>1000</v>
      </c>
      <c r="J290" s="4" t="inlineStr">
        <is>
          <t>Vacant</t>
        </is>
      </c>
      <c r="M290" s="9" t="n">
        <v>44071</v>
      </c>
      <c r="P290" s="10" t="n">
        <v>0</v>
      </c>
      <c r="Q290" s="10">
        <f>P290</f>
        <v/>
      </c>
      <c r="S290" s="10" t="n">
        <v>53400</v>
      </c>
      <c r="T290" s="10">
        <f>S290</f>
        <v/>
      </c>
      <c r="U290" s="27" t="n">
        <v>58300</v>
      </c>
      <c r="V290" s="10">
        <f>U290</f>
        <v/>
      </c>
      <c r="W290" s="277">
        <f>S290/G290</f>
        <v/>
      </c>
      <c r="X290" s="10" t="inlineStr">
        <is>
          <t>D</t>
        </is>
      </c>
      <c r="Y290" s="60" t="n"/>
      <c r="Z290" s="36" t="n"/>
      <c r="AA290" s="14" t="inlineStr">
        <is>
          <t>No</t>
        </is>
      </c>
      <c r="AB290" s="4" t="inlineStr">
        <is>
          <t>Mothballed.</t>
        </is>
      </c>
      <c r="AD290" s="29" t="n"/>
      <c r="AE290" s="279" t="n"/>
      <c r="AF290" s="29" t="n"/>
    </row>
    <row r="291">
      <c r="A291" s="11" t="inlineStr">
        <is>
          <t>JM</t>
        </is>
      </c>
      <c r="B291" s="11" t="inlineStr">
        <is>
          <t>MEL</t>
        </is>
      </c>
      <c r="C291" s="2" t="n">
        <v>550630</v>
      </c>
      <c r="D291" s="4" t="inlineStr">
        <is>
          <t>Sackville House - 78 Margaret Street</t>
        </is>
      </c>
      <c r="E291" s="4" t="inlineStr">
        <is>
          <t>Second Floor</t>
        </is>
      </c>
      <c r="F291" s="14" t="inlineStr">
        <is>
          <t>Office</t>
        </is>
      </c>
      <c r="G291" s="7" t="n">
        <v>1000</v>
      </c>
      <c r="H291" s="7">
        <f>G291</f>
        <v/>
      </c>
      <c r="I291" s="7" t="n">
        <v>1000</v>
      </c>
      <c r="J291" s="4" t="inlineStr">
        <is>
          <t>Vacant</t>
        </is>
      </c>
      <c r="M291" s="9" t="n">
        <v>43261</v>
      </c>
      <c r="P291" s="10" t="n">
        <v>0</v>
      </c>
      <c r="Q291" s="10">
        <f>P291</f>
        <v/>
      </c>
      <c r="S291" s="10" t="n">
        <v>52500</v>
      </c>
      <c r="T291" s="10">
        <f>S291</f>
        <v/>
      </c>
      <c r="U291" s="27" t="n">
        <v>57500</v>
      </c>
      <c r="V291" s="10">
        <f>U291</f>
        <v/>
      </c>
      <c r="W291" s="277">
        <f>S291/G291</f>
        <v/>
      </c>
      <c r="X291" s="10" t="inlineStr">
        <is>
          <t>D</t>
        </is>
      </c>
      <c r="Y291" s="60" t="n"/>
      <c r="Z291" s="36" t="n"/>
      <c r="AA291" s="14" t="inlineStr">
        <is>
          <t>No</t>
        </is>
      </c>
      <c r="AB291" s="4" t="inlineStr">
        <is>
          <t>Mothballed.</t>
        </is>
      </c>
      <c r="AD291" s="29" t="n"/>
      <c r="AE291" s="279" t="n"/>
      <c r="AF291" s="29" t="n"/>
    </row>
    <row r="292">
      <c r="A292" s="11" t="inlineStr">
        <is>
          <t>JM</t>
        </is>
      </c>
      <c r="B292" s="11" t="inlineStr">
        <is>
          <t>MEL</t>
        </is>
      </c>
      <c r="C292" s="2" t="n">
        <v>550690</v>
      </c>
      <c r="D292" s="4" t="inlineStr">
        <is>
          <t>Kenilworth House - 79-80 Margaret Street</t>
        </is>
      </c>
      <c r="E292" s="4" t="inlineStr">
        <is>
          <t>Basement (E)</t>
        </is>
      </c>
      <c r="F292" s="39" t="inlineStr">
        <is>
          <t>Office</t>
        </is>
      </c>
      <c r="G292" s="7" t="n">
        <v>1519</v>
      </c>
      <c r="H292" s="7">
        <f>G292</f>
        <v/>
      </c>
      <c r="I292" s="7" t="n">
        <v>1500</v>
      </c>
      <c r="J292" s="4" t="inlineStr">
        <is>
          <t>Jewells Retail Ltd</t>
        </is>
      </c>
      <c r="K292" s="8" t="n">
        <v>45824</v>
      </c>
      <c r="L292" s="9" t="n">
        <v>46188</v>
      </c>
      <c r="P292" s="10" t="n">
        <v>61812</v>
      </c>
      <c r="Q292" s="10">
        <f>P292</f>
        <v/>
      </c>
      <c r="S292" s="10" t="n">
        <v>53600</v>
      </c>
      <c r="T292" s="10">
        <f>S292</f>
        <v/>
      </c>
      <c r="U292" s="27" t="n">
        <v>54700</v>
      </c>
      <c r="V292" s="10">
        <f>U292</f>
        <v/>
      </c>
      <c r="W292" s="277">
        <f>S292/G292</f>
        <v/>
      </c>
      <c r="X292" s="10" t="inlineStr">
        <is>
          <t>E</t>
        </is>
      </c>
      <c r="Y292" s="60" t="inlineStr">
        <is>
          <t>*</t>
        </is>
      </c>
      <c r="Z292" s="394" t="n"/>
      <c r="AA292" s="14" t="inlineStr">
        <is>
          <t>No</t>
        </is>
      </c>
      <c r="AB292" s="4" t="inlineStr">
        <is>
          <t>Rent all inclusive (excl rates).</t>
        </is>
      </c>
      <c r="AD292" s="4" t="n">
        <v>1</v>
      </c>
      <c r="AE292" s="278" t="n">
        <v>4</v>
      </c>
      <c r="AF292" s="4" t="inlineStr">
        <is>
          <t>LEM</t>
        </is>
      </c>
    </row>
    <row r="293">
      <c r="A293" s="11" t="inlineStr">
        <is>
          <t>JM</t>
        </is>
      </c>
      <c r="B293" s="11" t="inlineStr">
        <is>
          <t>MEL</t>
        </is>
      </c>
      <c r="C293" s="2" t="n">
        <v>550690</v>
      </c>
      <c r="D293" s="4" t="inlineStr">
        <is>
          <t>Kenilworth House - 79-80 Margaret Street</t>
        </is>
      </c>
      <c r="E293" s="4" t="inlineStr">
        <is>
          <t xml:space="preserve">Ground (East) </t>
        </is>
      </c>
      <c r="F293" s="14" t="inlineStr">
        <is>
          <t>Office</t>
        </is>
      </c>
      <c r="G293" s="7" t="n">
        <v>1525</v>
      </c>
      <c r="H293" s="7">
        <f>G293</f>
        <v/>
      </c>
      <c r="I293" s="7" t="n">
        <v>1500</v>
      </c>
      <c r="J293" s="4" t="inlineStr">
        <is>
          <t xml:space="preserve">Lualdi UK </t>
        </is>
      </c>
      <c r="K293" s="8" t="n">
        <v>45834</v>
      </c>
      <c r="L293" s="9" t="n">
        <v>47659</v>
      </c>
      <c r="P293" s="10" t="n">
        <v>0</v>
      </c>
      <c r="Q293" s="10">
        <f>P293</f>
        <v/>
      </c>
      <c r="S293" s="10" t="n">
        <v>90600</v>
      </c>
      <c r="T293" s="10">
        <f>S293</f>
        <v/>
      </c>
      <c r="U293" s="27" t="n">
        <v>91500</v>
      </c>
      <c r="V293" s="10">
        <f>U293</f>
        <v/>
      </c>
      <c r="W293" s="277">
        <f>S293/G293</f>
        <v/>
      </c>
      <c r="X293" s="10" t="inlineStr">
        <is>
          <t>E</t>
        </is>
      </c>
      <c r="Y293" s="60" t="n"/>
      <c r="Z293" s="394" t="n"/>
      <c r="AA293" s="14" t="inlineStr">
        <is>
          <t>No</t>
        </is>
      </c>
      <c r="AB293" s="4" t="inlineStr">
        <is>
          <t>Stepped rent. Rent £62,500 wef 26/09/25. Fixed increases to £72,500 wef 26/06/26, £82,000 wef 26/06/27, £90,000 wef 26/06/28 and £93,000 wef 26/06/29.</t>
        </is>
      </c>
      <c r="AE293" s="278" t="n"/>
    </row>
    <row r="294">
      <c r="A294" s="11" t="inlineStr">
        <is>
          <t>JM</t>
        </is>
      </c>
      <c r="B294" s="11" t="inlineStr">
        <is>
          <t>MEL</t>
        </is>
      </c>
      <c r="C294" s="2" t="n">
        <v>550690</v>
      </c>
      <c r="D294" s="4" t="inlineStr">
        <is>
          <t>Kenilworth House - 79-80 Margaret Street</t>
        </is>
      </c>
      <c r="E294" s="4" t="inlineStr">
        <is>
          <t>Ground (West) &amp; Part Basement</t>
        </is>
      </c>
      <c r="F294" s="14" t="inlineStr">
        <is>
          <t>Showroom</t>
        </is>
      </c>
      <c r="G294" s="7" t="n">
        <v>1989</v>
      </c>
      <c r="H294" s="7">
        <f>G294</f>
        <v/>
      </c>
      <c r="I294" s="7" t="n">
        <v>2000</v>
      </c>
      <c r="J294" s="4" t="inlineStr">
        <is>
          <t>Edwards Cheshire Company Ltd.</t>
        </is>
      </c>
      <c r="K294" s="8" t="n">
        <v>42874</v>
      </c>
      <c r="L294" s="9" t="n">
        <v>46525</v>
      </c>
      <c r="N294" s="9" t="n">
        <v>44700</v>
      </c>
      <c r="P294" s="10" t="n">
        <v>82575</v>
      </c>
      <c r="Q294" s="10">
        <f>P294</f>
        <v/>
      </c>
      <c r="S294" s="10" t="n">
        <v>75000</v>
      </c>
      <c r="T294" s="10">
        <f>S294</f>
        <v/>
      </c>
      <c r="U294" s="27" t="n">
        <v>87300</v>
      </c>
      <c r="V294" s="10">
        <f>U294</f>
        <v/>
      </c>
      <c r="W294" s="277">
        <f>S294/G294</f>
        <v/>
      </c>
      <c r="X294" s="10" t="inlineStr">
        <is>
          <t>C</t>
        </is>
      </c>
      <c r="Y294" s="60" t="n"/>
      <c r="Z294" s="394" t="n"/>
      <c r="AA294" s="14" t="inlineStr">
        <is>
          <t>No</t>
        </is>
      </c>
      <c r="AE294" s="278" t="n"/>
    </row>
    <row r="295">
      <c r="A295" s="11" t="inlineStr">
        <is>
          <t>JM</t>
        </is>
      </c>
      <c r="B295" s="11" t="inlineStr">
        <is>
          <t>MEL</t>
        </is>
      </c>
      <c r="C295" s="2" t="n">
        <v>550690</v>
      </c>
      <c r="D295" s="4" t="inlineStr">
        <is>
          <t>Kenilworth House - 79-80 Margaret Street</t>
        </is>
      </c>
      <c r="E295" s="4" t="inlineStr">
        <is>
          <t>First Floor (East)</t>
        </is>
      </c>
      <c r="F295" s="14" t="inlineStr">
        <is>
          <t>Showroom/ Office</t>
        </is>
      </c>
      <c r="G295" s="7" t="n">
        <v>1143</v>
      </c>
      <c r="H295" s="7">
        <f>G295</f>
        <v/>
      </c>
      <c r="I295" s="7" t="n">
        <v>1000</v>
      </c>
      <c r="J295" s="4" t="inlineStr">
        <is>
          <t>Vacant</t>
        </is>
      </c>
      <c r="M295" s="9" t="n">
        <v>44293</v>
      </c>
      <c r="P295" s="10" t="n">
        <v>0</v>
      </c>
      <c r="Q295" s="10">
        <f>P295</f>
        <v/>
      </c>
      <c r="S295" s="10" t="n">
        <v>73600</v>
      </c>
      <c r="T295" s="10">
        <f>S295</f>
        <v/>
      </c>
      <c r="U295" s="27" t="n">
        <v>74300</v>
      </c>
      <c r="V295" s="10">
        <f>U295</f>
        <v/>
      </c>
      <c r="W295" s="277">
        <f>S295/G295</f>
        <v/>
      </c>
      <c r="X295" s="10" t="inlineStr">
        <is>
          <t>D</t>
        </is>
      </c>
      <c r="Y295" s="60" t="n"/>
      <c r="Z295" s="394" t="n"/>
      <c r="AA295" s="14" t="inlineStr">
        <is>
          <t>No</t>
        </is>
      </c>
      <c r="AB295" s="4" t="inlineStr">
        <is>
          <t>Mothballed.</t>
        </is>
      </c>
      <c r="AD295" s="29" t="n"/>
      <c r="AE295" s="279" t="n"/>
      <c r="AF295" s="29" t="n"/>
    </row>
    <row r="296">
      <c r="A296" s="11" t="inlineStr">
        <is>
          <t>JM</t>
        </is>
      </c>
      <c r="B296" s="11" t="inlineStr">
        <is>
          <t>MEL</t>
        </is>
      </c>
      <c r="C296" s="2" t="n">
        <v>550690</v>
      </c>
      <c r="D296" s="4" t="inlineStr">
        <is>
          <t>Kenilworth House - 79-80 Margaret Street</t>
        </is>
      </c>
      <c r="E296" s="4" t="inlineStr">
        <is>
          <t>First Floor (West)</t>
        </is>
      </c>
      <c r="F296" s="14" t="inlineStr">
        <is>
          <t>Office</t>
        </is>
      </c>
      <c r="G296" s="7" t="n">
        <v>805</v>
      </c>
      <c r="H296" s="7">
        <f>G296</f>
        <v/>
      </c>
      <c r="I296" s="7" t="n">
        <v>1000</v>
      </c>
      <c r="J296" s="4" t="inlineStr">
        <is>
          <t>Vacant</t>
        </is>
      </c>
      <c r="M296" s="9" t="n">
        <v>44336</v>
      </c>
      <c r="P296" s="10" t="n">
        <v>0</v>
      </c>
      <c r="Q296" s="10">
        <f>P296</f>
        <v/>
      </c>
      <c r="S296" s="10" t="n">
        <v>45600</v>
      </c>
      <c r="T296" s="10">
        <f>S296</f>
        <v/>
      </c>
      <c r="U296" s="27" t="n">
        <v>52300</v>
      </c>
      <c r="V296" s="10">
        <f>U296</f>
        <v/>
      </c>
      <c r="W296" s="277">
        <f>S296/G296</f>
        <v/>
      </c>
      <c r="X296" s="10" t="inlineStr">
        <is>
          <t>D</t>
        </is>
      </c>
      <c r="Y296" s="60" t="n"/>
      <c r="Z296" s="394" t="n"/>
      <c r="AA296" s="14" t="inlineStr">
        <is>
          <t>No</t>
        </is>
      </c>
      <c r="AB296" s="4" t="inlineStr">
        <is>
          <t>Mothballed.</t>
        </is>
      </c>
      <c r="AD296" s="29" t="n"/>
      <c r="AE296" s="279" t="n"/>
      <c r="AF296" s="29" t="n"/>
    </row>
    <row r="297">
      <c r="A297" s="11" t="inlineStr">
        <is>
          <t>JM</t>
        </is>
      </c>
      <c r="B297" s="11" t="inlineStr">
        <is>
          <t>MEL</t>
        </is>
      </c>
      <c r="C297" s="2" t="n">
        <v>550690</v>
      </c>
      <c r="D297" s="4" t="inlineStr">
        <is>
          <t>Kenilworth House - 79-80 Margaret Street</t>
        </is>
      </c>
      <c r="E297" s="4" t="inlineStr">
        <is>
          <t>Second Floor (East)</t>
        </is>
      </c>
      <c r="F297" s="14" t="inlineStr">
        <is>
          <t>Office</t>
        </is>
      </c>
      <c r="G297" s="7" t="n">
        <v>1171</v>
      </c>
      <c r="H297" s="7">
        <f>G297</f>
        <v/>
      </c>
      <c r="I297" s="7" t="n">
        <v>1000</v>
      </c>
      <c r="J297" s="4" t="inlineStr">
        <is>
          <t>Vacant</t>
        </is>
      </c>
      <c r="L297" s="9" t="n"/>
      <c r="M297" s="9" t="n">
        <v>44049</v>
      </c>
      <c r="P297" s="10" t="n">
        <v>0</v>
      </c>
      <c r="Q297" s="10">
        <f>P297</f>
        <v/>
      </c>
      <c r="S297" s="10" t="n">
        <v>72300</v>
      </c>
      <c r="T297" s="10">
        <f>S297</f>
        <v/>
      </c>
      <c r="U297" s="27" t="n">
        <v>76100</v>
      </c>
      <c r="V297" s="10">
        <f>U297</f>
        <v/>
      </c>
      <c r="W297" s="277">
        <f>S297/G297</f>
        <v/>
      </c>
      <c r="X297" s="10" t="inlineStr">
        <is>
          <t>D</t>
        </is>
      </c>
      <c r="Y297" s="60" t="n"/>
      <c r="Z297" s="394" t="n"/>
      <c r="AA297" s="14" t="inlineStr">
        <is>
          <t>No</t>
        </is>
      </c>
      <c r="AB297" s="4" t="inlineStr">
        <is>
          <t>Mothballed.</t>
        </is>
      </c>
      <c r="AD297" s="29" t="n"/>
      <c r="AE297" s="279" t="n"/>
      <c r="AF297" s="29" t="n"/>
    </row>
    <row r="298">
      <c r="A298" s="11" t="inlineStr">
        <is>
          <t>JM</t>
        </is>
      </c>
      <c r="B298" s="11" t="inlineStr">
        <is>
          <t>MEL</t>
        </is>
      </c>
      <c r="C298" s="2" t="n">
        <v>550690</v>
      </c>
      <c r="D298" s="4" t="inlineStr">
        <is>
          <t>Kenilworth House - 79-80 Margaret Street</t>
        </is>
      </c>
      <c r="E298" s="4" t="inlineStr">
        <is>
          <t>Second Floor (West)</t>
        </is>
      </c>
      <c r="F298" s="14" t="inlineStr">
        <is>
          <t>Office</t>
        </is>
      </c>
      <c r="G298" s="7" t="n">
        <v>793</v>
      </c>
      <c r="H298" s="7">
        <f>G298</f>
        <v/>
      </c>
      <c r="I298" s="7" t="n">
        <v>750</v>
      </c>
      <c r="J298" s="4" t="inlineStr">
        <is>
          <t>Vacant</t>
        </is>
      </c>
      <c r="L298" s="9" t="n"/>
      <c r="M298" s="9" t="n">
        <v>44805</v>
      </c>
      <c r="P298" s="10" t="n">
        <v>0</v>
      </c>
      <c r="Q298" s="10">
        <f>P298</f>
        <v/>
      </c>
      <c r="S298" s="10" t="n">
        <v>46300</v>
      </c>
      <c r="T298" s="10">
        <f>S298</f>
        <v/>
      </c>
      <c r="U298" s="27" t="n">
        <v>51500</v>
      </c>
      <c r="V298" s="10">
        <f>U298</f>
        <v/>
      </c>
      <c r="W298" s="277">
        <f>S298/G298</f>
        <v/>
      </c>
      <c r="X298" s="10" t="inlineStr">
        <is>
          <t>D</t>
        </is>
      </c>
      <c r="Y298" s="60" t="n"/>
      <c r="Z298" s="394" t="n"/>
      <c r="AA298" s="14" t="inlineStr">
        <is>
          <t>No</t>
        </is>
      </c>
      <c r="AB298" s="4" t="inlineStr">
        <is>
          <t>Mothballed.</t>
        </is>
      </c>
      <c r="AD298" s="29" t="n"/>
      <c r="AE298" s="279" t="n"/>
      <c r="AF298" s="29" t="n"/>
    </row>
    <row r="299">
      <c r="A299" s="11" t="inlineStr">
        <is>
          <t>JM</t>
        </is>
      </c>
      <c r="B299" s="11" t="inlineStr">
        <is>
          <t>MEL</t>
        </is>
      </c>
      <c r="C299" s="2" t="n">
        <v>550690</v>
      </c>
      <c r="D299" s="4" t="inlineStr">
        <is>
          <t>Kenilworth House - 79-80 Margaret Street</t>
        </is>
      </c>
      <c r="E299" s="4" t="inlineStr">
        <is>
          <t>Third Floor (East)</t>
        </is>
      </c>
      <c r="F299" s="14" t="inlineStr">
        <is>
          <t>Office</t>
        </is>
      </c>
      <c r="G299" s="7" t="n">
        <v>1030</v>
      </c>
      <c r="H299" s="7">
        <f>G299</f>
        <v/>
      </c>
      <c r="I299" s="7" t="n">
        <v>1000</v>
      </c>
      <c r="J299" s="4" t="inlineStr">
        <is>
          <t>Vacant</t>
        </is>
      </c>
      <c r="M299" s="9" t="n">
        <v>43914</v>
      </c>
      <c r="P299" s="10" t="n">
        <v>0</v>
      </c>
      <c r="Q299" s="10">
        <f>P299</f>
        <v/>
      </c>
      <c r="S299" s="10" t="n">
        <v>63800</v>
      </c>
      <c r="T299" s="10">
        <f>S299</f>
        <v/>
      </c>
      <c r="U299" s="27" t="n">
        <v>67000</v>
      </c>
      <c r="V299" s="10">
        <f>U299</f>
        <v/>
      </c>
      <c r="W299" s="277">
        <f>S299/G299</f>
        <v/>
      </c>
      <c r="X299" s="10" t="inlineStr">
        <is>
          <t>D</t>
        </is>
      </c>
      <c r="Y299" s="60" t="n"/>
      <c r="Z299" s="394" t="n"/>
      <c r="AA299" s="14" t="inlineStr">
        <is>
          <t>No</t>
        </is>
      </c>
      <c r="AB299" s="4" t="inlineStr">
        <is>
          <t>Mothballed.</t>
        </is>
      </c>
      <c r="AD299" s="29" t="n"/>
      <c r="AE299" s="279" t="n"/>
      <c r="AF299" s="29" t="n"/>
    </row>
    <row r="300">
      <c r="A300" s="11" t="inlineStr">
        <is>
          <t>JM</t>
        </is>
      </c>
      <c r="B300" s="11" t="inlineStr">
        <is>
          <t>MEL</t>
        </is>
      </c>
      <c r="C300" s="2" t="n">
        <v>550690</v>
      </c>
      <c r="D300" s="4" t="inlineStr">
        <is>
          <t>Kenilworth House - 79-80 Margaret Street</t>
        </is>
      </c>
      <c r="E300" s="4" t="inlineStr">
        <is>
          <t>Third Floor (West)</t>
        </is>
      </c>
      <c r="F300" s="14" t="inlineStr">
        <is>
          <t>Office</t>
        </is>
      </c>
      <c r="G300" s="7" t="n">
        <v>731</v>
      </c>
      <c r="H300" s="7">
        <f>G300</f>
        <v/>
      </c>
      <c r="I300" s="7" t="n">
        <v>750</v>
      </c>
      <c r="J300" s="4" t="inlineStr">
        <is>
          <t>Vacant</t>
        </is>
      </c>
      <c r="M300" s="9" t="n">
        <v>44321</v>
      </c>
      <c r="P300" s="10" t="n">
        <v>0</v>
      </c>
      <c r="Q300" s="10">
        <f>P300</f>
        <v/>
      </c>
      <c r="S300" s="10" t="n">
        <v>46100</v>
      </c>
      <c r="T300" s="10">
        <f>S300</f>
        <v/>
      </c>
      <c r="U300" s="27" t="n">
        <v>47500</v>
      </c>
      <c r="V300" s="10">
        <f>U300</f>
        <v/>
      </c>
      <c r="W300" s="277">
        <f>S300/G300</f>
        <v/>
      </c>
      <c r="X300" s="10" t="inlineStr">
        <is>
          <t>D</t>
        </is>
      </c>
      <c r="Y300" s="60" t="n"/>
      <c r="Z300" s="394" t="n"/>
      <c r="AA300" s="14" t="inlineStr">
        <is>
          <t>No</t>
        </is>
      </c>
      <c r="AB300" s="4" t="inlineStr">
        <is>
          <t>Mothballed.</t>
        </is>
      </c>
      <c r="AD300" s="29" t="n"/>
      <c r="AE300" s="279" t="n"/>
      <c r="AF300" s="29" t="n"/>
    </row>
    <row r="301">
      <c r="A301" s="11" t="inlineStr">
        <is>
          <t>JM</t>
        </is>
      </c>
      <c r="B301" s="11" t="inlineStr">
        <is>
          <t>MEL</t>
        </is>
      </c>
      <c r="C301" s="2" t="n">
        <v>550690</v>
      </c>
      <c r="D301" s="4" t="inlineStr">
        <is>
          <t>Kenilworth House - 79-80 Margaret Street</t>
        </is>
      </c>
      <c r="E301" s="4" t="inlineStr">
        <is>
          <t>Fourth Floor (East)</t>
        </is>
      </c>
      <c r="F301" s="14" t="inlineStr">
        <is>
          <t>Office</t>
        </is>
      </c>
      <c r="G301" s="7" t="n">
        <v>949</v>
      </c>
      <c r="H301" s="7">
        <f>G301</f>
        <v/>
      </c>
      <c r="I301" s="7" t="n">
        <v>1000</v>
      </c>
      <c r="J301" s="4" t="inlineStr">
        <is>
          <t>Vacant</t>
        </is>
      </c>
      <c r="M301" s="9" t="n">
        <v>42550</v>
      </c>
      <c r="P301" s="10" t="n">
        <v>0</v>
      </c>
      <c r="Q301" s="10">
        <f>P301</f>
        <v/>
      </c>
      <c r="S301" s="10" t="n">
        <v>55600</v>
      </c>
      <c r="T301" s="10">
        <f>S301</f>
        <v/>
      </c>
      <c r="U301" s="27" t="n">
        <v>59300</v>
      </c>
      <c r="V301" s="10">
        <f>U301</f>
        <v/>
      </c>
      <c r="W301" s="277">
        <f>S301/G301</f>
        <v/>
      </c>
      <c r="X301" s="10" t="inlineStr">
        <is>
          <t>D</t>
        </is>
      </c>
      <c r="Y301" s="60" t="n"/>
      <c r="Z301" s="394" t="n"/>
      <c r="AA301" s="14" t="inlineStr">
        <is>
          <t>No</t>
        </is>
      </c>
      <c r="AB301" s="4" t="inlineStr">
        <is>
          <t>Mothballed.</t>
        </is>
      </c>
      <c r="AD301" s="29" t="n"/>
      <c r="AE301" s="279" t="n"/>
      <c r="AF301" s="29" t="n"/>
    </row>
    <row r="302">
      <c r="A302" s="11" t="inlineStr">
        <is>
          <t>JM</t>
        </is>
      </c>
      <c r="B302" s="11" t="inlineStr">
        <is>
          <t>MEL</t>
        </is>
      </c>
      <c r="C302" s="2" t="n">
        <v>550690</v>
      </c>
      <c r="D302" s="4" t="inlineStr">
        <is>
          <t>Kenilworth House - 79-80 Margaret Street</t>
        </is>
      </c>
      <c r="E302" s="4" t="inlineStr">
        <is>
          <t>Fourth Floor (West)</t>
        </is>
      </c>
      <c r="F302" s="14" t="inlineStr">
        <is>
          <t>Office</t>
        </is>
      </c>
      <c r="G302" s="7" t="n">
        <v>601</v>
      </c>
      <c r="H302" s="7">
        <f>G302</f>
        <v/>
      </c>
      <c r="I302" s="7" t="n">
        <v>500</v>
      </c>
      <c r="J302" s="4" t="inlineStr">
        <is>
          <t>Vacant</t>
        </is>
      </c>
      <c r="L302" s="9" t="n"/>
      <c r="M302" s="9" t="n">
        <v>44027</v>
      </c>
      <c r="P302" s="10" t="n">
        <v>0</v>
      </c>
      <c r="Q302" s="10">
        <f>P302</f>
        <v/>
      </c>
      <c r="S302" s="10" t="n">
        <v>36800</v>
      </c>
      <c r="T302" s="10">
        <f>S302</f>
        <v/>
      </c>
      <c r="U302" s="27" t="n">
        <v>37600</v>
      </c>
      <c r="V302" s="10">
        <f>U302</f>
        <v/>
      </c>
      <c r="W302" s="277">
        <f>S302/G302</f>
        <v/>
      </c>
      <c r="X302" s="10" t="inlineStr">
        <is>
          <t>D</t>
        </is>
      </c>
      <c r="Y302" s="60" t="n"/>
      <c r="Z302" s="394" t="n"/>
      <c r="AA302" s="14" t="inlineStr">
        <is>
          <t>No</t>
        </is>
      </c>
      <c r="AB302" s="4" t="inlineStr">
        <is>
          <t>Mothballed.</t>
        </is>
      </c>
      <c r="AD302" s="29" t="n"/>
      <c r="AE302" s="279" t="n"/>
      <c r="AF302" s="29" t="n"/>
    </row>
    <row r="303">
      <c r="A303" s="11" t="inlineStr">
        <is>
          <t>JM</t>
        </is>
      </c>
      <c r="B303" s="11" t="inlineStr">
        <is>
          <t>MEL</t>
        </is>
      </c>
      <c r="C303" s="2" t="n">
        <v>550690</v>
      </c>
      <c r="D303" s="4" t="inlineStr">
        <is>
          <t>Kenilworth House - 79-80 Margaret Street</t>
        </is>
      </c>
      <c r="E303" s="4" t="inlineStr">
        <is>
          <t>Fifth Floor (East)</t>
        </is>
      </c>
      <c r="F303" s="14" t="inlineStr">
        <is>
          <t>Office</t>
        </is>
      </c>
      <c r="G303" s="7" t="n">
        <v>730</v>
      </c>
      <c r="H303" s="7">
        <f>G303</f>
        <v/>
      </c>
      <c r="I303" s="7" t="n">
        <v>750</v>
      </c>
      <c r="J303" s="4" t="inlineStr">
        <is>
          <t>Vacant</t>
        </is>
      </c>
      <c r="M303" s="9" t="n">
        <v>42723</v>
      </c>
      <c r="P303" s="10" t="n">
        <v>0</v>
      </c>
      <c r="Q303" s="10">
        <f>P303</f>
        <v/>
      </c>
      <c r="S303" s="10" t="n">
        <v>44700</v>
      </c>
      <c r="T303" s="10">
        <f>S303</f>
        <v/>
      </c>
      <c r="U303" s="27" t="n">
        <v>45600</v>
      </c>
      <c r="V303" s="10">
        <f>U303</f>
        <v/>
      </c>
      <c r="W303" s="277">
        <f>S303/G303</f>
        <v/>
      </c>
      <c r="X303" s="10" t="inlineStr">
        <is>
          <t>D</t>
        </is>
      </c>
      <c r="Y303" s="60" t="n"/>
      <c r="Z303" s="394" t="n"/>
      <c r="AA303" s="14" t="inlineStr">
        <is>
          <t>No</t>
        </is>
      </c>
      <c r="AB303" s="4" t="inlineStr">
        <is>
          <t>Mothballed.</t>
        </is>
      </c>
      <c r="AD303" s="29" t="n"/>
      <c r="AE303" s="279" t="n"/>
      <c r="AF303" s="29" t="n"/>
    </row>
    <row r="304">
      <c r="A304" s="11" t="inlineStr">
        <is>
          <t>JM</t>
        </is>
      </c>
      <c r="B304" s="11" t="inlineStr">
        <is>
          <t>MEL</t>
        </is>
      </c>
      <c r="C304" s="2" t="n">
        <v>550690</v>
      </c>
      <c r="D304" s="4" t="inlineStr">
        <is>
          <t>Kenilworth House - 79-80 Margaret Street</t>
        </is>
      </c>
      <c r="E304" s="4" t="inlineStr">
        <is>
          <t>Fifth Floor (West)</t>
        </is>
      </c>
      <c r="F304" s="14" t="inlineStr">
        <is>
          <t>Office</t>
        </is>
      </c>
      <c r="G304" s="7" t="n">
        <v>462</v>
      </c>
      <c r="H304" s="7">
        <f>G304</f>
        <v/>
      </c>
      <c r="I304" s="7" t="n">
        <v>500</v>
      </c>
      <c r="J304" s="4" t="inlineStr">
        <is>
          <t>Vacant</t>
        </is>
      </c>
      <c r="M304" s="9" t="n">
        <v>43824</v>
      </c>
      <c r="P304" s="10" t="n">
        <v>0</v>
      </c>
      <c r="Q304" s="10">
        <f>P304</f>
        <v/>
      </c>
      <c r="S304" s="10" t="n">
        <v>27300</v>
      </c>
      <c r="T304" s="10">
        <f>S304</f>
        <v/>
      </c>
      <c r="U304" s="27" t="n">
        <v>28900</v>
      </c>
      <c r="V304" s="10">
        <f>U304</f>
        <v/>
      </c>
      <c r="W304" s="277">
        <f>S304/G304</f>
        <v/>
      </c>
      <c r="X304" s="10" t="inlineStr">
        <is>
          <t>D</t>
        </is>
      </c>
      <c r="Y304" s="60" t="n"/>
      <c r="Z304" s="394" t="n"/>
      <c r="AA304" s="14" t="inlineStr">
        <is>
          <t>No</t>
        </is>
      </c>
      <c r="AB304" s="4" t="inlineStr">
        <is>
          <t>Mothballed.</t>
        </is>
      </c>
      <c r="AD304" s="29" t="n"/>
      <c r="AE304" s="279" t="n"/>
      <c r="AF304" s="29" t="n"/>
    </row>
    <row r="305">
      <c r="A305" s="11" t="inlineStr">
        <is>
          <t>WS</t>
        </is>
      </c>
      <c r="B305" s="11" t="inlineStr">
        <is>
          <t>MEL</t>
        </is>
      </c>
      <c r="C305" s="2" t="n">
        <v>550810</v>
      </c>
      <c r="D305" s="4" t="inlineStr">
        <is>
          <t>4 Market Place</t>
        </is>
      </c>
      <c r="E305" s="4" t="inlineStr">
        <is>
          <t>Ground, Basement &amp; Vaults</t>
        </is>
      </c>
      <c r="F305" s="14" t="inlineStr">
        <is>
          <t>Restaurant</t>
        </is>
      </c>
      <c r="G305" s="7" t="n">
        <v>1190</v>
      </c>
      <c r="H305" s="7">
        <f>G305</f>
        <v/>
      </c>
      <c r="I305" s="7" t="n">
        <v>1000</v>
      </c>
      <c r="J305" s="4" t="inlineStr">
        <is>
          <t>Honest Burgers Ltd</t>
        </is>
      </c>
      <c r="K305" s="8" t="n">
        <v>41673</v>
      </c>
      <c r="L305" s="9" t="n">
        <v>47151</v>
      </c>
      <c r="P305" s="10" t="n">
        <v>115000</v>
      </c>
      <c r="Q305" s="10">
        <f>P305</f>
        <v/>
      </c>
      <c r="S305" s="10" t="n">
        <v>106000</v>
      </c>
      <c r="T305" s="10">
        <f>S305</f>
        <v/>
      </c>
      <c r="U305" s="27" t="n">
        <v>115000</v>
      </c>
      <c r="V305" s="10">
        <f>U305</f>
        <v/>
      </c>
      <c r="W305" s="277">
        <f>S305/G305</f>
        <v/>
      </c>
      <c r="X305" s="10" t="inlineStr">
        <is>
          <t>D</t>
        </is>
      </c>
      <c r="Y305" s="60" t="n"/>
      <c r="Z305" s="36" t="n"/>
      <c r="AA305" s="14" t="inlineStr">
        <is>
          <t>No</t>
        </is>
      </c>
      <c r="AB305" s="4" t="inlineStr">
        <is>
          <t xml:space="preserve">Landlords redevelopment break @ 02/02/24 on 6 months notice. </t>
        </is>
      </c>
      <c r="AE305" s="278" t="n"/>
    </row>
    <row r="306">
      <c r="A306" s="11" t="inlineStr">
        <is>
          <t>WS</t>
        </is>
      </c>
      <c r="B306" s="11" t="inlineStr">
        <is>
          <t>MEL</t>
        </is>
      </c>
      <c r="C306" s="2" t="n">
        <v>550810</v>
      </c>
      <c r="D306" s="4" t="inlineStr">
        <is>
          <t>4 Market Place</t>
        </is>
      </c>
      <c r="E306" s="4" t="inlineStr">
        <is>
          <t>First to Third Floors</t>
        </is>
      </c>
      <c r="F306" s="14" t="inlineStr">
        <is>
          <t>Office</t>
        </is>
      </c>
      <c r="G306" s="7" t="n">
        <v>1044</v>
      </c>
      <c r="H306" s="7">
        <f>G306</f>
        <v/>
      </c>
      <c r="I306" s="7" t="n">
        <v>1000</v>
      </c>
      <c r="J306" s="4" t="inlineStr">
        <is>
          <t>Feel Films Ltd.</t>
        </is>
      </c>
      <c r="K306" s="8" t="n">
        <v>45413</v>
      </c>
      <c r="L306" s="9" t="n">
        <v>47238</v>
      </c>
      <c r="O306" s="9" t="n">
        <v>46326</v>
      </c>
      <c r="P306" s="10" t="n">
        <v>52500</v>
      </c>
      <c r="Q306" s="10">
        <f>P306</f>
        <v/>
      </c>
      <c r="S306" s="10" t="n">
        <v>53800</v>
      </c>
      <c r="T306" s="10">
        <f>S306</f>
        <v/>
      </c>
      <c r="U306" s="27" t="n">
        <v>53800</v>
      </c>
      <c r="V306" s="10">
        <f>U306</f>
        <v/>
      </c>
      <c r="W306" s="277">
        <f>S306/G306</f>
        <v/>
      </c>
      <c r="X306" s="10" t="inlineStr">
        <is>
          <t>D</t>
        </is>
      </c>
      <c r="Y306" s="60" t="n"/>
      <c r="Z306" s="36" t="n"/>
      <c r="AA306" s="14" t="inlineStr">
        <is>
          <t>No</t>
        </is>
      </c>
      <c r="AB306" s="4" t="inlineStr">
        <is>
          <t>Tenant break on 6 months notice.</t>
        </is>
      </c>
      <c r="AE306" s="278" t="n"/>
    </row>
    <row r="307">
      <c r="A307" s="11" t="inlineStr">
        <is>
          <t>WS</t>
        </is>
      </c>
      <c r="B307" s="11" t="inlineStr">
        <is>
          <t>MEL</t>
        </is>
      </c>
      <c r="C307" s="2" t="n">
        <v>550490</v>
      </c>
      <c r="D307" s="4" t="inlineStr">
        <is>
          <t>11-13 Market Place</t>
        </is>
      </c>
      <c r="E307" s="4" t="inlineStr">
        <is>
          <t>Whole Building</t>
        </is>
      </c>
      <c r="F307" s="14" t="inlineStr">
        <is>
          <t>Bar &amp; Office</t>
        </is>
      </c>
      <c r="G307" s="18" t="n">
        <v>6979</v>
      </c>
      <c r="H307" s="10">
        <f>G307</f>
        <v/>
      </c>
      <c r="I307" s="10" t="n">
        <v>7000</v>
      </c>
      <c r="J307" s="4" t="inlineStr">
        <is>
          <t>Market Place (London) Holdings Ltd</t>
        </is>
      </c>
      <c r="K307" s="8" t="n">
        <v>44185</v>
      </c>
      <c r="L307" s="9" t="n">
        <v>47836</v>
      </c>
      <c r="N307" s="9" t="n">
        <v>46011</v>
      </c>
      <c r="P307" s="19" t="n">
        <v>420000</v>
      </c>
      <c r="Q307" s="10">
        <f>P307</f>
        <v/>
      </c>
      <c r="R307" s="19">
        <f>Q307</f>
        <v/>
      </c>
      <c r="S307" s="19" t="n">
        <v>364600</v>
      </c>
      <c r="T307" s="10">
        <f>S307</f>
        <v/>
      </c>
      <c r="U307" s="36" t="n">
        <v>420000</v>
      </c>
      <c r="V307" s="10">
        <f>U307</f>
        <v/>
      </c>
      <c r="W307" s="277">
        <f>S307/G307</f>
        <v/>
      </c>
      <c r="X307" s="10" t="inlineStr">
        <is>
          <t>E</t>
        </is>
      </c>
      <c r="Y307" s="60" t="n"/>
      <c r="Z307" s="36" t="n">
        <v>7550000</v>
      </c>
      <c r="AA307" s="14" t="inlineStr">
        <is>
          <t>No</t>
        </is>
      </c>
      <c r="AB307" s="4" t="inlineStr">
        <is>
          <t>Upper floors sublet.</t>
        </is>
      </c>
      <c r="AE307" s="278" t="n"/>
    </row>
    <row r="308">
      <c r="A308" s="11" t="inlineStr">
        <is>
          <t>JM</t>
        </is>
      </c>
      <c r="B308" s="11" t="inlineStr">
        <is>
          <t>MEL</t>
        </is>
      </c>
      <c r="C308" s="2" t="n">
        <v>550940</v>
      </c>
      <c r="D308" s="4" t="inlineStr">
        <is>
          <t>Radiant House, 34-38 Mortimer Street &amp; 3-4 Bywell Place</t>
        </is>
      </c>
      <c r="E308" s="4" t="inlineStr">
        <is>
          <t>Ground &amp; Basement (34)</t>
        </is>
      </c>
      <c r="F308" s="14" t="inlineStr">
        <is>
          <t>Showroom/Studio</t>
        </is>
      </c>
      <c r="G308" s="7" t="n">
        <v>2662</v>
      </c>
      <c r="H308" s="7">
        <f>G308</f>
        <v/>
      </c>
      <c r="I308" s="7" t="n">
        <v>2500</v>
      </c>
      <c r="J308" s="4" t="inlineStr">
        <is>
          <t>Ab-Anbar Limited</t>
        </is>
      </c>
      <c r="K308" s="8" t="n">
        <v>44942</v>
      </c>
      <c r="L308" s="9" t="n">
        <v>46767</v>
      </c>
      <c r="O308" s="9" t="n">
        <v>46037</v>
      </c>
      <c r="P308" s="10" t="n">
        <v>100000</v>
      </c>
      <c r="Q308" s="10">
        <f>P308</f>
        <v/>
      </c>
      <c r="S308" s="7" t="n">
        <v>100000</v>
      </c>
      <c r="T308" s="10">
        <f>S308</f>
        <v/>
      </c>
      <c r="U308" s="359" t="n">
        <v>100000</v>
      </c>
      <c r="V308" s="10">
        <f>U308</f>
        <v/>
      </c>
      <c r="W308" s="277">
        <f>S308/G308</f>
        <v/>
      </c>
      <c r="X308" s="10" t="inlineStr">
        <is>
          <t>E</t>
        </is>
      </c>
      <c r="Y308" s="60" t="n"/>
      <c r="Z308" s="394" t="n"/>
      <c r="AA308" s="14" t="inlineStr">
        <is>
          <t>No</t>
        </is>
      </c>
      <c r="AB308" s="4" t="inlineStr">
        <is>
          <t>Tenant break on 6 months notice. 3 months rent free if not exercised.</t>
        </is>
      </c>
      <c r="AE308" s="278" t="n"/>
    </row>
    <row r="309">
      <c r="A309" s="11" t="inlineStr">
        <is>
          <t>JM</t>
        </is>
      </c>
      <c r="B309" s="11" t="inlineStr">
        <is>
          <t>MEL</t>
        </is>
      </c>
      <c r="C309" s="2" t="n">
        <v>550940</v>
      </c>
      <c r="D309" s="4" t="inlineStr">
        <is>
          <t>Radiant House, 34-38 Mortimer Street &amp; 3-4 Bywell Place</t>
        </is>
      </c>
      <c r="E309" s="4" t="inlineStr">
        <is>
          <t>Ground &amp; Basement (36-38)</t>
        </is>
      </c>
      <c r="F309" s="14" t="inlineStr">
        <is>
          <t>Office</t>
        </is>
      </c>
      <c r="G309" s="7" t="n">
        <v>3452</v>
      </c>
      <c r="H309" s="7">
        <f>G309</f>
        <v/>
      </c>
      <c r="I309" s="7" t="n">
        <v>3500</v>
      </c>
      <c r="J309" s="4" t="inlineStr">
        <is>
          <t>Europride Ltd.</t>
        </is>
      </c>
      <c r="K309" s="8" t="n">
        <v>45707</v>
      </c>
      <c r="L309" s="9" t="n">
        <v>46071</v>
      </c>
      <c r="O309" s="9" t="n">
        <v>45887</v>
      </c>
      <c r="P309" s="7" t="n">
        <v>138440</v>
      </c>
      <c r="Q309" s="10">
        <f>P309</f>
        <v/>
      </c>
      <c r="S309" s="7" t="n">
        <v>109600</v>
      </c>
      <c r="T309" s="10">
        <f>S309</f>
        <v/>
      </c>
      <c r="U309" s="359" t="n">
        <v>112000</v>
      </c>
      <c r="V309" s="10">
        <f>U309</f>
        <v/>
      </c>
      <c r="W309" s="277">
        <f>S309/G309</f>
        <v/>
      </c>
      <c r="X309" s="10" t="inlineStr">
        <is>
          <t>E</t>
        </is>
      </c>
      <c r="Y309" s="60" t="n"/>
      <c r="Z309" s="394" t="n"/>
      <c r="AA309" s="14" t="inlineStr">
        <is>
          <t>No</t>
        </is>
      </c>
      <c r="AB309" s="4" t="inlineStr">
        <is>
          <t>Tenant break on 6 months notice.</t>
        </is>
      </c>
      <c r="AE309" s="278" t="n"/>
    </row>
    <row r="310">
      <c r="A310" s="11" t="inlineStr">
        <is>
          <t>JM</t>
        </is>
      </c>
      <c r="B310" s="11" t="inlineStr">
        <is>
          <t>MEL</t>
        </is>
      </c>
      <c r="C310" s="2" t="n">
        <v>550940</v>
      </c>
      <c r="D310" s="4" t="inlineStr">
        <is>
          <t>Radiant House, 34-38 Mortimer Street &amp; 3-4 Bywell Place</t>
        </is>
      </c>
      <c r="E310" s="4" t="inlineStr">
        <is>
          <t>Part Ground, First to Fourth Floor (34)</t>
        </is>
      </c>
      <c r="F310" s="14" t="inlineStr">
        <is>
          <t>Office</t>
        </is>
      </c>
      <c r="G310" s="7" t="n">
        <v>2274</v>
      </c>
      <c r="H310" s="7">
        <f>G310</f>
        <v/>
      </c>
      <c r="I310" s="7" t="n">
        <v>2250</v>
      </c>
      <c r="J310" s="4" t="inlineStr">
        <is>
          <t>Vacant</t>
        </is>
      </c>
      <c r="M310" s="9" t="n">
        <v>44280</v>
      </c>
      <c r="P310" s="10" t="n">
        <v>0</v>
      </c>
      <c r="Q310" s="10">
        <f>P310</f>
        <v/>
      </c>
      <c r="S310" s="7" t="n">
        <v>124700</v>
      </c>
      <c r="T310" s="10">
        <f>S310</f>
        <v/>
      </c>
      <c r="U310" s="359" t="n">
        <v>125100</v>
      </c>
      <c r="V310" s="10">
        <f>U310</f>
        <v/>
      </c>
      <c r="W310" s="277">
        <f>S310/G310</f>
        <v/>
      </c>
      <c r="X310" s="10" t="inlineStr">
        <is>
          <t>E</t>
        </is>
      </c>
      <c r="Y310" s="60" t="n"/>
      <c r="Z310" s="394" t="n"/>
      <c r="AA310" s="14" t="inlineStr">
        <is>
          <t>Yes</t>
        </is>
      </c>
      <c r="AB310" s="4" t="inlineStr">
        <is>
          <t>LEM marketing.</t>
        </is>
      </c>
      <c r="AC310" s="305" t="n"/>
      <c r="AE310" s="278" t="n"/>
    </row>
    <row r="311">
      <c r="A311" s="11" t="inlineStr">
        <is>
          <t>JM</t>
        </is>
      </c>
      <c r="B311" s="11" t="inlineStr">
        <is>
          <t>MEL</t>
        </is>
      </c>
      <c r="C311" s="2" t="n">
        <v>550940</v>
      </c>
      <c r="D311" s="4" t="inlineStr">
        <is>
          <t>Radiant House, 34-38 Mortimer Street &amp; 3-4 Bywell Place</t>
        </is>
      </c>
      <c r="E311" s="4" t="inlineStr">
        <is>
          <t>First (36-38)</t>
        </is>
      </c>
      <c r="F311" s="14" t="inlineStr">
        <is>
          <t>Office</t>
        </is>
      </c>
      <c r="G311" s="7" t="n">
        <v>1201</v>
      </c>
      <c r="H311" s="7">
        <f>G311</f>
        <v/>
      </c>
      <c r="I311" s="7" t="n">
        <v>1250</v>
      </c>
      <c r="J311" s="4" t="inlineStr">
        <is>
          <t>Vacant</t>
        </is>
      </c>
      <c r="M311" s="9" t="n">
        <v>45521</v>
      </c>
      <c r="P311" s="10" t="n">
        <v>0</v>
      </c>
      <c r="Q311" s="10">
        <f>P311</f>
        <v/>
      </c>
      <c r="S311" s="7" t="n">
        <v>64100</v>
      </c>
      <c r="T311" s="10">
        <f>S311</f>
        <v/>
      </c>
      <c r="U311" s="359" t="n">
        <v>63100</v>
      </c>
      <c r="V311" s="10">
        <f>U311</f>
        <v/>
      </c>
      <c r="W311" s="277">
        <f>S311/G311</f>
        <v/>
      </c>
      <c r="X311" s="10" t="inlineStr">
        <is>
          <t>D</t>
        </is>
      </c>
      <c r="Y311" s="60" t="n"/>
      <c r="Z311" s="394" t="n"/>
      <c r="AA311" s="14" t="inlineStr">
        <is>
          <t>No</t>
        </is>
      </c>
      <c r="AB311" s="4" t="inlineStr">
        <is>
          <t>LEM marketing.</t>
        </is>
      </c>
      <c r="AD311" s="29" t="n"/>
      <c r="AE311" s="279" t="n"/>
      <c r="AF311" s="29" t="n"/>
    </row>
    <row r="312">
      <c r="A312" s="11" t="inlineStr">
        <is>
          <t>JM</t>
        </is>
      </c>
      <c r="B312" s="11" t="inlineStr">
        <is>
          <t>MEL</t>
        </is>
      </c>
      <c r="C312" s="2" t="n">
        <v>550940</v>
      </c>
      <c r="D312" s="4" t="inlineStr">
        <is>
          <t>Radiant House, 34-38 Mortimer Street &amp; 3-4 Bywell Place</t>
        </is>
      </c>
      <c r="E312" s="4" t="inlineStr">
        <is>
          <t>Second (36-38)</t>
        </is>
      </c>
      <c r="F312" s="14" t="inlineStr">
        <is>
          <t>Office</t>
        </is>
      </c>
      <c r="G312" s="7" t="n">
        <v>1255</v>
      </c>
      <c r="H312" s="7">
        <f>G312</f>
        <v/>
      </c>
      <c r="I312" s="7" t="n">
        <v>1250</v>
      </c>
      <c r="J312" s="4" t="inlineStr">
        <is>
          <t>Vacant</t>
        </is>
      </c>
      <c r="M312" s="9" t="n">
        <v>44320</v>
      </c>
      <c r="P312" s="10" t="n">
        <v>0</v>
      </c>
      <c r="Q312" s="10">
        <f>P312</f>
        <v/>
      </c>
      <c r="S312" s="7" t="n">
        <v>67300</v>
      </c>
      <c r="T312" s="10">
        <f>S312</f>
        <v/>
      </c>
      <c r="U312" s="359" t="n">
        <v>69000</v>
      </c>
      <c r="V312" s="10">
        <f>U312</f>
        <v/>
      </c>
      <c r="W312" s="277">
        <f>S312/G312</f>
        <v/>
      </c>
      <c r="X312" s="10" t="inlineStr">
        <is>
          <t>D</t>
        </is>
      </c>
      <c r="Y312" s="60" t="n"/>
      <c r="Z312" s="394" t="n"/>
      <c r="AA312" s="14" t="inlineStr">
        <is>
          <t>No</t>
        </is>
      </c>
      <c r="AB312" s="4" t="inlineStr">
        <is>
          <t>To be refurbished.</t>
        </is>
      </c>
      <c r="AE312" s="278" t="n"/>
    </row>
    <row r="313">
      <c r="A313" s="11" t="inlineStr">
        <is>
          <t>JM</t>
        </is>
      </c>
      <c r="B313" s="11" t="inlineStr">
        <is>
          <t>MEL</t>
        </is>
      </c>
      <c r="C313" s="2" t="n">
        <v>550940</v>
      </c>
      <c r="D313" s="4" t="inlineStr">
        <is>
          <t>Radiant House, 34-38 Mortimer Street &amp; 3-4 Bywell Place</t>
        </is>
      </c>
      <c r="E313" s="4" t="inlineStr">
        <is>
          <t>Third (36-38)</t>
        </is>
      </c>
      <c r="F313" s="14" t="inlineStr">
        <is>
          <t>Office</t>
        </is>
      </c>
      <c r="G313" s="7" t="n">
        <v>1252</v>
      </c>
      <c r="H313" s="7">
        <f>G313</f>
        <v/>
      </c>
      <c r="I313" s="7" t="n">
        <v>1250</v>
      </c>
      <c r="J313" s="4" t="inlineStr">
        <is>
          <t>Vacant</t>
        </is>
      </c>
      <c r="M313" s="9" t="n">
        <v>44622</v>
      </c>
      <c r="P313" s="10" t="n">
        <v>0</v>
      </c>
      <c r="Q313" s="10">
        <f>P313</f>
        <v/>
      </c>
      <c r="S313" s="7" t="n">
        <v>67600</v>
      </c>
      <c r="T313" s="10">
        <f>S313</f>
        <v/>
      </c>
      <c r="U313" s="359" t="n">
        <v>68900</v>
      </c>
      <c r="V313" s="10">
        <f>U313</f>
        <v/>
      </c>
      <c r="W313" s="277">
        <f>S313/G313</f>
        <v/>
      </c>
      <c r="X313" s="10" t="inlineStr">
        <is>
          <t>E</t>
        </is>
      </c>
      <c r="Y313" s="60" t="n"/>
      <c r="Z313" s="394" t="n"/>
      <c r="AA313" s="14" t="inlineStr">
        <is>
          <t>No</t>
        </is>
      </c>
      <c r="AB313" s="4" t="inlineStr">
        <is>
          <t>To be refurbished.</t>
        </is>
      </c>
      <c r="AE313" s="278" t="n"/>
    </row>
    <row r="314">
      <c r="A314" s="11" t="inlineStr">
        <is>
          <t>JM</t>
        </is>
      </c>
      <c r="B314" s="11" t="inlineStr">
        <is>
          <t>MEL</t>
        </is>
      </c>
      <c r="C314" s="2" t="n">
        <v>550940</v>
      </c>
      <c r="D314" s="4" t="inlineStr">
        <is>
          <t>Radiant House, 34-38 Mortimer Street &amp; 3-4 Bywell Place</t>
        </is>
      </c>
      <c r="E314" s="4" t="inlineStr">
        <is>
          <t>Fourth (36-38)</t>
        </is>
      </c>
      <c r="F314" s="14" t="inlineStr">
        <is>
          <t>Office</t>
        </is>
      </c>
      <c r="G314" s="7" t="n">
        <v>1055</v>
      </c>
      <c r="H314" s="7">
        <f>G314</f>
        <v/>
      </c>
      <c r="I314" s="7" t="n">
        <v>1000</v>
      </c>
      <c r="J314" s="4" t="inlineStr">
        <is>
          <t>Carver Associates Ltd.</t>
        </is>
      </c>
      <c r="K314" s="8" t="n">
        <v>44887</v>
      </c>
      <c r="L314" s="9" t="n">
        <v>46712</v>
      </c>
      <c r="N314" s="9" t="n">
        <v>45983</v>
      </c>
      <c r="O314" s="9" t="n">
        <v>45982</v>
      </c>
      <c r="P314" s="7" t="n">
        <v>63070</v>
      </c>
      <c r="Q314" s="10">
        <f>P314</f>
        <v/>
      </c>
      <c r="S314" s="7" t="n">
        <v>61000</v>
      </c>
      <c r="T314" s="10">
        <f>S314</f>
        <v/>
      </c>
      <c r="U314" s="359" t="n">
        <v>60700</v>
      </c>
      <c r="V314" s="10">
        <f>U314</f>
        <v/>
      </c>
      <c r="W314" s="277">
        <f>S314/G314</f>
        <v/>
      </c>
      <c r="X314" s="10" t="inlineStr">
        <is>
          <t>D</t>
        </is>
      </c>
      <c r="Y314" s="60" t="n"/>
      <c r="Z314" s="394" t="n"/>
      <c r="AA314" s="14" t="inlineStr">
        <is>
          <t>No</t>
        </is>
      </c>
      <c r="AB314" s="4" t="inlineStr">
        <is>
          <t xml:space="preserve">Tenant has annual breaks on 6 months notice. </t>
        </is>
      </c>
      <c r="AE314" s="278" t="n"/>
    </row>
    <row r="315">
      <c r="A315" s="11" t="inlineStr">
        <is>
          <t>JM</t>
        </is>
      </c>
      <c r="B315" s="11" t="inlineStr">
        <is>
          <t>MEL</t>
        </is>
      </c>
      <c r="C315" s="2" t="n">
        <v>550940</v>
      </c>
      <c r="D315" s="4" t="inlineStr">
        <is>
          <t>Radiant House, 34-38 Mortimer Street &amp; 3-4 Bywell Place</t>
        </is>
      </c>
      <c r="E315" s="4" t="inlineStr">
        <is>
          <t>Ground &amp; Basement, 3-4 Bywell Place</t>
        </is>
      </c>
      <c r="F315" s="11" t="inlineStr">
        <is>
          <t>Office</t>
        </is>
      </c>
      <c r="G315" s="7" t="n">
        <v>1167</v>
      </c>
      <c r="H315" s="7">
        <f>G315</f>
        <v/>
      </c>
      <c r="I315" s="7" t="n">
        <v>1000</v>
      </c>
      <c r="J315" s="4" t="inlineStr">
        <is>
          <t>Solo60 Ltd</t>
        </is>
      </c>
      <c r="K315" s="8" t="n">
        <v>45573</v>
      </c>
      <c r="L315" s="9" t="n">
        <v>47398</v>
      </c>
      <c r="P315" s="10" t="n">
        <v>46800</v>
      </c>
      <c r="Q315" s="10">
        <f>P315</f>
        <v/>
      </c>
      <c r="S315" s="7" t="n">
        <v>37700</v>
      </c>
      <c r="T315" s="10">
        <f>S315</f>
        <v/>
      </c>
      <c r="U315" s="359" t="n">
        <v>49600</v>
      </c>
      <c r="V315" s="10">
        <f>U315</f>
        <v/>
      </c>
      <c r="W315" s="277">
        <f>S315/G315</f>
        <v/>
      </c>
      <c r="X315" s="10" t="inlineStr">
        <is>
          <t>B</t>
        </is>
      </c>
      <c r="Y315" s="60" t="inlineStr">
        <is>
          <t>*</t>
        </is>
      </c>
      <c r="Z315" s="394" t="n"/>
      <c r="AA315" s="14" t="inlineStr">
        <is>
          <t>No</t>
        </is>
      </c>
      <c r="AE315" s="278" t="n"/>
    </row>
    <row r="316">
      <c r="A316" s="11" t="inlineStr">
        <is>
          <t>JM</t>
        </is>
      </c>
      <c r="B316" s="11" t="inlineStr">
        <is>
          <t>MEL</t>
        </is>
      </c>
      <c r="C316" s="2" t="n">
        <v>550940</v>
      </c>
      <c r="D316" s="4" t="inlineStr">
        <is>
          <t>Radiant House, 34-38 Mortimer Street &amp; 3-4 Bywell Place</t>
        </is>
      </c>
      <c r="E316" s="4" t="inlineStr">
        <is>
          <t>First , 3-4 Bywell Place</t>
        </is>
      </c>
      <c r="F316" s="11" t="inlineStr">
        <is>
          <t>Office</t>
        </is>
      </c>
      <c r="G316" s="7" t="n">
        <v>922</v>
      </c>
      <c r="H316" s="7">
        <f>G316</f>
        <v/>
      </c>
      <c r="I316" s="7" t="n">
        <v>1000</v>
      </c>
      <c r="J316" s="4" t="inlineStr">
        <is>
          <t>Olsen UK Limited</t>
        </is>
      </c>
      <c r="K316" s="8" t="n">
        <v>45204</v>
      </c>
      <c r="L316" s="9" t="n">
        <v>46299</v>
      </c>
      <c r="P316" s="7" t="n">
        <v>45800</v>
      </c>
      <c r="Q316" s="10">
        <f>P316</f>
        <v/>
      </c>
      <c r="S316" s="7" t="n">
        <v>39100</v>
      </c>
      <c r="T316" s="10">
        <f>S316</f>
        <v/>
      </c>
      <c r="U316" s="359" t="n">
        <v>39200</v>
      </c>
      <c r="V316" s="10">
        <f>U316</f>
        <v/>
      </c>
      <c r="W316" s="277">
        <f>S316/G316</f>
        <v/>
      </c>
      <c r="X316" s="10" t="inlineStr">
        <is>
          <t>B</t>
        </is>
      </c>
      <c r="Y316" s="60" t="inlineStr">
        <is>
          <t>*</t>
        </is>
      </c>
      <c r="Z316" s="394" t="n"/>
      <c r="AA316" s="14" t="inlineStr">
        <is>
          <t>No</t>
        </is>
      </c>
      <c r="AE316" s="278" t="n"/>
    </row>
    <row r="317">
      <c r="A317" s="11" t="inlineStr">
        <is>
          <t>JM</t>
        </is>
      </c>
      <c r="B317" s="11" t="inlineStr">
        <is>
          <t>MEL</t>
        </is>
      </c>
      <c r="C317" s="2" t="n">
        <v>550940</v>
      </c>
      <c r="D317" s="4" t="inlineStr">
        <is>
          <t>Radiant House, 34-38 Mortimer Street &amp; 3-4 Bywell Place</t>
        </is>
      </c>
      <c r="E317" s="4" t="inlineStr">
        <is>
          <t>Second, 3-4 Bywell Place</t>
        </is>
      </c>
      <c r="F317" s="11" t="inlineStr">
        <is>
          <t>Office</t>
        </is>
      </c>
      <c r="G317" s="7" t="n">
        <v>781</v>
      </c>
      <c r="H317" s="7">
        <f>G317</f>
        <v/>
      </c>
      <c r="I317" s="7" t="n">
        <v>750</v>
      </c>
      <c r="J317" s="4" t="inlineStr">
        <is>
          <t>Vacant</t>
        </is>
      </c>
      <c r="M317" s="9" t="n">
        <v>45383</v>
      </c>
      <c r="P317" s="10" t="n">
        <v>0</v>
      </c>
      <c r="Q317" s="10">
        <f>P317</f>
        <v/>
      </c>
      <c r="S317" s="7" t="n">
        <v>37300</v>
      </c>
      <c r="T317" s="10">
        <f>S317</f>
        <v/>
      </c>
      <c r="U317" s="359" t="n">
        <v>33200</v>
      </c>
      <c r="V317" s="10">
        <f>U317</f>
        <v/>
      </c>
      <c r="W317" s="277">
        <f>S317/G317</f>
        <v/>
      </c>
      <c r="X317" s="10" t="inlineStr">
        <is>
          <t>B</t>
        </is>
      </c>
      <c r="Y317" s="60" t="inlineStr">
        <is>
          <t>*</t>
        </is>
      </c>
      <c r="Z317" s="394" t="n"/>
      <c r="AA317" s="14" t="inlineStr">
        <is>
          <t>No</t>
        </is>
      </c>
      <c r="AB317" s="4" t="inlineStr">
        <is>
          <t>LEM marketing.</t>
        </is>
      </c>
      <c r="AE317" s="278" t="n"/>
    </row>
    <row r="318">
      <c r="A318" s="11" t="inlineStr">
        <is>
          <t>CM</t>
        </is>
      </c>
      <c r="B318" s="11" t="inlineStr">
        <is>
          <t>MEL</t>
        </is>
      </c>
      <c r="C318" s="2" t="n">
        <v>550390</v>
      </c>
      <c r="D318" s="4" t="inlineStr">
        <is>
          <t>Gilmoora House, 57-61 Mortimer Street</t>
        </is>
      </c>
      <c r="E318" s="4" t="inlineStr">
        <is>
          <t>Part Basement &amp; Part Ground Floor - 36 Gt Titchfield St</t>
        </is>
      </c>
      <c r="F318" s="14" t="inlineStr">
        <is>
          <t>Medical</t>
        </is>
      </c>
      <c r="G318" s="7" t="n">
        <v>6542</v>
      </c>
      <c r="H318" s="10">
        <f>G318</f>
        <v/>
      </c>
      <c r="I318" s="10" t="n">
        <v>6500</v>
      </c>
      <c r="J318" s="4" t="inlineStr">
        <is>
          <t>The Central London Clinic Ltd.</t>
        </is>
      </c>
      <c r="K318" s="8" t="n">
        <v>44609</v>
      </c>
      <c r="L318" s="9" t="n">
        <v>50087</v>
      </c>
      <c r="N318" s="8" t="n">
        <v>46435</v>
      </c>
      <c r="O318" s="8" t="n">
        <v>48260</v>
      </c>
      <c r="P318" s="10" t="n">
        <v>210000</v>
      </c>
      <c r="Q318" s="10">
        <f>P318</f>
        <v/>
      </c>
      <c r="S318" s="235" t="n">
        <v>210000</v>
      </c>
      <c r="T318" s="10">
        <f>S318</f>
        <v/>
      </c>
      <c r="U318" s="378" t="n">
        <v>232000</v>
      </c>
      <c r="V318" s="10">
        <f>U318</f>
        <v/>
      </c>
      <c r="W318" s="277">
        <f>S318/G318</f>
        <v/>
      </c>
      <c r="X318" s="10" t="inlineStr">
        <is>
          <t>A</t>
        </is>
      </c>
      <c r="Y318" s="60" t="n"/>
      <c r="Z318" s="361" t="n"/>
      <c r="AA318" s="14" t="inlineStr">
        <is>
          <t>No</t>
        </is>
      </c>
      <c r="AB318" s="4" t="inlineStr">
        <is>
          <t>Mutual break on 6 months notice.</t>
        </is>
      </c>
      <c r="AE318" s="278" t="n"/>
    </row>
    <row r="319">
      <c r="A319" s="11" t="inlineStr">
        <is>
          <t>CM</t>
        </is>
      </c>
      <c r="B319" s="11" t="inlineStr">
        <is>
          <t>MEL</t>
        </is>
      </c>
      <c r="C319" s="2" t="n">
        <v>550390</v>
      </c>
      <c r="D319" s="4" t="inlineStr">
        <is>
          <t>Gilmoora House, 57-61 Mortimer Street</t>
        </is>
      </c>
      <c r="E319" s="4" t="inlineStr">
        <is>
          <t>Part Ground to Fifth Floors</t>
        </is>
      </c>
      <c r="F319" s="14" t="inlineStr">
        <is>
          <t>Office</t>
        </is>
      </c>
      <c r="G319" s="7" t="n">
        <v>20993</v>
      </c>
      <c r="H319" s="10">
        <f>G319</f>
        <v/>
      </c>
      <c r="I319" s="10" t="n">
        <v>21000</v>
      </c>
      <c r="J319" s="4" t="inlineStr">
        <is>
          <t>Gilmoora House Ltd</t>
        </is>
      </c>
      <c r="K319" s="8" t="n">
        <v>45564</v>
      </c>
      <c r="L319" s="9" t="n">
        <v>47389</v>
      </c>
      <c r="P319" s="10" t="n">
        <v>1000000</v>
      </c>
      <c r="Q319" s="10">
        <f>P319</f>
        <v/>
      </c>
      <c r="S319" s="10" t="n">
        <v>1688000</v>
      </c>
      <c r="T319" s="10">
        <f>S319</f>
        <v/>
      </c>
      <c r="U319" s="27" t="n">
        <v>2005000</v>
      </c>
      <c r="V319" s="10">
        <f>U319</f>
        <v/>
      </c>
      <c r="W319" s="277">
        <f>S319/G319</f>
        <v/>
      </c>
      <c r="X319" s="10" t="inlineStr">
        <is>
          <t>E</t>
        </is>
      </c>
      <c r="Y319" s="60" t="n"/>
      <c r="Z319" s="361" t="n"/>
      <c r="AA319" s="14" t="inlineStr">
        <is>
          <t>No</t>
        </is>
      </c>
      <c r="AB319" s="4" t="inlineStr">
        <is>
          <t>Internal Lease to another Lee Family Group Company.</t>
        </is>
      </c>
      <c r="AE319" s="278" t="n"/>
    </row>
    <row r="320">
      <c r="A320" s="11" t="inlineStr">
        <is>
          <t>WS</t>
        </is>
      </c>
      <c r="B320" s="11" t="inlineStr">
        <is>
          <t>MEL</t>
        </is>
      </c>
      <c r="C320" s="2" t="n">
        <v>550870</v>
      </c>
      <c r="D320" s="4" t="inlineStr">
        <is>
          <t>67 - 81 Mortimer Street</t>
        </is>
      </c>
      <c r="E320" s="4" t="inlineStr">
        <is>
          <t>Ground Floor &amp; Bsmt. (No.67)</t>
        </is>
      </c>
      <c r="F320" s="14" t="inlineStr">
        <is>
          <t>Shop</t>
        </is>
      </c>
      <c r="G320" s="7" t="n">
        <v>1330</v>
      </c>
      <c r="H320" s="7">
        <f>G320</f>
        <v/>
      </c>
      <c r="I320" s="7" t="n">
        <v>1250</v>
      </c>
      <c r="J320" s="4" t="inlineStr">
        <is>
          <t>Status Beauty Limited</t>
        </is>
      </c>
      <c r="K320" s="8" t="n">
        <v>44936</v>
      </c>
      <c r="L320" s="9" t="n">
        <v>46761</v>
      </c>
      <c r="O320" s="9" t="n">
        <v>46031</v>
      </c>
      <c r="P320" s="10" t="n">
        <v>70000</v>
      </c>
      <c r="Q320" s="10">
        <f>P320</f>
        <v/>
      </c>
      <c r="S320" s="10" t="n">
        <v>69900</v>
      </c>
      <c r="T320" s="10">
        <f>S320</f>
        <v/>
      </c>
      <c r="U320" s="27" t="n">
        <v>69900</v>
      </c>
      <c r="V320" s="10">
        <f>U320</f>
        <v/>
      </c>
      <c r="W320" s="277">
        <f>S320/G320</f>
        <v/>
      </c>
      <c r="X320" s="10" t="inlineStr">
        <is>
          <t>D</t>
        </is>
      </c>
      <c r="Y320" s="60" t="n"/>
      <c r="Z320" s="394" t="n"/>
      <c r="AA320" s="14" t="inlineStr">
        <is>
          <t>No</t>
        </is>
      </c>
      <c r="AB320" s="4" t="inlineStr">
        <is>
          <t>Tenant break on 6 months notice. Rent free from 10/01/26 to 28/03/26 if not exercised.</t>
        </is>
      </c>
      <c r="AE320" s="278" t="n"/>
    </row>
    <row r="321">
      <c r="A321" s="11" t="inlineStr">
        <is>
          <t>WS</t>
        </is>
      </c>
      <c r="B321" s="11" t="inlineStr">
        <is>
          <t>MEL</t>
        </is>
      </c>
      <c r="C321" s="2" t="n">
        <v>550870</v>
      </c>
      <c r="D321" s="4" t="inlineStr">
        <is>
          <t>67 - 81 Mortimer Street</t>
        </is>
      </c>
      <c r="E321" s="4" t="inlineStr">
        <is>
          <t>Ground Floor &amp; Bsmt. (No.69)</t>
        </is>
      </c>
      <c r="F321" s="14" t="inlineStr">
        <is>
          <t>Shop/ Showroom</t>
        </is>
      </c>
      <c r="G321" s="7" t="n">
        <v>1486</v>
      </c>
      <c r="H321" s="7">
        <f>G321</f>
        <v/>
      </c>
      <c r="I321" s="7" t="n">
        <v>1500</v>
      </c>
      <c r="J321" s="4" t="inlineStr">
        <is>
          <t>ABC Smile Limited</t>
        </is>
      </c>
      <c r="K321" s="8" t="n">
        <v>44314</v>
      </c>
      <c r="L321" s="9" t="n">
        <v>47965</v>
      </c>
      <c r="O321" s="9" t="n">
        <v>46139</v>
      </c>
      <c r="P321" s="10" t="n">
        <v>59500</v>
      </c>
      <c r="Q321" s="10">
        <f>P321</f>
        <v/>
      </c>
      <c r="S321" s="10" t="n">
        <v>64900</v>
      </c>
      <c r="T321" s="10">
        <f>S321</f>
        <v/>
      </c>
      <c r="U321" s="27" t="n">
        <v>64900</v>
      </c>
      <c r="V321" s="10">
        <f>U321</f>
        <v/>
      </c>
      <c r="W321" s="277">
        <f>S321/G321</f>
        <v/>
      </c>
      <c r="X321" s="10" t="inlineStr">
        <is>
          <t>C</t>
        </is>
      </c>
      <c r="Y321" s="60" t="n"/>
      <c r="Z321" s="394" t="n"/>
      <c r="AA321" s="14" t="inlineStr">
        <is>
          <t>No</t>
        </is>
      </c>
      <c r="AB321" s="4" t="inlineStr">
        <is>
          <t>Tenant break on 6 month notice.</t>
        </is>
      </c>
      <c r="AE321" s="278" t="n"/>
    </row>
    <row r="322">
      <c r="A322" s="11" t="inlineStr">
        <is>
          <t>WS</t>
        </is>
      </c>
      <c r="B322" s="11" t="inlineStr">
        <is>
          <t>MEL</t>
        </is>
      </c>
      <c r="C322" s="2" t="n">
        <v>550870</v>
      </c>
      <c r="D322" s="4" t="inlineStr">
        <is>
          <t>67 - 81 Mortimer Street</t>
        </is>
      </c>
      <c r="E322" s="4" t="inlineStr">
        <is>
          <t>Ground Floor &amp; Bsmt. (No.71)</t>
        </is>
      </c>
      <c r="F322" s="14" t="inlineStr">
        <is>
          <t>Shop/ Showroom</t>
        </is>
      </c>
      <c r="G322" s="7" t="n">
        <v>1204</v>
      </c>
      <c r="H322" s="7">
        <f>G322</f>
        <v/>
      </c>
      <c r="I322" s="7" t="n">
        <v>1250</v>
      </c>
      <c r="J322" s="4" t="inlineStr">
        <is>
          <t>Folia Ltd.</t>
        </is>
      </c>
      <c r="K322" s="8" t="n">
        <v>45741</v>
      </c>
      <c r="L322" s="9" t="n">
        <v>46836</v>
      </c>
      <c r="O322" s="9" t="n">
        <v>46106</v>
      </c>
      <c r="P322" s="10" t="n">
        <v>0</v>
      </c>
      <c r="Q322" s="10">
        <f>P322</f>
        <v/>
      </c>
      <c r="S322" s="10" t="n">
        <v>53100</v>
      </c>
      <c r="T322" s="10">
        <f>S322</f>
        <v/>
      </c>
      <c r="U322" s="27" t="n">
        <v>55800</v>
      </c>
      <c r="V322" s="10">
        <f>U322</f>
        <v/>
      </c>
      <c r="W322" s="277">
        <f>S322/G322</f>
        <v/>
      </c>
      <c r="X322" s="10" t="inlineStr">
        <is>
          <t>C</t>
        </is>
      </c>
      <c r="Y322" s="60" t="n"/>
      <c r="Z322" s="394" t="n"/>
      <c r="AA322" s="14" t="inlineStr">
        <is>
          <t>No</t>
        </is>
      </c>
      <c r="AB322" s="4" t="inlineStr">
        <is>
          <t>Rent £55,000 wef 6 weeks after landlord works completed. Works delayed and date of tenant return end of Sept-25. Further tenant break 25/03/27.</t>
        </is>
      </c>
      <c r="AC322" s="303" t="n"/>
      <c r="AD322" s="4" t="n"/>
      <c r="AE322" s="278" t="n"/>
      <c r="AF322" s="4" t="n"/>
    </row>
    <row r="323">
      <c r="A323" s="11" t="inlineStr">
        <is>
          <t>WS</t>
        </is>
      </c>
      <c r="B323" s="11" t="inlineStr">
        <is>
          <t>MEL</t>
        </is>
      </c>
      <c r="C323" s="2" t="n">
        <v>550870</v>
      </c>
      <c r="D323" s="4" t="inlineStr">
        <is>
          <t>67 - 81 Mortimer Street</t>
        </is>
      </c>
      <c r="E323" s="4" t="inlineStr">
        <is>
          <t>Ground Floor &amp; Bsmt. (No. 77)</t>
        </is>
      </c>
      <c r="F323" s="14" t="inlineStr">
        <is>
          <t>Shop/ Showroom</t>
        </is>
      </c>
      <c r="G323" s="7" t="n">
        <v>1119</v>
      </c>
      <c r="H323" s="7">
        <f>G323</f>
        <v/>
      </c>
      <c r="I323" s="7" t="n">
        <v>1250</v>
      </c>
      <c r="J323" s="4" t="inlineStr">
        <is>
          <t>Folia Ltd.</t>
        </is>
      </c>
      <c r="K323" s="8" t="n">
        <v>45741</v>
      </c>
      <c r="L323" s="9" t="n">
        <v>46836</v>
      </c>
      <c r="P323" s="10" t="n">
        <v>55000</v>
      </c>
      <c r="Q323" s="10">
        <f>P323</f>
        <v/>
      </c>
      <c r="S323" s="10" t="n">
        <v>51200</v>
      </c>
      <c r="T323" s="10">
        <f>S323</f>
        <v/>
      </c>
      <c r="U323" s="27" t="n">
        <v>53900</v>
      </c>
      <c r="V323" s="10">
        <f>U323</f>
        <v/>
      </c>
      <c r="W323" s="277">
        <f>S323/G323</f>
        <v/>
      </c>
      <c r="X323" s="10" t="inlineStr">
        <is>
          <t>D</t>
        </is>
      </c>
      <c r="Y323" s="60" t="n"/>
      <c r="Z323" s="394" t="n"/>
      <c r="AA323" s="14" t="inlineStr">
        <is>
          <t>No</t>
        </is>
      </c>
      <c r="AB323" s="4" t="n"/>
      <c r="AC323" s="303" t="n"/>
      <c r="AD323" s="4" t="n"/>
      <c r="AE323" s="278" t="n"/>
      <c r="AF323" s="4" t="n"/>
    </row>
    <row r="324">
      <c r="A324" s="11" t="inlineStr">
        <is>
          <t>WS</t>
        </is>
      </c>
      <c r="B324" s="11" t="inlineStr">
        <is>
          <t>MEL</t>
        </is>
      </c>
      <c r="C324" s="2" t="n">
        <v>550870</v>
      </c>
      <c r="D324" s="4" t="inlineStr">
        <is>
          <t>67 - 81 Mortimer Street</t>
        </is>
      </c>
      <c r="E324" s="4" t="inlineStr">
        <is>
          <t>Ground Floor &amp; Bsmt. (No.79-81)</t>
        </is>
      </c>
      <c r="F324" s="14" t="inlineStr">
        <is>
          <t>Restaurant</t>
        </is>
      </c>
      <c r="G324" s="7" t="n">
        <v>3114</v>
      </c>
      <c r="H324" s="7">
        <f>G324</f>
        <v/>
      </c>
      <c r="I324" s="7" t="n">
        <v>3000</v>
      </c>
      <c r="J324" s="4" t="inlineStr">
        <is>
          <t>PHBB Restaurants Ltd.</t>
        </is>
      </c>
      <c r="K324" s="8" t="n">
        <v>44143</v>
      </c>
      <c r="L324" s="9" t="n">
        <v>49620</v>
      </c>
      <c r="N324" s="9" t="n">
        <v>45969</v>
      </c>
      <c r="P324" s="10" t="n">
        <v>175000</v>
      </c>
      <c r="Q324" s="10">
        <f>P324</f>
        <v/>
      </c>
      <c r="S324" s="10" t="n">
        <v>146200</v>
      </c>
      <c r="T324" s="10">
        <f>S324</f>
        <v/>
      </c>
      <c r="U324" s="27" t="n">
        <v>146200</v>
      </c>
      <c r="V324" s="10">
        <f>U324</f>
        <v/>
      </c>
      <c r="W324" s="277">
        <f>S324/G324</f>
        <v/>
      </c>
      <c r="X324" s="10" t="inlineStr">
        <is>
          <t>D</t>
        </is>
      </c>
      <c r="Y324" s="60" t="n"/>
      <c r="Z324" s="394" t="n"/>
      <c r="AA324" s="14" t="inlineStr">
        <is>
          <t>Yes</t>
        </is>
      </c>
      <c r="AB324" s="4" t="inlineStr">
        <is>
          <t xml:space="preserve">54 Act protected lease. All Inclusive (excl rates). </t>
        </is>
      </c>
      <c r="AC324" s="303" t="n"/>
      <c r="AD324" s="4" t="n"/>
      <c r="AE324" s="278" t="n"/>
      <c r="AF324" s="4" t="n"/>
    </row>
    <row r="325">
      <c r="A325" s="11" t="inlineStr">
        <is>
          <t>WS</t>
        </is>
      </c>
      <c r="B325" s="11" t="inlineStr">
        <is>
          <t>MEL</t>
        </is>
      </c>
      <c r="C325" s="2" t="n">
        <v>550870</v>
      </c>
      <c r="D325" s="4" t="inlineStr">
        <is>
          <t>67 - 81 Mortimer Street</t>
        </is>
      </c>
      <c r="E325" s="4" t="inlineStr">
        <is>
          <t>First Floor (East)</t>
        </is>
      </c>
      <c r="F325" s="14" t="inlineStr">
        <is>
          <t>Office</t>
        </is>
      </c>
      <c r="G325" s="7" t="n">
        <v>1560</v>
      </c>
      <c r="H325" s="7">
        <f>G325</f>
        <v/>
      </c>
      <c r="I325" s="7" t="n">
        <v>1500</v>
      </c>
      <c r="J325" s="4" t="inlineStr">
        <is>
          <t>Feel Films Ltd.</t>
        </is>
      </c>
      <c r="K325" s="8" t="n">
        <v>44732</v>
      </c>
      <c r="L325" s="9" t="n">
        <v>46557</v>
      </c>
      <c r="N325" s="8" t="n"/>
      <c r="O325" s="8" t="n"/>
      <c r="P325" s="10" t="n">
        <v>67146</v>
      </c>
      <c r="Q325" s="10">
        <f>P325</f>
        <v/>
      </c>
      <c r="S325" s="10" t="n">
        <v>85800</v>
      </c>
      <c r="T325" s="10">
        <f>S325</f>
        <v/>
      </c>
      <c r="U325" s="27" t="n">
        <v>85800</v>
      </c>
      <c r="V325" s="10">
        <f>U325</f>
        <v/>
      </c>
      <c r="W325" s="277">
        <f>S325/G325</f>
        <v/>
      </c>
      <c r="X325" s="10" t="inlineStr">
        <is>
          <t>C</t>
        </is>
      </c>
      <c r="Y325" s="60" t="n"/>
      <c r="Z325" s="394" t="n"/>
      <c r="AA325" s="14" t="inlineStr">
        <is>
          <t>No</t>
        </is>
      </c>
      <c r="AB325" s="4" t="inlineStr">
        <is>
          <t>Rent reverts to £84,816 wef 20/06/26</t>
        </is>
      </c>
      <c r="AE325" s="278" t="n"/>
    </row>
    <row r="326">
      <c r="A326" s="11" t="inlineStr">
        <is>
          <t>WS</t>
        </is>
      </c>
      <c r="B326" s="11" t="inlineStr">
        <is>
          <t>MEL</t>
        </is>
      </c>
      <c r="C326" s="2" t="n">
        <v>550870</v>
      </c>
      <c r="D326" s="4" t="inlineStr">
        <is>
          <t>67 - 81 Mortimer Street</t>
        </is>
      </c>
      <c r="E326" s="4" t="inlineStr">
        <is>
          <t>First Floor (West)</t>
        </is>
      </c>
      <c r="F326" s="14" t="inlineStr">
        <is>
          <t>Office</t>
        </is>
      </c>
      <c r="G326" s="7" t="n">
        <v>1454</v>
      </c>
      <c r="H326" s="7">
        <f>G326</f>
        <v/>
      </c>
      <c r="I326" s="7" t="n">
        <v>1500</v>
      </c>
      <c r="J326" s="4" t="inlineStr">
        <is>
          <t>Feel Films Ltd.</t>
        </is>
      </c>
      <c r="K326" s="8" t="n">
        <v>44419</v>
      </c>
      <c r="L326" s="9" t="n">
        <v>46244</v>
      </c>
      <c r="N326" s="8" t="n"/>
      <c r="O326" s="8" t="n"/>
      <c r="P326" s="27" t="n">
        <v>83950</v>
      </c>
      <c r="Q326" s="10">
        <f>P326</f>
        <v/>
      </c>
      <c r="S326" s="10" t="n">
        <v>80000</v>
      </c>
      <c r="T326" s="10">
        <f>S326</f>
        <v/>
      </c>
      <c r="U326" s="27" t="n">
        <v>80000</v>
      </c>
      <c r="V326" s="10">
        <f>U326</f>
        <v/>
      </c>
      <c r="W326" s="277">
        <f>S326/G326</f>
        <v/>
      </c>
      <c r="X326" s="10" t="inlineStr">
        <is>
          <t>D</t>
        </is>
      </c>
      <c r="Y326" s="60" t="n"/>
      <c r="Z326" s="394" t="n"/>
      <c r="AA326" s="14" t="inlineStr">
        <is>
          <t>No</t>
        </is>
      </c>
      <c r="AE326" s="278" t="n"/>
    </row>
    <row r="327">
      <c r="A327" s="11" t="inlineStr">
        <is>
          <t>WS</t>
        </is>
      </c>
      <c r="B327" s="11" t="inlineStr">
        <is>
          <t>MEL</t>
        </is>
      </c>
      <c r="C327" s="2" t="n">
        <v>550870</v>
      </c>
      <c r="D327" s="4" t="inlineStr">
        <is>
          <t>67 - 81 Mortimer Street</t>
        </is>
      </c>
      <c r="E327" s="4" t="inlineStr">
        <is>
          <t>Second Floor (West)</t>
        </is>
      </c>
      <c r="F327" s="14" t="inlineStr">
        <is>
          <t>Office</t>
        </is>
      </c>
      <c r="G327" s="7" t="n">
        <v>1395</v>
      </c>
      <c r="H327" s="7">
        <f>G327</f>
        <v/>
      </c>
      <c r="I327" s="7" t="n">
        <v>1500</v>
      </c>
      <c r="J327" s="4" t="inlineStr">
        <is>
          <t>Vacant</t>
        </is>
      </c>
      <c r="M327" s="9" t="n">
        <v>45837</v>
      </c>
      <c r="N327" s="8" t="n"/>
      <c r="O327" s="8" t="n"/>
      <c r="P327" s="10" t="n">
        <v>0</v>
      </c>
      <c r="Q327" s="10">
        <f>P327</f>
        <v/>
      </c>
      <c r="S327" s="10" t="n">
        <v>76700</v>
      </c>
      <c r="T327" s="10">
        <f>S327</f>
        <v/>
      </c>
      <c r="U327" s="27" t="n">
        <v>76700</v>
      </c>
      <c r="V327" s="10">
        <f>U327</f>
        <v/>
      </c>
      <c r="W327" s="277">
        <f>S327/G327</f>
        <v/>
      </c>
      <c r="X327" s="10" t="inlineStr">
        <is>
          <t>E</t>
        </is>
      </c>
      <c r="Y327" s="60" t="n"/>
      <c r="Z327" s="394" t="n"/>
      <c r="AA327" s="14" t="inlineStr">
        <is>
          <t>No</t>
        </is>
      </c>
      <c r="AB327" s="4" t="inlineStr">
        <is>
          <t>Unit Under offer.</t>
        </is>
      </c>
      <c r="AE327" s="278" t="n"/>
    </row>
    <row r="328">
      <c r="A328" s="11" t="inlineStr">
        <is>
          <t>WS</t>
        </is>
      </c>
      <c r="B328" s="11" t="inlineStr">
        <is>
          <t>MEL</t>
        </is>
      </c>
      <c r="C328" s="2" t="n">
        <v>550870</v>
      </c>
      <c r="D328" s="4" t="inlineStr">
        <is>
          <t>67 - 81 Mortimer Street</t>
        </is>
      </c>
      <c r="E328" s="4" t="inlineStr">
        <is>
          <t>Second Floor (East)</t>
        </is>
      </c>
      <c r="F328" s="14" t="inlineStr">
        <is>
          <t>Office</t>
        </is>
      </c>
      <c r="G328" s="7" t="n">
        <v>1281</v>
      </c>
      <c r="H328" s="7">
        <f>G328</f>
        <v/>
      </c>
      <c r="I328" s="7" t="n">
        <v>1250</v>
      </c>
      <c r="J328" s="4" t="inlineStr">
        <is>
          <t>Feel Films Ltd.</t>
        </is>
      </c>
      <c r="K328" s="8" t="n">
        <v>45393</v>
      </c>
      <c r="L328" s="9" t="n">
        <v>47218</v>
      </c>
      <c r="O328" s="9" t="n">
        <v>46488</v>
      </c>
      <c r="P328" s="10" t="n">
        <v>72800</v>
      </c>
      <c r="Q328" s="10">
        <f>P328</f>
        <v/>
      </c>
      <c r="S328" s="10" t="n">
        <v>70500</v>
      </c>
      <c r="T328" s="10">
        <f>S328</f>
        <v/>
      </c>
      <c r="U328" s="27" t="n">
        <v>70500</v>
      </c>
      <c r="V328" s="10">
        <f>U328</f>
        <v/>
      </c>
      <c r="W328" s="277">
        <f>S328/G328</f>
        <v/>
      </c>
      <c r="X328" s="10" t="inlineStr">
        <is>
          <t>D</t>
        </is>
      </c>
      <c r="Y328" s="60" t="n"/>
      <c r="Z328" s="394" t="n"/>
      <c r="AA328" s="14" t="inlineStr">
        <is>
          <t>No</t>
        </is>
      </c>
      <c r="AB328" s="4" t="inlineStr">
        <is>
          <t>Tenant break on 6 months notice. 3 months rent free if break not exercised.</t>
        </is>
      </c>
      <c r="AE328" s="278" t="n"/>
    </row>
    <row r="329">
      <c r="A329" s="11" t="inlineStr">
        <is>
          <t>WS</t>
        </is>
      </c>
      <c r="B329" s="11" t="inlineStr">
        <is>
          <t>MEL</t>
        </is>
      </c>
      <c r="C329" s="2" t="n">
        <v>550870</v>
      </c>
      <c r="D329" s="4" t="inlineStr">
        <is>
          <t>67 - 81 Mortimer Street</t>
        </is>
      </c>
      <c r="E329" s="4" t="inlineStr">
        <is>
          <t>Third Floor (East)</t>
        </is>
      </c>
      <c r="F329" s="14" t="inlineStr">
        <is>
          <t>Office</t>
        </is>
      </c>
      <c r="G329" s="7" t="n">
        <v>1371</v>
      </c>
      <c r="H329" s="7">
        <f>G329</f>
        <v/>
      </c>
      <c r="I329" s="7" t="n">
        <v>1250</v>
      </c>
      <c r="J329" s="4" t="inlineStr">
        <is>
          <t>Vacant</t>
        </is>
      </c>
      <c r="M329" s="9" t="n">
        <v>44647</v>
      </c>
      <c r="N329" s="8" t="n"/>
      <c r="O329" s="8" t="n"/>
      <c r="P329" s="10" t="n">
        <v>0</v>
      </c>
      <c r="Q329" s="10">
        <f>P329</f>
        <v/>
      </c>
      <c r="S329" s="10" t="n">
        <v>75400</v>
      </c>
      <c r="T329" s="10">
        <f>S329</f>
        <v/>
      </c>
      <c r="U329" s="27" t="n">
        <v>75400</v>
      </c>
      <c r="V329" s="10">
        <f>U329</f>
        <v/>
      </c>
      <c r="W329" s="277">
        <f>S329/G329</f>
        <v/>
      </c>
      <c r="X329" s="27" t="inlineStr">
        <is>
          <t>B</t>
        </is>
      </c>
      <c r="Y329" s="60" t="n"/>
      <c r="Z329" s="394" t="n"/>
      <c r="AA329" s="14" t="inlineStr">
        <is>
          <t>No</t>
        </is>
      </c>
      <c r="AB329" s="4" t="inlineStr">
        <is>
          <t>Under offer</t>
        </is>
      </c>
      <c r="AC329" s="303" t="n">
        <v>62</v>
      </c>
      <c r="AD329" s="4" t="n"/>
      <c r="AE329" s="278" t="n"/>
      <c r="AF329" s="4" t="n"/>
    </row>
    <row r="330">
      <c r="A330" s="11" t="inlineStr">
        <is>
          <t>WS</t>
        </is>
      </c>
      <c r="B330" s="11" t="inlineStr">
        <is>
          <t>MEL</t>
        </is>
      </c>
      <c r="C330" s="2" t="n">
        <v>550870</v>
      </c>
      <c r="D330" s="4" t="inlineStr">
        <is>
          <t>67 - 81 Mortimer Street</t>
        </is>
      </c>
      <c r="E330" s="4" t="inlineStr">
        <is>
          <t>Third Floor (West)</t>
        </is>
      </c>
      <c r="F330" s="14" t="inlineStr">
        <is>
          <t>Office</t>
        </is>
      </c>
      <c r="G330" s="7" t="n">
        <v>1204</v>
      </c>
      <c r="H330" s="7">
        <f>G330</f>
        <v/>
      </c>
      <c r="I330" s="7" t="n">
        <v>1250</v>
      </c>
      <c r="J330" s="4" t="inlineStr">
        <is>
          <t>Vacant</t>
        </is>
      </c>
      <c r="M330" s="9" t="n">
        <v>42983</v>
      </c>
      <c r="N330" s="8" t="n"/>
      <c r="O330" s="8" t="n"/>
      <c r="P330" s="10" t="n">
        <v>0</v>
      </c>
      <c r="Q330" s="10">
        <f>P330</f>
        <v/>
      </c>
      <c r="S330" s="10" t="n">
        <v>66200</v>
      </c>
      <c r="T330" s="10">
        <f>S330</f>
        <v/>
      </c>
      <c r="U330" s="27" t="n">
        <v>66200</v>
      </c>
      <c r="V330" s="10">
        <f>U330</f>
        <v/>
      </c>
      <c r="W330" s="277">
        <f>S330/G330</f>
        <v/>
      </c>
      <c r="X330" s="27" t="inlineStr">
        <is>
          <t>B</t>
        </is>
      </c>
      <c r="Y330" s="60" t="n"/>
      <c r="Z330" s="394" t="n"/>
      <c r="AA330" s="14" t="inlineStr">
        <is>
          <t>No</t>
        </is>
      </c>
      <c r="AB330" s="4" t="inlineStr">
        <is>
          <t>Under offer</t>
        </is>
      </c>
      <c r="AC330" s="303" t="n">
        <v>62</v>
      </c>
      <c r="AD330" s="4" t="n"/>
      <c r="AE330" s="278" t="n"/>
      <c r="AF330" s="4" t="n"/>
    </row>
    <row r="331">
      <c r="A331" s="11" t="inlineStr">
        <is>
          <t>WS</t>
        </is>
      </c>
      <c r="B331" s="11" t="inlineStr">
        <is>
          <t>MEL</t>
        </is>
      </c>
      <c r="C331" s="2" t="n">
        <v>550980</v>
      </c>
      <c r="D331" s="4" t="inlineStr">
        <is>
          <t>93 Mortimer Street &amp; 43 Great Portland Street</t>
        </is>
      </c>
      <c r="E331" s="4" t="inlineStr">
        <is>
          <t>Whole</t>
        </is>
      </c>
      <c r="F331" s="14" t="inlineStr">
        <is>
          <t>Gallery</t>
        </is>
      </c>
      <c r="G331" s="18" t="n">
        <v>10112</v>
      </c>
      <c r="H331" s="19">
        <f>G331</f>
        <v/>
      </c>
      <c r="I331" s="19" t="n"/>
      <c r="J331" s="4" t="inlineStr">
        <is>
          <t>IBRAAZ</t>
        </is>
      </c>
      <c r="K331" s="8" t="n">
        <v>45708</v>
      </c>
      <c r="L331" s="9" t="n">
        <v>51185</v>
      </c>
      <c r="N331" s="9" t="n">
        <v>47534</v>
      </c>
      <c r="O331" s="9" t="n">
        <v>47898</v>
      </c>
      <c r="P331" s="19" t="n">
        <v>550000</v>
      </c>
      <c r="Q331" s="19">
        <f>P331</f>
        <v/>
      </c>
      <c r="R331" s="19">
        <f>Q331</f>
        <v/>
      </c>
      <c r="S331" s="19" t="n">
        <v>750000</v>
      </c>
      <c r="T331" s="19">
        <f>S331</f>
        <v/>
      </c>
      <c r="U331" s="36" t="n">
        <v>700000</v>
      </c>
      <c r="V331" s="19">
        <f>U331</f>
        <v/>
      </c>
      <c r="W331" s="277">
        <f>S331/G331</f>
        <v/>
      </c>
      <c r="X331" s="19" t="inlineStr">
        <is>
          <t>A</t>
        </is>
      </c>
      <c r="Y331" s="61" t="n"/>
      <c r="Z331" s="36" t="n">
        <v>11850000</v>
      </c>
      <c r="AA331" s="14" t="inlineStr">
        <is>
          <t>No</t>
        </is>
      </c>
      <c r="AB331" s="4" t="inlineStr">
        <is>
          <t>Rent increases reverts to £700,000 wef 20/02/30 subject to rent review.</t>
        </is>
      </c>
      <c r="AD331" s="4" t="n">
        <v>1</v>
      </c>
      <c r="AE331" s="278" t="n">
        <v>1</v>
      </c>
    </row>
    <row r="332">
      <c r="A332" s="11" t="inlineStr">
        <is>
          <t>JM</t>
        </is>
      </c>
      <c r="B332" s="11" t="inlineStr">
        <is>
          <t>MEL</t>
        </is>
      </c>
      <c r="C332" s="2" t="n">
        <v>100850</v>
      </c>
      <c r="D332" s="4" t="inlineStr">
        <is>
          <t>142-144 Oxford Street</t>
        </is>
      </c>
      <c r="E332" s="4" t="inlineStr">
        <is>
          <t>Basement, Ground &amp; First Floors</t>
        </is>
      </c>
      <c r="F332" s="14" t="inlineStr">
        <is>
          <t>Retail/ Ancillary</t>
        </is>
      </c>
      <c r="G332" s="7" t="n">
        <v>5200</v>
      </c>
      <c r="H332" s="7">
        <f>G332</f>
        <v/>
      </c>
      <c r="I332" s="7" t="n">
        <v>5000</v>
      </c>
      <c r="J332" s="4" t="inlineStr">
        <is>
          <t>Telefonica UK Ltd</t>
        </is>
      </c>
      <c r="K332" s="8" t="n">
        <v>45776</v>
      </c>
      <c r="L332" s="9" t="n">
        <v>49427</v>
      </c>
      <c r="N332" s="9" t="n">
        <v>47602</v>
      </c>
      <c r="O332" s="9" t="n">
        <v>47601</v>
      </c>
      <c r="P332" s="10" t="n">
        <v>352500</v>
      </c>
      <c r="Q332" s="10">
        <f>P332</f>
        <v/>
      </c>
      <c r="S332" s="7" t="n">
        <v>616000</v>
      </c>
      <c r="T332" s="10">
        <f>S332</f>
        <v/>
      </c>
      <c r="U332" s="359" t="n">
        <v>746500</v>
      </c>
      <c r="V332" s="10">
        <f>U332</f>
        <v/>
      </c>
      <c r="W332" s="277">
        <f>S332/G332</f>
        <v/>
      </c>
      <c r="X332" s="10" t="inlineStr">
        <is>
          <t>B</t>
        </is>
      </c>
      <c r="Y332" s="60" t="n"/>
      <c r="Z332" s="36" t="n"/>
      <c r="AA332" s="14" t="inlineStr">
        <is>
          <t>No</t>
        </is>
      </c>
      <c r="AB332" s="4" t="inlineStr">
        <is>
          <t>Rent increasing to £705,000 wef 24/07/26. Tenant break on 6 months notice.</t>
        </is>
      </c>
      <c r="AC332" s="303" t="n"/>
      <c r="AD332" s="4" t="n">
        <v>1</v>
      </c>
      <c r="AE332" s="278" t="n">
        <v>1</v>
      </c>
      <c r="AF332" s="4" t="inlineStr">
        <is>
          <t>LEM</t>
        </is>
      </c>
    </row>
    <row r="333">
      <c r="A333" s="11" t="inlineStr">
        <is>
          <t>JM</t>
        </is>
      </c>
      <c r="B333" s="11" t="inlineStr">
        <is>
          <t>MEL</t>
        </is>
      </c>
      <c r="C333" s="2" t="n">
        <v>100850</v>
      </c>
      <c r="D333" s="4" t="inlineStr">
        <is>
          <t>142-144 Oxford Street</t>
        </is>
      </c>
      <c r="E333" s="4" t="inlineStr">
        <is>
          <t>Kiosk in Adam and Eve Court</t>
        </is>
      </c>
      <c r="F333" s="14" t="inlineStr">
        <is>
          <t>Kiosk</t>
        </is>
      </c>
      <c r="G333" s="42" t="n">
        <v>85</v>
      </c>
      <c r="H333" s="7">
        <f>G333</f>
        <v/>
      </c>
      <c r="J333" s="30" t="inlineStr">
        <is>
          <t>The Prudential Assurance Company Ltd.</t>
        </is>
      </c>
      <c r="K333" s="8" t="n">
        <v>45589</v>
      </c>
      <c r="L333" s="8" t="n">
        <v>45953</v>
      </c>
      <c r="M333" s="8" t="n"/>
      <c r="P333" s="10" t="n">
        <v>68250</v>
      </c>
      <c r="Q333" s="10">
        <f>P333</f>
        <v/>
      </c>
      <c r="S333" s="7" t="n">
        <v>65000</v>
      </c>
      <c r="T333" s="10">
        <f>S333</f>
        <v/>
      </c>
      <c r="U333" s="359" t="n">
        <v>0</v>
      </c>
      <c r="V333" s="10">
        <f>U333</f>
        <v/>
      </c>
      <c r="W333" s="277">
        <f>S333/G333</f>
        <v/>
      </c>
      <c r="X333" s="10" t="n"/>
      <c r="Y333" s="60" t="n"/>
      <c r="Z333" s="36" t="n"/>
      <c r="AA333" s="14" t="inlineStr">
        <is>
          <t>No</t>
        </is>
      </c>
      <c r="AB333" s="30" t="inlineStr">
        <is>
          <t>Tenant rolling break on 3 months notice. Tenant has renewal option at stepped rent. Landlord redevelopment break @ 16/01/27 on 6 months notice.</t>
        </is>
      </c>
      <c r="AD333" s="30" t="n"/>
      <c r="AE333" s="284" t="n"/>
      <c r="AF333" s="30" t="n"/>
    </row>
    <row r="334">
      <c r="A334" s="11" t="inlineStr">
        <is>
          <t>JM</t>
        </is>
      </c>
      <c r="B334" s="11" t="inlineStr">
        <is>
          <t>MEL</t>
        </is>
      </c>
      <c r="C334" s="2" t="n">
        <v>100850</v>
      </c>
      <c r="D334" s="4" t="inlineStr">
        <is>
          <t>142-144 Oxford Street</t>
        </is>
      </c>
      <c r="E334" s="4" t="inlineStr">
        <is>
          <t>Flats 1 - 9 Inclusive</t>
        </is>
      </c>
      <c r="F334" s="14" t="inlineStr">
        <is>
          <t>Residential</t>
        </is>
      </c>
      <c r="G334" s="42" t="n">
        <v>4011</v>
      </c>
      <c r="H334" s="7">
        <f>G334</f>
        <v/>
      </c>
      <c r="I334" s="7" t="n">
        <v>4000</v>
      </c>
      <c r="J334" s="4" t="inlineStr">
        <is>
          <t>Advan Capital Limited</t>
        </is>
      </c>
      <c r="K334" s="8" t="n">
        <v>44204</v>
      </c>
      <c r="L334" s="9" t="n">
        <v>47855</v>
      </c>
      <c r="N334" s="9" t="n">
        <v>46030</v>
      </c>
      <c r="P334" s="10" t="n">
        <v>130000</v>
      </c>
      <c r="Q334" s="10">
        <f>P334</f>
        <v/>
      </c>
      <c r="S334" s="7" t="n">
        <v>130000</v>
      </c>
      <c r="T334" s="10">
        <f>S334</f>
        <v/>
      </c>
      <c r="U334" s="359" t="n">
        <v>130000</v>
      </c>
      <c r="V334" s="10">
        <f>U334</f>
        <v/>
      </c>
      <c r="W334" s="277">
        <f>S334/G334</f>
        <v/>
      </c>
      <c r="X334" s="10" t="inlineStr">
        <is>
          <t>B</t>
        </is>
      </c>
      <c r="Y334" s="60" t="n"/>
      <c r="Z334" s="36" t="n"/>
      <c r="AA334" s="14" t="inlineStr">
        <is>
          <t>No</t>
        </is>
      </c>
      <c r="AB334" s="30" t="n"/>
      <c r="AD334" s="30" t="n"/>
      <c r="AE334" s="284" t="n"/>
      <c r="AF334" s="30" t="n"/>
    </row>
    <row r="335">
      <c r="A335" s="11" t="inlineStr">
        <is>
          <t>JM</t>
        </is>
      </c>
      <c r="B335" s="11" t="inlineStr">
        <is>
          <t>MEL</t>
        </is>
      </c>
      <c r="C335" s="2" t="n">
        <v>100670</v>
      </c>
      <c r="D335" s="4" t="inlineStr">
        <is>
          <t>146/148 Oxford Street</t>
        </is>
      </c>
      <c r="E335" s="4" t="inlineStr">
        <is>
          <t>Vaults, Basement &amp; Ground Floors</t>
        </is>
      </c>
      <c r="F335" s="14" t="inlineStr">
        <is>
          <t>Retail</t>
        </is>
      </c>
      <c r="G335" s="7" t="n">
        <v>3348</v>
      </c>
      <c r="H335" s="10">
        <f>G335</f>
        <v/>
      </c>
      <c r="I335" s="10" t="n">
        <v>3250</v>
      </c>
      <c r="J335" s="4" t="inlineStr">
        <is>
          <t>Holland &amp; Barrett Retail Ltd</t>
        </is>
      </c>
      <c r="K335" s="8" t="n">
        <v>45600</v>
      </c>
      <c r="L335" s="9" t="n">
        <v>49251</v>
      </c>
      <c r="N335" s="9" t="n">
        <v>47426</v>
      </c>
      <c r="O335" s="9" t="n">
        <v>47790</v>
      </c>
      <c r="P335" s="10" t="n">
        <v>260000</v>
      </c>
      <c r="Q335" s="10">
        <f>P335</f>
        <v/>
      </c>
      <c r="S335" s="10" t="n">
        <v>522500</v>
      </c>
      <c r="T335" s="10">
        <f>S335</f>
        <v/>
      </c>
      <c r="U335" s="27" t="n">
        <v>661800</v>
      </c>
      <c r="V335" s="10">
        <f>U335</f>
        <v/>
      </c>
      <c r="W335" s="277">
        <f>S335/G335</f>
        <v/>
      </c>
      <c r="X335" s="10" t="inlineStr">
        <is>
          <t>B</t>
        </is>
      </c>
      <c r="Y335" s="60" t="n"/>
      <c r="Z335" s="395" t="n"/>
      <c r="AA335" s="14" t="inlineStr">
        <is>
          <t>No</t>
        </is>
      </c>
      <c r="AB335" s="4" t="inlineStr">
        <is>
          <t xml:space="preserve">Rent increases to £520,000 wef 04/08/26. Tenant break on 6 months notice. </t>
        </is>
      </c>
      <c r="AC335" s="305" t="n"/>
      <c r="AD335" s="29" t="n"/>
      <c r="AE335" s="279" t="n"/>
      <c r="AF335" s="29" t="n"/>
    </row>
    <row r="336">
      <c r="A336" s="11" t="inlineStr">
        <is>
          <t>JM</t>
        </is>
      </c>
      <c r="B336" s="11" t="inlineStr">
        <is>
          <t>MEL</t>
        </is>
      </c>
      <c r="C336" s="2" t="n">
        <v>100670</v>
      </c>
      <c r="D336" s="4" t="inlineStr">
        <is>
          <t>146/148 Oxford Street</t>
        </is>
      </c>
      <c r="E336" s="4" t="inlineStr">
        <is>
          <t>First to Fourth Floors</t>
        </is>
      </c>
      <c r="F336" s="14" t="inlineStr">
        <is>
          <t>Educational</t>
        </is>
      </c>
      <c r="G336" s="7" t="n">
        <v>2964</v>
      </c>
      <c r="H336" s="10">
        <f>G336</f>
        <v/>
      </c>
      <c r="I336" s="10" t="n">
        <v>3000</v>
      </c>
      <c r="J336" s="4" t="inlineStr">
        <is>
          <t>Vacant</t>
        </is>
      </c>
      <c r="M336" s="9" t="n">
        <v>42593</v>
      </c>
      <c r="P336" s="10" t="n">
        <v>0</v>
      </c>
      <c r="Q336" s="10">
        <f>P336</f>
        <v/>
      </c>
      <c r="S336" s="10" t="n">
        <v>115000</v>
      </c>
      <c r="T336" s="10">
        <f>S336</f>
        <v/>
      </c>
      <c r="U336" s="27" t="n">
        <v>115000</v>
      </c>
      <c r="V336" s="10">
        <f>U336</f>
        <v/>
      </c>
      <c r="W336" s="277">
        <f>S336/G336</f>
        <v/>
      </c>
      <c r="X336" s="10" t="inlineStr">
        <is>
          <t>E</t>
        </is>
      </c>
      <c r="Y336" s="60" t="n"/>
      <c r="Z336" s="395" t="n"/>
      <c r="AA336" s="14" t="inlineStr">
        <is>
          <t>No</t>
        </is>
      </c>
      <c r="AB336" s="4" t="inlineStr">
        <is>
          <t>Unit being stripped back to shell.</t>
        </is>
      </c>
      <c r="AE336" s="278" t="n"/>
    </row>
    <row r="337">
      <c r="A337" s="11" t="inlineStr">
        <is>
          <t>JM</t>
        </is>
      </c>
      <c r="B337" s="11" t="inlineStr">
        <is>
          <t>MEL</t>
        </is>
      </c>
      <c r="C337" s="2" t="n">
        <v>100650</v>
      </c>
      <c r="D337" s="4" t="inlineStr">
        <is>
          <t>150/154 Oxford Street</t>
        </is>
      </c>
      <c r="E337" s="4" t="inlineStr">
        <is>
          <t>Part Basement to Second Floors &amp; Rooftop Switch Room</t>
        </is>
      </c>
      <c r="F337" s="14" t="inlineStr">
        <is>
          <t>Retail</t>
        </is>
      </c>
      <c r="G337" s="18" t="n">
        <v>61433</v>
      </c>
      <c r="H337" s="10">
        <f>G337</f>
        <v/>
      </c>
      <c r="I337" s="10" t="n">
        <v>60000</v>
      </c>
      <c r="J337" s="4" t="inlineStr">
        <is>
          <t>Sportsdirect.com Retail Ltd</t>
        </is>
      </c>
      <c r="K337" s="8" t="n">
        <v>40925</v>
      </c>
      <c r="L337" s="9" t="n">
        <v>46403</v>
      </c>
      <c r="N337" s="9" t="n">
        <v>44578</v>
      </c>
      <c r="P337" s="19" t="n">
        <v>4275000</v>
      </c>
      <c r="Q337" s="10">
        <f>P337</f>
        <v/>
      </c>
      <c r="R337" s="19">
        <f>Q337</f>
        <v/>
      </c>
      <c r="S337" s="19" t="n">
        <v>2569000</v>
      </c>
      <c r="T337" s="10">
        <f>S337</f>
        <v/>
      </c>
      <c r="U337" s="36" t="n">
        <v>3490000</v>
      </c>
      <c r="V337" s="10">
        <f>U337</f>
        <v/>
      </c>
      <c r="W337" s="277">
        <f>S337/G337</f>
        <v/>
      </c>
      <c r="X337" s="10" t="inlineStr">
        <is>
          <t>B</t>
        </is>
      </c>
      <c r="Y337" s="60" t="n"/>
      <c r="Z337" s="36" t="n">
        <v>72800000</v>
      </c>
      <c r="AA337" s="14" t="inlineStr">
        <is>
          <t>Yes</t>
        </is>
      </c>
      <c r="AB337" s="4" t="inlineStr">
        <is>
          <t xml:space="preserve">Electricity Substation sublet by Sportsdirect.com. Rent review not yet activated. </t>
        </is>
      </c>
      <c r="AC337" s="303" t="n"/>
      <c r="AD337" s="4" t="n"/>
      <c r="AE337" s="278" t="n"/>
      <c r="AF337" s="4" t="n"/>
    </row>
    <row r="338">
      <c r="A338" s="11" t="inlineStr">
        <is>
          <t>JM</t>
        </is>
      </c>
      <c r="B338" s="11" t="inlineStr">
        <is>
          <t>MEL</t>
        </is>
      </c>
      <c r="C338" s="2" t="n">
        <v>100650</v>
      </c>
      <c r="D338" s="4" t="inlineStr">
        <is>
          <t>50-60 Eastcastle Street</t>
        </is>
      </c>
      <c r="E338" s="4" t="inlineStr">
        <is>
          <t>Basement (South East)</t>
        </is>
      </c>
      <c r="F338" s="14" t="inlineStr">
        <is>
          <t>Storage</t>
        </is>
      </c>
      <c r="G338" s="7" t="n">
        <v>114</v>
      </c>
      <c r="H338" s="7">
        <f>G338</f>
        <v/>
      </c>
      <c r="J338" s="4" t="inlineStr">
        <is>
          <t>Building Workshop</t>
        </is>
      </c>
      <c r="P338" s="10" t="n">
        <v>0</v>
      </c>
      <c r="Q338" s="10">
        <f>P338</f>
        <v/>
      </c>
      <c r="S338" s="10" t="n">
        <v>2007</v>
      </c>
      <c r="T338" s="10">
        <f>S338</f>
        <v/>
      </c>
      <c r="U338" s="27" t="n">
        <v>2000</v>
      </c>
      <c r="V338" s="10">
        <f>U338</f>
        <v/>
      </c>
      <c r="W338" s="277">
        <f>S338/G338</f>
        <v/>
      </c>
      <c r="X338" s="10" t="n"/>
      <c r="Y338" s="60" t="n"/>
      <c r="Z338" s="394" t="n"/>
      <c r="AA338" s="14" t="inlineStr">
        <is>
          <t>No</t>
        </is>
      </c>
      <c r="AE338" s="278" t="n"/>
    </row>
    <row r="339">
      <c r="A339" s="11" t="inlineStr">
        <is>
          <t>JM</t>
        </is>
      </c>
      <c r="B339" s="11" t="inlineStr">
        <is>
          <t>MEL</t>
        </is>
      </c>
      <c r="C339" s="2" t="n">
        <v>100650</v>
      </c>
      <c r="D339" s="4" t="inlineStr">
        <is>
          <t>50-60 Eastcastle Street</t>
        </is>
      </c>
      <c r="E339" s="4" t="inlineStr">
        <is>
          <t>Basement Store A</t>
        </is>
      </c>
      <c r="F339" s="14" t="inlineStr">
        <is>
          <t>Storage</t>
        </is>
      </c>
      <c r="G339" s="7" t="n">
        <v>454</v>
      </c>
      <c r="H339" s="7">
        <f>G339</f>
        <v/>
      </c>
      <c r="J339" s="4" t="inlineStr">
        <is>
          <t>Hope93 Ltd.</t>
        </is>
      </c>
      <c r="K339" s="8" t="n">
        <v>45685</v>
      </c>
      <c r="L339" s="9" t="n">
        <v>47358</v>
      </c>
      <c r="O339" s="9" t="n">
        <v>46627</v>
      </c>
      <c r="P339" s="10" t="n">
        <v>18000</v>
      </c>
      <c r="Q339" s="10">
        <f>P339</f>
        <v/>
      </c>
      <c r="S339" s="10" t="n">
        <v>7993</v>
      </c>
      <c r="T339" s="10" t="n"/>
      <c r="U339" s="27" t="n">
        <v>18000</v>
      </c>
      <c r="V339" s="10">
        <f>U339</f>
        <v/>
      </c>
      <c r="W339" s="277">
        <f>S339/G339</f>
        <v/>
      </c>
      <c r="X339" s="10" t="n"/>
      <c r="Y339" s="60" t="n"/>
      <c r="Z339" s="394" t="n"/>
      <c r="AA339" s="14" t="n"/>
      <c r="AB339" s="4" t="inlineStr">
        <is>
          <t>Tenant break on 6 months notice.</t>
        </is>
      </c>
      <c r="AE339" s="278" t="n"/>
    </row>
    <row r="340">
      <c r="A340" s="11" t="inlineStr">
        <is>
          <t>JM</t>
        </is>
      </c>
      <c r="B340" s="11" t="inlineStr">
        <is>
          <t>MEL</t>
        </is>
      </c>
      <c r="C340" s="2" t="n">
        <v>100650</v>
      </c>
      <c r="D340" s="4" t="inlineStr">
        <is>
          <t>50-60 Eastcastle Street</t>
        </is>
      </c>
      <c r="E340" s="4" t="inlineStr">
        <is>
          <t>Basement (West)</t>
        </is>
      </c>
      <c r="F340" s="14" t="inlineStr">
        <is>
          <t>Building Managers Office</t>
        </is>
      </c>
      <c r="G340" s="7" t="n">
        <v>780</v>
      </c>
      <c r="H340" s="7">
        <f>G340</f>
        <v/>
      </c>
      <c r="I340" s="7" t="n">
        <v>750</v>
      </c>
      <c r="J340" s="4" t="inlineStr">
        <is>
          <t>Langham Estate Management Ltd</t>
        </is>
      </c>
      <c r="K340" s="8" t="n">
        <v>44562</v>
      </c>
      <c r="L340" s="9" t="n">
        <v>46752</v>
      </c>
      <c r="N340" s="9" t="n">
        <v>45292</v>
      </c>
      <c r="P340" s="10" t="n">
        <v>17100</v>
      </c>
      <c r="Q340" s="10">
        <f>P340</f>
        <v/>
      </c>
      <c r="S340" s="10" t="n">
        <v>12500</v>
      </c>
      <c r="T340" s="10">
        <f>S340</f>
        <v/>
      </c>
      <c r="U340" s="27" t="n">
        <v>12500</v>
      </c>
      <c r="V340" s="10">
        <f>U340</f>
        <v/>
      </c>
      <c r="W340" s="277">
        <f>S340/G340</f>
        <v/>
      </c>
      <c r="X340" s="10" t="inlineStr">
        <is>
          <t>D</t>
        </is>
      </c>
      <c r="Y340" s="60" t="n"/>
      <c r="Z340" s="394" t="n"/>
      <c r="AA340" s="14" t="inlineStr">
        <is>
          <t>No</t>
        </is>
      </c>
      <c r="AB340" s="4" t="inlineStr">
        <is>
          <t>2 yearly rent reviews. Mutual rolling break on 6 months notice. Internal Lease to another Lee Family Group Company.</t>
        </is>
      </c>
      <c r="AE340" s="278" t="n"/>
    </row>
    <row r="341">
      <c r="A341" s="11" t="inlineStr">
        <is>
          <t>JM</t>
        </is>
      </c>
      <c r="B341" s="11" t="inlineStr">
        <is>
          <t>MEL</t>
        </is>
      </c>
      <c r="C341" s="2" t="n">
        <v>100650</v>
      </c>
      <c r="D341" s="4" t="inlineStr">
        <is>
          <t>50-60 Eastcastle Street</t>
        </is>
      </c>
      <c r="E341" s="4" t="inlineStr">
        <is>
          <t>Grnd/Basement  - 10 &amp; 12 Winsley St.</t>
        </is>
      </c>
      <c r="F341" s="14" t="inlineStr">
        <is>
          <t>Restaurant</t>
        </is>
      </c>
      <c r="G341" s="7" t="n">
        <v>3661</v>
      </c>
      <c r="H341" s="7">
        <f>G341</f>
        <v/>
      </c>
      <c r="I341" s="7" t="n">
        <v>3500</v>
      </c>
      <c r="J341" s="4" t="inlineStr">
        <is>
          <t>Comptoir Group Plc</t>
        </is>
      </c>
      <c r="K341" s="8" t="n">
        <v>44115</v>
      </c>
      <c r="L341" s="9" t="n">
        <v>46670</v>
      </c>
      <c r="P341" s="10" t="n">
        <v>170000</v>
      </c>
      <c r="Q341" s="10">
        <f>P341</f>
        <v/>
      </c>
      <c r="S341" s="10" t="n">
        <v>216700</v>
      </c>
      <c r="T341" s="10">
        <f>S341</f>
        <v/>
      </c>
      <c r="U341" s="27" t="n">
        <v>216700</v>
      </c>
      <c r="V341" s="10">
        <f>U341</f>
        <v/>
      </c>
      <c r="W341" s="277">
        <f>S341/G341</f>
        <v/>
      </c>
      <c r="X341" s="10" t="inlineStr">
        <is>
          <t>D</t>
        </is>
      </c>
      <c r="Y341" s="60" t="n"/>
      <c r="Z341" s="394" t="n"/>
      <c r="AA341" s="14" t="inlineStr">
        <is>
          <t>No</t>
        </is>
      </c>
      <c r="AE341" s="278" t="n"/>
    </row>
    <row r="342">
      <c r="A342" s="11" t="inlineStr">
        <is>
          <t>JM</t>
        </is>
      </c>
      <c r="B342" s="11" t="inlineStr">
        <is>
          <t>MEL</t>
        </is>
      </c>
      <c r="C342" s="2" t="n">
        <v>100650</v>
      </c>
      <c r="D342" s="4" t="inlineStr">
        <is>
          <t>50-60 Eastcastle Street</t>
        </is>
      </c>
      <c r="E342" s="4" t="inlineStr">
        <is>
          <t>Basement 56-57 Eastcastle St.</t>
        </is>
      </c>
      <c r="F342" s="14" t="inlineStr">
        <is>
          <t>Showroom</t>
        </is>
      </c>
      <c r="G342" s="7" t="n">
        <v>1716</v>
      </c>
      <c r="H342" s="7">
        <f>G342</f>
        <v/>
      </c>
      <c r="I342" s="7" t="n">
        <v>1750</v>
      </c>
      <c r="J342" s="4" t="inlineStr">
        <is>
          <t>Vacant</t>
        </is>
      </c>
      <c r="P342" s="10" t="n">
        <v>0</v>
      </c>
      <c r="Q342" s="10">
        <f>P342</f>
        <v/>
      </c>
      <c r="S342" s="10" t="n">
        <v>107600</v>
      </c>
      <c r="T342" s="10">
        <f>S342</f>
        <v/>
      </c>
      <c r="U342" s="27" t="n">
        <v>0</v>
      </c>
      <c r="V342" s="10">
        <f>U342</f>
        <v/>
      </c>
      <c r="W342" s="277">
        <f>S342/G342</f>
        <v/>
      </c>
      <c r="X342" s="10" t="n"/>
      <c r="Y342" s="60" t="n"/>
      <c r="Z342" s="394" t="n"/>
      <c r="AA342" s="14" t="inlineStr">
        <is>
          <t>No</t>
        </is>
      </c>
      <c r="AB342" s="4" t="inlineStr">
        <is>
          <t>Mothballed.</t>
        </is>
      </c>
      <c r="AE342" s="278" t="n"/>
    </row>
    <row r="343">
      <c r="A343" s="11" t="inlineStr">
        <is>
          <t>JM</t>
        </is>
      </c>
      <c r="B343" s="11" t="inlineStr">
        <is>
          <t>MEL</t>
        </is>
      </c>
      <c r="C343" s="2" t="n">
        <v>100650</v>
      </c>
      <c r="D343" s="4" t="inlineStr">
        <is>
          <t>50-60 Eastcastle Street</t>
        </is>
      </c>
      <c r="E343" s="4" t="inlineStr">
        <is>
          <t>Ground 56-57 Eastcastle St.</t>
        </is>
      </c>
      <c r="F343" s="14" t="inlineStr">
        <is>
          <t>Showroom</t>
        </is>
      </c>
      <c r="G343" s="7" t="n">
        <v>1952</v>
      </c>
      <c r="H343" s="7">
        <f>G343</f>
        <v/>
      </c>
      <c r="I343" s="7" t="n">
        <v>2000</v>
      </c>
      <c r="J343" s="4" t="inlineStr">
        <is>
          <t>YG Group Ltd</t>
        </is>
      </c>
      <c r="K343" s="8" t="n">
        <v>45450</v>
      </c>
      <c r="L343" s="9" t="n">
        <v>49101</v>
      </c>
      <c r="N343" s="9" t="n">
        <v>47276</v>
      </c>
      <c r="O343" s="9" t="n">
        <v>47275</v>
      </c>
      <c r="P343" s="10" t="n">
        <v>159500</v>
      </c>
      <c r="Q343" s="10">
        <f>P343</f>
        <v/>
      </c>
      <c r="S343" s="10" t="n">
        <v>122400</v>
      </c>
      <c r="T343" s="10">
        <f>S343</f>
        <v/>
      </c>
      <c r="U343" s="27" t="n">
        <v>136600</v>
      </c>
      <c r="V343" s="10">
        <f>U343</f>
        <v/>
      </c>
      <c r="W343" s="277">
        <f>S343/G343</f>
        <v/>
      </c>
      <c r="X343" s="10" t="inlineStr">
        <is>
          <t>C</t>
        </is>
      </c>
      <c r="Y343" s="60" t="n"/>
      <c r="Z343" s="394" t="n"/>
      <c r="AA343" s="14" t="inlineStr">
        <is>
          <t>No</t>
        </is>
      </c>
      <c r="AB343" s="4" t="inlineStr">
        <is>
          <t>Mutual break on 6 months notice. 5 months rent free amortised over 1yr if break not exercised.</t>
        </is>
      </c>
      <c r="AE343" s="278" t="n"/>
    </row>
    <row r="344">
      <c r="A344" s="11" t="inlineStr">
        <is>
          <t>JM</t>
        </is>
      </c>
      <c r="B344" s="11" t="inlineStr">
        <is>
          <t>MEL</t>
        </is>
      </c>
      <c r="C344" s="2" t="n">
        <v>100650</v>
      </c>
      <c r="D344" s="4" t="inlineStr">
        <is>
          <t>50-60 Eastcastle Street</t>
        </is>
      </c>
      <c r="E344" s="4" t="inlineStr">
        <is>
          <t>Grnd/Basement - 55 Eastcastle St.</t>
        </is>
      </c>
      <c r="F344" s="14" t="inlineStr">
        <is>
          <t>Art Gallery</t>
        </is>
      </c>
      <c r="G344" s="7" t="n">
        <v>1710</v>
      </c>
      <c r="H344" s="7">
        <f>G344</f>
        <v/>
      </c>
      <c r="I344" s="7" t="n">
        <v>1750</v>
      </c>
      <c r="J344" s="29" t="inlineStr">
        <is>
          <t>Vacant</t>
        </is>
      </c>
      <c r="K344" s="388" t="n"/>
      <c r="L344" s="387" t="n"/>
      <c r="M344" s="387" t="n">
        <v>45874</v>
      </c>
      <c r="N344" s="387" t="n"/>
      <c r="O344" s="387" t="n"/>
      <c r="P344" s="27" t="n">
        <v>0</v>
      </c>
      <c r="Q344" s="10">
        <f>P344</f>
        <v/>
      </c>
      <c r="S344" s="10" t="n">
        <v>85500</v>
      </c>
      <c r="T344" s="10">
        <f>S344</f>
        <v/>
      </c>
      <c r="U344" s="27" t="n">
        <v>100000</v>
      </c>
      <c r="V344" s="10">
        <f>U344</f>
        <v/>
      </c>
      <c r="W344" s="277">
        <f>S344/G344</f>
        <v/>
      </c>
      <c r="X344" s="10" t="inlineStr">
        <is>
          <t>D</t>
        </is>
      </c>
      <c r="Y344" s="60" t="n"/>
      <c r="Z344" s="394" t="n"/>
      <c r="AA344" s="14" t="inlineStr">
        <is>
          <t>No</t>
        </is>
      </c>
      <c r="AB344" s="29" t="inlineStr">
        <is>
          <t>LEM marketing.</t>
        </is>
      </c>
      <c r="AE344" s="278" t="n"/>
    </row>
    <row r="345">
      <c r="A345" s="11" t="inlineStr">
        <is>
          <t>JM</t>
        </is>
      </c>
      <c r="B345" s="11" t="inlineStr">
        <is>
          <t>MEL</t>
        </is>
      </c>
      <c r="C345" s="2" t="n">
        <v>100650</v>
      </c>
      <c r="D345" s="4" t="inlineStr">
        <is>
          <t>50-60 Eastcastle Street</t>
        </is>
      </c>
      <c r="E345" s="4" t="inlineStr">
        <is>
          <t>Grnd/Basement - 54 Eastcastle St</t>
        </is>
      </c>
      <c r="F345" s="14" t="inlineStr">
        <is>
          <t>Art Gallery</t>
        </is>
      </c>
      <c r="G345" s="7" t="n">
        <v>3601</v>
      </c>
      <c r="H345" s="7">
        <f>G345</f>
        <v/>
      </c>
      <c r="I345" s="7" t="n">
        <v>3500</v>
      </c>
      <c r="J345" s="4" t="inlineStr">
        <is>
          <t>Hope93 Ltd.</t>
        </is>
      </c>
      <c r="K345" s="8" t="n">
        <v>45533</v>
      </c>
      <c r="L345" s="9" t="n">
        <v>49184</v>
      </c>
      <c r="N345" s="9" t="n">
        <v>47359</v>
      </c>
      <c r="O345" s="9" t="n">
        <v>46627</v>
      </c>
      <c r="P345" s="10" t="n">
        <v>83500</v>
      </c>
      <c r="Q345" s="10">
        <f>P345</f>
        <v/>
      </c>
      <c r="S345" s="10" t="n">
        <v>144000</v>
      </c>
      <c r="T345" s="10">
        <f>S345</f>
        <v/>
      </c>
      <c r="U345" s="27" t="n">
        <v>167400</v>
      </c>
      <c r="V345" s="10">
        <f>U345</f>
        <v/>
      </c>
      <c r="W345" s="277">
        <f>S345/G345</f>
        <v/>
      </c>
      <c r="X345" s="10" t="inlineStr">
        <is>
          <t>D</t>
        </is>
      </c>
      <c r="Y345" s="60" t="n"/>
      <c r="Z345" s="395" t="n"/>
      <c r="AA345" s="14" t="inlineStr">
        <is>
          <t>No</t>
        </is>
      </c>
      <c r="AB345" s="4" t="inlineStr">
        <is>
          <t>Rent increasing to £167,000 pa wef 29/08/29. Further break @ 28/08/29 on 6 months notice. Penalty clause of £27,833 for first break.</t>
        </is>
      </c>
      <c r="AD345" s="29" t="n"/>
      <c r="AE345" s="279" t="n"/>
      <c r="AF345" s="29" t="n"/>
    </row>
    <row r="346">
      <c r="A346" s="11" t="inlineStr">
        <is>
          <t>JM</t>
        </is>
      </c>
      <c r="B346" s="11" t="inlineStr">
        <is>
          <t>MEL</t>
        </is>
      </c>
      <c r="C346" s="2" t="n">
        <v>100650</v>
      </c>
      <c r="D346" s="4" t="inlineStr">
        <is>
          <t>50-60 Eastcastle Street</t>
        </is>
      </c>
      <c r="E346" s="4" t="inlineStr">
        <is>
          <t>Grnd/Basement - 51, 52 &amp; 53 Eastcastle St.</t>
        </is>
      </c>
      <c r="F346" s="14" t="inlineStr">
        <is>
          <t>Restaurant</t>
        </is>
      </c>
      <c r="G346" s="7" t="n">
        <v>6889</v>
      </c>
      <c r="H346" s="7">
        <f>G346</f>
        <v/>
      </c>
      <c r="I346" s="7" t="n">
        <v>7000</v>
      </c>
      <c r="J346" s="4" t="inlineStr">
        <is>
          <t>Stay On Target Ltd</t>
        </is>
      </c>
      <c r="K346" s="8" t="n">
        <v>44630</v>
      </c>
      <c r="L346" s="9" t="n">
        <v>48282</v>
      </c>
      <c r="N346" s="9" t="n">
        <v>46456</v>
      </c>
      <c r="P346" s="10" t="n">
        <v>385000</v>
      </c>
      <c r="Q346" s="10">
        <f>P346</f>
        <v/>
      </c>
      <c r="S346" s="10" t="n">
        <v>390000</v>
      </c>
      <c r="T346" s="10">
        <f>S346</f>
        <v/>
      </c>
      <c r="U346" s="27" t="n">
        <v>390000</v>
      </c>
      <c r="V346" s="10">
        <f>U346</f>
        <v/>
      </c>
      <c r="W346" s="277">
        <f>S346/G346</f>
        <v/>
      </c>
      <c r="X346" s="10" t="inlineStr">
        <is>
          <t>A</t>
        </is>
      </c>
      <c r="Y346" s="60" t="n"/>
      <c r="Z346" s="395" t="n"/>
      <c r="AA346" s="14" t="inlineStr">
        <is>
          <t>No</t>
        </is>
      </c>
      <c r="AB346" s="4" t="inlineStr">
        <is>
          <t>Stepped rent. £390,000 wef 10/03/26. Penalty of £27,833 if first break activated. Parent company (Whistle Punks Ltd) in liquidation.</t>
        </is>
      </c>
      <c r="AE346" s="278" t="n"/>
    </row>
    <row r="347">
      <c r="A347" s="11" t="inlineStr">
        <is>
          <t>JM</t>
        </is>
      </c>
      <c r="B347" s="11" t="inlineStr">
        <is>
          <t>MEL</t>
        </is>
      </c>
      <c r="C347" s="2" t="n">
        <v>100650</v>
      </c>
      <c r="D347" s="4" t="inlineStr">
        <is>
          <t>50-60 Eastcastle Street</t>
        </is>
      </c>
      <c r="E347" s="29" t="inlineStr">
        <is>
          <t>First Floor</t>
        </is>
      </c>
      <c r="F347" s="14" t="inlineStr">
        <is>
          <t>Showroom/ Office</t>
        </is>
      </c>
      <c r="G347" s="359" t="n">
        <v>13294</v>
      </c>
      <c r="H347" s="7">
        <f>G347</f>
        <v/>
      </c>
      <c r="I347" s="7" t="n">
        <v>13294</v>
      </c>
      <c r="J347" s="4" t="inlineStr">
        <is>
          <t>Vacant</t>
        </is>
      </c>
      <c r="M347" s="9" t="n">
        <v>44682</v>
      </c>
      <c r="P347" s="10" t="n">
        <v>0</v>
      </c>
      <c r="Q347" s="10">
        <f>P347</f>
        <v/>
      </c>
      <c r="S347" s="7" t="n">
        <v>670700</v>
      </c>
      <c r="T347" s="10">
        <f>S347</f>
        <v/>
      </c>
      <c r="U347" s="27" t="n">
        <v>897300</v>
      </c>
      <c r="V347" s="10">
        <f>U347</f>
        <v/>
      </c>
      <c r="W347" s="277">
        <f>S347/G347</f>
        <v/>
      </c>
      <c r="X347" s="10" t="inlineStr">
        <is>
          <t>D</t>
        </is>
      </c>
      <c r="Y347" s="60" t="n"/>
      <c r="Z347" s="395" t="n"/>
      <c r="AA347" s="14" t="inlineStr">
        <is>
          <t>No</t>
        </is>
      </c>
      <c r="AB347" s="29" t="inlineStr">
        <is>
          <t>Under refurb. All four units combined. Floor area remeasured</t>
        </is>
      </c>
      <c r="AE347" s="278" t="n"/>
    </row>
    <row r="348">
      <c r="A348" s="11" t="inlineStr">
        <is>
          <t>JM</t>
        </is>
      </c>
      <c r="B348" s="11" t="inlineStr">
        <is>
          <t>MEL</t>
        </is>
      </c>
      <c r="C348" s="2" t="n">
        <v>100650</v>
      </c>
      <c r="D348" s="4" t="inlineStr">
        <is>
          <t>50-60 Eastcastle Street</t>
        </is>
      </c>
      <c r="E348" s="29" t="inlineStr">
        <is>
          <t xml:space="preserve">Second Floor </t>
        </is>
      </c>
      <c r="F348" s="14" t="inlineStr">
        <is>
          <t>Office</t>
        </is>
      </c>
      <c r="G348" s="359" t="n">
        <v>18378</v>
      </c>
      <c r="H348" s="7">
        <f>G348</f>
        <v/>
      </c>
      <c r="I348" s="7">
        <f>H348</f>
        <v/>
      </c>
      <c r="J348" s="4" t="inlineStr">
        <is>
          <t>Vacant</t>
        </is>
      </c>
      <c r="K348" s="8" t="n"/>
      <c r="L348" s="9" t="n"/>
      <c r="M348" s="9" t="n">
        <v>44849</v>
      </c>
      <c r="N348" s="9" t="n"/>
      <c r="O348" s="9" t="n"/>
      <c r="P348" s="10" t="n">
        <v>0</v>
      </c>
      <c r="Q348" s="10">
        <f>P348</f>
        <v/>
      </c>
      <c r="R348" s="10" t="n"/>
      <c r="S348" s="10" t="n">
        <v>1161100</v>
      </c>
      <c r="T348" s="10">
        <f>S348</f>
        <v/>
      </c>
      <c r="U348" s="27" t="n">
        <v>1294400</v>
      </c>
      <c r="V348" s="10">
        <f>U348</f>
        <v/>
      </c>
      <c r="W348" s="277">
        <f>S348/G348</f>
        <v/>
      </c>
      <c r="X348" s="10" t="inlineStr">
        <is>
          <t>D</t>
        </is>
      </c>
      <c r="Y348" s="60" t="n"/>
      <c r="Z348" s="395" t="n"/>
      <c r="AA348" s="14" t="inlineStr">
        <is>
          <t>No</t>
        </is>
      </c>
      <c r="AB348" s="29" t="inlineStr">
        <is>
          <t>Under refurb. Three units combined. Floor area remeasured</t>
        </is>
      </c>
      <c r="AC348" s="303" t="n"/>
      <c r="AD348" s="4" t="n"/>
      <c r="AE348" s="278" t="n">
        <v>1</v>
      </c>
      <c r="AF348" s="4" t="inlineStr">
        <is>
          <t>LEM</t>
        </is>
      </c>
    </row>
    <row r="349">
      <c r="A349" s="11" t="inlineStr">
        <is>
          <t>JM</t>
        </is>
      </c>
      <c r="B349" s="11" t="inlineStr">
        <is>
          <t>MEL</t>
        </is>
      </c>
      <c r="C349" s="2" t="n">
        <v>100650</v>
      </c>
      <c r="D349" s="4" t="inlineStr">
        <is>
          <t>50-60 Eastcastle Street</t>
        </is>
      </c>
      <c r="E349" s="4" t="inlineStr">
        <is>
          <t>Second Floor (Centre)</t>
        </is>
      </c>
      <c r="F349" s="14" t="inlineStr">
        <is>
          <t>Office</t>
        </is>
      </c>
      <c r="G349" s="7" t="n">
        <v>5350</v>
      </c>
      <c r="H349" s="7">
        <f>G349</f>
        <v/>
      </c>
      <c r="I349" s="7" t="n">
        <v>5250</v>
      </c>
      <c r="J349" s="4" t="inlineStr">
        <is>
          <t>Fintech Partners Limited.</t>
        </is>
      </c>
      <c r="K349" s="8" t="n">
        <v>44986</v>
      </c>
      <c r="L349" s="9" t="n">
        <v>46081</v>
      </c>
      <c r="P349" s="10" t="n">
        <v>320000</v>
      </c>
      <c r="Q349" s="10">
        <f>P349</f>
        <v/>
      </c>
      <c r="S349" s="10" t="n">
        <v>321000</v>
      </c>
      <c r="T349" s="10">
        <f>S349</f>
        <v/>
      </c>
      <c r="U349" s="27" t="n">
        <v>307600</v>
      </c>
      <c r="V349" s="10">
        <f>U349</f>
        <v/>
      </c>
      <c r="W349" s="277">
        <f>S349/G349</f>
        <v/>
      </c>
      <c r="X349" s="10" t="inlineStr">
        <is>
          <t>D</t>
        </is>
      </c>
      <c r="Y349" s="60" t="n"/>
      <c r="Z349" s="396" t="n"/>
      <c r="AA349" s="14" t="inlineStr">
        <is>
          <t>No</t>
        </is>
      </c>
      <c r="AE349" s="278" t="n"/>
    </row>
    <row r="350">
      <c r="A350" s="11" t="inlineStr">
        <is>
          <t>JM</t>
        </is>
      </c>
      <c r="B350" s="11" t="inlineStr">
        <is>
          <t>MEL</t>
        </is>
      </c>
      <c r="C350" s="2" t="n">
        <v>100650</v>
      </c>
      <c r="D350" s="4" t="inlineStr">
        <is>
          <t>50-60 Eastcastle Street</t>
        </is>
      </c>
      <c r="E350" s="4" t="inlineStr">
        <is>
          <t>Third Floor (305)</t>
        </is>
      </c>
      <c r="F350" s="14" t="inlineStr">
        <is>
          <t>Office</t>
        </is>
      </c>
      <c r="G350" s="7" t="n">
        <v>1929</v>
      </c>
      <c r="H350" s="7">
        <f>G350</f>
        <v/>
      </c>
      <c r="I350" s="7" t="n">
        <v>2000</v>
      </c>
      <c r="J350" s="46" t="inlineStr">
        <is>
          <t>Property Management Recruitment Ltd.</t>
        </is>
      </c>
      <c r="K350" s="8" t="n">
        <v>45096</v>
      </c>
      <c r="L350" s="9" t="n">
        <v>46191</v>
      </c>
      <c r="P350" s="10" t="n">
        <v>111825</v>
      </c>
      <c r="Q350" s="10">
        <f>P350</f>
        <v/>
      </c>
      <c r="S350" s="10" t="n">
        <v>110900</v>
      </c>
      <c r="T350" s="10">
        <f>S350</f>
        <v/>
      </c>
      <c r="U350" s="27" t="n">
        <v>144700</v>
      </c>
      <c r="V350" s="10">
        <f>U350</f>
        <v/>
      </c>
      <c r="W350" s="277">
        <f>S350/G350</f>
        <v/>
      </c>
      <c r="X350" s="10" t="inlineStr">
        <is>
          <t>E</t>
        </is>
      </c>
      <c r="Y350" s="60" t="n"/>
      <c r="Z350" s="395" t="n"/>
      <c r="AA350" s="14" t="inlineStr">
        <is>
          <t>No</t>
        </is>
      </c>
      <c r="AB350" s="4" t="inlineStr">
        <is>
          <t>To be refurbished.</t>
        </is>
      </c>
      <c r="AE350" s="278" t="n"/>
    </row>
    <row r="351">
      <c r="A351" s="11" t="inlineStr">
        <is>
          <t>JM</t>
        </is>
      </c>
      <c r="B351" s="11" t="inlineStr">
        <is>
          <t>MEL</t>
        </is>
      </c>
      <c r="C351" s="2" t="n">
        <v>100650</v>
      </c>
      <c r="D351" s="4" t="inlineStr">
        <is>
          <t>50-60 Eastcastle Street</t>
        </is>
      </c>
      <c r="E351" s="29" t="inlineStr">
        <is>
          <t>Third Floor (303 &amp; 320)</t>
        </is>
      </c>
      <c r="F351" s="14" t="inlineStr">
        <is>
          <t>Offices</t>
        </is>
      </c>
      <c r="G351" s="359" t="n">
        <v>7676</v>
      </c>
      <c r="H351" s="7">
        <f>G351</f>
        <v/>
      </c>
      <c r="I351" s="7" t="n">
        <v>7676</v>
      </c>
      <c r="J351" s="4" t="inlineStr">
        <is>
          <t>Vacant</t>
        </is>
      </c>
      <c r="M351" s="9" t="n">
        <v>44340</v>
      </c>
      <c r="P351" s="10" t="n">
        <v>0</v>
      </c>
      <c r="Q351" s="10">
        <f>P351</f>
        <v/>
      </c>
      <c r="S351" s="10" t="n">
        <v>441300</v>
      </c>
      <c r="T351" s="10">
        <f>S351</f>
        <v/>
      </c>
      <c r="U351" s="27" t="n">
        <v>518100</v>
      </c>
      <c r="V351" s="10">
        <f>U351</f>
        <v/>
      </c>
      <c r="W351" s="277">
        <f>S351/G351</f>
        <v/>
      </c>
      <c r="X351" s="10" t="inlineStr">
        <is>
          <t>E</t>
        </is>
      </c>
      <c r="Y351" s="60" t="n"/>
      <c r="Z351" s="395" t="n"/>
      <c r="AA351" s="14" t="inlineStr">
        <is>
          <t>No</t>
        </is>
      </c>
      <c r="AB351" s="29" t="inlineStr">
        <is>
          <t>Under refurb. Unit combined</t>
        </is>
      </c>
      <c r="AD351" s="4" t="n">
        <v>1</v>
      </c>
      <c r="AE351" s="278" t="n">
        <v>1</v>
      </c>
      <c r="AF351" s="4" t="inlineStr">
        <is>
          <t>LEM</t>
        </is>
      </c>
    </row>
    <row r="352">
      <c r="A352" s="11" t="inlineStr">
        <is>
          <t>JM</t>
        </is>
      </c>
      <c r="B352" s="11" t="inlineStr">
        <is>
          <t>MEL</t>
        </is>
      </c>
      <c r="C352" s="2" t="n">
        <v>100650</v>
      </c>
      <c r="D352" s="4" t="inlineStr">
        <is>
          <t>50-60 Eastcastle Street</t>
        </is>
      </c>
      <c r="E352" s="4" t="inlineStr">
        <is>
          <t>Third Floor (325)</t>
        </is>
      </c>
      <c r="F352" s="14" t="inlineStr">
        <is>
          <t>Showroom/ Office</t>
        </is>
      </c>
      <c r="G352" s="7" t="n">
        <v>363</v>
      </c>
      <c r="H352" s="7">
        <f>G352</f>
        <v/>
      </c>
      <c r="I352" s="7" t="n">
        <v>500</v>
      </c>
      <c r="J352" s="4" t="inlineStr">
        <is>
          <t>Vacant</t>
        </is>
      </c>
      <c r="M352" s="9" t="n">
        <v>45139</v>
      </c>
      <c r="P352" s="10" t="n">
        <v>0</v>
      </c>
      <c r="Q352" s="10">
        <f>P352</f>
        <v/>
      </c>
      <c r="S352" s="10" t="n">
        <v>20900</v>
      </c>
      <c r="T352" s="10">
        <f>S352</f>
        <v/>
      </c>
      <c r="U352" s="27" t="n">
        <v>27200</v>
      </c>
      <c r="V352" s="10">
        <f>U352</f>
        <v/>
      </c>
      <c r="W352" s="277">
        <f>S352/G352</f>
        <v/>
      </c>
      <c r="X352" s="10" t="inlineStr">
        <is>
          <t>D</t>
        </is>
      </c>
      <c r="Y352" s="60" t="n"/>
      <c r="Z352" s="395" t="n"/>
      <c r="AA352" s="14" t="inlineStr">
        <is>
          <t>No</t>
        </is>
      </c>
      <c r="AB352" s="4" t="inlineStr">
        <is>
          <t>To be refurbished.</t>
        </is>
      </c>
      <c r="AE352" s="278" t="n"/>
    </row>
    <row r="353">
      <c r="A353" s="11" t="inlineStr">
        <is>
          <t>JM</t>
        </is>
      </c>
      <c r="B353" s="11" t="inlineStr">
        <is>
          <t>MEL</t>
        </is>
      </c>
      <c r="C353" s="2" t="n">
        <v>100650</v>
      </c>
      <c r="D353" s="4" t="inlineStr">
        <is>
          <t>50-60 Eastcastle Street</t>
        </is>
      </c>
      <c r="E353" s="4" t="inlineStr">
        <is>
          <t>Third Floor (335, 390)</t>
        </is>
      </c>
      <c r="F353" s="14" t="inlineStr">
        <is>
          <t>Showroom/ Office</t>
        </is>
      </c>
      <c r="G353" s="7" t="n">
        <v>933</v>
      </c>
      <c r="H353" s="7">
        <f>G353</f>
        <v/>
      </c>
      <c r="I353" s="7" t="n">
        <v>1000</v>
      </c>
      <c r="J353" s="4" t="inlineStr">
        <is>
          <t>Vacant</t>
        </is>
      </c>
      <c r="M353" s="9" t="n">
        <v>44340</v>
      </c>
      <c r="P353" s="10" t="n">
        <v>0</v>
      </c>
      <c r="Q353" s="10">
        <f>P353</f>
        <v/>
      </c>
      <c r="S353" s="10" t="n">
        <v>53600</v>
      </c>
      <c r="T353" s="10">
        <f>S353</f>
        <v/>
      </c>
      <c r="U353" s="27" t="n">
        <v>70000</v>
      </c>
      <c r="V353" s="10">
        <f>U353</f>
        <v/>
      </c>
      <c r="W353" s="277">
        <f>S353/G353</f>
        <v/>
      </c>
      <c r="X353" s="10" t="inlineStr">
        <is>
          <t>E</t>
        </is>
      </c>
      <c r="Y353" s="60" t="n"/>
      <c r="Z353" s="395" t="n"/>
      <c r="AA353" s="14" t="inlineStr">
        <is>
          <t>No</t>
        </is>
      </c>
      <c r="AB353" s="4" t="inlineStr">
        <is>
          <t>To be refurbished.</t>
        </is>
      </c>
      <c r="AE353" s="278" t="n">
        <v>1</v>
      </c>
      <c r="AF353" s="4" t="inlineStr">
        <is>
          <t>LEM</t>
        </is>
      </c>
    </row>
    <row r="354">
      <c r="A354" s="11" t="inlineStr">
        <is>
          <t>JM</t>
        </is>
      </c>
      <c r="B354" s="11" t="inlineStr">
        <is>
          <t>MEL</t>
        </is>
      </c>
      <c r="C354" s="2" t="n">
        <v>100650</v>
      </c>
      <c r="D354" s="4" t="inlineStr">
        <is>
          <t>50-60 Eastcastle Street</t>
        </is>
      </c>
      <c r="E354" s="4" t="inlineStr">
        <is>
          <t>Third Floor (330)</t>
        </is>
      </c>
      <c r="F354" s="14" t="inlineStr">
        <is>
          <t>Showroom/ Office</t>
        </is>
      </c>
      <c r="G354" s="7" t="n">
        <v>1350</v>
      </c>
      <c r="H354" s="7">
        <f>G354</f>
        <v/>
      </c>
      <c r="I354" s="7" t="n">
        <v>1350</v>
      </c>
      <c r="J354" s="4" t="inlineStr">
        <is>
          <t>Brand Murray Fuller Services Ltd.</t>
        </is>
      </c>
      <c r="K354" s="8" t="n">
        <v>44501</v>
      </c>
      <c r="L354" s="9" t="n">
        <v>46326</v>
      </c>
      <c r="P354" s="10" t="n">
        <v>74250</v>
      </c>
      <c r="Q354" s="10">
        <f>P354</f>
        <v/>
      </c>
      <c r="S354" s="7" t="n">
        <v>77600</v>
      </c>
      <c r="T354" s="10">
        <f>S354</f>
        <v/>
      </c>
      <c r="U354" s="27" t="n">
        <v>101300</v>
      </c>
      <c r="V354" s="10">
        <f>U354</f>
        <v/>
      </c>
      <c r="W354" s="277">
        <f>S354/G354</f>
        <v/>
      </c>
      <c r="X354" s="10" t="inlineStr">
        <is>
          <t>E</t>
        </is>
      </c>
      <c r="Y354" s="60" t="n"/>
      <c r="Z354" s="395" t="n"/>
      <c r="AA354" s="14" t="inlineStr">
        <is>
          <t>No</t>
        </is>
      </c>
      <c r="AE354" s="278" t="n"/>
    </row>
    <row r="355">
      <c r="A355" s="11" t="inlineStr">
        <is>
          <t>JM</t>
        </is>
      </c>
      <c r="B355" s="11" t="inlineStr">
        <is>
          <t>MEL</t>
        </is>
      </c>
      <c r="C355" s="2" t="n">
        <v>100650</v>
      </c>
      <c r="D355" s="4" t="inlineStr">
        <is>
          <t>50-60 Eastcastle Street</t>
        </is>
      </c>
      <c r="E355" s="4" t="inlineStr">
        <is>
          <t>Third Floor (340)</t>
        </is>
      </c>
      <c r="F355" s="14" t="inlineStr">
        <is>
          <t>Office</t>
        </is>
      </c>
      <c r="G355" s="7" t="n">
        <v>688</v>
      </c>
      <c r="H355" s="7">
        <f>G355</f>
        <v/>
      </c>
      <c r="I355" s="7" t="n">
        <v>750</v>
      </c>
      <c r="J355" s="4" t="inlineStr">
        <is>
          <t>Vacant</t>
        </is>
      </c>
      <c r="M355" s="9" t="n">
        <v>45139</v>
      </c>
      <c r="P355" s="10" t="n">
        <v>0</v>
      </c>
      <c r="Q355" s="10">
        <f>P355</f>
        <v/>
      </c>
      <c r="S355" s="10" t="n">
        <v>39600</v>
      </c>
      <c r="T355" s="10">
        <f>S355</f>
        <v/>
      </c>
      <c r="U355" s="27" t="n">
        <v>51600</v>
      </c>
      <c r="V355" s="10">
        <f>U355</f>
        <v/>
      </c>
      <c r="W355" s="277">
        <f>S355/G355</f>
        <v/>
      </c>
      <c r="X355" s="10" t="inlineStr">
        <is>
          <t>E</t>
        </is>
      </c>
      <c r="Y355" s="60" t="n"/>
      <c r="Z355" s="395" t="n"/>
      <c r="AA355" s="14" t="inlineStr">
        <is>
          <t>No</t>
        </is>
      </c>
      <c r="AB355" s="4" t="inlineStr">
        <is>
          <t>To be refurbished.</t>
        </is>
      </c>
      <c r="AE355" s="278" t="n"/>
    </row>
    <row r="356">
      <c r="A356" s="11" t="inlineStr">
        <is>
          <t>JM</t>
        </is>
      </c>
      <c r="B356" s="11" t="inlineStr">
        <is>
          <t>MEL</t>
        </is>
      </c>
      <c r="C356" s="2" t="n">
        <v>100650</v>
      </c>
      <c r="D356" s="4" t="inlineStr">
        <is>
          <t>50-60 Eastcastle Street</t>
        </is>
      </c>
      <c r="E356" s="4" t="inlineStr">
        <is>
          <t>Third Floor (345)</t>
        </is>
      </c>
      <c r="F356" s="14" t="inlineStr">
        <is>
          <t>Office</t>
        </is>
      </c>
      <c r="G356" s="7" t="n">
        <v>325</v>
      </c>
      <c r="H356" s="7">
        <f>G356</f>
        <v/>
      </c>
      <c r="I356" s="7" t="n">
        <v>500</v>
      </c>
      <c r="J356" s="4" t="inlineStr">
        <is>
          <t>Vacant</t>
        </is>
      </c>
      <c r="M356" s="9" t="n">
        <v>44340</v>
      </c>
      <c r="P356" s="10" t="n">
        <v>0</v>
      </c>
      <c r="Q356" s="10">
        <f>P356</f>
        <v/>
      </c>
      <c r="S356" s="10" t="n">
        <v>18700</v>
      </c>
      <c r="T356" s="10">
        <f>S356</f>
        <v/>
      </c>
      <c r="U356" s="27" t="n">
        <v>24400</v>
      </c>
      <c r="V356" s="10">
        <f>U356</f>
        <v/>
      </c>
      <c r="W356" s="277">
        <f>S356/G356</f>
        <v/>
      </c>
      <c r="X356" s="10" t="inlineStr">
        <is>
          <t>E</t>
        </is>
      </c>
      <c r="Y356" s="60" t="n"/>
      <c r="Z356" s="395" t="n"/>
      <c r="AA356" s="14" t="inlineStr">
        <is>
          <t>No</t>
        </is>
      </c>
      <c r="AB356" s="4" t="inlineStr">
        <is>
          <t>To be refurbished.</t>
        </is>
      </c>
      <c r="AE356" s="278" t="n"/>
    </row>
    <row r="357">
      <c r="A357" s="11" t="inlineStr">
        <is>
          <t>JM</t>
        </is>
      </c>
      <c r="B357" s="11" t="inlineStr">
        <is>
          <t>MEL</t>
        </is>
      </c>
      <c r="C357" s="2" t="n">
        <v>100650</v>
      </c>
      <c r="D357" s="4" t="inlineStr">
        <is>
          <t>50-60 Eastcastle Street</t>
        </is>
      </c>
      <c r="E357" s="4" t="inlineStr">
        <is>
          <t>Third Floor (350)</t>
        </is>
      </c>
      <c r="F357" s="14" t="inlineStr">
        <is>
          <t>Office</t>
        </is>
      </c>
      <c r="G357" s="7" t="n">
        <v>489</v>
      </c>
      <c r="H357" s="7">
        <f>G357</f>
        <v/>
      </c>
      <c r="I357" s="7" t="n">
        <v>500</v>
      </c>
      <c r="J357" s="4" t="inlineStr">
        <is>
          <t>Jewells Retail Ltd</t>
        </is>
      </c>
      <c r="K357" s="8" t="n">
        <v>45770</v>
      </c>
      <c r="L357" s="9" t="n">
        <v>46088</v>
      </c>
      <c r="M357" s="9" t="n"/>
      <c r="P357" s="10" t="n">
        <v>36529</v>
      </c>
      <c r="Q357" s="10">
        <f>P357</f>
        <v/>
      </c>
      <c r="S357" s="10" t="n">
        <v>28100</v>
      </c>
      <c r="T357" s="10">
        <f>S357</f>
        <v/>
      </c>
      <c r="U357" s="27" t="n">
        <v>36700</v>
      </c>
      <c r="V357" s="10">
        <f>U357</f>
        <v/>
      </c>
      <c r="W357" s="277">
        <f>S357/G357</f>
        <v/>
      </c>
      <c r="X357" s="10" t="inlineStr">
        <is>
          <t>E</t>
        </is>
      </c>
      <c r="Y357" s="60" t="n"/>
      <c r="Z357" s="395" t="n"/>
      <c r="AA357" s="14" t="inlineStr">
        <is>
          <t>No</t>
        </is>
      </c>
      <c r="AB357" s="4" t="inlineStr">
        <is>
          <t>Rent inclusive of service charge and insurance.</t>
        </is>
      </c>
      <c r="AE357" s="278" t="n"/>
    </row>
    <row r="358">
      <c r="A358" s="11" t="inlineStr">
        <is>
          <t>JM</t>
        </is>
      </c>
      <c r="B358" s="11" t="inlineStr">
        <is>
          <t>MEL</t>
        </is>
      </c>
      <c r="C358" s="2" t="n">
        <v>100650</v>
      </c>
      <c r="D358" s="4" t="inlineStr">
        <is>
          <t>50-60 Eastcastle Street</t>
        </is>
      </c>
      <c r="E358" s="4" t="inlineStr">
        <is>
          <t>Third Floor (360 &amp; 365)</t>
        </is>
      </c>
      <c r="F358" s="14" t="inlineStr">
        <is>
          <t>Office</t>
        </is>
      </c>
      <c r="G358" s="7" t="n">
        <v>3558</v>
      </c>
      <c r="H358" s="7">
        <f>G358</f>
        <v/>
      </c>
      <c r="I358" s="7" t="n">
        <v>3500</v>
      </c>
      <c r="J358" s="4" t="inlineStr">
        <is>
          <t>TGR1.618 Limited</t>
        </is>
      </c>
      <c r="K358" s="8" t="n">
        <v>45072</v>
      </c>
      <c r="L358" s="9" t="n">
        <v>46898</v>
      </c>
      <c r="O358" s="9" t="n">
        <v>46167</v>
      </c>
      <c r="P358" s="10" t="n">
        <v>202920</v>
      </c>
      <c r="Q358" s="10">
        <f>P358</f>
        <v/>
      </c>
      <c r="S358" s="10" t="n">
        <v>204600</v>
      </c>
      <c r="T358" s="10">
        <f>S358</f>
        <v/>
      </c>
      <c r="U358" s="27" t="n">
        <v>266900</v>
      </c>
      <c r="V358" s="10">
        <f>U358</f>
        <v/>
      </c>
      <c r="W358" s="277">
        <f>S358/G358</f>
        <v/>
      </c>
      <c r="X358" s="10" t="inlineStr">
        <is>
          <t>D</t>
        </is>
      </c>
      <c r="Y358" s="60" t="n"/>
      <c r="Z358" s="395" t="n"/>
      <c r="AA358" s="14" t="inlineStr">
        <is>
          <t>No</t>
        </is>
      </c>
      <c r="AB358" s="4" t="inlineStr">
        <is>
          <t>Tenant break on 6 months notice. 2 months rent free if not exercised.</t>
        </is>
      </c>
      <c r="AE358" s="278" t="n"/>
    </row>
    <row r="359">
      <c r="A359" s="11" t="inlineStr">
        <is>
          <t>JM</t>
        </is>
      </c>
      <c r="B359" s="11" t="inlineStr">
        <is>
          <t>MEL</t>
        </is>
      </c>
      <c r="C359" s="2" t="n">
        <v>100650</v>
      </c>
      <c r="D359" s="4" t="inlineStr">
        <is>
          <t>50-60 Eastcastle Street</t>
        </is>
      </c>
      <c r="E359" s="4" t="inlineStr">
        <is>
          <t>Third Floor (395)</t>
        </is>
      </c>
      <c r="F359" s="14" t="inlineStr">
        <is>
          <t>Office</t>
        </is>
      </c>
      <c r="G359" s="7" t="n">
        <v>3500</v>
      </c>
      <c r="H359" s="7">
        <f>G359</f>
        <v/>
      </c>
      <c r="I359" s="7" t="n">
        <v>3500</v>
      </c>
      <c r="J359" s="4" t="inlineStr">
        <is>
          <t>Pixi Limited</t>
        </is>
      </c>
      <c r="K359" s="8" t="n">
        <v>44879</v>
      </c>
      <c r="L359" s="9" t="n">
        <v>46704</v>
      </c>
      <c r="P359" s="10" t="n">
        <v>200000</v>
      </c>
      <c r="Q359" s="10">
        <f>P359</f>
        <v/>
      </c>
      <c r="S359" s="10" t="n">
        <v>201300</v>
      </c>
      <c r="T359" s="10">
        <f>S359</f>
        <v/>
      </c>
      <c r="U359" s="27" t="n">
        <v>262500</v>
      </c>
      <c r="V359" s="10">
        <f>U359</f>
        <v/>
      </c>
      <c r="W359" s="277">
        <f>S359/G359</f>
        <v/>
      </c>
      <c r="X359" s="10" t="inlineStr">
        <is>
          <t>D</t>
        </is>
      </c>
      <c r="Y359" s="60" t="n"/>
      <c r="Z359" s="395" t="n"/>
      <c r="AA359" s="14" t="inlineStr">
        <is>
          <t>No</t>
        </is>
      </c>
      <c r="AE359" s="278" t="n"/>
    </row>
    <row r="360">
      <c r="A360" s="11" t="inlineStr">
        <is>
          <t>JM</t>
        </is>
      </c>
      <c r="B360" s="11" t="inlineStr">
        <is>
          <t>MEL</t>
        </is>
      </c>
      <c r="C360" s="2" t="n">
        <v>100650</v>
      </c>
      <c r="D360" s="4" t="inlineStr">
        <is>
          <t>50-60 Eastcastle Street</t>
        </is>
      </c>
      <c r="E360" s="4" t="inlineStr">
        <is>
          <t>Third Floor (398)</t>
        </is>
      </c>
      <c r="F360" s="14" t="inlineStr">
        <is>
          <t>Office</t>
        </is>
      </c>
      <c r="G360" s="7" t="n">
        <v>416</v>
      </c>
      <c r="H360" s="7">
        <f>G360</f>
        <v/>
      </c>
      <c r="I360" s="7" t="n">
        <v>500</v>
      </c>
      <c r="J360" s="4" t="inlineStr">
        <is>
          <t>Pixi Limited</t>
        </is>
      </c>
      <c r="K360" s="8" t="n">
        <v>45701</v>
      </c>
      <c r="L360" s="9" t="n">
        <v>46704</v>
      </c>
      <c r="P360" s="10" t="n">
        <v>15000</v>
      </c>
      <c r="Q360" s="10">
        <f>P360</f>
        <v/>
      </c>
      <c r="S360" s="10" t="n">
        <v>23900</v>
      </c>
      <c r="T360" s="10">
        <f>S360</f>
        <v/>
      </c>
      <c r="U360" s="27" t="n">
        <v>31200</v>
      </c>
      <c r="V360" s="10">
        <f>U360</f>
        <v/>
      </c>
      <c r="W360" s="277">
        <f>S360/G360</f>
        <v/>
      </c>
      <c r="X360" s="10" t="inlineStr">
        <is>
          <t>E</t>
        </is>
      </c>
      <c r="Y360" s="60" t="n"/>
      <c r="Z360" s="395" t="n"/>
      <c r="AA360" s="14" t="inlineStr">
        <is>
          <t>No</t>
        </is>
      </c>
      <c r="AB360" s="4" t="inlineStr">
        <is>
          <t>Rolling tenant break on 6 months notice.</t>
        </is>
      </c>
      <c r="AE360" s="278" t="n"/>
    </row>
    <row r="361">
      <c r="A361" s="11" t="inlineStr">
        <is>
          <t>JM</t>
        </is>
      </c>
      <c r="B361" s="11" t="inlineStr">
        <is>
          <t>MEL</t>
        </is>
      </c>
      <c r="C361" s="2" t="n">
        <v>100650</v>
      </c>
      <c r="D361" s="4" t="inlineStr">
        <is>
          <t>50-60 Eastcastle Street</t>
        </is>
      </c>
      <c r="E361" s="4" t="inlineStr">
        <is>
          <t>Third Floor (396)</t>
        </is>
      </c>
      <c r="F361" s="14" t="inlineStr">
        <is>
          <t>Showroom/ Office</t>
        </is>
      </c>
      <c r="G361" s="7" t="n">
        <v>1400</v>
      </c>
      <c r="H361" s="7">
        <f>G361</f>
        <v/>
      </c>
      <c r="I361" s="7" t="n">
        <v>1500</v>
      </c>
      <c r="J361" s="4" t="inlineStr">
        <is>
          <t>Lovisa UK Ltd</t>
        </is>
      </c>
      <c r="K361" s="8" t="n">
        <v>45359</v>
      </c>
      <c r="L361" s="9" t="n">
        <v>46088</v>
      </c>
      <c r="P361" s="10" t="n">
        <v>81900</v>
      </c>
      <c r="Q361" s="10">
        <f>P361</f>
        <v/>
      </c>
      <c r="S361" s="10" t="n">
        <v>80500</v>
      </c>
      <c r="T361" s="10">
        <f>S361</f>
        <v/>
      </c>
      <c r="U361" s="27" t="n">
        <v>105000</v>
      </c>
      <c r="V361" s="10">
        <f>U361</f>
        <v/>
      </c>
      <c r="W361" s="277">
        <f>S361/G361</f>
        <v/>
      </c>
      <c r="X361" s="10" t="inlineStr">
        <is>
          <t>E</t>
        </is>
      </c>
      <c r="Y361" s="60" t="n"/>
      <c r="Z361" s="395" t="n"/>
      <c r="AA361" s="14" t="inlineStr">
        <is>
          <t>No</t>
        </is>
      </c>
      <c r="AE361" s="278" t="n"/>
    </row>
    <row r="362">
      <c r="A362" s="11" t="inlineStr">
        <is>
          <t>JM</t>
        </is>
      </c>
      <c r="B362" s="11" t="inlineStr">
        <is>
          <t>MEL</t>
        </is>
      </c>
      <c r="C362" s="2" t="n">
        <v>100650</v>
      </c>
      <c r="D362" s="4" t="inlineStr">
        <is>
          <t>50-60 Eastcastle Street</t>
        </is>
      </c>
      <c r="E362" s="4" t="inlineStr">
        <is>
          <t>Third Floor (375 &amp; 380)</t>
        </is>
      </c>
      <c r="F362" s="14" t="inlineStr">
        <is>
          <t>Showroom/ Office</t>
        </is>
      </c>
      <c r="G362" s="7" t="n">
        <v>1277</v>
      </c>
      <c r="H362" s="7">
        <f>G362</f>
        <v/>
      </c>
      <c r="I362" s="7" t="n">
        <v>750</v>
      </c>
      <c r="J362" s="4" t="inlineStr">
        <is>
          <t>Jewells Retail Ltd</t>
        </is>
      </c>
      <c r="K362" s="8" t="n">
        <v>45714</v>
      </c>
      <c r="L362" s="9" t="n">
        <v>46088</v>
      </c>
      <c r="P362" s="10" t="n">
        <v>95395</v>
      </c>
      <c r="Q362" s="10">
        <f>P362</f>
        <v/>
      </c>
      <c r="S362" s="10" t="n">
        <v>73400</v>
      </c>
      <c r="T362" s="10">
        <f>S362</f>
        <v/>
      </c>
      <c r="U362" s="27" t="n">
        <v>95800</v>
      </c>
      <c r="V362" s="10">
        <f>U362</f>
        <v/>
      </c>
      <c r="W362" s="277">
        <f>S362/G362</f>
        <v/>
      </c>
      <c r="X362" s="10" t="inlineStr">
        <is>
          <t>E</t>
        </is>
      </c>
      <c r="Y362" s="60" t="n"/>
      <c r="Z362" s="395" t="n"/>
      <c r="AA362" s="14" t="inlineStr">
        <is>
          <t>No</t>
        </is>
      </c>
      <c r="AB362" s="4" t="inlineStr">
        <is>
          <t>Rent all inclusive (excluding rates).</t>
        </is>
      </c>
      <c r="AD362" s="4" t="n">
        <v>1</v>
      </c>
      <c r="AE362" s="278" t="n">
        <v>2</v>
      </c>
      <c r="AF362" s="4" t="inlineStr">
        <is>
          <t>LEM</t>
        </is>
      </c>
    </row>
    <row r="363">
      <c r="A363" s="11" t="inlineStr">
        <is>
          <t>JM</t>
        </is>
      </c>
      <c r="B363" s="11" t="inlineStr">
        <is>
          <t>MEL</t>
        </is>
      </c>
      <c r="C363" s="2" t="n">
        <v>100650</v>
      </c>
      <c r="D363" s="4" t="inlineStr">
        <is>
          <t>50-60 Eastcastle Street</t>
        </is>
      </c>
      <c r="E363" s="4" t="inlineStr">
        <is>
          <t>Winsley St. Sub-station (N)</t>
        </is>
      </c>
      <c r="F363" s="14" t="inlineStr">
        <is>
          <t>Plant Room</t>
        </is>
      </c>
      <c r="G363" s="7" t="n">
        <v>0</v>
      </c>
      <c r="H363" s="7">
        <f>G363</f>
        <v/>
      </c>
      <c r="J363" s="4" t="inlineStr">
        <is>
          <t>London Power Networks Plc</t>
        </is>
      </c>
      <c r="K363" s="8" t="n">
        <v>39295</v>
      </c>
      <c r="L363" s="9" t="n">
        <v>46599</v>
      </c>
      <c r="N363" s="9" t="n">
        <v>44409</v>
      </c>
      <c r="P363" s="10" t="n">
        <v>681</v>
      </c>
      <c r="Q363" s="10">
        <f>P363</f>
        <v/>
      </c>
      <c r="S363" s="10" t="n">
        <v>700</v>
      </c>
      <c r="T363" s="10">
        <f>S363</f>
        <v/>
      </c>
      <c r="U363" s="27" t="n">
        <v>700</v>
      </c>
      <c r="V363" s="10">
        <f>U363</f>
        <v/>
      </c>
      <c r="W363" s="277" t="n"/>
      <c r="X363" s="10" t="n"/>
      <c r="Y363" s="60" t="n"/>
      <c r="Z363" s="395" t="n"/>
      <c r="AA363" s="14" t="inlineStr">
        <is>
          <t>No</t>
        </is>
      </c>
      <c r="AB363" s="4" t="inlineStr">
        <is>
          <t xml:space="preserve">Landlords redevelopment break on 6 months notice. Rent review is RPI indexation. </t>
        </is>
      </c>
      <c r="AE363" s="278" t="n"/>
    </row>
    <row r="364">
      <c r="A364" s="11" t="inlineStr">
        <is>
          <t>JM</t>
        </is>
      </c>
      <c r="B364" s="11" t="inlineStr">
        <is>
          <t>MEL</t>
        </is>
      </c>
      <c r="C364" s="2" t="n">
        <v>100650</v>
      </c>
      <c r="D364" s="4" t="inlineStr">
        <is>
          <t>50-60 Eastcastle Street</t>
        </is>
      </c>
      <c r="E364" s="4" t="inlineStr">
        <is>
          <t>Winsley St. Sub-station (S)</t>
        </is>
      </c>
      <c r="F364" s="14" t="inlineStr">
        <is>
          <t>Plant Room</t>
        </is>
      </c>
      <c r="G364" s="7" t="n">
        <v>0</v>
      </c>
      <c r="H364" s="7">
        <f>G364</f>
        <v/>
      </c>
      <c r="J364" s="4" t="inlineStr">
        <is>
          <t>London Power Networks Plc</t>
        </is>
      </c>
      <c r="K364" s="8" t="n">
        <v>39295</v>
      </c>
      <c r="L364" s="9" t="n">
        <v>46599</v>
      </c>
      <c r="N364" s="9" t="n">
        <v>44409</v>
      </c>
      <c r="P364" s="10" t="n">
        <v>681</v>
      </c>
      <c r="Q364" s="10">
        <f>P364</f>
        <v/>
      </c>
      <c r="S364" s="10" t="n">
        <v>700</v>
      </c>
      <c r="T364" s="10">
        <f>S364</f>
        <v/>
      </c>
      <c r="U364" s="27" t="n">
        <v>700</v>
      </c>
      <c r="V364" s="10">
        <f>U364</f>
        <v/>
      </c>
      <c r="W364" s="277" t="n"/>
      <c r="X364" s="10" t="n"/>
      <c r="Y364" s="60" t="n"/>
      <c r="Z364" s="395" t="n"/>
      <c r="AA364" s="14" t="inlineStr">
        <is>
          <t>No</t>
        </is>
      </c>
      <c r="AB364" s="4" t="inlineStr">
        <is>
          <t xml:space="preserve">Landlords redevelopment break on 6 months notice. Rent review is RPI indexation. </t>
        </is>
      </c>
      <c r="AE364" s="278" t="n"/>
    </row>
    <row r="365">
      <c r="A365" s="11" t="inlineStr">
        <is>
          <t>JM</t>
        </is>
      </c>
      <c r="B365" s="11" t="inlineStr">
        <is>
          <t>MEL</t>
        </is>
      </c>
      <c r="C365" s="2" t="n">
        <v>100680</v>
      </c>
      <c r="D365" s="4" t="inlineStr">
        <is>
          <t>Mappin House, 156-162 Oxford Street</t>
        </is>
      </c>
      <c r="E365" s="4" t="inlineStr">
        <is>
          <t>Part Basement</t>
        </is>
      </c>
      <c r="F365" s="14" t="inlineStr">
        <is>
          <t>Storage</t>
        </is>
      </c>
      <c r="G365" s="11" t="n">
        <v>0</v>
      </c>
      <c r="H365" s="7">
        <f>G365</f>
        <v/>
      </c>
      <c r="J365" s="4" t="inlineStr">
        <is>
          <t>Vincere NK Group Ltd</t>
        </is>
      </c>
      <c r="K365" s="8" t="n">
        <v>44736</v>
      </c>
      <c r="L365" s="9" t="n">
        <v>46657</v>
      </c>
      <c r="P365" s="10" t="n">
        <v>1000</v>
      </c>
      <c r="Q365" s="10">
        <f>P365</f>
        <v/>
      </c>
      <c r="S365" s="10" t="n">
        <v>1000</v>
      </c>
      <c r="T365" s="10">
        <f>S365</f>
        <v/>
      </c>
      <c r="U365" s="27" t="n">
        <v>0</v>
      </c>
      <c r="V365" s="10">
        <f>U365</f>
        <v/>
      </c>
      <c r="W365" s="277" t="n"/>
      <c r="X365" s="10" t="n"/>
      <c r="Y365" s="60" t="n"/>
      <c r="Z365" s="394" t="n"/>
      <c r="AA365" s="14" t="inlineStr">
        <is>
          <t>No</t>
        </is>
      </c>
      <c r="AB365" s="4" t="inlineStr">
        <is>
          <t>Landlord can terminate on 1 months notice.</t>
        </is>
      </c>
      <c r="AE365" s="278" t="n"/>
    </row>
    <row r="366">
      <c r="A366" s="11" t="inlineStr">
        <is>
          <t>JM</t>
        </is>
      </c>
      <c r="B366" s="11" t="inlineStr">
        <is>
          <t>MEL</t>
        </is>
      </c>
      <c r="C366" s="2" t="n">
        <v>100680</v>
      </c>
      <c r="D366" s="4" t="inlineStr">
        <is>
          <t>Mappin House, 156-162 Oxford Street</t>
        </is>
      </c>
      <c r="E366" s="4" t="inlineStr">
        <is>
          <t>Ground Floor &amp; Basement                           Winsley Street</t>
        </is>
      </c>
      <c r="F366" s="14" t="inlineStr">
        <is>
          <t>Nightclub</t>
        </is>
      </c>
      <c r="G366" s="7" t="n">
        <v>7079</v>
      </c>
      <c r="H366" s="7">
        <f>G366</f>
        <v/>
      </c>
      <c r="I366" s="7" t="n">
        <v>7000</v>
      </c>
      <c r="J366" s="4" t="inlineStr">
        <is>
          <t>Vincere NK Group Ltd</t>
        </is>
      </c>
      <c r="K366" s="8" t="n">
        <v>41180</v>
      </c>
      <c r="L366" s="9" t="n">
        <v>46657</v>
      </c>
      <c r="P366" s="10" t="n">
        <v>425033</v>
      </c>
      <c r="Q366" s="10">
        <f>P366</f>
        <v/>
      </c>
      <c r="S366" s="10" t="n">
        <v>447350</v>
      </c>
      <c r="T366" s="10">
        <f>S366</f>
        <v/>
      </c>
      <c r="U366" s="27" t="n">
        <v>425600</v>
      </c>
      <c r="V366" s="10">
        <f>U366</f>
        <v/>
      </c>
      <c r="W366" s="277">
        <f>S366/G366</f>
        <v/>
      </c>
      <c r="X366" s="10" t="inlineStr">
        <is>
          <t>B</t>
        </is>
      </c>
      <c r="Y366" s="60" t="n"/>
      <c r="Z366" s="395" t="n"/>
      <c r="AA366" s="14" t="inlineStr">
        <is>
          <t>Yes</t>
        </is>
      </c>
      <c r="AE366" s="278" t="n"/>
    </row>
    <row r="367">
      <c r="A367" s="11" t="inlineStr">
        <is>
          <t>JM</t>
        </is>
      </c>
      <c r="B367" s="11" t="inlineStr">
        <is>
          <t>MEL</t>
        </is>
      </c>
      <c r="C367" s="2" t="n">
        <v>100680</v>
      </c>
      <c r="D367" s="4" t="inlineStr">
        <is>
          <t>Mappin House, 156-162 Oxford Street</t>
        </is>
      </c>
      <c r="E367" s="4" t="inlineStr">
        <is>
          <t>Basement - 158 Oxford Street</t>
        </is>
      </c>
      <c r="F367" s="14" t="inlineStr">
        <is>
          <t>Storage</t>
        </is>
      </c>
      <c r="G367" s="7" t="n">
        <v>0</v>
      </c>
      <c r="H367" s="7">
        <f>G367</f>
        <v/>
      </c>
      <c r="J367" s="4" t="inlineStr">
        <is>
          <t>Vincere NK Group Ltd</t>
        </is>
      </c>
      <c r="K367" s="8" t="n">
        <v>42114</v>
      </c>
      <c r="L367" s="9" t="n">
        <v>46657</v>
      </c>
      <c r="P367" s="10" t="n">
        <v>22317</v>
      </c>
      <c r="Q367" s="10">
        <f>P367</f>
        <v/>
      </c>
      <c r="S367" s="10" t="n">
        <v>21000</v>
      </c>
      <c r="T367" s="10">
        <f>S367</f>
        <v/>
      </c>
      <c r="U367" s="27" t="n">
        <v>0</v>
      </c>
      <c r="V367" s="10">
        <f>U367</f>
        <v/>
      </c>
      <c r="W367" s="277" t="n"/>
      <c r="X367" s="10" t="n"/>
      <c r="Y367" s="60" t="n"/>
      <c r="Z367" s="395" t="n"/>
      <c r="AA367" s="14" t="inlineStr">
        <is>
          <t>No</t>
        </is>
      </c>
      <c r="AE367" s="278" t="n"/>
    </row>
    <row r="368">
      <c r="A368" s="11" t="inlineStr">
        <is>
          <t>JM</t>
        </is>
      </c>
      <c r="B368" s="11" t="inlineStr">
        <is>
          <t>MEL</t>
        </is>
      </c>
      <c r="C368" s="2" t="n">
        <v>100680</v>
      </c>
      <c r="D368" s="4" t="inlineStr">
        <is>
          <t>Mappin House, 156-162 Oxford Street</t>
        </is>
      </c>
      <c r="E368" s="4" t="inlineStr">
        <is>
          <t>Ground Floor &amp; Basement                           162 Oxford Street</t>
        </is>
      </c>
      <c r="F368" s="11" t="inlineStr">
        <is>
          <t>Retail</t>
        </is>
      </c>
      <c r="G368" s="7" t="n">
        <v>3030</v>
      </c>
      <c r="H368" s="7">
        <f>G368</f>
        <v/>
      </c>
      <c r="I368" s="7" t="n">
        <v>3000</v>
      </c>
      <c r="J368" s="4" t="inlineStr">
        <is>
          <t>Dune Group Ltd.</t>
        </is>
      </c>
      <c r="K368" s="8" t="n">
        <v>45711</v>
      </c>
      <c r="L368" s="9" t="n">
        <v>49362</v>
      </c>
      <c r="P368" s="10" t="n">
        <v>500000</v>
      </c>
      <c r="Q368" s="10">
        <f>P368</f>
        <v/>
      </c>
      <c r="S368" s="10" t="n">
        <v>393300</v>
      </c>
      <c r="T368" s="10">
        <f>S368</f>
        <v/>
      </c>
      <c r="U368" s="27" t="n">
        <v>604900</v>
      </c>
      <c r="V368" s="10">
        <f>U368</f>
        <v/>
      </c>
      <c r="W368" s="277">
        <f>S368/G368</f>
        <v/>
      </c>
      <c r="X368" s="10" t="inlineStr">
        <is>
          <t>C</t>
        </is>
      </c>
      <c r="Y368" s="60" t="n"/>
      <c r="Z368" s="395" t="n"/>
      <c r="AA368" s="14" t="inlineStr">
        <is>
          <t>No</t>
        </is>
      </c>
      <c r="AB368" s="4" t="inlineStr">
        <is>
          <t>Tenant break on 6 months notice.</t>
        </is>
      </c>
      <c r="AC368" s="303" t="n"/>
      <c r="AD368" s="4" t="n"/>
      <c r="AE368" s="278" t="n"/>
      <c r="AF368" s="4" t="n"/>
    </row>
    <row r="369">
      <c r="A369" s="11" t="inlineStr">
        <is>
          <t>JM</t>
        </is>
      </c>
      <c r="B369" s="11" t="inlineStr">
        <is>
          <t>MEL</t>
        </is>
      </c>
      <c r="C369" s="2" t="n">
        <v>100680</v>
      </c>
      <c r="D369" s="4" t="inlineStr">
        <is>
          <t>Mappin House, 156-162 Oxford Street</t>
        </is>
      </c>
      <c r="E369" s="4" t="inlineStr">
        <is>
          <t>Ground Floor - 160 Oxford Street</t>
        </is>
      </c>
      <c r="F369" s="14" t="inlineStr">
        <is>
          <t>Retail</t>
        </is>
      </c>
      <c r="G369" s="7" t="n">
        <v>1296</v>
      </c>
      <c r="H369" s="7">
        <f>G369</f>
        <v/>
      </c>
      <c r="I369" s="7" t="n">
        <v>1250</v>
      </c>
      <c r="J369" s="4" t="inlineStr">
        <is>
          <t>Hutchison 3 G UK Ltd</t>
        </is>
      </c>
      <c r="K369" s="8" t="n">
        <v>44908</v>
      </c>
      <c r="L369" s="9" t="n">
        <v>46003</v>
      </c>
      <c r="P369" s="10" t="n">
        <v>295000</v>
      </c>
      <c r="Q369" s="10">
        <f>P369</f>
        <v/>
      </c>
      <c r="S369" s="10" t="n">
        <v>275300</v>
      </c>
      <c r="T369" s="10">
        <f>S369</f>
        <v/>
      </c>
      <c r="U369" s="27" t="n">
        <v>402000</v>
      </c>
      <c r="V369" s="10">
        <f>U369</f>
        <v/>
      </c>
      <c r="W369" s="277">
        <f>S369/G369</f>
        <v/>
      </c>
      <c r="X369" s="10" t="inlineStr">
        <is>
          <t>B</t>
        </is>
      </c>
      <c r="Y369" s="60" t="n"/>
      <c r="Z369" s="395" t="n"/>
      <c r="AA369" s="14" t="inlineStr">
        <is>
          <t>No</t>
        </is>
      </c>
      <c r="AB369" s="4" t="n"/>
      <c r="AC369" s="303" t="n"/>
      <c r="AD369" s="4" t="n"/>
      <c r="AE369" s="278" t="n"/>
      <c r="AF369" s="4" t="n"/>
    </row>
    <row r="370">
      <c r="A370" s="11" t="inlineStr">
        <is>
          <t>JM</t>
        </is>
      </c>
      <c r="B370" s="11" t="inlineStr">
        <is>
          <t>MEL</t>
        </is>
      </c>
      <c r="C370" s="2" t="n">
        <v>100680</v>
      </c>
      <c r="D370" s="4" t="inlineStr">
        <is>
          <t>Mappin House, 156-162 Oxford Street</t>
        </is>
      </c>
      <c r="E370" s="4" t="inlineStr">
        <is>
          <t>Ground Floor - 158 Oxford Street</t>
        </is>
      </c>
      <c r="F370" s="14" t="inlineStr">
        <is>
          <t>Retail</t>
        </is>
      </c>
      <c r="G370" s="7" t="n">
        <v>1690</v>
      </c>
      <c r="H370" s="7">
        <f>G370</f>
        <v/>
      </c>
      <c r="I370" s="7" t="n">
        <v>1500</v>
      </c>
      <c r="J370" s="4" t="inlineStr">
        <is>
          <t>VF Northern Europe Services Ltd</t>
        </is>
      </c>
      <c r="K370" s="8" t="n">
        <v>42388</v>
      </c>
      <c r="L370" s="9" t="n">
        <v>46040</v>
      </c>
      <c r="P370" s="10" t="n">
        <v>500000</v>
      </c>
      <c r="Q370" s="10">
        <f>P370</f>
        <v/>
      </c>
      <c r="S370" s="10" t="n">
        <v>337700</v>
      </c>
      <c r="T370" s="10">
        <f>S370</f>
        <v/>
      </c>
      <c r="U370" s="27" t="n">
        <v>501900</v>
      </c>
      <c r="V370" s="10">
        <f>U370</f>
        <v/>
      </c>
      <c r="W370" s="277">
        <f>S370/G370</f>
        <v/>
      </c>
      <c r="X370" s="10" t="inlineStr">
        <is>
          <t>B</t>
        </is>
      </c>
      <c r="Y370" s="60" t="n"/>
      <c r="Z370" s="395" t="n"/>
      <c r="AA370" s="14" t="inlineStr">
        <is>
          <t>No</t>
        </is>
      </c>
      <c r="AE370" s="278" t="n"/>
    </row>
    <row r="371">
      <c r="A371" s="11" t="inlineStr">
        <is>
          <t>JM</t>
        </is>
      </c>
      <c r="B371" s="11" t="inlineStr">
        <is>
          <t>MEL</t>
        </is>
      </c>
      <c r="C371" s="2" t="n">
        <v>100680</v>
      </c>
      <c r="D371" s="4" t="inlineStr">
        <is>
          <t>Mappin House, 156-162 Oxford Street</t>
        </is>
      </c>
      <c r="E371" s="4" t="inlineStr">
        <is>
          <t>Ground Floor - 156 Oxford Street</t>
        </is>
      </c>
      <c r="F371" s="14" t="inlineStr">
        <is>
          <t>Retail</t>
        </is>
      </c>
      <c r="G371" s="7" t="n">
        <v>2304</v>
      </c>
      <c r="H371" s="7">
        <f>G371</f>
        <v/>
      </c>
      <c r="I371" s="7" t="n">
        <v>2250</v>
      </c>
      <c r="J371" s="4" t="inlineStr">
        <is>
          <t>Hawes &amp; Curtis Ltd</t>
        </is>
      </c>
      <c r="K371" s="8" t="n">
        <v>45748</v>
      </c>
      <c r="L371" s="9" t="n">
        <v>49399</v>
      </c>
      <c r="N371" s="9" t="n">
        <v>47574</v>
      </c>
      <c r="O371" s="9" t="n">
        <v>47574</v>
      </c>
      <c r="P371" s="10" t="n">
        <v>237500</v>
      </c>
      <c r="Q371" s="10">
        <f>P371</f>
        <v/>
      </c>
      <c r="S371" s="10" t="n">
        <v>371300</v>
      </c>
      <c r="T371" s="10">
        <f>S371</f>
        <v/>
      </c>
      <c r="U371" s="27" t="n">
        <v>515100</v>
      </c>
      <c r="V371" s="10">
        <f>U371</f>
        <v/>
      </c>
      <c r="W371" s="277">
        <f>S371/G371</f>
        <v/>
      </c>
      <c r="X371" s="10" t="inlineStr">
        <is>
          <t>C</t>
        </is>
      </c>
      <c r="Y371" s="60" t="n"/>
      <c r="Z371" s="395" t="n"/>
      <c r="AA371" s="14" t="inlineStr">
        <is>
          <t>No</t>
        </is>
      </c>
      <c r="AB371" s="4" t="inlineStr">
        <is>
          <t>Rent increasing to £475,000 wef 01/01/26. Tenant break on 9 months notice.</t>
        </is>
      </c>
      <c r="AE371" s="278" t="n"/>
    </row>
    <row r="372">
      <c r="A372" s="11" t="inlineStr">
        <is>
          <t>JM</t>
        </is>
      </c>
      <c r="B372" s="11" t="inlineStr">
        <is>
          <t>MEL</t>
        </is>
      </c>
      <c r="C372" s="2" t="n">
        <v>100680</v>
      </c>
      <c r="D372" s="4" t="inlineStr">
        <is>
          <t>Mappin House, 156-162 Oxford Street</t>
        </is>
      </c>
      <c r="E372" s="4" t="inlineStr">
        <is>
          <t>Mezzanine</t>
        </is>
      </c>
      <c r="F372" s="14" t="inlineStr">
        <is>
          <t>Office</t>
        </is>
      </c>
      <c r="G372" s="7" t="n">
        <v>7519</v>
      </c>
      <c r="H372" s="7">
        <f>G372</f>
        <v/>
      </c>
      <c r="I372" s="7" t="n">
        <v>7500</v>
      </c>
      <c r="J372" s="4" t="inlineStr">
        <is>
          <t>Perry Ellis Europe Ltd.</t>
        </is>
      </c>
      <c r="K372" s="8" t="n">
        <v>45231</v>
      </c>
      <c r="L372" s="9" t="n">
        <v>45961</v>
      </c>
      <c r="P372" s="10" t="n">
        <v>450600</v>
      </c>
      <c r="Q372" s="10">
        <f>P372</f>
        <v/>
      </c>
      <c r="R372" s="115" t="n"/>
      <c r="S372" s="10" t="n">
        <v>489500</v>
      </c>
      <c r="T372" s="10">
        <f>S372</f>
        <v/>
      </c>
      <c r="U372" s="27" t="n">
        <v>469900</v>
      </c>
      <c r="V372" s="10">
        <f>U372</f>
        <v/>
      </c>
      <c r="W372" s="277">
        <f>S372/G372</f>
        <v/>
      </c>
      <c r="X372" s="10" t="inlineStr">
        <is>
          <t>D</t>
        </is>
      </c>
      <c r="Y372" s="60" t="n"/>
      <c r="Z372" s="395" t="n"/>
      <c r="AA372" s="14" t="inlineStr">
        <is>
          <t>No</t>
        </is>
      </c>
      <c r="AB372" s="29" t="inlineStr">
        <is>
          <t>Reversionary lease completed. Term 01/11/25 to 30/04/26 at £505,000. Tenant breaks on 28/02/26 &amp; 31/03/26 on 1 months notice.</t>
        </is>
      </c>
      <c r="AC372" s="303" t="n"/>
      <c r="AD372" s="4" t="n"/>
      <c r="AE372" s="278" t="n"/>
      <c r="AF372" s="4" t="n"/>
    </row>
    <row r="373">
      <c r="A373" s="11" t="inlineStr">
        <is>
          <t>JM</t>
        </is>
      </c>
      <c r="B373" s="11" t="inlineStr">
        <is>
          <t>MEL</t>
        </is>
      </c>
      <c r="C373" s="2" t="n">
        <v>100680</v>
      </c>
      <c r="D373" s="4" t="inlineStr">
        <is>
          <t>Mappin House, 156-162 Oxford Street</t>
        </is>
      </c>
      <c r="E373" s="4" t="inlineStr">
        <is>
          <t>First Floor</t>
        </is>
      </c>
      <c r="F373" s="14" t="inlineStr">
        <is>
          <t>Office</t>
        </is>
      </c>
      <c r="G373" s="7" t="n">
        <v>6890</v>
      </c>
      <c r="H373" s="7">
        <f>G373</f>
        <v/>
      </c>
      <c r="I373" s="7" t="n">
        <v>7000</v>
      </c>
      <c r="J373" s="4" t="inlineStr">
        <is>
          <t>London Mappin House Centre Ltd.</t>
        </is>
      </c>
      <c r="K373" s="8" t="n">
        <v>45672</v>
      </c>
      <c r="L373" s="9" t="n">
        <v>46766</v>
      </c>
      <c r="O373" s="9" t="n">
        <v>46218</v>
      </c>
      <c r="P373" s="10" t="n">
        <v>241776</v>
      </c>
      <c r="Q373" s="10">
        <f>P373</f>
        <v/>
      </c>
      <c r="R373" s="106" t="n"/>
      <c r="S373" s="10" t="n">
        <v>438000</v>
      </c>
      <c r="T373" s="10">
        <f>S373</f>
        <v/>
      </c>
      <c r="U373" s="27" t="n">
        <v>551200</v>
      </c>
      <c r="V373" s="10">
        <f>U373</f>
        <v/>
      </c>
      <c r="W373" s="277">
        <f>S373/G373</f>
        <v/>
      </c>
      <c r="X373" s="10" t="inlineStr">
        <is>
          <t>B</t>
        </is>
      </c>
      <c r="Y373" s="60" t="n"/>
      <c r="Z373" s="395" t="n"/>
      <c r="AA373" s="14" t="inlineStr">
        <is>
          <t>No</t>
        </is>
      </c>
      <c r="AB373" s="4" t="inlineStr">
        <is>
          <t xml:space="preserve">Guaranteed base rent of £241,776 plus revenue top up. Revenue top-up rent of £52,395 paid for 1Jul24 - 30Jun25. Rolling mutual break option after 18 months. </t>
        </is>
      </c>
      <c r="AE373" s="278" t="n"/>
    </row>
    <row r="374">
      <c r="A374" s="11" t="inlineStr">
        <is>
          <t>JM</t>
        </is>
      </c>
      <c r="B374" s="11" t="inlineStr">
        <is>
          <t>MEL</t>
        </is>
      </c>
      <c r="C374" s="2" t="n">
        <v>100680</v>
      </c>
      <c r="D374" s="4" t="inlineStr">
        <is>
          <t>Mappin House, 156-162 Oxford Street</t>
        </is>
      </c>
      <c r="E374" s="4" t="inlineStr">
        <is>
          <t>Second Floor</t>
        </is>
      </c>
      <c r="F374" s="14" t="inlineStr">
        <is>
          <t>Office</t>
        </is>
      </c>
      <c r="G374" s="7" t="n">
        <v>6973</v>
      </c>
      <c r="H374" s="7">
        <f>G374</f>
        <v/>
      </c>
      <c r="I374" s="7" t="n">
        <v>7000</v>
      </c>
      <c r="J374" s="4" t="inlineStr">
        <is>
          <t>London Mappin House Centre Ltd.</t>
        </is>
      </c>
      <c r="K374" s="8" t="n">
        <v>45672</v>
      </c>
      <c r="L374" s="9" t="n">
        <v>46766</v>
      </c>
      <c r="O374" s="9" t="n">
        <v>46218</v>
      </c>
      <c r="P374" s="10" t="n">
        <v>242259</v>
      </c>
      <c r="Q374" s="10">
        <f>P374</f>
        <v/>
      </c>
      <c r="R374" s="106" t="n"/>
      <c r="S374" s="10" t="n">
        <v>438900</v>
      </c>
      <c r="T374" s="10">
        <f>S374</f>
        <v/>
      </c>
      <c r="U374" s="27" t="n">
        <v>557800</v>
      </c>
      <c r="V374" s="10">
        <f>U374</f>
        <v/>
      </c>
      <c r="W374" s="277">
        <f>S374/G374</f>
        <v/>
      </c>
      <c r="X374" s="10" t="inlineStr">
        <is>
          <t>B</t>
        </is>
      </c>
      <c r="Y374" s="60" t="n"/>
      <c r="Z374" s="395" t="n"/>
      <c r="AA374" s="14" t="inlineStr">
        <is>
          <t>No</t>
        </is>
      </c>
      <c r="AB374" s="4" t="inlineStr">
        <is>
          <t xml:space="preserve">Guaranteed base rent of £242,259 plus revenue top up. Revenue top-up rent of £52,502 paid for 1Jul24 - 30Jun25. Rolling mutual break option after 18 months. </t>
        </is>
      </c>
      <c r="AE374" s="278" t="n"/>
    </row>
    <row r="375">
      <c r="A375" s="11" t="inlineStr">
        <is>
          <t>JM</t>
        </is>
      </c>
      <c r="B375" s="11" t="inlineStr">
        <is>
          <t>MEL</t>
        </is>
      </c>
      <c r="C375" s="2" t="n">
        <v>100680</v>
      </c>
      <c r="D375" s="4" t="inlineStr">
        <is>
          <t>Mappin House, 156-162 Oxford Street</t>
        </is>
      </c>
      <c r="E375" s="4" t="inlineStr">
        <is>
          <t>Third Floor</t>
        </is>
      </c>
      <c r="F375" s="14" t="inlineStr">
        <is>
          <t>Office</t>
        </is>
      </c>
      <c r="G375" s="7" t="n">
        <v>6999</v>
      </c>
      <c r="H375" s="7">
        <f>G375</f>
        <v/>
      </c>
      <c r="I375" s="7" t="n">
        <v>7000</v>
      </c>
      <c r="J375" s="4" t="inlineStr">
        <is>
          <t>Vacant</t>
        </is>
      </c>
      <c r="M375" s="9" t="n">
        <v>45673</v>
      </c>
      <c r="P375" s="10" t="n">
        <v>0</v>
      </c>
      <c r="Q375" s="10">
        <f>P375</f>
        <v/>
      </c>
      <c r="R375" s="106" t="n"/>
      <c r="S375" s="10" t="n">
        <v>448100</v>
      </c>
      <c r="T375" s="10">
        <f>S375</f>
        <v/>
      </c>
      <c r="U375" s="27" t="n">
        <v>489900</v>
      </c>
      <c r="V375" s="10">
        <f>U375</f>
        <v/>
      </c>
      <c r="W375" s="277">
        <f>S375/G375</f>
        <v/>
      </c>
      <c r="X375" s="10" t="inlineStr">
        <is>
          <t>D</t>
        </is>
      </c>
      <c r="Y375" s="60" t="n"/>
      <c r="Z375" s="395" t="n"/>
      <c r="AA375" s="14" t="inlineStr">
        <is>
          <t>No</t>
        </is>
      </c>
      <c r="AB375" s="4" t="inlineStr">
        <is>
          <t>LEM marketing</t>
        </is>
      </c>
      <c r="AD375" s="4" t="n">
        <v>1</v>
      </c>
      <c r="AE375" s="278" t="n">
        <v>1</v>
      </c>
      <c r="AF375" s="4" t="inlineStr">
        <is>
          <t>LEM</t>
        </is>
      </c>
    </row>
    <row r="376">
      <c r="A376" s="11" t="inlineStr">
        <is>
          <t>JM</t>
        </is>
      </c>
      <c r="B376" s="11" t="inlineStr">
        <is>
          <t>MEL</t>
        </is>
      </c>
      <c r="C376" s="2" t="n">
        <v>100680</v>
      </c>
      <c r="D376" s="4" t="inlineStr">
        <is>
          <t>Mappin House, 156-162 Oxford Street</t>
        </is>
      </c>
      <c r="E376" s="4" t="inlineStr">
        <is>
          <t>Fourth Floor</t>
        </is>
      </c>
      <c r="F376" s="14" t="inlineStr">
        <is>
          <t>Office</t>
        </is>
      </c>
      <c r="G376" s="7" t="n">
        <v>7007</v>
      </c>
      <c r="H376" s="7">
        <f>G376</f>
        <v/>
      </c>
      <c r="I376" s="7" t="n">
        <v>7000</v>
      </c>
      <c r="J376" s="4" t="inlineStr">
        <is>
          <t>London Mappin House Centre Ltd.</t>
        </is>
      </c>
      <c r="K376" s="8" t="n">
        <v>45672</v>
      </c>
      <c r="L376" s="9" t="n">
        <v>46766</v>
      </c>
      <c r="O376" s="9" t="n">
        <v>46218</v>
      </c>
      <c r="P376" s="10" t="n">
        <v>252885</v>
      </c>
      <c r="Q376" s="10">
        <f>P376</f>
        <v/>
      </c>
      <c r="R376" s="106" t="n"/>
      <c r="S376" s="10" t="n">
        <v>458100</v>
      </c>
      <c r="T376" s="10">
        <f>S376</f>
        <v/>
      </c>
      <c r="U376" s="27" t="n">
        <v>560600</v>
      </c>
      <c r="V376" s="10">
        <f>U376</f>
        <v/>
      </c>
      <c r="W376" s="277">
        <f>S376/G376</f>
        <v/>
      </c>
      <c r="X376" s="10" t="inlineStr">
        <is>
          <t>B</t>
        </is>
      </c>
      <c r="Y376" s="60" t="n"/>
      <c r="Z376" s="395" t="n"/>
      <c r="AA376" s="14" t="inlineStr">
        <is>
          <t>No</t>
        </is>
      </c>
      <c r="AB376" s="4" t="inlineStr">
        <is>
          <t xml:space="preserve">Guaranteed base rent of £252,885 plus revenue top up. Revenue top-up rent of £54,805 paid for 1Jul24 - 30Jun25. Rolling mutual break option after 18 months. </t>
        </is>
      </c>
      <c r="AE376" s="278" t="n"/>
    </row>
    <row r="377">
      <c r="A377" s="11" t="inlineStr">
        <is>
          <t>JM</t>
        </is>
      </c>
      <c r="B377" s="11" t="inlineStr">
        <is>
          <t>MEL</t>
        </is>
      </c>
      <c r="C377" s="2" t="n">
        <v>100680</v>
      </c>
      <c r="D377" s="4" t="inlineStr">
        <is>
          <t>Mappin House, 156-162 Oxford Street</t>
        </is>
      </c>
      <c r="E377" s="4" t="inlineStr">
        <is>
          <t>Fifth Floor</t>
        </is>
      </c>
      <c r="F377" s="14" t="inlineStr">
        <is>
          <t>Office</t>
        </is>
      </c>
      <c r="G377" s="7" t="n">
        <v>6662</v>
      </c>
      <c r="H377" s="7">
        <f>G377</f>
        <v/>
      </c>
      <c r="I377" s="7" t="n">
        <v>6500</v>
      </c>
      <c r="J377" s="4" t="inlineStr">
        <is>
          <t>London Mappin House Centre Ltd.</t>
        </is>
      </c>
      <c r="K377" s="8" t="n">
        <v>45672</v>
      </c>
      <c r="L377" s="9" t="n">
        <v>46766</v>
      </c>
      <c r="O377" s="9" t="n">
        <v>46218</v>
      </c>
      <c r="P377" s="10" t="n">
        <v>252394</v>
      </c>
      <c r="Q377" s="10">
        <f>P377</f>
        <v/>
      </c>
      <c r="R377" s="106" t="n"/>
      <c r="S377" s="10" t="n">
        <v>434600</v>
      </c>
      <c r="T377" s="10">
        <f>S377</f>
        <v/>
      </c>
      <c r="U377" s="27" t="n">
        <v>533000</v>
      </c>
      <c r="V377" s="10">
        <f>U377</f>
        <v/>
      </c>
      <c r="W377" s="277">
        <f>S377/G377</f>
        <v/>
      </c>
      <c r="X377" s="10" t="inlineStr">
        <is>
          <t>B</t>
        </is>
      </c>
      <c r="Y377" s="60" t="n"/>
      <c r="Z377" s="395" t="n"/>
      <c r="AA377" s="14" t="inlineStr">
        <is>
          <t>No</t>
        </is>
      </c>
      <c r="AB377" s="4" t="inlineStr">
        <is>
          <t xml:space="preserve">Guaranteed base rent of £252,393 plus revenue top up. Revenue top-up rent of £54,699 paid for 1Jul24 - 30Jun25. Rolling mutual break option after 18 months. </t>
        </is>
      </c>
      <c r="AE377" s="278" t="n"/>
    </row>
    <row r="378">
      <c r="A378" s="11" t="inlineStr">
        <is>
          <t>CM</t>
        </is>
      </c>
      <c r="B378" s="11" t="inlineStr">
        <is>
          <t>MEL</t>
        </is>
      </c>
      <c r="C378" s="2" t="n">
        <v>550030</v>
      </c>
      <c r="D378" s="4" t="inlineStr">
        <is>
          <t>53 Wells Street</t>
        </is>
      </c>
      <c r="E378" s="4" t="inlineStr">
        <is>
          <t>Lower Ground Floor</t>
        </is>
      </c>
      <c r="F378" s="14" t="inlineStr">
        <is>
          <t>Office</t>
        </is>
      </c>
      <c r="G378" s="7" t="n">
        <v>825</v>
      </c>
      <c r="H378" s="10">
        <f>G378</f>
        <v/>
      </c>
      <c r="I378" s="10" t="n">
        <v>1000</v>
      </c>
      <c r="J378" s="4" t="inlineStr">
        <is>
          <t>Vacant</t>
        </is>
      </c>
      <c r="M378" s="9" t="n">
        <v>44709</v>
      </c>
      <c r="P378" s="10" t="n">
        <v>0</v>
      </c>
      <c r="Q378" s="10">
        <f>P378</f>
        <v/>
      </c>
      <c r="S378" s="10" t="n">
        <v>27200</v>
      </c>
      <c r="T378" s="10">
        <f>S378</f>
        <v/>
      </c>
      <c r="U378" s="27" t="n">
        <v>33000</v>
      </c>
      <c r="V378" s="10">
        <f>U378</f>
        <v/>
      </c>
      <c r="W378" s="277">
        <f>S378/G378</f>
        <v/>
      </c>
      <c r="X378" s="10" t="inlineStr">
        <is>
          <t>B</t>
        </is>
      </c>
      <c r="Y378" s="60" t="n"/>
      <c r="Z378" s="395" t="n"/>
      <c r="AA378" s="14" t="inlineStr">
        <is>
          <t>No</t>
        </is>
      </c>
      <c r="AE378" s="278" t="n"/>
    </row>
    <row r="379">
      <c r="A379" s="11" t="inlineStr">
        <is>
          <t>CM</t>
        </is>
      </c>
      <c r="B379" s="11" t="inlineStr">
        <is>
          <t>MEL</t>
        </is>
      </c>
      <c r="C379" s="2" t="n">
        <v>550030</v>
      </c>
      <c r="D379" s="4" t="inlineStr">
        <is>
          <t>53 Wells Street</t>
        </is>
      </c>
      <c r="E379" s="4" t="inlineStr">
        <is>
          <t>Flat 1. Ground Floor</t>
        </is>
      </c>
      <c r="F379" s="14" t="inlineStr">
        <is>
          <t>One Bed Flat</t>
        </is>
      </c>
      <c r="G379" s="7" t="n">
        <v>0</v>
      </c>
      <c r="H379" s="10">
        <f>G379</f>
        <v/>
      </c>
      <c r="I379" s="10" t="n"/>
      <c r="J379" s="4" t="inlineStr">
        <is>
          <t>Edward Davenport</t>
        </is>
      </c>
      <c r="K379" s="8" t="n">
        <v>30310</v>
      </c>
      <c r="L379" s="54" t="n">
        <v>66469</v>
      </c>
      <c r="M379" s="54" t="n"/>
      <c r="N379" s="9" t="n">
        <v>54417</v>
      </c>
      <c r="P379" s="10" t="n">
        <v>150</v>
      </c>
      <c r="Q379" s="10">
        <f>P379</f>
        <v/>
      </c>
      <c r="S379" s="10" t="n">
        <v>150</v>
      </c>
      <c r="T379" s="10">
        <f>S379</f>
        <v/>
      </c>
      <c r="U379" s="27" t="n">
        <v>150</v>
      </c>
      <c r="V379" s="10">
        <f>U379</f>
        <v/>
      </c>
      <c r="W379" s="277" t="n"/>
      <c r="X379" s="10" t="n"/>
      <c r="Y379" s="60" t="n"/>
      <c r="Z379" s="395" t="n"/>
      <c r="AA379" s="14" t="n"/>
      <c r="AB379" s="4" t="inlineStr">
        <is>
          <t>Rent and Service charge stop placed on unit</t>
        </is>
      </c>
      <c r="AE379" s="278" t="n"/>
    </row>
    <row r="380">
      <c r="A380" s="11" t="inlineStr">
        <is>
          <t>CM</t>
        </is>
      </c>
      <c r="B380" s="11" t="inlineStr">
        <is>
          <t>MEL</t>
        </is>
      </c>
      <c r="C380" s="2" t="n">
        <v>550030</v>
      </c>
      <c r="D380" s="4" t="inlineStr">
        <is>
          <t>53 Wells Street</t>
        </is>
      </c>
      <c r="E380" s="4" t="inlineStr">
        <is>
          <t>Flat 2. First Floor</t>
        </is>
      </c>
      <c r="F380" s="14" t="inlineStr">
        <is>
          <t>One Bed Flat</t>
        </is>
      </c>
      <c r="G380" s="7" t="n">
        <v>0</v>
      </c>
      <c r="H380" s="10">
        <f>G380</f>
        <v/>
      </c>
      <c r="I380" s="10" t="n"/>
      <c r="J380" s="4" t="inlineStr">
        <is>
          <t>V. Chamoun</t>
        </is>
      </c>
      <c r="K380" s="8" t="n">
        <v>30310</v>
      </c>
      <c r="L380" s="54" t="n">
        <v>66469</v>
      </c>
      <c r="M380" s="54" t="n"/>
      <c r="N380" s="9" t="n">
        <v>54417</v>
      </c>
      <c r="P380" s="10" t="n">
        <v>150</v>
      </c>
      <c r="Q380" s="10">
        <f>P380</f>
        <v/>
      </c>
      <c r="S380" s="10" t="n">
        <v>150</v>
      </c>
      <c r="T380" s="10">
        <f>S380</f>
        <v/>
      </c>
      <c r="U380" s="27" t="n">
        <v>150</v>
      </c>
      <c r="V380" s="10">
        <f>U380</f>
        <v/>
      </c>
      <c r="W380" s="277" t="n"/>
      <c r="X380" s="10" t="n"/>
      <c r="Y380" s="60" t="n"/>
      <c r="Z380" s="395" t="n"/>
      <c r="AA380" s="14" t="n"/>
      <c r="AB380" s="4" t="inlineStr">
        <is>
          <t>Rent and Service charge stop placed on unit</t>
        </is>
      </c>
      <c r="AE380" s="278" t="n"/>
    </row>
    <row r="381">
      <c r="A381" s="11" t="inlineStr">
        <is>
          <t>CM</t>
        </is>
      </c>
      <c r="B381" s="11" t="inlineStr">
        <is>
          <t>MEL</t>
        </is>
      </c>
      <c r="C381" s="2" t="n">
        <v>550030</v>
      </c>
      <c r="D381" s="4" t="inlineStr">
        <is>
          <t>53 Wells Street</t>
        </is>
      </c>
      <c r="E381" s="4" t="inlineStr">
        <is>
          <t>Flat 3. Second Floor</t>
        </is>
      </c>
      <c r="F381" s="14" t="inlineStr">
        <is>
          <t>One Bed Flat</t>
        </is>
      </c>
      <c r="G381" s="7" t="n">
        <v>0</v>
      </c>
      <c r="H381" s="10">
        <f>G381</f>
        <v/>
      </c>
      <c r="I381" s="10" t="n"/>
      <c r="J381" s="4" t="inlineStr">
        <is>
          <t>C &amp; Y Hopper</t>
        </is>
      </c>
      <c r="K381" s="8" t="n">
        <v>30310</v>
      </c>
      <c r="L381" s="54" t="n">
        <v>99340</v>
      </c>
      <c r="M381" s="54" t="n"/>
      <c r="P381" s="10" t="n">
        <v>0</v>
      </c>
      <c r="Q381" s="10">
        <f>P381</f>
        <v/>
      </c>
      <c r="S381" s="10" t="n">
        <v>150</v>
      </c>
      <c r="T381" s="10">
        <f>S381</f>
        <v/>
      </c>
      <c r="U381" s="27" t="n">
        <v>150</v>
      </c>
      <c r="V381" s="10">
        <f>U381</f>
        <v/>
      </c>
      <c r="W381" s="277" t="n"/>
      <c r="X381" s="10" t="n"/>
      <c r="Y381" s="60" t="n"/>
      <c r="Z381" s="395" t="n"/>
      <c r="AA381" s="14" t="n"/>
      <c r="AB381" s="4" t="inlineStr">
        <is>
          <t>Peppercorn.</t>
        </is>
      </c>
      <c r="AE381" s="278" t="n"/>
    </row>
    <row r="382">
      <c r="A382" s="11" t="inlineStr">
        <is>
          <t>CM</t>
        </is>
      </c>
      <c r="B382" s="11" t="inlineStr">
        <is>
          <t>MEL</t>
        </is>
      </c>
      <c r="C382" s="2" t="n">
        <v>550030</v>
      </c>
      <c r="D382" s="4" t="inlineStr">
        <is>
          <t>53 Wells Street</t>
        </is>
      </c>
      <c r="E382" s="4" t="inlineStr">
        <is>
          <t>Flat 4. Third Floor</t>
        </is>
      </c>
      <c r="F382" s="14" t="inlineStr">
        <is>
          <t>One Bed Flat</t>
        </is>
      </c>
      <c r="G382" s="7" t="n">
        <v>0</v>
      </c>
      <c r="H382" s="10">
        <f>G382</f>
        <v/>
      </c>
      <c r="I382" s="10" t="n"/>
      <c r="J382" s="4" t="inlineStr">
        <is>
          <t>Lion Brand Limited</t>
        </is>
      </c>
      <c r="K382" s="8" t="n">
        <v>30310</v>
      </c>
      <c r="L382" s="54" t="n">
        <v>66469</v>
      </c>
      <c r="M382" s="54" t="n"/>
      <c r="N382" s="9" t="n">
        <v>54417</v>
      </c>
      <c r="P382" s="10" t="n">
        <v>0</v>
      </c>
      <c r="Q382" s="10">
        <f>P382</f>
        <v/>
      </c>
      <c r="S382" s="10" t="n">
        <v>150</v>
      </c>
      <c r="T382" s="10">
        <f>S382</f>
        <v/>
      </c>
      <c r="U382" s="27" t="n">
        <v>150</v>
      </c>
      <c r="V382" s="10">
        <f>U382</f>
        <v/>
      </c>
      <c r="W382" s="277" t="n"/>
      <c r="X382" s="10" t="n"/>
      <c r="Y382" s="60" t="n"/>
      <c r="Z382" s="395" t="n"/>
      <c r="AA382" s="14" t="n"/>
      <c r="AB382" s="4" t="inlineStr">
        <is>
          <t>Peppercorn.</t>
        </is>
      </c>
      <c r="AE382" s="278" t="n"/>
    </row>
    <row r="383">
      <c r="A383" s="11" t="inlineStr">
        <is>
          <t>CM</t>
        </is>
      </c>
      <c r="B383" s="11" t="inlineStr">
        <is>
          <t>MEL</t>
        </is>
      </c>
      <c r="C383" s="2" t="n">
        <v>550760</v>
      </c>
      <c r="D383" s="4" t="inlineStr">
        <is>
          <t>68 Wells Street</t>
        </is>
      </c>
      <c r="E383" s="4" t="inlineStr">
        <is>
          <t>Whole Building</t>
        </is>
      </c>
      <c r="F383" s="14" t="inlineStr">
        <is>
          <t>Showroom &amp; Office</t>
        </is>
      </c>
      <c r="G383" s="18" t="n">
        <v>2085</v>
      </c>
      <c r="H383" s="10">
        <f>G383</f>
        <v/>
      </c>
      <c r="I383" s="10" t="n">
        <v>2000</v>
      </c>
      <c r="J383" s="4" t="inlineStr">
        <is>
          <t>Voltage TV Productions Ltd</t>
        </is>
      </c>
      <c r="K383" s="8" t="n">
        <v>45741</v>
      </c>
      <c r="L383" s="9" t="n">
        <v>46836</v>
      </c>
      <c r="O383" s="9" t="n">
        <v>46289</v>
      </c>
      <c r="P383" s="19" t="n">
        <v>90000</v>
      </c>
      <c r="Q383" s="10">
        <f>P383</f>
        <v/>
      </c>
      <c r="R383" s="19">
        <f>Q383</f>
        <v/>
      </c>
      <c r="S383" s="19" t="n">
        <v>80000</v>
      </c>
      <c r="T383" s="10">
        <f>S383</f>
        <v/>
      </c>
      <c r="U383" s="36" t="n">
        <v>90000</v>
      </c>
      <c r="V383" s="10">
        <f>U383</f>
        <v/>
      </c>
      <c r="W383" s="10" t="n"/>
      <c r="X383" s="10" t="inlineStr">
        <is>
          <t>D</t>
        </is>
      </c>
      <c r="Y383" s="60" t="n"/>
      <c r="Z383" s="36" t="n">
        <v>1400000</v>
      </c>
      <c r="AA383" s="14" t="inlineStr">
        <is>
          <t>No</t>
        </is>
      </c>
      <c r="AB383" s="4" t="inlineStr">
        <is>
          <t>Rent increasing to £100,000 wef 25/03/26. Tenant break on 6 months notice.</t>
        </is>
      </c>
      <c r="AE383" s="278" t="n"/>
    </row>
    <row r="384">
      <c r="A384" s="11" t="inlineStr">
        <is>
          <t>CD</t>
        </is>
      </c>
      <c r="B384" s="11" t="inlineStr">
        <is>
          <t>OPG</t>
        </is>
      </c>
      <c r="C384" s="170" t="n">
        <v>800200</v>
      </c>
      <c r="D384" s="170" t="inlineStr">
        <is>
          <t>33 Eastcastle Street</t>
        </is>
      </c>
      <c r="E384" s="170" t="inlineStr">
        <is>
          <t>Whole Building</t>
        </is>
      </c>
      <c r="F384" s="171" t="inlineStr">
        <is>
          <t>Retail &amp; Office</t>
        </is>
      </c>
      <c r="G384" s="172" t="n">
        <v>3122</v>
      </c>
      <c r="H384" s="173">
        <f>G384</f>
        <v/>
      </c>
      <c r="I384" s="173" t="n">
        <v>3000</v>
      </c>
      <c r="J384" s="170" t="inlineStr">
        <is>
          <t>Leon Restaurants Ltd</t>
        </is>
      </c>
      <c r="K384" s="174" t="n">
        <v>42580</v>
      </c>
      <c r="L384" s="174" t="n">
        <v>46231</v>
      </c>
      <c r="M384" s="174" t="n"/>
      <c r="N384" s="174" t="n">
        <v>44406</v>
      </c>
      <c r="O384" s="174" t="n"/>
      <c r="P384" s="172" t="n">
        <v>170000</v>
      </c>
      <c r="Q384" s="172">
        <f>P384</f>
        <v/>
      </c>
      <c r="R384" s="10" t="n"/>
      <c r="S384" s="172" t="n">
        <v>124100</v>
      </c>
      <c r="T384" s="173">
        <f>S384</f>
        <v/>
      </c>
      <c r="U384" s="370" t="n">
        <v>134000</v>
      </c>
      <c r="V384" s="173">
        <f>U384</f>
        <v/>
      </c>
      <c r="W384" s="277">
        <f>S384/G384</f>
        <v/>
      </c>
      <c r="X384" s="173" t="inlineStr">
        <is>
          <t>E</t>
        </is>
      </c>
      <c r="Y384" s="171" t="n"/>
      <c r="Z384" s="370" t="n">
        <v>1325000</v>
      </c>
      <c r="AA384" s="173" t="inlineStr">
        <is>
          <t>No</t>
        </is>
      </c>
      <c r="AB384" s="170" t="n"/>
      <c r="AC384" s="313" t="n"/>
      <c r="AD384" s="170" t="n"/>
      <c r="AE384" s="289" t="n"/>
      <c r="AF384" s="170" t="n"/>
    </row>
    <row r="385">
      <c r="A385" s="11" t="inlineStr">
        <is>
          <t>CD</t>
        </is>
      </c>
      <c r="B385" s="11" t="inlineStr">
        <is>
          <t>OPG</t>
        </is>
      </c>
      <c r="C385" s="170" t="n">
        <v>800100</v>
      </c>
      <c r="D385" s="170" t="inlineStr">
        <is>
          <t>Julco House, 26-28 Great Portland Street</t>
        </is>
      </c>
      <c r="E385" s="170" t="inlineStr">
        <is>
          <t>Ground Floor &amp; Basement</t>
        </is>
      </c>
      <c r="F385" s="171" t="inlineStr">
        <is>
          <t>Restaurant</t>
        </is>
      </c>
      <c r="G385" s="173" t="n">
        <v>4332</v>
      </c>
      <c r="H385" s="173">
        <f>G385</f>
        <v/>
      </c>
      <c r="I385" s="173" t="n">
        <v>4250</v>
      </c>
      <c r="J385" s="117" t="inlineStr">
        <is>
          <t>Oaxaca Ltd.</t>
        </is>
      </c>
      <c r="K385" s="174" t="n">
        <v>41789</v>
      </c>
      <c r="L385" s="174" t="n">
        <v>47267</v>
      </c>
      <c r="M385" s="174" t="n"/>
      <c r="N385" s="174" t="n">
        <v>45442</v>
      </c>
      <c r="O385" s="174" t="n"/>
      <c r="P385" s="173" t="n">
        <v>255000</v>
      </c>
      <c r="Q385" s="173">
        <f>P385</f>
        <v/>
      </c>
      <c r="R385" s="10" t="n"/>
      <c r="S385" s="173" t="n">
        <v>290500</v>
      </c>
      <c r="T385" s="173">
        <f>S385</f>
        <v/>
      </c>
      <c r="U385" s="397" t="n">
        <v>255000</v>
      </c>
      <c r="V385" s="173">
        <f>U385</f>
        <v/>
      </c>
      <c r="W385" s="277">
        <f>S385/G385</f>
        <v/>
      </c>
      <c r="X385" s="173" t="inlineStr">
        <is>
          <t>B</t>
        </is>
      </c>
      <c r="Y385" s="177" t="inlineStr">
        <is>
          <t>*</t>
        </is>
      </c>
      <c r="Z385" s="371" t="n"/>
      <c r="AA385" s="173" t="inlineStr">
        <is>
          <t>No</t>
        </is>
      </c>
      <c r="AB385" s="170" t="inlineStr">
        <is>
          <t>Rent £255,000 pa with a top-up of 11% turnover up to a maximum of £300,000 pa.</t>
        </is>
      </c>
      <c r="AC385" s="313" t="n"/>
      <c r="AD385" s="170" t="n"/>
      <c r="AE385" s="289" t="n"/>
      <c r="AF385" s="170" t="n"/>
    </row>
    <row r="386">
      <c r="A386" s="11" t="inlineStr">
        <is>
          <t>CD</t>
        </is>
      </c>
      <c r="B386" s="11" t="inlineStr">
        <is>
          <t>OPG</t>
        </is>
      </c>
      <c r="C386" s="170" t="n">
        <v>800100</v>
      </c>
      <c r="D386" s="170" t="inlineStr">
        <is>
          <t>Julco House, 26-28 Great Portland Street</t>
        </is>
      </c>
      <c r="E386" s="170" t="inlineStr">
        <is>
          <t>First Floor</t>
        </is>
      </c>
      <c r="F386" s="171" t="inlineStr">
        <is>
          <t>Offices</t>
        </is>
      </c>
      <c r="G386" s="173" t="n">
        <v>1818</v>
      </c>
      <c r="H386" s="173">
        <f>G386</f>
        <v/>
      </c>
      <c r="I386" s="173" t="n">
        <v>2000</v>
      </c>
      <c r="J386" s="117" t="inlineStr">
        <is>
          <t>Collins Benson Goldhill LLP</t>
        </is>
      </c>
      <c r="K386" s="174" t="n">
        <v>44280</v>
      </c>
      <c r="L386" s="174" t="n">
        <v>46105</v>
      </c>
      <c r="M386" s="174" t="n"/>
      <c r="N386" s="174" t="n"/>
      <c r="O386" s="174" t="n"/>
      <c r="P386" s="173" t="n">
        <v>83000</v>
      </c>
      <c r="Q386" s="173">
        <f>P386</f>
        <v/>
      </c>
      <c r="R386" s="10" t="n"/>
      <c r="S386" s="173" t="n">
        <v>111800</v>
      </c>
      <c r="T386" s="173">
        <f>S386</f>
        <v/>
      </c>
      <c r="U386" s="397" t="n">
        <v>118200</v>
      </c>
      <c r="V386" s="173">
        <f>U386</f>
        <v/>
      </c>
      <c r="W386" s="277">
        <f>S386/G386</f>
        <v/>
      </c>
      <c r="X386" s="173" t="inlineStr">
        <is>
          <t>D</t>
        </is>
      </c>
      <c r="Y386" s="177" t="n"/>
      <c r="Z386" s="371" t="n"/>
      <c r="AA386" s="173" t="inlineStr">
        <is>
          <t>Yes</t>
        </is>
      </c>
      <c r="AB386" s="170" t="n"/>
      <c r="AC386" s="313" t="n"/>
      <c r="AD386" s="170" t="n"/>
      <c r="AE386" s="289" t="n"/>
      <c r="AF386" s="170" t="n"/>
    </row>
    <row r="387">
      <c r="A387" s="11" t="inlineStr">
        <is>
          <t>CD</t>
        </is>
      </c>
      <c r="B387" s="11" t="inlineStr">
        <is>
          <t>OPG</t>
        </is>
      </c>
      <c r="C387" s="170" t="n">
        <v>800100</v>
      </c>
      <c r="D387" s="170" t="inlineStr">
        <is>
          <t>Julco House, 26-28 Great Portland Street</t>
        </is>
      </c>
      <c r="E387" s="170" t="inlineStr">
        <is>
          <t>Second Floor</t>
        </is>
      </c>
      <c r="F387" s="171" t="inlineStr">
        <is>
          <t>Offices</t>
        </is>
      </c>
      <c r="G387" s="173" t="n">
        <v>1829</v>
      </c>
      <c r="H387" s="173">
        <f>G387</f>
        <v/>
      </c>
      <c r="I387" s="173" t="n">
        <v>2000</v>
      </c>
      <c r="J387" s="117" t="inlineStr">
        <is>
          <t>Oakvale Capital LLP</t>
        </is>
      </c>
      <c r="K387" s="174" t="n">
        <v>45715</v>
      </c>
      <c r="L387" s="174" t="n">
        <v>47540</v>
      </c>
      <c r="M387" s="174" t="n"/>
      <c r="N387" s="174" t="n"/>
      <c r="O387" s="174" t="n">
        <v>46809</v>
      </c>
      <c r="P387" s="173" t="n">
        <v>120700</v>
      </c>
      <c r="Q387" s="173">
        <f>P387</f>
        <v/>
      </c>
      <c r="R387" s="10" t="n"/>
      <c r="S387" s="173" t="n">
        <v>112500</v>
      </c>
      <c r="T387" s="173">
        <f>S387</f>
        <v/>
      </c>
      <c r="U387" s="397" t="n">
        <v>118900</v>
      </c>
      <c r="V387" s="173">
        <f>U387</f>
        <v/>
      </c>
      <c r="W387" s="277">
        <f>S387/G387</f>
        <v/>
      </c>
      <c r="X387" s="173" t="inlineStr">
        <is>
          <t>D</t>
        </is>
      </c>
      <c r="Y387" s="177" t="n"/>
      <c r="Z387" s="371" t="n"/>
      <c r="AA387" s="173" t="inlineStr">
        <is>
          <t>No</t>
        </is>
      </c>
      <c r="AB387" s="170" t="inlineStr">
        <is>
          <t>Tenant break on 6 months notice. 2 months rent free if not exercised.</t>
        </is>
      </c>
      <c r="AC387" s="313" t="n"/>
      <c r="AD387" s="170" t="n"/>
      <c r="AE387" s="289" t="n"/>
      <c r="AF387" s="170" t="n"/>
    </row>
    <row r="388">
      <c r="A388" s="11" t="inlineStr">
        <is>
          <t>CD</t>
        </is>
      </c>
      <c r="B388" s="11" t="inlineStr">
        <is>
          <t>OPG</t>
        </is>
      </c>
      <c r="C388" s="170" t="n">
        <v>800100</v>
      </c>
      <c r="D388" s="170" t="inlineStr">
        <is>
          <t>Julco House, 26-28 Great Portland Street</t>
        </is>
      </c>
      <c r="E388" s="170" t="inlineStr">
        <is>
          <t>Third Floor</t>
        </is>
      </c>
      <c r="F388" s="171" t="inlineStr">
        <is>
          <t>Offices</t>
        </is>
      </c>
      <c r="G388" s="173" t="n">
        <v>1837</v>
      </c>
      <c r="H388" s="173">
        <f>G388</f>
        <v/>
      </c>
      <c r="I388" s="173" t="n">
        <v>2000</v>
      </c>
      <c r="J388" s="117" t="inlineStr">
        <is>
          <t>Hague Securities Limited</t>
        </is>
      </c>
      <c r="K388" s="174" t="n">
        <v>44900</v>
      </c>
      <c r="L388" s="174" t="n">
        <v>46725</v>
      </c>
      <c r="M388" s="174" t="n"/>
      <c r="N388" s="174" t="n"/>
      <c r="O388" s="174" t="n">
        <v>45995</v>
      </c>
      <c r="P388" s="173" t="n">
        <v>115731</v>
      </c>
      <c r="Q388" s="173">
        <f>P388</f>
        <v/>
      </c>
      <c r="R388" s="10" t="n"/>
      <c r="S388" s="173" t="n">
        <v>116600</v>
      </c>
      <c r="T388" s="173">
        <f>S388</f>
        <v/>
      </c>
      <c r="U388" s="397" t="n">
        <v>123100</v>
      </c>
      <c r="V388" s="173">
        <f>U388</f>
        <v/>
      </c>
      <c r="W388" s="277">
        <f>S388/G388</f>
        <v/>
      </c>
      <c r="X388" s="173" t="inlineStr">
        <is>
          <t>C</t>
        </is>
      </c>
      <c r="Y388" s="177" t="n"/>
      <c r="Z388" s="371" t="n"/>
      <c r="AA388" s="173" t="inlineStr">
        <is>
          <t>No</t>
        </is>
      </c>
      <c r="AB388" s="170" t="inlineStr">
        <is>
          <t>Tenant break on 6 months notice. 4 months rent free from 05/12/25 if break not exercised.</t>
        </is>
      </c>
      <c r="AC388" s="313" t="n"/>
      <c r="AD388" s="170" t="n"/>
      <c r="AE388" s="289" t="n"/>
      <c r="AF388" s="170" t="n"/>
    </row>
    <row r="389">
      <c r="A389" s="11" t="inlineStr">
        <is>
          <t>CD</t>
        </is>
      </c>
      <c r="B389" s="11" t="inlineStr">
        <is>
          <t>OPG</t>
        </is>
      </c>
      <c r="C389" s="170" t="n">
        <v>800100</v>
      </c>
      <c r="D389" s="170" t="inlineStr">
        <is>
          <t>Julco House, 26-28 Great Portland Street</t>
        </is>
      </c>
      <c r="E389" s="170" t="inlineStr">
        <is>
          <t>Fourth Floor</t>
        </is>
      </c>
      <c r="F389" s="171" t="inlineStr">
        <is>
          <t>Offices</t>
        </is>
      </c>
      <c r="G389" s="173" t="n">
        <v>1815</v>
      </c>
      <c r="H389" s="173">
        <f>G389</f>
        <v/>
      </c>
      <c r="I389" s="173" t="n">
        <v>2000</v>
      </c>
      <c r="J389" s="117" t="inlineStr">
        <is>
          <t>Zephyrus Partners Ltd.</t>
        </is>
      </c>
      <c r="K389" s="174" t="n">
        <v>44627</v>
      </c>
      <c r="L389" s="174" t="n">
        <v>46452</v>
      </c>
      <c r="M389" s="174" t="n"/>
      <c r="N389" s="174" t="n"/>
      <c r="O389" s="174" t="n"/>
      <c r="P389" s="173" t="n">
        <v>149742</v>
      </c>
      <c r="Q389" s="173">
        <f>P389</f>
        <v/>
      </c>
      <c r="R389" s="10" t="n"/>
      <c r="S389" s="173" t="n">
        <v>115300</v>
      </c>
      <c r="T389" s="173">
        <f>S389</f>
        <v/>
      </c>
      <c r="U389" s="397" t="n">
        <v>121600</v>
      </c>
      <c r="V389" s="173">
        <f>U389</f>
        <v/>
      </c>
      <c r="W389" s="277">
        <f>S389/G389</f>
        <v/>
      </c>
      <c r="X389" s="173" t="inlineStr">
        <is>
          <t>C</t>
        </is>
      </c>
      <c r="Y389" s="177" t="n"/>
      <c r="Z389" s="371" t="n"/>
      <c r="AA389" s="173" t="inlineStr">
        <is>
          <t>No</t>
        </is>
      </c>
      <c r="AB389" s="170" t="inlineStr">
        <is>
          <t xml:space="preserve">Rent rising to £151,143 wef 07/03/26. </t>
        </is>
      </c>
      <c r="AC389" s="313" t="n"/>
      <c r="AD389" s="170" t="n"/>
      <c r="AE389" s="289" t="n"/>
      <c r="AF389" s="170" t="n"/>
    </row>
    <row r="390">
      <c r="A390" s="11" t="inlineStr">
        <is>
          <t>CD</t>
        </is>
      </c>
      <c r="B390" s="11" t="inlineStr">
        <is>
          <t>OPG</t>
        </is>
      </c>
      <c r="C390" s="170" t="n">
        <v>800100</v>
      </c>
      <c r="D390" s="170" t="inlineStr">
        <is>
          <t>Julco House, 26-28 Great Portland Street</t>
        </is>
      </c>
      <c r="E390" s="170" t="inlineStr">
        <is>
          <t>Fifth Floor</t>
        </is>
      </c>
      <c r="F390" s="171" t="inlineStr">
        <is>
          <t>Offices</t>
        </is>
      </c>
      <c r="G390" s="173" t="n">
        <v>1815</v>
      </c>
      <c r="H390" s="173">
        <f>G390</f>
        <v/>
      </c>
      <c r="I390" s="173" t="n">
        <v>2000</v>
      </c>
      <c r="J390" s="117" t="inlineStr">
        <is>
          <t>Global Future Partnership LLP</t>
        </is>
      </c>
      <c r="K390" s="174" t="n">
        <v>45408</v>
      </c>
      <c r="L390" s="174" t="n">
        <v>47233</v>
      </c>
      <c r="M390" s="174" t="n"/>
      <c r="N390" s="174" t="n"/>
      <c r="O390" s="174" t="n"/>
      <c r="P390" s="173" t="n">
        <v>122513</v>
      </c>
      <c r="Q390" s="173">
        <f>P390</f>
        <v/>
      </c>
      <c r="R390" s="10" t="n"/>
      <c r="S390" s="173" t="n">
        <v>115300</v>
      </c>
      <c r="T390" s="173">
        <f>S390</f>
        <v/>
      </c>
      <c r="U390" s="397" t="n">
        <v>121600</v>
      </c>
      <c r="V390" s="173">
        <f>U390</f>
        <v/>
      </c>
      <c r="W390" s="277">
        <f>S390/G390</f>
        <v/>
      </c>
      <c r="X390" s="173" t="inlineStr">
        <is>
          <t>D</t>
        </is>
      </c>
      <c r="Y390" s="177" t="n"/>
      <c r="Z390" s="397" t="n"/>
      <c r="AA390" s="173" t="inlineStr">
        <is>
          <t>No</t>
        </is>
      </c>
      <c r="AB390" s="170" t="n"/>
      <c r="AC390" s="313" t="n"/>
      <c r="AD390" s="170" t="n"/>
      <c r="AE390" s="289" t="n"/>
      <c r="AF390" s="170" t="n"/>
    </row>
    <row r="391">
      <c r="A391" s="11" t="inlineStr">
        <is>
          <t>CD</t>
        </is>
      </c>
      <c r="B391" s="11" t="inlineStr">
        <is>
          <t>OPG</t>
        </is>
      </c>
      <c r="C391" s="170" t="n">
        <v>800100</v>
      </c>
      <c r="D391" s="170" t="inlineStr">
        <is>
          <t>Julco House, 26-28 Great Portland Street</t>
        </is>
      </c>
      <c r="E391" s="170" t="inlineStr">
        <is>
          <t>Sixth Floor</t>
        </is>
      </c>
      <c r="F391" s="171" t="inlineStr">
        <is>
          <t>Offices</t>
        </is>
      </c>
      <c r="G391" s="173" t="n">
        <v>790</v>
      </c>
      <c r="H391" s="173">
        <f>G391</f>
        <v/>
      </c>
      <c r="I391" s="173" t="n">
        <v>750</v>
      </c>
      <c r="J391" s="117" t="inlineStr">
        <is>
          <t>Heywood &amp; Partners Surveyors Ltd</t>
        </is>
      </c>
      <c r="K391" s="174" t="n">
        <v>44442</v>
      </c>
      <c r="L391" s="174" t="n">
        <v>46267</v>
      </c>
      <c r="M391" s="174" t="n"/>
      <c r="N391" s="174" t="n"/>
      <c r="O391" s="174" t="n"/>
      <c r="P391" s="173" t="n">
        <v>41080</v>
      </c>
      <c r="Q391" s="173">
        <f>P391</f>
        <v/>
      </c>
      <c r="R391" s="10" t="n"/>
      <c r="S391" s="173" t="n">
        <v>46200</v>
      </c>
      <c r="T391" s="173">
        <f>S391</f>
        <v/>
      </c>
      <c r="U391" s="397" t="n">
        <v>48600</v>
      </c>
      <c r="V391" s="173">
        <f>U391</f>
        <v/>
      </c>
      <c r="W391" s="277">
        <f>S391/G391</f>
        <v/>
      </c>
      <c r="X391" s="173" t="inlineStr">
        <is>
          <t>E</t>
        </is>
      </c>
      <c r="Y391" s="177" t="n"/>
      <c r="Z391" s="371" t="n"/>
      <c r="AA391" s="173" t="inlineStr">
        <is>
          <t>No</t>
        </is>
      </c>
      <c r="AB391" s="170" t="n"/>
      <c r="AC391" s="313" t="n"/>
      <c r="AD391" s="170" t="n"/>
      <c r="AE391" s="289" t="n"/>
      <c r="AF391" s="170" t="n"/>
    </row>
    <row r="392">
      <c r="A392" s="11" t="inlineStr">
        <is>
          <t>CD</t>
        </is>
      </c>
      <c r="B392" s="11" t="inlineStr">
        <is>
          <t>OPG</t>
        </is>
      </c>
      <c r="C392" s="170" t="n">
        <v>800100</v>
      </c>
      <c r="D392" s="170" t="inlineStr">
        <is>
          <t>Julco House, 26-28 Great Portland Street</t>
        </is>
      </c>
      <c r="E392" s="170" t="inlineStr">
        <is>
          <t>Basement Vaults</t>
        </is>
      </c>
      <c r="F392" s="178" t="inlineStr">
        <is>
          <t>Electricity Sub-Station</t>
        </is>
      </c>
      <c r="G392" s="173" t="n">
        <v>0</v>
      </c>
      <c r="H392" s="173">
        <f>G392</f>
        <v/>
      </c>
      <c r="I392" s="173" t="n"/>
      <c r="J392" s="117" t="inlineStr">
        <is>
          <t>London Power Networks Plc</t>
        </is>
      </c>
      <c r="K392" s="174" t="n">
        <v>42552</v>
      </c>
      <c r="L392" s="174" t="n">
        <v>47267</v>
      </c>
      <c r="M392" s="174" t="n"/>
      <c r="N392" s="174" t="n">
        <v>46204</v>
      </c>
      <c r="O392" s="174" t="n"/>
      <c r="P392" s="173" t="n">
        <v>1160</v>
      </c>
      <c r="Q392" s="173">
        <f>P392</f>
        <v/>
      </c>
      <c r="R392" s="10" t="n"/>
      <c r="S392" s="173" t="n">
        <v>1160</v>
      </c>
      <c r="T392" s="173">
        <f>S392</f>
        <v/>
      </c>
      <c r="U392" s="397" t="n">
        <v>1160</v>
      </c>
      <c r="V392" s="173">
        <f>U392</f>
        <v/>
      </c>
      <c r="W392" s="277" t="n"/>
      <c r="X392" s="173" t="n"/>
      <c r="Y392" s="177" t="n"/>
      <c r="Z392" s="371" t="n"/>
      <c r="AA392" s="173" t="inlineStr">
        <is>
          <t>Yes</t>
        </is>
      </c>
      <c r="AB392" s="170" t="inlineStr">
        <is>
          <t>Rent review to RPI.</t>
        </is>
      </c>
      <c r="AC392" s="313" t="n"/>
      <c r="AD392" s="170" t="n"/>
      <c r="AE392" s="289" t="n"/>
      <c r="AF392" s="170" t="n"/>
    </row>
    <row r="393">
      <c r="A393" s="11" t="inlineStr">
        <is>
          <t>CD</t>
        </is>
      </c>
      <c r="B393" s="11" t="inlineStr">
        <is>
          <t>OPG</t>
        </is>
      </c>
      <c r="C393" s="170" t="n">
        <v>800400</v>
      </c>
      <c r="D393" s="170" t="inlineStr">
        <is>
          <t>5 Margaret Street</t>
        </is>
      </c>
      <c r="E393" s="170" t="inlineStr">
        <is>
          <t>Whole Building</t>
        </is>
      </c>
      <c r="F393" s="171" t="inlineStr">
        <is>
          <t>Retail &amp; Office</t>
        </is>
      </c>
      <c r="G393" s="172" t="n">
        <v>2598</v>
      </c>
      <c r="H393" s="173">
        <f>G393</f>
        <v/>
      </c>
      <c r="I393" s="173" t="n">
        <v>2500</v>
      </c>
      <c r="J393" s="117" t="inlineStr">
        <is>
          <t>Workpad Fitzrovia Ltd</t>
        </is>
      </c>
      <c r="K393" s="174" t="n">
        <v>43070</v>
      </c>
      <c r="L393" s="174" t="n">
        <v>46721</v>
      </c>
      <c r="M393" s="174" t="n"/>
      <c r="N393" s="174" t="n">
        <v>44896</v>
      </c>
      <c r="O393" s="174" t="n"/>
      <c r="P393" s="172" t="n">
        <v>155000</v>
      </c>
      <c r="Q393" s="172">
        <f>P393</f>
        <v/>
      </c>
      <c r="R393" s="10" t="n"/>
      <c r="S393" s="172" t="n">
        <v>118500</v>
      </c>
      <c r="T393" s="173">
        <f>S393</f>
        <v/>
      </c>
      <c r="U393" s="370" t="n">
        <v>142400</v>
      </c>
      <c r="V393" s="173">
        <f>U393</f>
        <v/>
      </c>
      <c r="W393" s="173" t="n"/>
      <c r="X393" s="173" t="inlineStr">
        <is>
          <t>A</t>
        </is>
      </c>
      <c r="Y393" s="180" t="n"/>
      <c r="Z393" s="370" t="n">
        <v>2300000</v>
      </c>
      <c r="AA393" s="173" t="inlineStr">
        <is>
          <t>No</t>
        </is>
      </c>
      <c r="AB393" s="4" t="n"/>
      <c r="AC393" s="303" t="n"/>
      <c r="AD393" s="29" t="n"/>
      <c r="AE393" s="279" t="n"/>
      <c r="AF393" s="29" t="n"/>
    </row>
    <row r="394">
      <c r="A394" s="11" t="inlineStr">
        <is>
          <t>CM</t>
        </is>
      </c>
      <c r="B394" s="11" t="inlineStr">
        <is>
          <t>OPG</t>
        </is>
      </c>
      <c r="C394" s="170" t="n">
        <v>800300</v>
      </c>
      <c r="D394" s="170" t="inlineStr">
        <is>
          <t>60/62 Margaret Street</t>
        </is>
      </c>
      <c r="E394" s="170" t="inlineStr">
        <is>
          <t>Whole Building</t>
        </is>
      </c>
      <c r="F394" s="226" t="inlineStr">
        <is>
          <t>Offices</t>
        </is>
      </c>
      <c r="G394" s="172" t="n">
        <v>19812</v>
      </c>
      <c r="H394" s="182">
        <f>G394</f>
        <v/>
      </c>
      <c r="I394" s="182" t="n">
        <v>20000</v>
      </c>
      <c r="J394" s="117" t="inlineStr">
        <is>
          <t>Creo London Limited.</t>
        </is>
      </c>
      <c r="K394" s="174" t="n">
        <v>44986</v>
      </c>
      <c r="L394" s="174" t="n">
        <v>50464</v>
      </c>
      <c r="M394" s="174" t="n"/>
      <c r="N394" s="174" t="n">
        <v>46813</v>
      </c>
      <c r="O394" s="174" t="n"/>
      <c r="P394" s="172" t="n">
        <v>729167</v>
      </c>
      <c r="Q394" s="173">
        <f>P394</f>
        <v/>
      </c>
      <c r="S394" s="172" t="n">
        <v>1250000</v>
      </c>
      <c r="T394" s="173">
        <f>S394</f>
        <v/>
      </c>
      <c r="U394" s="370" t="n">
        <v>1305000</v>
      </c>
      <c r="V394" s="173">
        <f>U394</f>
        <v/>
      </c>
      <c r="W394" s="173" t="n"/>
      <c r="X394" s="173" t="inlineStr">
        <is>
          <t>B</t>
        </is>
      </c>
      <c r="Y394" s="183" t="n"/>
      <c r="Z394" s="370" t="n">
        <v>22350000</v>
      </c>
      <c r="AA394" s="173" t="inlineStr">
        <is>
          <t>No</t>
        </is>
      </c>
      <c r="AB394" s="170" t="inlineStr">
        <is>
          <t xml:space="preserve">Rent rising to £1,250,000 wef 01/03/26. </t>
        </is>
      </c>
      <c r="AC394" s="313" t="n"/>
      <c r="AD394" s="170" t="n"/>
      <c r="AE394" s="289" t="n"/>
      <c r="AF394" s="170" t="n"/>
    </row>
    <row r="395">
      <c r="A395" s="11" t="inlineStr">
        <is>
          <t>WS</t>
        </is>
      </c>
      <c r="B395" s="11" t="inlineStr">
        <is>
          <t>OPG</t>
        </is>
      </c>
      <c r="C395" s="170" t="n">
        <v>800500</v>
      </c>
      <c r="D395" s="170" t="inlineStr">
        <is>
          <t>85 Mortimer Street</t>
        </is>
      </c>
      <c r="E395" s="170" t="inlineStr">
        <is>
          <t>Basement &amp; Ground</t>
        </is>
      </c>
      <c r="F395" s="171" t="inlineStr">
        <is>
          <t>Showroom</t>
        </is>
      </c>
      <c r="G395" s="173" t="n">
        <v>1582</v>
      </c>
      <c r="H395" s="182">
        <f>G395</f>
        <v/>
      </c>
      <c r="I395" s="182" t="n">
        <v>1500</v>
      </c>
      <c r="J395" s="117" t="inlineStr">
        <is>
          <t>The Feel Good Group Ltd.</t>
        </is>
      </c>
      <c r="K395" s="174" t="n">
        <v>43514</v>
      </c>
      <c r="L395" s="174" t="n">
        <v>46982</v>
      </c>
      <c r="M395" s="174" t="n"/>
      <c r="N395" s="174" t="n">
        <v>45340</v>
      </c>
      <c r="O395" s="174" t="n"/>
      <c r="P395" s="173" t="n">
        <v>70000</v>
      </c>
      <c r="Q395" s="173">
        <f>P395</f>
        <v/>
      </c>
      <c r="R395" s="10" t="n"/>
      <c r="S395" s="173" t="n">
        <v>63300</v>
      </c>
      <c r="T395" s="173">
        <f>S395</f>
        <v/>
      </c>
      <c r="U395" s="397" t="n">
        <v>63300</v>
      </c>
      <c r="V395" s="173">
        <f>U395</f>
        <v/>
      </c>
      <c r="W395" s="277">
        <f>S395/G395</f>
        <v/>
      </c>
      <c r="X395" s="173" t="inlineStr">
        <is>
          <t>C</t>
        </is>
      </c>
      <c r="Y395" s="183" t="n"/>
      <c r="Z395" s="370" t="n"/>
      <c r="AA395" s="173" t="inlineStr">
        <is>
          <t>No</t>
        </is>
      </c>
      <c r="AB395" s="170" t="n"/>
      <c r="AC395" s="313" t="n"/>
      <c r="AD395" s="170" t="n"/>
      <c r="AE395" s="289" t="n"/>
      <c r="AF395" s="170" t="n"/>
    </row>
    <row r="396">
      <c r="A396" s="11" t="inlineStr">
        <is>
          <t>WS</t>
        </is>
      </c>
      <c r="B396" s="11" t="inlineStr">
        <is>
          <t>OPG</t>
        </is>
      </c>
      <c r="C396" s="170" t="n">
        <v>800500</v>
      </c>
      <c r="D396" s="170" t="inlineStr">
        <is>
          <t>85 Mortimer Street</t>
        </is>
      </c>
      <c r="E396" s="170" t="inlineStr">
        <is>
          <t>First to Third Floors</t>
        </is>
      </c>
      <c r="F396" s="171" t="inlineStr">
        <is>
          <t>Offices</t>
        </is>
      </c>
      <c r="G396" s="173" t="n">
        <v>1248</v>
      </c>
      <c r="H396" s="182">
        <f>G396</f>
        <v/>
      </c>
      <c r="I396" s="182" t="n">
        <v>1250</v>
      </c>
      <c r="J396" s="117" t="inlineStr">
        <is>
          <t>Vacant</t>
        </is>
      </c>
      <c r="K396" s="174" t="n"/>
      <c r="L396" s="174" t="n"/>
      <c r="M396" s="174" t="n">
        <v>44550</v>
      </c>
      <c r="N396" s="174" t="n"/>
      <c r="O396" s="174" t="n"/>
      <c r="P396" s="173" t="n">
        <v>0</v>
      </c>
      <c r="Q396" s="173">
        <f>P396</f>
        <v/>
      </c>
      <c r="R396" s="10" t="n"/>
      <c r="S396" s="173" t="n">
        <v>66800</v>
      </c>
      <c r="T396" s="173">
        <f>S396</f>
        <v/>
      </c>
      <c r="U396" s="397" t="n">
        <v>68600</v>
      </c>
      <c r="V396" s="173">
        <f>U396</f>
        <v/>
      </c>
      <c r="W396" s="277">
        <f>S396/G396</f>
        <v/>
      </c>
      <c r="X396" s="173" t="inlineStr">
        <is>
          <t>B</t>
        </is>
      </c>
      <c r="Y396" s="183" t="n"/>
      <c r="Z396" s="370" t="n"/>
      <c r="AA396" s="173" t="inlineStr">
        <is>
          <t>No</t>
        </is>
      </c>
      <c r="AB396" s="170" t="inlineStr">
        <is>
          <t>To be refurbished.</t>
        </is>
      </c>
      <c r="AC396" s="313" t="n">
        <v>58</v>
      </c>
      <c r="AD396" s="170" t="n"/>
      <c r="AE396" s="289" t="n"/>
      <c r="AF396" s="170" t="n"/>
    </row>
    <row r="397">
      <c r="A397" s="11" t="inlineStr">
        <is>
          <t>WS</t>
        </is>
      </c>
      <c r="B397" s="11" t="inlineStr">
        <is>
          <t>OPG</t>
        </is>
      </c>
      <c r="C397" s="170" t="n">
        <v>800600</v>
      </c>
      <c r="D397" s="170" t="inlineStr">
        <is>
          <t>Welbeck House, 66/67 Wells Street</t>
        </is>
      </c>
      <c r="E397" s="170" t="inlineStr">
        <is>
          <t>Basement (67)</t>
        </is>
      </c>
      <c r="F397" s="178" t="inlineStr">
        <is>
          <t>Electricity / Substation</t>
        </is>
      </c>
      <c r="G397" s="173" t="n">
        <v>0</v>
      </c>
      <c r="H397" s="182">
        <f>G397</f>
        <v/>
      </c>
      <c r="I397" s="182" t="n"/>
      <c r="J397" s="117" t="inlineStr">
        <is>
          <t>London Power Networks Plc</t>
        </is>
      </c>
      <c r="K397" s="174" t="n">
        <v>18170</v>
      </c>
      <c r="L397" s="174" t="n">
        <v>54329</v>
      </c>
      <c r="M397" s="174" t="n"/>
      <c r="N397" s="174" t="n"/>
      <c r="O397" s="174" t="n"/>
      <c r="P397" s="173" t="n">
        <v>0</v>
      </c>
      <c r="Q397" s="173">
        <f>P397</f>
        <v/>
      </c>
      <c r="R397" s="10" t="n"/>
      <c r="S397" s="173" t="n">
        <v>0</v>
      </c>
      <c r="T397" s="173">
        <f>S397</f>
        <v/>
      </c>
      <c r="U397" s="397" t="n">
        <v>0</v>
      </c>
      <c r="V397" s="173">
        <f>U397</f>
        <v/>
      </c>
      <c r="W397" s="277" t="n"/>
      <c r="X397" s="173" t="n"/>
      <c r="Y397" s="183" t="n"/>
      <c r="Z397" s="370" t="n"/>
      <c r="AA397" s="173" t="inlineStr">
        <is>
          <t>Yes</t>
        </is>
      </c>
      <c r="AB397" s="170" t="inlineStr">
        <is>
          <t>Rent 5p paid annually on 25th March</t>
        </is>
      </c>
      <c r="AC397" s="313" t="n"/>
      <c r="AD397" s="170" t="n"/>
      <c r="AE397" s="289" t="n"/>
      <c r="AF397" s="170" t="n"/>
    </row>
    <row r="398">
      <c r="A398" s="11" t="inlineStr">
        <is>
          <t>WS</t>
        </is>
      </c>
      <c r="B398" s="11" t="inlineStr">
        <is>
          <t>OPG</t>
        </is>
      </c>
      <c r="C398" s="170" t="n">
        <v>800600</v>
      </c>
      <c r="D398" s="170" t="inlineStr">
        <is>
          <t>Welbeck House, 66/67 Wells Street</t>
        </is>
      </c>
      <c r="E398" s="170" t="inlineStr">
        <is>
          <t>Basement &amp; Ground (67), Rear (66/67) &amp; 1st Floor (R) 66.</t>
        </is>
      </c>
      <c r="F398" s="171" t="inlineStr">
        <is>
          <t>Retail / Offices</t>
        </is>
      </c>
      <c r="G398" s="173" t="n">
        <v>3356</v>
      </c>
      <c r="H398" s="182">
        <f>G398</f>
        <v/>
      </c>
      <c r="I398" s="182" t="n">
        <v>3500</v>
      </c>
      <c r="J398" s="117" t="inlineStr">
        <is>
          <t>Vacant</t>
        </is>
      </c>
      <c r="K398" s="174" t="n"/>
      <c r="L398" s="174" t="n"/>
      <c r="M398" s="174" t="n">
        <v>45457</v>
      </c>
      <c r="N398" s="174" t="n"/>
      <c r="O398" s="174" t="n"/>
      <c r="P398" s="173" t="n">
        <v>0</v>
      </c>
      <c r="Q398" s="173">
        <f>P398</f>
        <v/>
      </c>
      <c r="R398" s="10" t="n"/>
      <c r="S398" s="173" t="n">
        <v>174600</v>
      </c>
      <c r="T398" s="173">
        <f>S398</f>
        <v/>
      </c>
      <c r="U398" s="397" t="n">
        <v>177700</v>
      </c>
      <c r="V398" s="173">
        <f>U398</f>
        <v/>
      </c>
      <c r="W398" s="277">
        <f>S398/G398</f>
        <v/>
      </c>
      <c r="X398" s="173" t="inlineStr">
        <is>
          <t>B</t>
        </is>
      </c>
      <c r="Y398" s="183" t="n"/>
      <c r="Z398" s="370" t="n"/>
      <c r="AA398" s="173" t="inlineStr">
        <is>
          <t>No</t>
        </is>
      </c>
      <c r="AB398" s="170" t="n"/>
      <c r="AC398" s="313" t="n">
        <v>45</v>
      </c>
      <c r="AD398" s="170" t="n">
        <v>2</v>
      </c>
      <c r="AE398" s="289" t="n">
        <v>2</v>
      </c>
      <c r="AF398" s="170" t="inlineStr">
        <is>
          <t>LEM</t>
        </is>
      </c>
    </row>
    <row r="399">
      <c r="A399" s="11" t="inlineStr">
        <is>
          <t>WS</t>
        </is>
      </c>
      <c r="B399" s="11" t="inlineStr">
        <is>
          <t>OPG</t>
        </is>
      </c>
      <c r="C399" s="170" t="n">
        <v>800600</v>
      </c>
      <c r="D399" s="170" t="inlineStr">
        <is>
          <t>Welbeck House, 66/67 Wells Street</t>
        </is>
      </c>
      <c r="E399" s="170" t="inlineStr">
        <is>
          <t>Basement &amp; Ground (66)</t>
        </is>
      </c>
      <c r="F399" s="171" t="inlineStr">
        <is>
          <t>Shop</t>
        </is>
      </c>
      <c r="G399" s="173" t="n">
        <v>1157</v>
      </c>
      <c r="H399" s="182">
        <f>G399</f>
        <v/>
      </c>
      <c r="I399" s="182" t="n">
        <v>1000</v>
      </c>
      <c r="J399" s="117" t="inlineStr">
        <is>
          <t>Noble Furs (Regent Street) Ltd</t>
        </is>
      </c>
      <c r="K399" s="174" t="n">
        <v>45230</v>
      </c>
      <c r="L399" s="174" t="n">
        <v>46325</v>
      </c>
      <c r="M399" s="174" t="n"/>
      <c r="N399" s="174" t="n"/>
      <c r="O399" s="174" t="n"/>
      <c r="P399" s="173" t="n">
        <v>46000</v>
      </c>
      <c r="Q399" s="173">
        <f>P399</f>
        <v/>
      </c>
      <c r="R399" s="10" t="n"/>
      <c r="S399" s="173" t="n">
        <v>52800</v>
      </c>
      <c r="T399" s="173">
        <f>S399</f>
        <v/>
      </c>
      <c r="U399" s="397" t="n">
        <v>52800</v>
      </c>
      <c r="V399" s="173">
        <f>U399</f>
        <v/>
      </c>
      <c r="W399" s="277">
        <f>S399/G399</f>
        <v/>
      </c>
      <c r="X399" s="173" t="inlineStr">
        <is>
          <t>D</t>
        </is>
      </c>
      <c r="Y399" s="183" t="n"/>
      <c r="Z399" s="370" t="n"/>
      <c r="AA399" s="173" t="inlineStr">
        <is>
          <t>No</t>
        </is>
      </c>
      <c r="AB399" s="170" t="inlineStr">
        <is>
          <t xml:space="preserve">Further 2 months rent free @ 31/10/25. Rent rises to £50,600 wef 31/12/25. Mutual break on 3 months notice. </t>
        </is>
      </c>
      <c r="AC399" s="313" t="n"/>
      <c r="AD399" s="170" t="n"/>
      <c r="AE399" s="289" t="n"/>
      <c r="AF399" s="170" t="n"/>
    </row>
    <row r="400">
      <c r="A400" s="11" t="inlineStr">
        <is>
          <t>WS</t>
        </is>
      </c>
      <c r="B400" s="11" t="inlineStr">
        <is>
          <t>OPG</t>
        </is>
      </c>
      <c r="C400" s="170" t="n">
        <v>800600</v>
      </c>
      <c r="D400" s="170" t="inlineStr">
        <is>
          <t>Welbeck House, 66/67 Wells Street</t>
        </is>
      </c>
      <c r="E400" s="170" t="inlineStr">
        <is>
          <t>First Floor (Front)</t>
        </is>
      </c>
      <c r="F400" s="171" t="inlineStr">
        <is>
          <t>Offices</t>
        </is>
      </c>
      <c r="G400" s="173" t="n">
        <v>1015</v>
      </c>
      <c r="H400" s="182">
        <f>G400</f>
        <v/>
      </c>
      <c r="I400" s="182" t="n">
        <v>1000</v>
      </c>
      <c r="J400" s="117" t="inlineStr">
        <is>
          <t>Vacant</t>
        </is>
      </c>
      <c r="K400" s="174" t="n"/>
      <c r="L400" s="174" t="n"/>
      <c r="M400" s="174" t="n">
        <v>43840</v>
      </c>
      <c r="N400" s="174" t="n"/>
      <c r="O400" s="174" t="n"/>
      <c r="P400" s="173" t="n">
        <v>0</v>
      </c>
      <c r="Q400" s="173">
        <f>P400</f>
        <v/>
      </c>
      <c r="R400" s="10" t="n"/>
      <c r="S400" s="173" t="n">
        <v>53300</v>
      </c>
      <c r="T400" s="173">
        <f>S400</f>
        <v/>
      </c>
      <c r="U400" s="397" t="n">
        <v>53300</v>
      </c>
      <c r="V400" s="173">
        <f>U400</f>
        <v/>
      </c>
      <c r="W400" s="277">
        <f>S400/G400</f>
        <v/>
      </c>
      <c r="X400" s="173" t="inlineStr">
        <is>
          <t>D</t>
        </is>
      </c>
      <c r="Y400" s="183" t="n"/>
      <c r="Z400" s="370" t="n"/>
      <c r="AA400" s="173" t="inlineStr">
        <is>
          <t>No</t>
        </is>
      </c>
      <c r="AB400" s="4" t="inlineStr">
        <is>
          <t>Mothballed.</t>
        </is>
      </c>
      <c r="AC400" s="303" t="n"/>
      <c r="AD400" s="29" t="n"/>
      <c r="AE400" s="279" t="n"/>
      <c r="AF400" s="29" t="n"/>
    </row>
    <row r="401">
      <c r="A401" s="11" t="inlineStr">
        <is>
          <t>WS</t>
        </is>
      </c>
      <c r="B401" s="11" t="inlineStr">
        <is>
          <t>OPG</t>
        </is>
      </c>
      <c r="C401" s="170" t="n">
        <v>800600</v>
      </c>
      <c r="D401" s="170" t="inlineStr">
        <is>
          <t>Welbeck House, 66/67 Wells Street</t>
        </is>
      </c>
      <c r="E401" s="170" t="inlineStr">
        <is>
          <t>First Floor (Rear)</t>
        </is>
      </c>
      <c r="F401" s="171" t="inlineStr">
        <is>
          <t>Offices</t>
        </is>
      </c>
      <c r="G401" s="173" t="n">
        <v>250</v>
      </c>
      <c r="H401" s="182">
        <f>G401</f>
        <v/>
      </c>
      <c r="I401" s="182" t="n">
        <v>250</v>
      </c>
      <c r="J401" s="117" t="inlineStr">
        <is>
          <t>Vacant</t>
        </is>
      </c>
      <c r="K401" s="174" t="n"/>
      <c r="L401" s="174" t="n"/>
      <c r="M401" s="174" t="n">
        <v>45682</v>
      </c>
      <c r="N401" s="174" t="n"/>
      <c r="O401" s="174" t="n"/>
      <c r="P401" s="173" t="n">
        <v>0</v>
      </c>
      <c r="Q401" s="173">
        <f>P401</f>
        <v/>
      </c>
      <c r="R401" s="10" t="n"/>
      <c r="S401" s="173" t="n">
        <v>14500</v>
      </c>
      <c r="T401" s="173">
        <f>S401</f>
        <v/>
      </c>
      <c r="U401" s="397" t="n">
        <v>14500</v>
      </c>
      <c r="V401" s="173">
        <f>U401</f>
        <v/>
      </c>
      <c r="W401" s="277">
        <f>S401/G401</f>
        <v/>
      </c>
      <c r="X401" s="173" t="inlineStr">
        <is>
          <t>D</t>
        </is>
      </c>
      <c r="Y401" s="183" t="n"/>
      <c r="Z401" s="370" t="n"/>
      <c r="AA401" s="173" t="inlineStr">
        <is>
          <t>No</t>
        </is>
      </c>
      <c r="AB401" s="170" t="inlineStr">
        <is>
          <t>LEM marketing.</t>
        </is>
      </c>
      <c r="AC401" s="313" t="n"/>
      <c r="AD401" s="170" t="n"/>
      <c r="AE401" s="289" t="n"/>
      <c r="AF401" s="170" t="n"/>
    </row>
    <row r="402">
      <c r="A402" s="11" t="inlineStr">
        <is>
          <t>WS</t>
        </is>
      </c>
      <c r="B402" s="11" t="inlineStr">
        <is>
          <t>OPG</t>
        </is>
      </c>
      <c r="C402" s="170" t="n">
        <v>800600</v>
      </c>
      <c r="D402" s="170" t="inlineStr">
        <is>
          <t>Welbeck House, 66/67 Wells Street</t>
        </is>
      </c>
      <c r="E402" s="170" t="inlineStr">
        <is>
          <t>Second Floor (Front)</t>
        </is>
      </c>
      <c r="F402" s="171" t="inlineStr">
        <is>
          <t>Offices</t>
        </is>
      </c>
      <c r="G402" s="173" t="n">
        <v>1026</v>
      </c>
      <c r="H402" s="182">
        <f>G402</f>
        <v/>
      </c>
      <c r="I402" s="182" t="n">
        <v>1000</v>
      </c>
      <c r="J402" s="117" t="inlineStr">
        <is>
          <t>Vacant</t>
        </is>
      </c>
      <c r="K402" s="174" t="n"/>
      <c r="L402" s="174" t="n"/>
      <c r="M402" s="174" t="n">
        <v>44500</v>
      </c>
      <c r="N402" s="174" t="n"/>
      <c r="O402" s="174" t="n"/>
      <c r="P402" s="173" t="n">
        <v>0</v>
      </c>
      <c r="Q402" s="173">
        <f>P402</f>
        <v/>
      </c>
      <c r="R402" s="10" t="n"/>
      <c r="S402" s="173" t="n">
        <v>53900</v>
      </c>
      <c r="T402" s="173">
        <f>S402</f>
        <v/>
      </c>
      <c r="U402" s="397" t="n">
        <v>53900</v>
      </c>
      <c r="V402" s="173">
        <f>U402</f>
        <v/>
      </c>
      <c r="W402" s="277">
        <f>S402/G402</f>
        <v/>
      </c>
      <c r="X402" s="173" t="inlineStr">
        <is>
          <t>C</t>
        </is>
      </c>
      <c r="Y402" s="183" t="n"/>
      <c r="Z402" s="370" t="n"/>
      <c r="AA402" s="173" t="inlineStr">
        <is>
          <t>No</t>
        </is>
      </c>
      <c r="AB402" s="4" t="inlineStr">
        <is>
          <t>Mothballed.</t>
        </is>
      </c>
      <c r="AC402" s="303" t="n"/>
      <c r="AD402" s="29" t="n"/>
      <c r="AE402" s="279" t="n"/>
      <c r="AF402" s="29" t="n"/>
    </row>
    <row r="403">
      <c r="A403" s="11" t="inlineStr">
        <is>
          <t>WS</t>
        </is>
      </c>
      <c r="B403" s="11" t="inlineStr">
        <is>
          <t>OPG</t>
        </is>
      </c>
      <c r="C403" s="170" t="n">
        <v>800600</v>
      </c>
      <c r="D403" s="170" t="inlineStr">
        <is>
          <t>Welbeck House, 66/67 Wells Street</t>
        </is>
      </c>
      <c r="E403" s="170" t="inlineStr">
        <is>
          <t>Second Floor (Rear)</t>
        </is>
      </c>
      <c r="F403" s="171" t="inlineStr">
        <is>
          <t>Offices</t>
        </is>
      </c>
      <c r="G403" s="173" t="n">
        <v>242</v>
      </c>
      <c r="H403" s="182">
        <f>G403</f>
        <v/>
      </c>
      <c r="I403" s="182" t="n">
        <v>250</v>
      </c>
      <c r="J403" s="117" t="inlineStr">
        <is>
          <t>Vacant</t>
        </is>
      </c>
      <c r="K403" s="174" t="n"/>
      <c r="L403" s="174" t="n"/>
      <c r="M403" s="174" t="n">
        <v>44135</v>
      </c>
      <c r="N403" s="174" t="n"/>
      <c r="O403" s="174" t="n"/>
      <c r="P403" s="173" t="n">
        <v>0</v>
      </c>
      <c r="Q403" s="173">
        <f>P403</f>
        <v/>
      </c>
      <c r="R403" s="10" t="n"/>
      <c r="S403" s="173" t="n">
        <v>14000</v>
      </c>
      <c r="T403" s="173">
        <f>S403</f>
        <v/>
      </c>
      <c r="U403" s="397" t="n">
        <v>14000</v>
      </c>
      <c r="V403" s="173">
        <f>U403</f>
        <v/>
      </c>
      <c r="W403" s="277">
        <f>S403/G403</f>
        <v/>
      </c>
      <c r="X403" s="173" t="inlineStr">
        <is>
          <t>E</t>
        </is>
      </c>
      <c r="Y403" s="183" t="n"/>
      <c r="Z403" s="370" t="n"/>
      <c r="AA403" s="173" t="inlineStr">
        <is>
          <t>No</t>
        </is>
      </c>
      <c r="AB403" s="4" t="inlineStr">
        <is>
          <t>Mothballed.</t>
        </is>
      </c>
      <c r="AC403" s="303" t="n"/>
      <c r="AD403" s="29" t="n"/>
      <c r="AE403" s="279" t="n"/>
      <c r="AF403" s="29" t="n"/>
    </row>
    <row r="404">
      <c r="A404" s="11" t="inlineStr">
        <is>
          <t>WS</t>
        </is>
      </c>
      <c r="B404" s="11" t="inlineStr">
        <is>
          <t>OPG</t>
        </is>
      </c>
      <c r="C404" s="170" t="n">
        <v>800600</v>
      </c>
      <c r="D404" s="170" t="inlineStr">
        <is>
          <t>Welbeck House, 66/67 Wells Street</t>
        </is>
      </c>
      <c r="E404" s="170" t="inlineStr">
        <is>
          <t>Third Floor</t>
        </is>
      </c>
      <c r="F404" s="171" t="inlineStr">
        <is>
          <t>Offices</t>
        </is>
      </c>
      <c r="G404" s="173" t="n">
        <v>1028</v>
      </c>
      <c r="H404" s="182">
        <f>G404</f>
        <v/>
      </c>
      <c r="I404" s="182" t="n">
        <v>1000</v>
      </c>
      <c r="J404" s="117" t="inlineStr">
        <is>
          <t>Investments Services UK Ltd</t>
        </is>
      </c>
      <c r="K404" s="174" t="n">
        <v>44135</v>
      </c>
      <c r="L404" s="174" t="n">
        <v>45960</v>
      </c>
      <c r="M404" s="174" t="n"/>
      <c r="N404" s="174" t="n"/>
      <c r="O404" s="174" t="n"/>
      <c r="P404" s="173" t="n">
        <v>52572</v>
      </c>
      <c r="Q404" s="173">
        <f>P404</f>
        <v/>
      </c>
      <c r="R404" s="10" t="n"/>
      <c r="S404" s="173" t="n">
        <v>51400</v>
      </c>
      <c r="T404" s="173">
        <f>S404</f>
        <v/>
      </c>
      <c r="U404" s="397" t="n">
        <v>51400</v>
      </c>
      <c r="V404" s="173">
        <f>U404</f>
        <v/>
      </c>
      <c r="W404" s="277">
        <f>S404/G404</f>
        <v/>
      </c>
      <c r="X404" s="173" t="inlineStr">
        <is>
          <t>D</t>
        </is>
      </c>
      <c r="Y404" s="183" t="n"/>
      <c r="Z404" s="370" t="n"/>
      <c r="AA404" s="173" t="inlineStr">
        <is>
          <t>No</t>
        </is>
      </c>
      <c r="AB404" s="4" t="inlineStr">
        <is>
          <t>Mothballed.</t>
        </is>
      </c>
      <c r="AC404" s="303" t="n"/>
      <c r="AD404" s="29" t="n"/>
      <c r="AE404" s="279" t="n"/>
      <c r="AF404" s="29" t="n"/>
    </row>
    <row r="405">
      <c r="A405" s="11" t="inlineStr">
        <is>
          <t>WS</t>
        </is>
      </c>
      <c r="B405" s="11" t="inlineStr">
        <is>
          <t>OPG</t>
        </is>
      </c>
      <c r="C405" s="170" t="n">
        <v>800600</v>
      </c>
      <c r="D405" s="170" t="inlineStr">
        <is>
          <t>Welbeck House, 66/67 Wells Street</t>
        </is>
      </c>
      <c r="E405" s="170" t="inlineStr">
        <is>
          <t>Fourth Floor</t>
        </is>
      </c>
      <c r="F405" s="171" t="inlineStr">
        <is>
          <t>Offices</t>
        </is>
      </c>
      <c r="G405" s="173" t="n">
        <v>834</v>
      </c>
      <c r="H405" s="182">
        <f>G405</f>
        <v/>
      </c>
      <c r="I405" s="182" t="n">
        <v>1000</v>
      </c>
      <c r="J405" s="117" t="inlineStr">
        <is>
          <t>Vacant</t>
        </is>
      </c>
      <c r="K405" s="174" t="n"/>
      <c r="L405" s="174" t="n"/>
      <c r="M405" s="174" t="n">
        <v>43840</v>
      </c>
      <c r="N405" s="174" t="n"/>
      <c r="O405" s="174" t="n"/>
      <c r="P405" s="173" t="n">
        <v>0</v>
      </c>
      <c r="Q405" s="173">
        <f>P405</f>
        <v/>
      </c>
      <c r="R405" s="10" t="n"/>
      <c r="S405" s="173" t="n">
        <v>43800</v>
      </c>
      <c r="T405" s="173">
        <f>S405</f>
        <v/>
      </c>
      <c r="U405" s="397" t="n">
        <v>43800</v>
      </c>
      <c r="V405" s="173">
        <f>U405</f>
        <v/>
      </c>
      <c r="W405" s="277">
        <f>S405/G405</f>
        <v/>
      </c>
      <c r="X405" s="173" t="inlineStr">
        <is>
          <t>D</t>
        </is>
      </c>
      <c r="Y405" s="183" t="n"/>
      <c r="Z405" s="370" t="n"/>
      <c r="AA405" s="173" t="inlineStr">
        <is>
          <t>No</t>
        </is>
      </c>
      <c r="AB405" s="4" t="inlineStr">
        <is>
          <t>Mothballed.</t>
        </is>
      </c>
      <c r="AC405" s="303" t="n"/>
      <c r="AD405" s="29" t="n"/>
      <c r="AE405" s="279" t="n"/>
      <c r="AF405" s="29" t="n"/>
    </row>
    <row r="406">
      <c r="A406" s="11" t="inlineStr">
        <is>
          <t>CD</t>
        </is>
      </c>
      <c r="B406" s="11" t="inlineStr">
        <is>
          <t>PEL</t>
        </is>
      </c>
      <c r="C406" s="170" t="n">
        <v>111010</v>
      </c>
      <c r="D406" s="170" t="inlineStr">
        <is>
          <t>32-36 Great Portland Street</t>
        </is>
      </c>
      <c r="E406" s="170" t="inlineStr">
        <is>
          <t>Ground Floor &amp; Basement</t>
        </is>
      </c>
      <c r="F406" s="178" t="inlineStr">
        <is>
          <t>Retail / Showroom</t>
        </is>
      </c>
      <c r="G406" s="173" t="n">
        <v>4289</v>
      </c>
      <c r="H406" s="173">
        <f>G406</f>
        <v/>
      </c>
      <c r="I406" s="173" t="n">
        <v>4250</v>
      </c>
      <c r="J406" s="117" t="inlineStr">
        <is>
          <t>Prenuvo Ltd</t>
        </is>
      </c>
      <c r="K406" s="174" t="n">
        <v>45510</v>
      </c>
      <c r="L406" s="174" t="n">
        <v>50987</v>
      </c>
      <c r="M406" s="174" t="n"/>
      <c r="N406" s="174" t="n">
        <v>47336</v>
      </c>
      <c r="O406" s="174" t="n">
        <v>49162</v>
      </c>
      <c r="P406" s="173" t="n">
        <v>110000</v>
      </c>
      <c r="Q406" s="173">
        <f>P406</f>
        <v/>
      </c>
      <c r="R406" s="10" t="n"/>
      <c r="S406" s="173" t="n">
        <v>220100</v>
      </c>
      <c r="T406" s="173">
        <f>S406</f>
        <v/>
      </c>
      <c r="U406" s="397" t="n">
        <v>220100</v>
      </c>
      <c r="V406" s="173">
        <f>U406</f>
        <v/>
      </c>
      <c r="W406" s="277">
        <f>S406/G406</f>
        <v/>
      </c>
      <c r="X406" s="173" t="inlineStr">
        <is>
          <t>C</t>
        </is>
      </c>
      <c r="Y406" s="177" t="inlineStr">
        <is>
          <t>*</t>
        </is>
      </c>
      <c r="Z406" s="371" t="n"/>
      <c r="AA406" s="173" t="inlineStr">
        <is>
          <t>No</t>
        </is>
      </c>
      <c r="AB406" s="170" t="inlineStr">
        <is>
          <t>Rent increasing to £220,000 wef 18/01/26. Tenant break on 6 months notice.</t>
        </is>
      </c>
      <c r="AC406" s="313" t="n"/>
      <c r="AD406" s="225" t="n"/>
      <c r="AE406" s="293" t="n"/>
      <c r="AF406" s="298" t="n"/>
    </row>
    <row r="407">
      <c r="A407" s="11" t="inlineStr">
        <is>
          <t>CD</t>
        </is>
      </c>
      <c r="B407" s="11" t="inlineStr">
        <is>
          <t>PEL</t>
        </is>
      </c>
      <c r="C407" s="170" t="n">
        <v>111010</v>
      </c>
      <c r="D407" s="170" t="inlineStr">
        <is>
          <t>32-36 Great Portland Street</t>
        </is>
      </c>
      <c r="E407" s="170" t="inlineStr">
        <is>
          <t>First Floor</t>
        </is>
      </c>
      <c r="F407" s="171" t="inlineStr">
        <is>
          <t>Offices</t>
        </is>
      </c>
      <c r="G407" s="173" t="n">
        <v>2279</v>
      </c>
      <c r="H407" s="173">
        <f>G407</f>
        <v/>
      </c>
      <c r="I407" s="173" t="n">
        <v>2250</v>
      </c>
      <c r="J407" s="117" t="inlineStr">
        <is>
          <t>Vacant</t>
        </is>
      </c>
      <c r="K407" s="174" t="n"/>
      <c r="L407" s="174" t="n"/>
      <c r="M407" s="174" t="n">
        <v>44577</v>
      </c>
      <c r="N407" s="174" t="n"/>
      <c r="O407" s="174" t="n"/>
      <c r="P407" s="173" t="n">
        <v>0</v>
      </c>
      <c r="Q407" s="173">
        <f>P407</f>
        <v/>
      </c>
      <c r="R407" s="10" t="n"/>
      <c r="S407" s="173" t="n"/>
      <c r="T407" s="173">
        <f>S407</f>
        <v/>
      </c>
      <c r="U407" s="397" t="n">
        <v>159500</v>
      </c>
      <c r="V407" s="173">
        <f>U407</f>
        <v/>
      </c>
      <c r="W407" s="277">
        <f>S407/G407</f>
        <v/>
      </c>
      <c r="X407" s="173" t="inlineStr">
        <is>
          <t>C</t>
        </is>
      </c>
      <c r="Y407" s="177" t="inlineStr">
        <is>
          <t>*</t>
        </is>
      </c>
      <c r="Z407" s="371" t="n"/>
      <c r="AA407" s="173" t="inlineStr">
        <is>
          <t>No</t>
        </is>
      </c>
      <c r="AB407" s="170" t="inlineStr">
        <is>
          <t>LEM marketing.</t>
        </is>
      </c>
      <c r="AC407" s="313" t="n">
        <v>75</v>
      </c>
      <c r="AD407" s="170" t="n">
        <v>1</v>
      </c>
      <c r="AE407" s="289" t="n">
        <v>1</v>
      </c>
      <c r="AF407" s="153" t="inlineStr">
        <is>
          <t>LEM</t>
        </is>
      </c>
    </row>
    <row r="408">
      <c r="A408" s="11" t="inlineStr">
        <is>
          <t>CD</t>
        </is>
      </c>
      <c r="B408" s="11" t="inlineStr">
        <is>
          <t>PEL</t>
        </is>
      </c>
      <c r="C408" s="170" t="n">
        <v>111010</v>
      </c>
      <c r="D408" s="170" t="inlineStr">
        <is>
          <t>32-36 Great Portland Street</t>
        </is>
      </c>
      <c r="E408" s="170" t="inlineStr">
        <is>
          <t>Second Floor</t>
        </is>
      </c>
      <c r="F408" s="171" t="inlineStr">
        <is>
          <t>Offices</t>
        </is>
      </c>
      <c r="G408" s="173" t="n">
        <v>1640</v>
      </c>
      <c r="H408" s="173">
        <f>G408</f>
        <v/>
      </c>
      <c r="I408" s="173" t="n">
        <v>1500</v>
      </c>
      <c r="J408" s="117" t="inlineStr">
        <is>
          <t>AdMaxim Limited</t>
        </is>
      </c>
      <c r="K408" s="174" t="n">
        <v>44710</v>
      </c>
      <c r="L408" s="174" t="n">
        <v>45805</v>
      </c>
      <c r="M408" s="174" t="n"/>
      <c r="N408" s="174" t="n"/>
      <c r="O408" s="174" t="n"/>
      <c r="P408" s="173" t="n">
        <v>101000</v>
      </c>
      <c r="Q408" s="173">
        <f>P408</f>
        <v/>
      </c>
      <c r="R408" s="10" t="n"/>
      <c r="S408" s="173" t="n">
        <v>104100</v>
      </c>
      <c r="T408" s="173">
        <f>S408</f>
        <v/>
      </c>
      <c r="U408" s="397" t="n">
        <v>114800</v>
      </c>
      <c r="V408" s="173">
        <f>U408</f>
        <v/>
      </c>
      <c r="W408" s="277">
        <f>S408/G408</f>
        <v/>
      </c>
      <c r="X408" s="173" t="inlineStr">
        <is>
          <t>C</t>
        </is>
      </c>
      <c r="Y408" s="177" t="inlineStr">
        <is>
          <t>*</t>
        </is>
      </c>
      <c r="Z408" s="371" t="n"/>
      <c r="AA408" s="173" t="inlineStr">
        <is>
          <t>No</t>
        </is>
      </c>
      <c r="AB408" s="170" t="inlineStr">
        <is>
          <t>Lease renewal completion imminent.</t>
        </is>
      </c>
      <c r="AD408" s="170" t="n"/>
      <c r="AE408" s="289" t="n"/>
      <c r="AF408" s="153" t="n"/>
    </row>
    <row r="409">
      <c r="A409" s="11" t="inlineStr">
        <is>
          <t>CD</t>
        </is>
      </c>
      <c r="B409" s="11" t="inlineStr">
        <is>
          <t>PEL</t>
        </is>
      </c>
      <c r="C409" s="170" t="n">
        <v>111010</v>
      </c>
      <c r="D409" s="170" t="inlineStr">
        <is>
          <t>32-36 Great Portland Street</t>
        </is>
      </c>
      <c r="E409" s="170" t="inlineStr">
        <is>
          <t>Third Floor</t>
        </is>
      </c>
      <c r="F409" s="171" t="inlineStr">
        <is>
          <t>Offices</t>
        </is>
      </c>
      <c r="G409" s="173" t="n">
        <v>1641</v>
      </c>
      <c r="H409" s="173">
        <f>G409</f>
        <v/>
      </c>
      <c r="I409" s="173" t="n">
        <v>1500</v>
      </c>
      <c r="J409" s="117" t="inlineStr">
        <is>
          <t>Vacant</t>
        </is>
      </c>
      <c r="K409" s="174" t="n"/>
      <c r="L409" s="174" t="n"/>
      <c r="M409" s="174" t="n">
        <v>44603</v>
      </c>
      <c r="N409" s="174" t="n"/>
      <c r="O409" s="174" t="n"/>
      <c r="P409" s="173" t="n">
        <v>0</v>
      </c>
      <c r="Q409" s="173">
        <f>P409</f>
        <v/>
      </c>
      <c r="R409" s="10" t="n"/>
      <c r="S409" s="173" t="n">
        <v>120000</v>
      </c>
      <c r="T409" s="173">
        <f>S409</f>
        <v/>
      </c>
      <c r="U409" s="397" t="n">
        <v>114900</v>
      </c>
      <c r="V409" s="173">
        <f>U409</f>
        <v/>
      </c>
      <c r="W409" s="277">
        <f>S409/G409</f>
        <v/>
      </c>
      <c r="X409" s="173" t="inlineStr">
        <is>
          <t>C</t>
        </is>
      </c>
      <c r="Y409" s="177" t="inlineStr">
        <is>
          <t>*</t>
        </is>
      </c>
      <c r="Z409" s="371" t="n"/>
      <c r="AA409" s="173" t="inlineStr">
        <is>
          <t>No</t>
        </is>
      </c>
      <c r="AB409" s="170" t="inlineStr">
        <is>
          <t>LEM marketing.</t>
        </is>
      </c>
      <c r="AC409" s="313" t="n">
        <v>75</v>
      </c>
      <c r="AD409" s="170" t="n">
        <v>1</v>
      </c>
      <c r="AE409" s="289" t="n">
        <v>1</v>
      </c>
      <c r="AF409" s="153" t="inlineStr">
        <is>
          <t>LEM</t>
        </is>
      </c>
    </row>
    <row r="410">
      <c r="A410" s="11" t="inlineStr">
        <is>
          <t>CD</t>
        </is>
      </c>
      <c r="B410" s="11" t="inlineStr">
        <is>
          <t>PEL</t>
        </is>
      </c>
      <c r="C410" s="170" t="n">
        <v>111010</v>
      </c>
      <c r="D410" s="170" t="inlineStr">
        <is>
          <t>32-36 Great Portland Street</t>
        </is>
      </c>
      <c r="E410" s="170" t="inlineStr">
        <is>
          <t xml:space="preserve">Fourth Floor </t>
        </is>
      </c>
      <c r="F410" s="171" t="inlineStr">
        <is>
          <t>Offices</t>
        </is>
      </c>
      <c r="G410" s="173" t="n">
        <v>1636</v>
      </c>
      <c r="H410" s="173">
        <f>G410</f>
        <v/>
      </c>
      <c r="I410" s="173" t="n">
        <v>1500</v>
      </c>
      <c r="J410" s="117" t="inlineStr">
        <is>
          <t>Vacant</t>
        </is>
      </c>
      <c r="K410" s="174" t="n"/>
      <c r="L410" s="174" t="n"/>
      <c r="M410" s="174" t="n">
        <v>45579</v>
      </c>
      <c r="N410" s="174" t="n"/>
      <c r="O410" s="174" t="n"/>
      <c r="P410" s="173" t="n">
        <v>0</v>
      </c>
      <c r="Q410" s="173">
        <f>P410</f>
        <v/>
      </c>
      <c r="R410" s="10" t="n"/>
      <c r="S410" s="173" t="n">
        <v>103900</v>
      </c>
      <c r="T410" s="173">
        <f>S410</f>
        <v/>
      </c>
      <c r="U410" s="397" t="n">
        <v>118600</v>
      </c>
      <c r="V410" s="173">
        <f>U410</f>
        <v/>
      </c>
      <c r="W410" s="277">
        <f>S410/G410</f>
        <v/>
      </c>
      <c r="X410" s="173" t="inlineStr">
        <is>
          <t>B</t>
        </is>
      </c>
      <c r="Y410" s="177" t="inlineStr">
        <is>
          <t>*</t>
        </is>
      </c>
      <c r="Z410" s="371" t="n"/>
      <c r="AA410" s="173" t="inlineStr">
        <is>
          <t>No</t>
        </is>
      </c>
      <c r="AB410" s="170" t="inlineStr">
        <is>
          <t>LEM marketing.</t>
        </is>
      </c>
      <c r="AC410" s="313" t="n">
        <v>75</v>
      </c>
      <c r="AD410" s="170" t="n">
        <v>1</v>
      </c>
      <c r="AE410" s="289" t="n">
        <v>1</v>
      </c>
      <c r="AF410" s="153" t="inlineStr">
        <is>
          <t>LEM / LDG</t>
        </is>
      </c>
    </row>
    <row r="411">
      <c r="A411" s="11" t="inlineStr">
        <is>
          <t>CD</t>
        </is>
      </c>
      <c r="B411" s="11" t="inlineStr">
        <is>
          <t>PEL</t>
        </is>
      </c>
      <c r="C411" s="170" t="n">
        <v>111010</v>
      </c>
      <c r="D411" s="170" t="inlineStr">
        <is>
          <t>32-36 Great Portland Street</t>
        </is>
      </c>
      <c r="E411" s="170" t="inlineStr">
        <is>
          <t>Fifth Floor</t>
        </is>
      </c>
      <c r="F411" s="171" t="inlineStr">
        <is>
          <t>Offices</t>
        </is>
      </c>
      <c r="G411" s="173" t="n">
        <v>1536</v>
      </c>
      <c r="H411" s="173">
        <f>G411</f>
        <v/>
      </c>
      <c r="I411" s="173" t="n">
        <v>1500</v>
      </c>
      <c r="J411" s="117" t="inlineStr">
        <is>
          <t>Mackintosh Limited</t>
        </is>
      </c>
      <c r="K411" s="174" t="n">
        <v>45464</v>
      </c>
      <c r="L411" s="174" t="n">
        <v>49115</v>
      </c>
      <c r="M411" s="174" t="n"/>
      <c r="N411" s="174" t="n">
        <v>47290</v>
      </c>
      <c r="O411" s="174" t="n">
        <v>47289</v>
      </c>
      <c r="P411" s="173" t="n">
        <v>52745</v>
      </c>
      <c r="Q411" s="173">
        <f>P411</f>
        <v/>
      </c>
      <c r="R411" s="10" t="n"/>
      <c r="S411" s="173" t="n">
        <v>97500</v>
      </c>
      <c r="T411" s="173">
        <f>S411</f>
        <v/>
      </c>
      <c r="U411" s="397" t="n">
        <v>105200</v>
      </c>
      <c r="V411" s="173">
        <f>U411</f>
        <v/>
      </c>
      <c r="W411" s="277">
        <f>S411/G411</f>
        <v/>
      </c>
      <c r="X411" s="173" t="inlineStr">
        <is>
          <t>C</t>
        </is>
      </c>
      <c r="Y411" s="177" t="inlineStr">
        <is>
          <t>*</t>
        </is>
      </c>
      <c r="Z411" s="371" t="n"/>
      <c r="AA411" s="173" t="inlineStr">
        <is>
          <t>No</t>
        </is>
      </c>
      <c r="AB411" s="170" t="inlineStr">
        <is>
          <t>Rent increasing to £105,490 @ 21/10/26. Tenant break on 6 months notice.</t>
        </is>
      </c>
      <c r="AC411" s="313" t="n"/>
      <c r="AD411" s="170" t="n"/>
      <c r="AE411" s="289" t="n"/>
      <c r="AF411" s="153" t="n"/>
    </row>
    <row r="412">
      <c r="A412" s="11" t="inlineStr">
        <is>
          <t>CD</t>
        </is>
      </c>
      <c r="B412" s="1" t="inlineStr">
        <is>
          <t>OOS</t>
        </is>
      </c>
      <c r="C412" s="170" t="n">
        <v>888010</v>
      </c>
      <c r="D412" s="170" t="inlineStr">
        <is>
          <t>184-190 Oxford Street &amp; 28/30 Market Place</t>
        </is>
      </c>
      <c r="E412" s="170" t="inlineStr">
        <is>
          <t>184-188 Oxford Street (B, G &amp; 1st)</t>
        </is>
      </c>
      <c r="F412" s="171" t="inlineStr">
        <is>
          <t>Retail</t>
        </is>
      </c>
      <c r="G412" s="173" t="n">
        <v>5662</v>
      </c>
      <c r="H412" s="173">
        <f>G412</f>
        <v/>
      </c>
      <c r="I412" s="173" t="n">
        <v>5500</v>
      </c>
      <c r="J412" s="117" t="inlineStr">
        <is>
          <t>Airwair International Ltd</t>
        </is>
      </c>
      <c r="K412" s="174" t="n">
        <v>45192</v>
      </c>
      <c r="L412" s="174" t="n">
        <v>48844</v>
      </c>
      <c r="M412" s="174" t="n"/>
      <c r="N412" s="174" t="n">
        <v>47019</v>
      </c>
      <c r="O412" s="174" t="n">
        <v>47018</v>
      </c>
      <c r="P412" s="173" t="n">
        <v>325000</v>
      </c>
      <c r="Q412" s="173">
        <f>P412</f>
        <v/>
      </c>
      <c r="R412" s="173" t="n"/>
      <c r="S412" s="173" t="n">
        <v>650000</v>
      </c>
      <c r="T412" s="173">
        <f>S412</f>
        <v/>
      </c>
      <c r="U412" s="397" t="n">
        <v>1230000</v>
      </c>
      <c r="V412" s="173">
        <f>U412</f>
        <v/>
      </c>
      <c r="W412" s="277">
        <f>S412/G412</f>
        <v/>
      </c>
      <c r="X412" s="173" t="inlineStr">
        <is>
          <t>C</t>
        </is>
      </c>
      <c r="Y412" s="177" t="n"/>
      <c r="Z412" s="371" t="n"/>
      <c r="AA412" s="393" t="inlineStr">
        <is>
          <t>No</t>
        </is>
      </c>
      <c r="AB412" s="170" t="inlineStr">
        <is>
          <t>Rent rising to £650,000 wef 23/12/25. In addition, turnover rent payable if 10% turnover exceeds £650,000.</t>
        </is>
      </c>
      <c r="AC412" s="313" t="n"/>
      <c r="AD412" s="170" t="n"/>
      <c r="AE412" s="289" t="n"/>
      <c r="AF412" s="153" t="n"/>
    </row>
    <row r="413">
      <c r="A413" s="11" t="inlineStr">
        <is>
          <t>CD</t>
        </is>
      </c>
      <c r="B413" s="1" t="inlineStr">
        <is>
          <t>OOS</t>
        </is>
      </c>
      <c r="C413" s="170" t="n">
        <v>888010</v>
      </c>
      <c r="D413" s="170" t="inlineStr">
        <is>
          <t>184-190 Oxford Street &amp; 28/30 Market Place</t>
        </is>
      </c>
      <c r="E413" s="117" t="inlineStr">
        <is>
          <t>190 Oxford Street (B &amp; G)</t>
        </is>
      </c>
      <c r="F413" s="171" t="inlineStr">
        <is>
          <t>Retail</t>
        </is>
      </c>
      <c r="G413" s="173" t="n">
        <v>5350</v>
      </c>
      <c r="H413" s="173">
        <f>G413</f>
        <v/>
      </c>
      <c r="I413" s="173" t="n">
        <v>5500</v>
      </c>
      <c r="J413" s="117" t="inlineStr">
        <is>
          <t>Office Holdings Ltd</t>
        </is>
      </c>
      <c r="K413" s="174" t="n">
        <v>40651</v>
      </c>
      <c r="L413" s="174" t="n">
        <v>46129</v>
      </c>
      <c r="M413" s="174" t="n"/>
      <c r="N413" s="174" t="n">
        <v>44304</v>
      </c>
      <c r="O413" s="174" t="n"/>
      <c r="P413" s="173" t="n">
        <v>730000</v>
      </c>
      <c r="Q413" s="173">
        <f>P413</f>
        <v/>
      </c>
      <c r="R413" s="173" t="n"/>
      <c r="S413" s="173" t="n">
        <v>400000</v>
      </c>
      <c r="T413" s="173">
        <f>S413</f>
        <v/>
      </c>
      <c r="U413" s="397" t="n">
        <v>710000</v>
      </c>
      <c r="V413" s="173">
        <f>U413</f>
        <v/>
      </c>
      <c r="W413" s="277">
        <f>S413/G413</f>
        <v/>
      </c>
      <c r="X413" s="173" t="inlineStr">
        <is>
          <t>C</t>
        </is>
      </c>
      <c r="Y413" s="177" t="n"/>
      <c r="Z413" s="371" t="n"/>
      <c r="AA413" s="393" t="inlineStr">
        <is>
          <t>Yes</t>
        </is>
      </c>
      <c r="AB413" s="170" t="n"/>
      <c r="AC413" s="313" t="n"/>
      <c r="AD413" s="170" t="n"/>
      <c r="AE413" s="289" t="n"/>
      <c r="AF413" s="153" t="n"/>
    </row>
    <row r="414">
      <c r="A414" s="11" t="inlineStr">
        <is>
          <t>CD</t>
        </is>
      </c>
      <c r="B414" s="1" t="inlineStr">
        <is>
          <t>OOS</t>
        </is>
      </c>
      <c r="C414" s="170" t="n">
        <v>888010</v>
      </c>
      <c r="D414" s="170" t="inlineStr">
        <is>
          <t>184-190 Oxford Street &amp; 28/30 Market Place</t>
        </is>
      </c>
      <c r="E414" s="170" t="inlineStr">
        <is>
          <t>1st Floor, 28 Market Place</t>
        </is>
      </c>
      <c r="F414" s="171" t="inlineStr">
        <is>
          <t>Retail</t>
        </is>
      </c>
      <c r="G414" s="173" t="n">
        <v>2044</v>
      </c>
      <c r="H414" s="173">
        <f>G414</f>
        <v/>
      </c>
      <c r="I414" s="173" t="n">
        <v>2000</v>
      </c>
      <c r="J414" s="117" t="inlineStr">
        <is>
          <t>EP Commodities Ltd</t>
        </is>
      </c>
      <c r="K414" s="174" t="n">
        <v>42650</v>
      </c>
      <c r="L414" s="174" t="n">
        <v>46301</v>
      </c>
      <c r="M414" s="174" t="n"/>
      <c r="N414" s="174" t="n">
        <v>45885</v>
      </c>
      <c r="O414" s="174" t="n"/>
      <c r="P414" s="173" t="n">
        <v>115701</v>
      </c>
      <c r="Q414" s="173">
        <f>P414</f>
        <v/>
      </c>
      <c r="R414" s="173" t="n"/>
      <c r="S414" s="173" t="n">
        <v>110000</v>
      </c>
      <c r="T414" s="173">
        <f>S414</f>
        <v/>
      </c>
      <c r="U414" s="397" t="n">
        <v>112000</v>
      </c>
      <c r="V414" s="173">
        <f>U414</f>
        <v/>
      </c>
      <c r="W414" s="277">
        <f>S414/G414</f>
        <v/>
      </c>
      <c r="X414" s="173" t="inlineStr">
        <is>
          <t>B</t>
        </is>
      </c>
      <c r="Y414" s="177" t="n"/>
      <c r="Z414" s="371" t="n"/>
      <c r="AA414" s="393" t="inlineStr">
        <is>
          <t>No</t>
        </is>
      </c>
      <c r="AB414" s="170" t="inlineStr">
        <is>
          <t xml:space="preserve">Annual RPI rent increase (min 1%, max 4%). </t>
        </is>
      </c>
      <c r="AC414" s="313" t="n"/>
      <c r="AD414" s="170" t="n"/>
      <c r="AE414" s="289" t="n"/>
      <c r="AF414" s="153" t="n"/>
    </row>
    <row r="415">
      <c r="A415" s="11" t="inlineStr">
        <is>
          <t>CD</t>
        </is>
      </c>
      <c r="B415" s="1" t="inlineStr">
        <is>
          <t>OOS</t>
        </is>
      </c>
      <c r="C415" s="170" t="n">
        <v>888010</v>
      </c>
      <c r="D415" s="170" t="inlineStr">
        <is>
          <t>184-190 Oxford Street &amp; 28/30 Market Place</t>
        </is>
      </c>
      <c r="E415" s="170" t="inlineStr">
        <is>
          <t>2nd Floor, 30 Market Place</t>
        </is>
      </c>
      <c r="F415" s="171" t="inlineStr">
        <is>
          <t>Office</t>
        </is>
      </c>
      <c r="G415" s="173" t="n">
        <v>4463</v>
      </c>
      <c r="H415" s="173">
        <f>G415</f>
        <v/>
      </c>
      <c r="I415" s="173" t="n">
        <v>4500</v>
      </c>
      <c r="J415" s="117" t="inlineStr">
        <is>
          <t>Joint London Ltd</t>
        </is>
      </c>
      <c r="K415" s="174" t="n">
        <v>42286</v>
      </c>
      <c r="L415" s="174" t="n">
        <v>45938</v>
      </c>
      <c r="M415" s="174" t="n"/>
      <c r="N415" s="174" t="n">
        <v>44113</v>
      </c>
      <c r="O415" s="174" t="n"/>
      <c r="P415" s="173" t="n">
        <v>367290</v>
      </c>
      <c r="Q415" s="173">
        <f>P415</f>
        <v/>
      </c>
      <c r="R415" s="173" t="n"/>
      <c r="S415" s="173" t="n">
        <v>345000</v>
      </c>
      <c r="T415" s="173">
        <f>S415</f>
        <v/>
      </c>
      <c r="U415" s="397" t="n">
        <v>368000</v>
      </c>
      <c r="V415" s="173">
        <f>U415</f>
        <v/>
      </c>
      <c r="W415" s="277">
        <f>S415/G415</f>
        <v/>
      </c>
      <c r="X415" s="173" t="inlineStr">
        <is>
          <t>B</t>
        </is>
      </c>
      <c r="Y415" s="177" t="n"/>
      <c r="Z415" s="371" t="n"/>
      <c r="AA415" s="393" t="inlineStr">
        <is>
          <t>No</t>
        </is>
      </c>
      <c r="AB415" s="225" t="inlineStr">
        <is>
          <t>Reversionary lease completed. 5 year lease at £375,750 with 6 months rent free (to be taken as half rent). Tenant break after 3 years.</t>
        </is>
      </c>
      <c r="AC415" s="313" t="n"/>
      <c r="AD415" s="170" t="n"/>
      <c r="AE415" s="289" t="n"/>
      <c r="AF415" s="153" t="n"/>
    </row>
    <row r="416">
      <c r="A416" s="11" t="inlineStr">
        <is>
          <t>CD</t>
        </is>
      </c>
      <c r="B416" s="1" t="inlineStr">
        <is>
          <t>OOS</t>
        </is>
      </c>
      <c r="C416" s="170" t="n">
        <v>888010</v>
      </c>
      <c r="D416" s="170" t="inlineStr">
        <is>
          <t>184-190 Oxford Street &amp; 28/30 Market Place</t>
        </is>
      </c>
      <c r="E416" s="170" t="inlineStr">
        <is>
          <t>3rd Floor, 30 Market Place</t>
        </is>
      </c>
      <c r="F416" s="171" t="inlineStr">
        <is>
          <t>Office</t>
        </is>
      </c>
      <c r="G416" s="173" t="n">
        <v>4462</v>
      </c>
      <c r="H416" s="173">
        <f>G416</f>
        <v/>
      </c>
      <c r="I416" s="173" t="n">
        <v>4500</v>
      </c>
      <c r="J416" s="117" t="inlineStr">
        <is>
          <t>Vacant</t>
        </is>
      </c>
      <c r="K416" s="174" t="n"/>
      <c r="L416" s="174" t="n"/>
      <c r="M416" s="174" t="n">
        <v>45490</v>
      </c>
      <c r="N416" s="174" t="n"/>
      <c r="O416" s="174" t="n"/>
      <c r="P416" s="173" t="n">
        <v>0</v>
      </c>
      <c r="Q416" s="173">
        <f>P416</f>
        <v/>
      </c>
      <c r="R416" s="173" t="n"/>
      <c r="S416" s="173" t="n">
        <v>357800</v>
      </c>
      <c r="T416" s="173">
        <f>S416</f>
        <v/>
      </c>
      <c r="U416" s="397" t="n">
        <v>379000</v>
      </c>
      <c r="V416" s="173">
        <f>U416</f>
        <v/>
      </c>
      <c r="W416" s="277">
        <f>S416/G416</f>
        <v/>
      </c>
      <c r="X416" s="173" t="inlineStr">
        <is>
          <t>A</t>
        </is>
      </c>
      <c r="Y416" s="177" t="n"/>
      <c r="Z416" s="371" t="n"/>
      <c r="AA416" s="177" t="n"/>
      <c r="AB416" s="4" t="inlineStr">
        <is>
          <t>LEM marketing.</t>
        </is>
      </c>
      <c r="AC416" s="322" t="n">
        <v>85</v>
      </c>
      <c r="AD416" s="295" t="n">
        <v>1</v>
      </c>
      <c r="AE416" s="296" t="n">
        <v>4</v>
      </c>
      <c r="AF416" s="299" t="inlineStr">
        <is>
          <t>LEM / EC&amp;P</t>
        </is>
      </c>
    </row>
    <row r="417">
      <c r="A417" s="11" t="inlineStr">
        <is>
          <t>CD</t>
        </is>
      </c>
      <c r="B417" s="1" t="inlineStr">
        <is>
          <t>OOS</t>
        </is>
      </c>
      <c r="C417" s="170" t="n">
        <v>888010</v>
      </c>
      <c r="D417" s="170" t="inlineStr">
        <is>
          <t>184-190 Oxford Street &amp; 28/30 Market Place</t>
        </is>
      </c>
      <c r="E417" s="170" t="inlineStr">
        <is>
          <t>4th Floor, 30 Market Place</t>
        </is>
      </c>
      <c r="F417" s="171" t="inlineStr">
        <is>
          <t>Office</t>
        </is>
      </c>
      <c r="G417" s="173" t="n">
        <v>4250</v>
      </c>
      <c r="H417" s="173">
        <f>G417</f>
        <v/>
      </c>
      <c r="I417" s="173" t="n">
        <v>4500</v>
      </c>
      <c r="J417" s="117" t="inlineStr">
        <is>
          <t>Ascot Lloyd Ltd</t>
        </is>
      </c>
      <c r="K417" s="174" t="n">
        <v>45786</v>
      </c>
      <c r="L417" s="174" t="n">
        <v>49437</v>
      </c>
      <c r="M417" s="174" t="n"/>
      <c r="N417" s="174" t="n">
        <v>47612</v>
      </c>
      <c r="O417" s="174" t="n">
        <v>47611</v>
      </c>
      <c r="P417" s="173" t="n">
        <v>0</v>
      </c>
      <c r="Q417" s="173">
        <f>P417</f>
        <v/>
      </c>
      <c r="R417" s="173" t="n"/>
      <c r="S417" s="173" t="n">
        <v>358600</v>
      </c>
      <c r="T417" s="173">
        <f>S417</f>
        <v/>
      </c>
      <c r="U417" s="397" t="n">
        <v>361000</v>
      </c>
      <c r="V417" s="173">
        <f>U417</f>
        <v/>
      </c>
      <c r="W417" s="277">
        <f>S417/G417</f>
        <v/>
      </c>
      <c r="X417" s="173" t="inlineStr">
        <is>
          <t>A</t>
        </is>
      </c>
      <c r="Y417" s="177" t="n"/>
      <c r="Z417" s="371" t="n"/>
      <c r="AA417" s="177" t="n"/>
      <c r="AB417" s="170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C417" s="313" t="n">
        <v>85</v>
      </c>
      <c r="AD417" s="297" t="n">
        <v>1</v>
      </c>
      <c r="AE417" s="296" t="n">
        <v>3</v>
      </c>
      <c r="AF417" s="299" t="inlineStr">
        <is>
          <t>LEM / EC&amp;P</t>
        </is>
      </c>
    </row>
    <row r="418">
      <c r="A418" s="11" t="inlineStr">
        <is>
          <t>CD</t>
        </is>
      </c>
      <c r="B418" s="1" t="inlineStr">
        <is>
          <t>OOS</t>
        </is>
      </c>
      <c r="C418" s="170" t="n">
        <v>888010</v>
      </c>
      <c r="D418" s="170" t="inlineStr">
        <is>
          <t>184-190 Oxford Street &amp; 28/30 Market Place</t>
        </is>
      </c>
      <c r="E418" s="170" t="inlineStr">
        <is>
          <t>5th Floor, 30 Market Place</t>
        </is>
      </c>
      <c r="F418" s="171" t="inlineStr">
        <is>
          <t>Office</t>
        </is>
      </c>
      <c r="G418" s="173" t="n">
        <v>3999</v>
      </c>
      <c r="H418" s="173">
        <f>G418</f>
        <v/>
      </c>
      <c r="I418" s="173" t="n">
        <v>4000</v>
      </c>
      <c r="J418" s="117" t="inlineStr">
        <is>
          <t>Nchain Ltd</t>
        </is>
      </c>
      <c r="K418" s="174" t="n">
        <v>44183</v>
      </c>
      <c r="L418" s="174" t="n">
        <v>46373</v>
      </c>
      <c r="M418" s="174" t="n"/>
      <c r="N418" s="174" t="n"/>
      <c r="O418" s="174" t="n"/>
      <c r="P418" s="173" t="n">
        <v>348163</v>
      </c>
      <c r="Q418" s="173">
        <f>P418</f>
        <v/>
      </c>
      <c r="R418" s="173" t="n"/>
      <c r="S418" s="173" t="n">
        <v>352000</v>
      </c>
      <c r="T418" s="173">
        <f>S418</f>
        <v/>
      </c>
      <c r="U418" s="397" t="n">
        <v>350000</v>
      </c>
      <c r="V418" s="173">
        <f>U418</f>
        <v/>
      </c>
      <c r="W418" s="277">
        <f>S418/G418</f>
        <v/>
      </c>
      <c r="X418" s="173" t="inlineStr">
        <is>
          <t>B</t>
        </is>
      </c>
      <c r="Y418" s="177" t="n"/>
      <c r="Z418" s="371" t="n"/>
      <c r="AA418" s="393" t="inlineStr">
        <is>
          <t>No</t>
        </is>
      </c>
      <c r="AB418" s="170" t="inlineStr">
        <is>
          <t>Rent review @ 18/12/25 documented at passing rent.</t>
        </is>
      </c>
      <c r="AC418" s="313" t="n"/>
      <c r="AD418" s="170" t="n"/>
      <c r="AE418" s="289" t="n"/>
      <c r="AF418" s="153" t="n"/>
    </row>
    <row r="419">
      <c r="A419" s="11" t="inlineStr">
        <is>
          <t>CD</t>
        </is>
      </c>
      <c r="B419" s="1" t="inlineStr">
        <is>
          <t>OOS</t>
        </is>
      </c>
      <c r="C419" s="170" t="n">
        <v>888010</v>
      </c>
      <c r="D419" s="170" t="inlineStr">
        <is>
          <t>184-190 Oxford Street &amp; 28/30 Market Place</t>
        </is>
      </c>
      <c r="E419" s="170" t="inlineStr">
        <is>
          <t>6th Floor, 30 Market Place</t>
        </is>
      </c>
      <c r="F419" s="171" t="inlineStr">
        <is>
          <t>Office</t>
        </is>
      </c>
      <c r="G419" s="173" t="n">
        <v>3145</v>
      </c>
      <c r="H419" s="173">
        <f>G419</f>
        <v/>
      </c>
      <c r="I419" s="173" t="n">
        <v>3000</v>
      </c>
      <c r="J419" s="117" t="inlineStr">
        <is>
          <t>Nchain Ltd</t>
        </is>
      </c>
      <c r="K419" s="174" t="n">
        <v>44217</v>
      </c>
      <c r="L419" s="174" t="n">
        <v>46373</v>
      </c>
      <c r="M419" s="174" t="n"/>
      <c r="N419" s="174" t="n"/>
      <c r="O419" s="174" t="n"/>
      <c r="P419" s="173" t="n">
        <v>281873</v>
      </c>
      <c r="Q419" s="173">
        <f>P419</f>
        <v/>
      </c>
      <c r="R419" s="173" t="n"/>
      <c r="S419" s="173" t="n">
        <v>284800</v>
      </c>
      <c r="T419" s="173">
        <f>S419</f>
        <v/>
      </c>
      <c r="U419" s="397" t="n">
        <v>283000</v>
      </c>
      <c r="V419" s="173">
        <f>U419</f>
        <v/>
      </c>
      <c r="W419" s="277">
        <f>S419/G419</f>
        <v/>
      </c>
      <c r="X419" s="173" t="inlineStr">
        <is>
          <t>B</t>
        </is>
      </c>
      <c r="Y419" s="177" t="n"/>
      <c r="Z419" s="371" t="n"/>
      <c r="AA419" s="393" t="inlineStr">
        <is>
          <t>No</t>
        </is>
      </c>
      <c r="AB419" s="170" t="inlineStr">
        <is>
          <t>Rent review @ 18/12/25 documented at passing rent.</t>
        </is>
      </c>
      <c r="AC419" s="313" t="n"/>
      <c r="AD419" s="170" t="n"/>
      <c r="AE419" s="289" t="n"/>
      <c r="AF419" s="170" t="n"/>
    </row>
    <row r="420">
      <c r="A420" s="11" t="inlineStr">
        <is>
          <t>CD</t>
        </is>
      </c>
      <c r="B420" s="1" t="inlineStr">
        <is>
          <t>OOS</t>
        </is>
      </c>
      <c r="C420" s="170" t="n">
        <v>888010</v>
      </c>
      <c r="D420" s="170" t="inlineStr">
        <is>
          <t>184-190 Oxford Street &amp; 28/30 Market Place</t>
        </is>
      </c>
      <c r="E420" s="170" t="inlineStr">
        <is>
          <t>Part Basement</t>
        </is>
      </c>
      <c r="F420" s="171" t="inlineStr">
        <is>
          <t>Sub-Station</t>
        </is>
      </c>
      <c r="G420" s="173" t="n">
        <v>0</v>
      </c>
      <c r="H420" s="173">
        <f>G420</f>
        <v/>
      </c>
      <c r="I420" s="173" t="n"/>
      <c r="J420" s="117" t="inlineStr">
        <is>
          <t>EDF</t>
        </is>
      </c>
      <c r="K420" s="210" t="n">
        <v>20814</v>
      </c>
      <c r="L420" s="210" t="n">
        <v>39073</v>
      </c>
      <c r="M420" s="210" t="n"/>
      <c r="N420" s="174" t="n"/>
      <c r="O420" s="174" t="n"/>
      <c r="P420" s="173" t="n">
        <v>0</v>
      </c>
      <c r="Q420" s="173">
        <f>P420</f>
        <v/>
      </c>
      <c r="R420" s="173" t="n"/>
      <c r="S420" s="173" t="n">
        <v>0</v>
      </c>
      <c r="T420" s="173">
        <f>S420</f>
        <v/>
      </c>
      <c r="U420" s="397" t="n">
        <v>0</v>
      </c>
      <c r="V420" s="173">
        <f>U420</f>
        <v/>
      </c>
      <c r="W420" s="277" t="n"/>
      <c r="X420" s="173" t="n"/>
      <c r="Y420" s="177" t="n"/>
      <c r="Z420" s="371" t="n"/>
      <c r="AA420" s="393" t="inlineStr">
        <is>
          <t>Yes</t>
        </is>
      </c>
      <c r="AB420" s="170" t="inlineStr">
        <is>
          <t>New lease in negotiation. £1k max from date of purchase.</t>
        </is>
      </c>
      <c r="AC420" s="313" t="n"/>
      <c r="AD420" s="170" t="n"/>
      <c r="AE420" s="289" t="n"/>
      <c r="AF420" s="170" t="n"/>
    </row>
  </sheetData>
  <autoFilter ref="A2:AF4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24" customWidth="1" min="6" max="6"/>
  </cols>
  <sheetData>
    <row r="1">
      <c r="A1" s="402" t="inlineStr">
        <is>
          <t>Document updated 03/12/2025 at 2.28pm</t>
        </is>
      </c>
    </row>
    <row r="2">
      <c r="A2" s="398" t="inlineStr">
        <is>
          <t>Building</t>
        </is>
      </c>
      <c r="B2" s="398" t="inlineStr">
        <is>
          <t>Net Area</t>
        </is>
      </c>
      <c r="C2" s="398" t="inlineStr">
        <is>
          <t>Rent PA (£)</t>
        </is>
      </c>
      <c r="D2" s="398" t="inlineStr">
        <is>
          <t>2023 ERV (£)</t>
        </is>
      </c>
      <c r="E2" s="398" t="inlineStr">
        <is>
          <t>2025 ERV (£)</t>
        </is>
      </c>
      <c r="F2" s="398" t="inlineStr">
        <is>
          <t>2025 Cap Valn. (£)</t>
        </is>
      </c>
    </row>
    <row r="3">
      <c r="A3" t="inlineStr">
        <is>
          <t>5-6 Bywell Place HELLO</t>
        </is>
      </c>
      <c r="B3" s="399">
        <f>SUMIF(Units!D:D,"5-6 Bywell Place HELLO",Units!G:G)</f>
        <v/>
      </c>
      <c r="C3" s="400">
        <f>SUMIF(Units!D:D,"5-6 Bywell Place HELLO",Units!P:P)</f>
        <v/>
      </c>
      <c r="D3" s="400">
        <f>SUMIF(Units!D:D,"5-6 Bywell Place HELLO",Units!S:S)</f>
        <v/>
      </c>
      <c r="E3" s="400">
        <f>SUMIF(Units!D:D,"5-6 Bywell Place HELLO",Units!U:U)</f>
        <v/>
      </c>
      <c r="F3" s="401">
        <f>'Bank Schedule'!AA7</f>
        <v/>
      </c>
    </row>
    <row r="4">
      <c r="A4" t="inlineStr">
        <is>
          <t>22 and 23-25 Eastcastle Street</t>
        </is>
      </c>
      <c r="B4" s="399">
        <f>SUMIF(Units!D:D,"22 and 23-25 Eastcastle Street",Units!G:G)</f>
        <v/>
      </c>
      <c r="C4" s="400">
        <f>SUMIF(Units!D:D,"22 and 23-25 Eastcastle Street",Units!P:P)</f>
        <v/>
      </c>
      <c r="D4" s="400">
        <f>SUMIF(Units!D:D,"22 and 23-25 Eastcastle Street",Units!S:S)</f>
        <v/>
      </c>
      <c r="E4" s="400">
        <f>SUMIF(Units!D:D,"22 and 23-25 Eastcastle Street",Units!U:U)</f>
        <v/>
      </c>
      <c r="F4" s="401">
        <f>'Bank Schedule'!AA25</f>
        <v/>
      </c>
    </row>
    <row r="5">
      <c r="A5" t="inlineStr">
        <is>
          <t>26 Eastcastle Street</t>
        </is>
      </c>
      <c r="B5" s="399">
        <f>SUMIF(Units!D:D,"26 Eastcastle Street",Units!G:G)</f>
        <v/>
      </c>
      <c r="C5" s="400">
        <f>SUMIF(Units!D:D,"26 Eastcastle Street",Units!P:P)</f>
        <v/>
      </c>
      <c r="D5" s="400">
        <f>SUMIF(Units!D:D,"26 Eastcastle Street",Units!S:S)</f>
        <v/>
      </c>
      <c r="E5" s="400">
        <f>SUMIF(Units!D:D,"26 Eastcastle Street",Units!U:U)</f>
        <v/>
      </c>
      <c r="F5" s="401">
        <f>'Bank Schedule'!AA34</f>
        <v/>
      </c>
    </row>
    <row r="6">
      <c r="A6" t="inlineStr">
        <is>
          <t>27 - 28 Eastcastle Street</t>
        </is>
      </c>
      <c r="B6" s="399">
        <f>SUMIF(Units!D:D,"27 - 28 Eastcastle Street",Units!G:G)</f>
        <v/>
      </c>
      <c r="C6" s="400">
        <f>SUMIF(Units!D:D,"27 - 28 Eastcastle Street",Units!P:P)</f>
        <v/>
      </c>
      <c r="D6" s="400">
        <f>SUMIF(Units!D:D,"27 - 28 Eastcastle Street",Units!S:S)</f>
        <v/>
      </c>
      <c r="E6" s="400">
        <f>SUMIF(Units!D:D,"27 - 28 Eastcastle Street",Units!U:U)</f>
        <v/>
      </c>
      <c r="F6" s="401">
        <f>'Bank Schedule'!AA43</f>
        <v/>
      </c>
    </row>
    <row r="7">
      <c r="A7" t="inlineStr">
        <is>
          <t>10 Great Castle Street</t>
        </is>
      </c>
      <c r="B7" s="399">
        <f>SUMIF(Units!D:D,"10 Great Castle Street",Units!G:G)</f>
        <v/>
      </c>
      <c r="C7" s="400">
        <f>SUMIF(Units!D:D,"10 Great Castle Street",Units!P:P)</f>
        <v/>
      </c>
      <c r="D7" s="400">
        <f>SUMIF(Units!D:D,"10 Great Castle Street",Units!S:S)</f>
        <v/>
      </c>
      <c r="E7" s="400">
        <f>SUMIF(Units!D:D,"10 Great Castle Street",Units!U:U)</f>
        <v/>
      </c>
      <c r="F7" s="401">
        <f>'Bank Schedule'!AA47</f>
        <v/>
      </c>
    </row>
    <row r="8">
      <c r="A8" t="inlineStr">
        <is>
          <t>Windsor House, 40-41 Great Castle Street</t>
        </is>
      </c>
      <c r="B8" s="399">
        <f>SUMIF(Units!D:D,"Windsor House, 40-41 Great Castle Street",Units!G:G)</f>
        <v/>
      </c>
      <c r="C8" s="400">
        <f>SUMIF(Units!D:D,"Windsor House, 40-41 Great Castle Street",Units!P:P)</f>
        <v/>
      </c>
      <c r="D8" s="400">
        <f>SUMIF(Units!D:D,"Windsor House, 40-41 Great Castle Street",Units!S:S)</f>
        <v/>
      </c>
      <c r="E8" s="400">
        <f>SUMIF(Units!D:D,"Windsor House, 40-41 Great Castle Street",Units!U:U)</f>
        <v/>
      </c>
      <c r="F8" s="401">
        <f>'Bank Schedule'!AA58</f>
        <v/>
      </c>
    </row>
    <row r="9">
      <c r="A9" t="inlineStr">
        <is>
          <t>Portland House, 4 Great Portland Street</t>
        </is>
      </c>
      <c r="B9" s="399">
        <f>SUMIF(Units!D:D,"Portland House, 4 Great Portland Street",Units!G:G)</f>
        <v/>
      </c>
      <c r="C9" s="400">
        <f>SUMIF(Units!D:D,"Portland House, 4 Great Portland Street",Units!P:P)</f>
        <v/>
      </c>
      <c r="D9" s="400">
        <f>SUMIF(Units!D:D,"Portland House, 4 Great Portland Street",Units!S:S)</f>
        <v/>
      </c>
      <c r="E9" s="400">
        <f>SUMIF(Units!D:D,"Portland House, 4 Great Portland Street",Units!U:U)</f>
        <v/>
      </c>
      <c r="F9" s="401">
        <f>'Bank Schedule'!AA80</f>
        <v/>
      </c>
    </row>
    <row r="10">
      <c r="A10" t="inlineStr">
        <is>
          <t>6-10a Great Portland Street</t>
        </is>
      </c>
      <c r="B10" s="399">
        <f>SUMIF(Units!D:D,"6-10a Great Portland Street",Units!G:G)</f>
        <v/>
      </c>
      <c r="C10" s="400">
        <f>SUMIF(Units!D:D,"6-10a Great Portland Street",Units!P:P)</f>
        <v/>
      </c>
      <c r="D10" s="400">
        <f>SUMIF(Units!D:D,"6-10a Great Portland Street",Units!S:S)</f>
        <v/>
      </c>
      <c r="E10" s="400">
        <f>SUMIF(Units!D:D,"6-10a Great Portland Street",Units!U:U)</f>
        <v/>
      </c>
      <c r="F10" s="401">
        <f>'Bank Schedule'!AA92</f>
        <v/>
      </c>
    </row>
    <row r="11">
      <c r="A11" t="inlineStr">
        <is>
          <t>15-17 Great Portland Street &amp; 6-7 Great Castle Street</t>
        </is>
      </c>
      <c r="B11" s="399">
        <f>SUMIF(Units!D:D,"15-17 Great Portland Street &amp; 6-7 Great Castle Street",Units!G:G)</f>
        <v/>
      </c>
      <c r="C11" s="400">
        <f>SUMIF(Units!D:D,"15-17 Great Portland Street &amp; 6-7 Great Castle Street",Units!P:P)</f>
        <v/>
      </c>
      <c r="D11" s="400">
        <f>SUMIF(Units!D:D,"15-17 Great Portland Street &amp; 6-7 Great Castle Street",Units!S:S)</f>
        <v/>
      </c>
      <c r="E11" s="400">
        <f>SUMIF(Units!D:D,"15-17 Great Portland Street &amp; 6-7 Great Castle Street",Units!U:U)</f>
        <v/>
      </c>
      <c r="F11" s="401">
        <f>'Bank Schedule'!AA96</f>
        <v/>
      </c>
    </row>
    <row r="12">
      <c r="A12" t="inlineStr">
        <is>
          <t>19-21 Great Portland Street</t>
        </is>
      </c>
      <c r="B12" s="399">
        <f>SUMIF(Units!D:D,"19-21 Great Portland Street",Units!G:G)</f>
        <v/>
      </c>
      <c r="C12" s="400">
        <f>SUMIF(Units!D:D,"19-21 Great Portland Street",Units!P:P)</f>
        <v/>
      </c>
      <c r="D12" s="400">
        <f>SUMIF(Units!D:D,"19-21 Great Portland Street",Units!S:S)</f>
        <v/>
      </c>
      <c r="E12" s="400">
        <f>SUMIF(Units!D:D,"19-21 Great Portland Street",Units!U:U)</f>
        <v/>
      </c>
    </row>
    <row r="13">
      <c r="A13" t="inlineStr">
        <is>
          <t>20 Great Portland Street</t>
        </is>
      </c>
      <c r="B13" s="399">
        <f>SUMIF(Units!D:D,"20 Great Portland Street",Units!G:G)</f>
        <v/>
      </c>
      <c r="C13" s="400">
        <f>SUMIF(Units!D:D,"20 Great Portland Street",Units!P:P)</f>
        <v/>
      </c>
      <c r="D13" s="400">
        <f>SUMIF(Units!D:D,"20 Great Portland Street",Units!S:S)</f>
        <v/>
      </c>
      <c r="E13" s="400">
        <f>SUMIF(Units!D:D,"20 Great Portland Street",Units!U:U)</f>
        <v/>
      </c>
      <c r="F13" s="401">
        <f>'Bank Schedule'!AA121</f>
        <v/>
      </c>
    </row>
    <row r="14">
      <c r="A14" t="inlineStr">
        <is>
          <t>Highlight House, 22-24 Great Portland Street</t>
        </is>
      </c>
      <c r="B14" s="399">
        <f>SUMIF(Units!D:D,"Highlight House, 22-24 Great Portland Street",Units!G:G)</f>
        <v/>
      </c>
      <c r="C14" s="400">
        <f>SUMIF(Units!D:D,"Highlight House, 22-24 Great Portland Street",Units!P:P)</f>
        <v/>
      </c>
      <c r="D14" s="400">
        <f>SUMIF(Units!D:D,"Highlight House, 22-24 Great Portland Street",Units!S:S)</f>
        <v/>
      </c>
      <c r="E14" s="400">
        <f>SUMIF(Units!D:D,"Highlight House, 22-24 Great Portland Street",Units!U:U)</f>
        <v/>
      </c>
      <c r="F14" s="401">
        <f>'Bank Schedule'!AA131</f>
        <v/>
      </c>
    </row>
    <row r="15">
      <c r="A15" t="inlineStr">
        <is>
          <t>23-25 Great Portland Street &amp; 54-55 Margaret Street</t>
        </is>
      </c>
      <c r="B15" s="399">
        <f>SUMIF(Units!D:D,"23-25 Great Portland Street &amp; 54-55 Margaret Street",Units!G:G)</f>
        <v/>
      </c>
      <c r="C15" s="400">
        <f>SUMIF(Units!D:D,"23-25 Great Portland Street &amp; 54-55 Margaret Street",Units!P:P)</f>
        <v/>
      </c>
      <c r="D15" s="400">
        <f>SUMIF(Units!D:D,"23-25 Great Portland Street &amp; 54-55 Margaret Street",Units!S:S)</f>
        <v/>
      </c>
      <c r="E15" s="400">
        <f>SUMIF(Units!D:D,"23-25 Great Portland Street &amp; 54-55 Margaret Street",Units!U:U)</f>
        <v/>
      </c>
      <c r="F15" s="401">
        <f>'Bank Schedule'!AA138</f>
        <v/>
      </c>
    </row>
    <row r="16">
      <c r="A16" t="inlineStr">
        <is>
          <t>39 Great Portland Street</t>
        </is>
      </c>
      <c r="B16" s="399">
        <f>SUMIF(Units!D:D,"39 Great Portland Street",Units!G:G)</f>
        <v/>
      </c>
      <c r="C16" s="400">
        <f>SUMIF(Units!D:D,"39 Great Portland Street",Units!P:P)</f>
        <v/>
      </c>
      <c r="D16" s="400">
        <f>SUMIF(Units!D:D,"39 Great Portland Street",Units!S:S)</f>
        <v/>
      </c>
      <c r="E16" s="400">
        <f>SUMIF(Units!D:D,"39 Great Portland Street",Units!U:U)</f>
        <v/>
      </c>
      <c r="F16" s="401">
        <f>'Bank Schedule'!AA148</f>
        <v/>
      </c>
    </row>
    <row r="17">
      <c r="A17" t="inlineStr">
        <is>
          <t>41 Great Portland Street</t>
        </is>
      </c>
      <c r="B17" s="399">
        <f>SUMIF(Units!D:D,"41 Great Portland Street",Units!G:G)</f>
        <v/>
      </c>
      <c r="C17" s="400">
        <f>SUMIF(Units!D:D,"41 Great Portland Street",Units!P:P)</f>
        <v/>
      </c>
      <c r="D17" s="400">
        <f>SUMIF(Units!D:D,"41 Great Portland Street",Units!S:S)</f>
        <v/>
      </c>
      <c r="E17" s="400">
        <f>SUMIF(Units!D:D,"41 Great Portland Street",Units!U:U)</f>
        <v/>
      </c>
      <c r="F17" s="401">
        <f>'Bank Schedule'!AA152</f>
        <v/>
      </c>
    </row>
    <row r="18">
      <c r="A18" t="inlineStr">
        <is>
          <t>42-48 Great Portland Street</t>
        </is>
      </c>
      <c r="B18" s="399">
        <f>SUMIF(Units!D:D,"42-48 Great Portland Street",Units!G:G)</f>
        <v/>
      </c>
      <c r="C18" s="400">
        <f>SUMIF(Units!D:D,"42-48 Great Portland Street",Units!P:P)</f>
        <v/>
      </c>
      <c r="D18" s="400">
        <f>SUMIF(Units!D:D,"42-48 Great Portland Street",Units!S:S)</f>
        <v/>
      </c>
      <c r="E18" s="400">
        <f>SUMIF(Units!D:D,"42-48 Great Portland Street",Units!U:U)</f>
        <v/>
      </c>
      <c r="F18" s="401">
        <f>'Bank Schedule'!AA163</f>
        <v/>
      </c>
    </row>
    <row r="19">
      <c r="A19" t="inlineStr">
        <is>
          <t>45-49 Great Portland Street</t>
        </is>
      </c>
      <c r="B19" s="399">
        <f>SUMIF(Units!D:D,"45-49 Great Portland Street",Units!G:G)</f>
        <v/>
      </c>
      <c r="C19" s="400">
        <f>SUMIF(Units!D:D,"45-49 Great Portland Street",Units!P:P)</f>
        <v/>
      </c>
      <c r="D19" s="400">
        <f>SUMIF(Units!D:D,"45-49 Great Portland Street",Units!S:S)</f>
        <v/>
      </c>
      <c r="E19" s="400">
        <f>SUMIF(Units!D:D,"45-49 Great Portland Street",Units!U:U)</f>
        <v/>
      </c>
      <c r="F19" s="401">
        <f>'Bank Schedule'!AA171</f>
        <v/>
      </c>
    </row>
    <row r="20">
      <c r="A20" t="inlineStr">
        <is>
          <t>50 Great Portland Street</t>
        </is>
      </c>
      <c r="B20" s="399">
        <f>SUMIF(Units!D:D,"50 Great Portland Street",Units!G:G)</f>
        <v/>
      </c>
      <c r="C20" s="400">
        <f>SUMIF(Units!D:D,"50 Great Portland Street",Units!P:P)</f>
        <v/>
      </c>
      <c r="D20" s="400">
        <f>SUMIF(Units!D:D,"50 Great Portland Street",Units!S:S)</f>
        <v/>
      </c>
      <c r="E20" s="400">
        <f>SUMIF(Units!D:D,"50 Great Portland Street",Units!U:U)</f>
        <v/>
      </c>
      <c r="F20" s="401">
        <f>'Bank Schedule'!AA182</f>
        <v/>
      </c>
    </row>
    <row r="21">
      <c r="A21" t="inlineStr">
        <is>
          <t>51 Great Portland Street</t>
        </is>
      </c>
      <c r="B21" s="399">
        <f>SUMIF(Units!D:D,"51 Great Portland Street",Units!G:G)</f>
        <v/>
      </c>
      <c r="C21" s="400">
        <f>SUMIF(Units!D:D,"51 Great Portland Street",Units!P:P)</f>
        <v/>
      </c>
      <c r="D21" s="400">
        <f>SUMIF(Units!D:D,"51 Great Portland Street",Units!S:S)</f>
        <v/>
      </c>
      <c r="E21" s="400">
        <f>SUMIF(Units!D:D,"51 Great Portland Street",Units!U:U)</f>
        <v/>
      </c>
      <c r="F21" s="401">
        <f>'Bank Schedule'!AA191</f>
        <v/>
      </c>
    </row>
    <row r="22">
      <c r="A22" t="inlineStr">
        <is>
          <t>53 Great Portland Street</t>
        </is>
      </c>
      <c r="B22" s="399">
        <f>SUMIF(Units!D:D,"53 Great Portland Street",Units!G:G)</f>
        <v/>
      </c>
      <c r="C22" s="400">
        <f>SUMIF(Units!D:D,"53 Great Portland Street",Units!P:P)</f>
        <v/>
      </c>
      <c r="D22" s="400">
        <f>SUMIF(Units!D:D,"53 Great Portland Street",Units!S:S)</f>
        <v/>
      </c>
      <c r="E22" s="400">
        <f>SUMIF(Units!D:D,"53 Great Portland Street",Units!U:U)</f>
        <v/>
      </c>
      <c r="F22" s="401">
        <f>'Bank Schedule'!AA201</f>
        <v/>
      </c>
    </row>
    <row r="23">
      <c r="A23" t="inlineStr">
        <is>
          <t>76 Great Portland Street</t>
        </is>
      </c>
      <c r="B23" s="399">
        <f>SUMIF(Units!D:D,"76 Great Portland Street",Units!G:G)</f>
        <v/>
      </c>
      <c r="C23" s="400">
        <f>SUMIF(Units!D:D,"76 Great Portland Street",Units!P:P)</f>
        <v/>
      </c>
      <c r="D23" s="400">
        <f>SUMIF(Units!D:D,"76 Great Portland Street",Units!S:S)</f>
        <v/>
      </c>
      <c r="E23" s="400">
        <f>SUMIF(Units!D:D,"76 Great Portland Street",Units!U:U)</f>
        <v/>
      </c>
      <c r="F23" s="401">
        <f>'Bank Schedule'!AA209</f>
        <v/>
      </c>
    </row>
    <row r="24">
      <c r="A24" t="inlineStr">
        <is>
          <t>1 Great Titchfield Street</t>
        </is>
      </c>
      <c r="B24" s="399">
        <f>SUMIF(Units!D:D,"1 Great Titchfield Street",Units!G:G)</f>
        <v/>
      </c>
      <c r="C24" s="400">
        <f>SUMIF(Units!D:D,"1 Great Titchfield Street",Units!P:P)</f>
        <v/>
      </c>
      <c r="D24" s="400">
        <f>SUMIF(Units!D:D,"1 Great Titchfield Street",Units!S:S)</f>
        <v/>
      </c>
      <c r="E24" s="400">
        <f>SUMIF(Units!D:D,"1 Great Titchfield Street",Units!U:U)</f>
        <v/>
      </c>
      <c r="F24" s="401">
        <f>'Bank Schedule'!AA213</f>
        <v/>
      </c>
    </row>
    <row r="25">
      <c r="A25" t="inlineStr">
        <is>
          <t>3 Great Titchfield Street</t>
        </is>
      </c>
      <c r="B25" s="399">
        <f>SUMIF(Units!D:D,"3 Great Titchfield Street",Units!G:G)</f>
        <v/>
      </c>
      <c r="C25" s="400">
        <f>SUMIF(Units!D:D,"3 Great Titchfield Street",Units!P:P)</f>
        <v/>
      </c>
      <c r="D25" s="400">
        <f>SUMIF(Units!D:D,"3 Great Titchfield Street",Units!S:S)</f>
        <v/>
      </c>
      <c r="E25" s="400">
        <f>SUMIF(Units!D:D,"3 Great Titchfield Street",Units!U:U)</f>
        <v/>
      </c>
      <c r="F25" s="401">
        <f>'Bank Schedule'!AA221</f>
        <v/>
      </c>
    </row>
    <row r="26">
      <c r="A26" t="inlineStr">
        <is>
          <t>Great Titchfield House,  14-18 Great Titchfield Street</t>
        </is>
      </c>
      <c r="B26" s="399">
        <f>SUMIF(Units!D:D,"Great Titchfield House,  14-18 Great Titchfield Street",Units!G:G)</f>
        <v/>
      </c>
      <c r="C26" s="400">
        <f>SUMIF(Units!D:D,"Great Titchfield House,  14-18 Great Titchfield Street",Units!P:P)</f>
        <v/>
      </c>
      <c r="D26" s="400">
        <f>SUMIF(Units!D:D,"Great Titchfield House,  14-18 Great Titchfield Street",Units!S:S)</f>
        <v/>
      </c>
      <c r="E26" s="400">
        <f>SUMIF(Units!D:D,"Great Titchfield House,  14-18 Great Titchfield Street",Units!U:U)</f>
        <v/>
      </c>
      <c r="F26" s="401">
        <f>'Bank Schedule'!AA233</f>
        <v/>
      </c>
    </row>
    <row r="27">
      <c r="A27" t="inlineStr">
        <is>
          <t>Golderbrock House,  15-19 Great Titchfield Street</t>
        </is>
      </c>
      <c r="B27" s="399">
        <f>SUMIF(Units!D:D,"Golderbrock House,  15-19 Great Titchfield Street",Units!G:G)</f>
        <v/>
      </c>
      <c r="C27" s="400">
        <f>SUMIF(Units!D:D,"Golderbrock House,  15-19 Great Titchfield Street",Units!P:P)</f>
        <v/>
      </c>
      <c r="D27" s="400">
        <f>SUMIF(Units!D:D,"Golderbrock House,  15-19 Great Titchfield Street",Units!S:S)</f>
        <v/>
      </c>
      <c r="E27" s="400">
        <f>SUMIF(Units!D:D,"Golderbrock House,  15-19 Great Titchfield Street",Units!U:U)</f>
        <v/>
      </c>
      <c r="F27" s="401">
        <f>'Bank Schedule'!AA247</f>
        <v/>
      </c>
    </row>
    <row r="28">
      <c r="A28" t="inlineStr">
        <is>
          <t>Circus House,  21 Great Titchfield Street</t>
        </is>
      </c>
      <c r="B28" s="399">
        <f>SUMIF(Units!D:D,"Circus House,  21 Great Titchfield Street",Units!G:G)</f>
        <v/>
      </c>
      <c r="C28" s="400">
        <f>SUMIF(Units!D:D,"Circus House,  21 Great Titchfield Street",Units!P:P)</f>
        <v/>
      </c>
      <c r="D28" s="400">
        <f>SUMIF(Units!D:D,"Circus House,  21 Great Titchfield Street",Units!S:S)</f>
        <v/>
      </c>
      <c r="E28" s="400">
        <f>SUMIF(Units!D:D,"Circus House,  21 Great Titchfield Street",Units!U:U)</f>
        <v/>
      </c>
      <c r="F28" s="401">
        <f>'Bank Schedule'!AA258</f>
        <v/>
      </c>
    </row>
    <row r="29">
      <c r="A29" t="inlineStr">
        <is>
          <t>Moray House, 23-35 Great Titchfield Street &amp; 63-65 Mortimer Street</t>
        </is>
      </c>
      <c r="B29" s="399">
        <f>SUMIF(Units!D:D,"Moray House, 23-35 Great Titchfield Street &amp; 63-65 Mortimer Street",Units!G:G)</f>
        <v/>
      </c>
      <c r="C29" s="400">
        <f>SUMIF(Units!D:D,"Moray House, 23-35 Great Titchfield Street &amp; 63-65 Mortimer Street",Units!P:P)</f>
        <v/>
      </c>
      <c r="D29" s="400">
        <f>SUMIF(Units!D:D,"Moray House, 23-35 Great Titchfield Street &amp; 63-65 Mortimer Street",Units!S:S)</f>
        <v/>
      </c>
      <c r="E29" s="400">
        <f>SUMIF(Units!D:D,"Moray House, 23-35 Great Titchfield Street &amp; 63-65 Mortimer Street",Units!U:U)</f>
        <v/>
      </c>
      <c r="F29" s="401">
        <f>'Bank Schedule'!AA277</f>
        <v/>
      </c>
    </row>
    <row r="30">
      <c r="A30" t="inlineStr">
        <is>
          <t>56 Great Titchfield Street</t>
        </is>
      </c>
      <c r="B30" s="399">
        <f>SUMIF(Units!D:D,"56 Great Titchfield Street",Units!G:G)</f>
        <v/>
      </c>
      <c r="C30" s="400">
        <f>SUMIF(Units!D:D,"56 Great Titchfield Street",Units!P:P)</f>
        <v/>
      </c>
      <c r="D30" s="400">
        <f>SUMIF(Units!D:D,"56 Great Titchfield Street",Units!S:S)</f>
        <v/>
      </c>
      <c r="E30" s="400">
        <f>SUMIF(Units!D:D,"56 Great Titchfield Street",Units!U:U)</f>
        <v/>
      </c>
      <c r="F30" s="401">
        <f>'Bank Schedule'!AA281</f>
        <v/>
      </c>
    </row>
    <row r="31">
      <c r="A31" t="inlineStr">
        <is>
          <t>58 Great Titchfield Street</t>
        </is>
      </c>
      <c r="B31" s="399">
        <f>SUMIF(Units!D:D,"58 Great Titchfield Street",Units!G:G)</f>
        <v/>
      </c>
      <c r="C31" s="400">
        <f>SUMIF(Units!D:D,"58 Great Titchfield Street",Units!P:P)</f>
        <v/>
      </c>
      <c r="D31" s="400">
        <f>SUMIF(Units!D:D,"58 Great Titchfield Street",Units!S:S)</f>
        <v/>
      </c>
      <c r="E31" s="400">
        <f>SUMIF(Units!D:D,"58 Great Titchfield Street",Units!U:U)</f>
        <v/>
      </c>
      <c r="F31" s="401">
        <f>'Bank Schedule'!AA288</f>
        <v/>
      </c>
    </row>
    <row r="32">
      <c r="A32" t="inlineStr">
        <is>
          <t>12 Hallam Street (The Hallam Hotel)</t>
        </is>
      </c>
      <c r="B32" s="399">
        <f>SUMIF(Units!D:D,"12 Hallam Street (The Hallam Hotel)",Units!G:G)</f>
        <v/>
      </c>
      <c r="C32" s="400">
        <f>SUMIF(Units!D:D,"12 Hallam Street (The Hallam Hotel)",Units!P:P)</f>
        <v/>
      </c>
      <c r="D32" s="400">
        <f>SUMIF(Units!D:D,"12 Hallam Street (The Hallam Hotel)",Units!S:S)</f>
        <v/>
      </c>
      <c r="E32" s="400">
        <f>SUMIF(Units!D:D,"12 Hallam Street (The Hallam Hotel)",Units!U:U)</f>
        <v/>
      </c>
      <c r="F32" s="401">
        <f>'Bank Schedule'!AA292</f>
        <v/>
      </c>
    </row>
    <row r="33">
      <c r="A33" t="inlineStr">
        <is>
          <t>16-20 Hallam Street  (Astor Court Hotel)</t>
        </is>
      </c>
      <c r="B33" s="399">
        <f>SUMIF(Units!D:D,"16-20 Hallam Street  (Astor Court Hotel)",Units!G:G)</f>
        <v/>
      </c>
      <c r="C33" s="400">
        <f>SUMIF(Units!D:D,"16-20 Hallam Street  (Astor Court Hotel)",Units!P:P)</f>
        <v/>
      </c>
      <c r="D33" s="400">
        <f>SUMIF(Units!D:D,"16-20 Hallam Street  (Astor Court Hotel)",Units!S:S)</f>
        <v/>
      </c>
      <c r="E33" s="400">
        <f>SUMIF(Units!D:D,"16-20 Hallam Street  (Astor Court Hotel)",Units!U:U)</f>
        <v/>
      </c>
      <c r="F33" s="401">
        <f>'Bank Schedule'!AA297</f>
        <v/>
      </c>
    </row>
    <row r="34">
      <c r="A34" t="inlineStr">
        <is>
          <t>Flat 1, 2 Little Portland Street</t>
        </is>
      </c>
      <c r="B34" s="399">
        <f>SUMIF(Units!D:D,"Flat 1, 2 Little Portland Street",Units!G:G)</f>
        <v/>
      </c>
      <c r="C34" s="400">
        <f>SUMIF(Units!D:D,"Flat 1, 2 Little Portland Street",Units!P:P)</f>
        <v/>
      </c>
      <c r="D34" s="400">
        <f>SUMIF(Units!D:D,"Flat 1, 2 Little Portland Street",Units!S:S)</f>
        <v/>
      </c>
      <c r="E34" s="400">
        <f>SUMIF(Units!D:D,"Flat 1, 2 Little Portland Street",Units!U:U)</f>
        <v/>
      </c>
      <c r="F34" s="401">
        <f>'Bank Schedule'!AA301</f>
        <v/>
      </c>
    </row>
    <row r="35">
      <c r="A35" t="inlineStr">
        <is>
          <t>3/4/4a Little Portland Street</t>
        </is>
      </c>
      <c r="B35" s="399">
        <f>SUMIF(Units!D:D,"3/4/4a Little Portland Street",Units!G:G)</f>
        <v/>
      </c>
      <c r="C35" s="400">
        <f>SUMIF(Units!D:D,"3/4/4a Little Portland Street",Units!P:P)</f>
        <v/>
      </c>
      <c r="D35" s="400">
        <f>SUMIF(Units!D:D,"3/4/4a Little Portland Street",Units!S:S)</f>
        <v/>
      </c>
      <c r="E35" s="400">
        <f>SUMIF(Units!D:D,"3/4/4a Little Portland Street",Units!U:U)</f>
        <v/>
      </c>
      <c r="F35" s="401">
        <f>'Bank Schedule'!AA318</f>
        <v/>
      </c>
    </row>
    <row r="36">
      <c r="A36" t="inlineStr">
        <is>
          <t>5 Little Portland Street</t>
        </is>
      </c>
      <c r="B36" s="399">
        <f>SUMIF(Units!D:D,"5 Little Portland Street",Units!G:G)</f>
        <v/>
      </c>
      <c r="C36" s="400">
        <f>SUMIF(Units!D:D,"5 Little Portland Street",Units!P:P)</f>
        <v/>
      </c>
      <c r="D36" s="400">
        <f>SUMIF(Units!D:D,"5 Little Portland Street",Units!S:S)</f>
        <v/>
      </c>
      <c r="E36" s="400">
        <f>SUMIF(Units!D:D,"5 Little Portland Street",Units!U:U)</f>
        <v/>
      </c>
      <c r="F36" s="401">
        <f>'Bank Schedule'!AA325</f>
        <v/>
      </c>
    </row>
    <row r="37">
      <c r="A37" t="inlineStr">
        <is>
          <t>Alexandra House, 6 Little Portland Street</t>
        </is>
      </c>
      <c r="B37" s="399">
        <f>SUMIF(Units!D:D,"Alexandra House, 6 Little Portland Street",Units!G:G)</f>
        <v/>
      </c>
      <c r="C37" s="400">
        <f>SUMIF(Units!D:D,"Alexandra House, 6 Little Portland Street",Units!P:P)</f>
        <v/>
      </c>
      <c r="D37" s="400">
        <f>SUMIF(Units!D:D,"Alexandra House, 6 Little Portland Street",Units!S:S)</f>
        <v/>
      </c>
      <c r="E37" s="400">
        <f>SUMIF(Units!D:D,"Alexandra House, 6 Little Portland Street",Units!U:U)</f>
        <v/>
      </c>
      <c r="F37" s="401">
        <f>'Bank Schedule'!AA332</f>
        <v/>
      </c>
    </row>
    <row r="38">
      <c r="A38" t="inlineStr">
        <is>
          <t>9 Little Portland Street</t>
        </is>
      </c>
      <c r="B38" s="399">
        <f>SUMIF(Units!D:D,"9 Little Portland Street",Units!G:G)</f>
        <v/>
      </c>
      <c r="C38" s="400">
        <f>SUMIF(Units!D:D,"9 Little Portland Street",Units!P:P)</f>
        <v/>
      </c>
      <c r="D38" s="400">
        <f>SUMIF(Units!D:D,"9 Little Portland Street",Units!S:S)</f>
        <v/>
      </c>
      <c r="E38" s="400">
        <f>SUMIF(Units!D:D,"9 Little Portland Street",Units!U:U)</f>
        <v/>
      </c>
      <c r="F38" s="401">
        <f>'Bank Schedule'!AA341</f>
        <v/>
      </c>
    </row>
    <row r="39">
      <c r="A39" t="inlineStr">
        <is>
          <t>21 Little Portland Street</t>
        </is>
      </c>
      <c r="B39" s="399">
        <f>SUMIF(Units!D:D,"21 Little Portland Street",Units!G:G)</f>
        <v/>
      </c>
      <c r="C39" s="400">
        <f>SUMIF(Units!D:D,"21 Little Portland Street",Units!P:P)</f>
        <v/>
      </c>
      <c r="D39" s="400">
        <f>SUMIF(Units!D:D,"21 Little Portland Street",Units!S:S)</f>
        <v/>
      </c>
      <c r="E39" s="400">
        <f>SUMIF(Units!D:D,"21 Little Portland Street",Units!U:U)</f>
        <v/>
      </c>
      <c r="F39" s="401">
        <f>'Bank Schedule'!AA352</f>
        <v/>
      </c>
    </row>
    <row r="40">
      <c r="A40" t="inlineStr">
        <is>
          <t>22 Little Portland Street (formerly 22-23 LPS)</t>
        </is>
      </c>
      <c r="B40" s="399">
        <f>SUMIF(Units!D:D,"22 Little Portland Street (formerly 22-23 LPS)",Units!G:G)</f>
        <v/>
      </c>
      <c r="C40" s="400">
        <f>SUMIF(Units!D:D,"22 Little Portland Street (formerly 22-23 LPS)",Units!P:P)</f>
        <v/>
      </c>
      <c r="D40" s="400">
        <f>SUMIF(Units!D:D,"22 Little Portland Street (formerly 22-23 LPS)",Units!S:S)</f>
        <v/>
      </c>
      <c r="E40" s="400">
        <f>SUMIF(Units!D:D,"22 Little Portland Street (formerly 22-23 LPS)",Units!U:U)</f>
        <v/>
      </c>
    </row>
    <row r="41">
      <c r="A41" t="inlineStr">
        <is>
          <t>9 Margaret Street</t>
        </is>
      </c>
      <c r="B41" s="399">
        <f>SUMIF(Units!D:D,"9 Margaret Street",Units!G:G)</f>
        <v/>
      </c>
      <c r="C41" s="400">
        <f>SUMIF(Units!D:D,"9 Margaret Street",Units!P:P)</f>
        <v/>
      </c>
      <c r="D41" s="400">
        <f>SUMIF(Units!D:D,"9 Margaret Street",Units!S:S)</f>
        <v/>
      </c>
      <c r="E41" s="400">
        <f>SUMIF(Units!D:D,"9 Margaret Street",Units!U:U)</f>
        <v/>
      </c>
      <c r="F41" s="401">
        <f>'Bank Schedule'!AA360</f>
        <v/>
      </c>
    </row>
    <row r="42">
      <c r="A42" t="inlineStr">
        <is>
          <t>London House, 9a Margaret Street</t>
        </is>
      </c>
      <c r="B42" s="399">
        <f>SUMIF(Units!D:D,"London House, 9a Margaret Street",Units!G:G)</f>
        <v/>
      </c>
      <c r="C42" s="400">
        <f>SUMIF(Units!D:D,"London House, 9a Margaret Street",Units!P:P)</f>
        <v/>
      </c>
      <c r="D42" s="400">
        <f>SUMIF(Units!D:D,"London House, 9a Margaret Street",Units!S:S)</f>
        <v/>
      </c>
      <c r="E42" s="400">
        <f>SUMIF(Units!D:D,"London House, 9a Margaret Street",Units!U:U)</f>
        <v/>
      </c>
      <c r="F42" s="401">
        <f>'Bank Schedule'!AA374</f>
        <v/>
      </c>
    </row>
    <row r="43">
      <c r="A43" t="inlineStr">
        <is>
          <t>10 Margaret Street</t>
        </is>
      </c>
      <c r="B43" s="399">
        <f>SUMIF(Units!D:D,"10 Margaret Street",Units!G:G)</f>
        <v/>
      </c>
      <c r="C43" s="400">
        <f>SUMIF(Units!D:D,"10 Margaret Street",Units!P:P)</f>
        <v/>
      </c>
      <c r="D43" s="400">
        <f>SUMIF(Units!D:D,"10 Margaret Street",Units!S:S)</f>
        <v/>
      </c>
      <c r="E43" s="400">
        <f>SUMIF(Units!D:D,"10 Margaret Street",Units!U:U)</f>
        <v/>
      </c>
      <c r="F43" s="401">
        <f>'Bank Schedule'!AA381</f>
        <v/>
      </c>
    </row>
    <row r="44">
      <c r="A44" t="inlineStr">
        <is>
          <t>Audley House,  12 Margaret Street</t>
        </is>
      </c>
      <c r="B44" s="399">
        <f>SUMIF(Units!D:D,"Audley House,  12 Margaret Street",Units!G:G)</f>
        <v/>
      </c>
      <c r="C44" s="400">
        <f>SUMIF(Units!D:D,"Audley House,  12 Margaret Street",Units!P:P)</f>
        <v/>
      </c>
      <c r="D44" s="400">
        <f>SUMIF(Units!D:D,"Audley House,  12 Margaret Street",Units!S:S)</f>
        <v/>
      </c>
      <c r="E44" s="400">
        <f>SUMIF(Units!D:D,"Audley House,  12 Margaret Street",Units!U:U)</f>
        <v/>
      </c>
      <c r="F44" s="401">
        <f>'Bank Schedule'!AA385</f>
        <v/>
      </c>
    </row>
    <row r="45">
      <c r="A45" t="inlineStr">
        <is>
          <t>13-14 Margaret Street</t>
        </is>
      </c>
      <c r="B45" s="399">
        <f>SUMIF(Units!D:D,"13-14 Margaret Street",Units!G:G)</f>
        <v/>
      </c>
      <c r="C45" s="400">
        <f>SUMIF(Units!D:D,"13-14 Margaret Street",Units!P:P)</f>
        <v/>
      </c>
      <c r="D45" s="400">
        <f>SUMIF(Units!D:D,"13-14 Margaret Street",Units!S:S)</f>
        <v/>
      </c>
      <c r="E45" s="400">
        <f>SUMIF(Units!D:D,"13-14 Margaret Street",Units!U:U)</f>
        <v/>
      </c>
      <c r="F45" s="401">
        <f>'Bank Schedule'!AA397</f>
        <v/>
      </c>
    </row>
    <row r="46">
      <c r="A46" t="inlineStr">
        <is>
          <t>15-16 Margaret Street</t>
        </is>
      </c>
      <c r="B46" s="399">
        <f>SUMIF(Units!D:D,"15-16 Margaret Street",Units!G:G)</f>
        <v/>
      </c>
      <c r="C46" s="400">
        <f>SUMIF(Units!D:D,"15-16 Margaret Street",Units!P:P)</f>
        <v/>
      </c>
      <c r="D46" s="400">
        <f>SUMIF(Units!D:D,"15-16 Margaret Street",Units!S:S)</f>
        <v/>
      </c>
      <c r="E46" s="400">
        <f>SUMIF(Units!D:D,"15-16 Margaret Street",Units!U:U)</f>
        <v/>
      </c>
      <c r="F46" s="401">
        <f>'Bank Schedule'!AA409</f>
        <v/>
      </c>
    </row>
    <row r="47">
      <c r="A47" t="inlineStr">
        <is>
          <t>17-18 Margaret Street</t>
        </is>
      </c>
      <c r="B47" s="399">
        <f>SUMIF(Units!D:D,"17-18 Margaret Street",Units!G:G)</f>
        <v/>
      </c>
      <c r="C47" s="400">
        <f>SUMIF(Units!D:D,"17-18 Margaret Street",Units!P:P)</f>
        <v/>
      </c>
      <c r="D47" s="400">
        <f>SUMIF(Units!D:D,"17-18 Margaret Street",Units!S:S)</f>
        <v/>
      </c>
      <c r="E47" s="400">
        <f>SUMIF(Units!D:D,"17-18 Margaret Street",Units!U:U)</f>
        <v/>
      </c>
      <c r="F47" s="401">
        <f>'Bank Schedule'!AA425</f>
        <v/>
      </c>
    </row>
    <row r="48">
      <c r="A48" t="inlineStr">
        <is>
          <t>19 Margaret Street</t>
        </is>
      </c>
      <c r="B48" s="399">
        <f>SUMIF(Units!D:D,"19 Margaret Street",Units!G:G)</f>
        <v/>
      </c>
      <c r="C48" s="400">
        <f>SUMIF(Units!D:D,"19 Margaret Street",Units!P:P)</f>
        <v/>
      </c>
      <c r="D48" s="400">
        <f>SUMIF(Units!D:D,"19 Margaret Street",Units!S:S)</f>
        <v/>
      </c>
      <c r="E48" s="400">
        <f>SUMIF(Units!D:D,"19 Margaret Street",Units!U:U)</f>
        <v/>
      </c>
      <c r="F48" s="401">
        <f>'Bank Schedule'!AA436</f>
        <v/>
      </c>
    </row>
    <row r="49">
      <c r="A49" t="inlineStr">
        <is>
          <t>20 Margaret Street</t>
        </is>
      </c>
      <c r="B49" s="399">
        <f>SUMIF(Units!D:D,"20 Margaret Street",Units!G:G)</f>
        <v/>
      </c>
      <c r="C49" s="400">
        <f>SUMIF(Units!D:D,"20 Margaret Street",Units!P:P)</f>
        <v/>
      </c>
      <c r="D49" s="400">
        <f>SUMIF(Units!D:D,"20 Margaret Street",Units!S:S)</f>
        <v/>
      </c>
      <c r="E49" s="400">
        <f>SUMIF(Units!D:D,"20 Margaret Street",Units!U:U)</f>
        <v/>
      </c>
      <c r="F49" s="401">
        <f>'Bank Schedule'!AA447</f>
        <v/>
      </c>
    </row>
    <row r="50">
      <c r="A50" t="inlineStr">
        <is>
          <t>25 Margaret Street</t>
        </is>
      </c>
      <c r="B50" s="399">
        <f>SUMIF(Units!D:D,"25 Margaret Street",Units!G:G)</f>
        <v/>
      </c>
      <c r="C50" s="400">
        <f>SUMIF(Units!D:D,"25 Margaret Street",Units!P:P)</f>
        <v/>
      </c>
      <c r="D50" s="400">
        <f>SUMIF(Units!D:D,"25 Margaret Street",Units!S:S)</f>
        <v/>
      </c>
      <c r="E50" s="400">
        <f>SUMIF(Units!D:D,"25 Margaret Street",Units!U:U)</f>
        <v/>
      </c>
      <c r="F50" s="401">
        <f>'Bank Schedule'!AA459</f>
        <v/>
      </c>
    </row>
    <row r="51">
      <c r="A51" t="inlineStr">
        <is>
          <t>47,48 &amp; 50 Margaret Street</t>
        </is>
      </c>
      <c r="B51" s="399">
        <f>SUMIF(Units!D:D,"47,48 &amp; 50 Margaret Street",Units!G:G)</f>
        <v/>
      </c>
      <c r="C51" s="400">
        <f>SUMIF(Units!D:D,"47,48 &amp; 50 Margaret Street",Units!P:P)</f>
        <v/>
      </c>
      <c r="D51" s="400">
        <f>SUMIF(Units!D:D,"47,48 &amp; 50 Margaret Street",Units!S:S)</f>
        <v/>
      </c>
      <c r="E51" s="400">
        <f>SUMIF(Units!D:D,"47,48 &amp; 50 Margaret Street",Units!U:U)</f>
        <v/>
      </c>
      <c r="F51" s="401">
        <f>'Bank Schedule'!AA476</f>
        <v/>
      </c>
    </row>
    <row r="52">
      <c r="A52" t="inlineStr">
        <is>
          <t>51-53 Margaret Street</t>
        </is>
      </c>
      <c r="B52" s="399">
        <f>SUMIF(Units!D:D,"51-53 Margaret Street",Units!G:G)</f>
        <v/>
      </c>
      <c r="C52" s="400">
        <f>SUMIF(Units!D:D,"51-53 Margaret Street",Units!P:P)</f>
        <v/>
      </c>
      <c r="D52" s="400">
        <f>SUMIF(Units!D:D,"51-53 Margaret Street",Units!S:S)</f>
        <v/>
      </c>
      <c r="E52" s="400">
        <f>SUMIF(Units!D:D,"51-53 Margaret Street",Units!U:U)</f>
        <v/>
      </c>
      <c r="F52" s="401">
        <f>'Bank Schedule'!AA493</f>
        <v/>
      </c>
    </row>
    <row r="53">
      <c r="A53" t="inlineStr">
        <is>
          <t>63-64 Margaret Street</t>
        </is>
      </c>
      <c r="B53" s="399">
        <f>SUMIF(Units!D:D,"63-64 Margaret Street",Units!G:G)</f>
        <v/>
      </c>
      <c r="C53" s="400">
        <f>SUMIF(Units!D:D,"63-64 Margaret Street",Units!P:P)</f>
        <v/>
      </c>
      <c r="D53" s="400">
        <f>SUMIF(Units!D:D,"63-64 Margaret Street",Units!S:S)</f>
        <v/>
      </c>
      <c r="E53" s="400">
        <f>SUMIF(Units!D:D,"63-64 Margaret Street",Units!U:U)</f>
        <v/>
      </c>
      <c r="F53" s="401">
        <f>'Bank Schedule'!AA512</f>
        <v/>
      </c>
    </row>
    <row r="54">
      <c r="A54" t="inlineStr">
        <is>
          <t>65 Margaret Street</t>
        </is>
      </c>
      <c r="B54" s="399">
        <f>SUMIF(Units!D:D,"65 Margaret Street",Units!G:G)</f>
        <v/>
      </c>
      <c r="C54" s="400">
        <f>SUMIF(Units!D:D,"65 Margaret Street",Units!P:P)</f>
        <v/>
      </c>
      <c r="D54" s="400">
        <f>SUMIF(Units!D:D,"65 Margaret Street",Units!S:S)</f>
        <v/>
      </c>
      <c r="E54" s="400">
        <f>SUMIF(Units!D:D,"65 Margaret Street",Units!U:U)</f>
        <v/>
      </c>
      <c r="F54" s="401">
        <f>'Bank Schedule'!AA523</f>
        <v/>
      </c>
    </row>
    <row r="55">
      <c r="A55" t="inlineStr">
        <is>
          <t>75-77 Margaret Street</t>
        </is>
      </c>
      <c r="B55" s="399">
        <f>SUMIF(Units!D:D,"75-77 Margaret Street",Units!G:G)</f>
        <v/>
      </c>
      <c r="C55" s="400">
        <f>SUMIF(Units!D:D,"75-77 Margaret Street",Units!P:P)</f>
        <v/>
      </c>
      <c r="D55" s="400">
        <f>SUMIF(Units!D:D,"75-77 Margaret Street",Units!S:S)</f>
        <v/>
      </c>
      <c r="E55" s="400">
        <f>SUMIF(Units!D:D,"75-77 Margaret Street",Units!U:U)</f>
        <v/>
      </c>
      <c r="F55" s="401">
        <f>'Bank Schedule'!AA537</f>
        <v/>
      </c>
    </row>
    <row r="56">
      <c r="A56" t="inlineStr">
        <is>
          <t>Sackville House - 78 Margaret Street</t>
        </is>
      </c>
      <c r="B56" s="399">
        <f>SUMIF(Units!D:D,"Sackville House - 78 Margaret Street",Units!G:G)</f>
        <v/>
      </c>
      <c r="C56" s="400">
        <f>SUMIF(Units!D:D,"Sackville House - 78 Margaret Street",Units!P:P)</f>
        <v/>
      </c>
      <c r="D56" s="400">
        <f>SUMIF(Units!D:D,"Sackville House - 78 Margaret Street",Units!S:S)</f>
        <v/>
      </c>
      <c r="E56" s="400">
        <f>SUMIF(Units!D:D,"Sackville House - 78 Margaret Street",Units!U:U)</f>
        <v/>
      </c>
      <c r="F56" s="401">
        <f>'Bank Schedule'!AA546</f>
        <v/>
      </c>
    </row>
    <row r="57">
      <c r="A57" t="inlineStr">
        <is>
          <t>Kenilworth House - 79-80 Margaret Street</t>
        </is>
      </c>
      <c r="B57" s="399">
        <f>SUMIF(Units!D:D,"Kenilworth House - 79-80 Margaret Street",Units!G:G)</f>
        <v/>
      </c>
      <c r="C57" s="400">
        <f>SUMIF(Units!D:D,"Kenilworth House - 79-80 Margaret Street",Units!P:P)</f>
        <v/>
      </c>
      <c r="D57" s="400">
        <f>SUMIF(Units!D:D,"Kenilworth House - 79-80 Margaret Street",Units!S:S)</f>
        <v/>
      </c>
      <c r="E57" s="400">
        <f>SUMIF(Units!D:D,"Kenilworth House - 79-80 Margaret Street",Units!U:U)</f>
        <v/>
      </c>
      <c r="F57" s="401">
        <f>'Bank Schedule'!AA564</f>
        <v/>
      </c>
    </row>
    <row r="58">
      <c r="A58" t="inlineStr">
        <is>
          <t>4 Market Place</t>
        </is>
      </c>
      <c r="B58" s="399">
        <f>SUMIF(Units!D:D,"4 Market Place",Units!G:G)</f>
        <v/>
      </c>
      <c r="C58" s="400">
        <f>SUMIF(Units!D:D,"4 Market Place",Units!P:P)</f>
        <v/>
      </c>
      <c r="D58" s="400">
        <f>SUMIF(Units!D:D,"4 Market Place",Units!S:S)</f>
        <v/>
      </c>
      <c r="E58" s="400">
        <f>SUMIF(Units!D:D,"4 Market Place",Units!U:U)</f>
        <v/>
      </c>
      <c r="F58" s="401">
        <f>'Bank Schedule'!AA571</f>
        <v/>
      </c>
    </row>
    <row r="59">
      <c r="A59" t="inlineStr">
        <is>
          <t>11-13 Market Place</t>
        </is>
      </c>
      <c r="B59" s="399">
        <f>SUMIF(Units!D:D,"11-13 Market Place",Units!G:G)</f>
        <v/>
      </c>
      <c r="C59" s="400">
        <f>SUMIF(Units!D:D,"11-13 Market Place",Units!P:P)</f>
        <v/>
      </c>
      <c r="D59" s="400">
        <f>SUMIF(Units!D:D,"11-13 Market Place",Units!S:S)</f>
        <v/>
      </c>
      <c r="E59" s="400">
        <f>SUMIF(Units!D:D,"11-13 Market Place",Units!U:U)</f>
        <v/>
      </c>
      <c r="F59" s="401">
        <f>'Bank Schedule'!AA575</f>
        <v/>
      </c>
    </row>
    <row r="60">
      <c r="A60" t="inlineStr">
        <is>
          <t>Radiant House, 34-38 Mortimer Street &amp; 3-4 Bywell Place</t>
        </is>
      </c>
      <c r="B60" s="399">
        <f>SUMIF(Units!D:D,"Radiant House, 34-38 Mortimer Street &amp; 3-4 Bywell Place",Units!G:G)</f>
        <v/>
      </c>
      <c r="C60" s="400">
        <f>SUMIF(Units!D:D,"Radiant House, 34-38 Mortimer Street &amp; 3-4 Bywell Place",Units!P:P)</f>
        <v/>
      </c>
      <c r="D60" s="400">
        <f>SUMIF(Units!D:D,"Radiant House, 34-38 Mortimer Street &amp; 3-4 Bywell Place",Units!S:S)</f>
        <v/>
      </c>
      <c r="E60" s="400">
        <f>SUMIF(Units!D:D,"Radiant House, 34-38 Mortimer Street &amp; 3-4 Bywell Place",Units!U:U)</f>
        <v/>
      </c>
      <c r="F60" s="401">
        <f>'Bank Schedule'!AA590</f>
        <v/>
      </c>
    </row>
    <row r="61">
      <c r="A61" t="inlineStr">
        <is>
          <t>Gilmoora House, 57-61 Mortimer Street</t>
        </is>
      </c>
      <c r="B61" s="399">
        <f>SUMIF(Units!D:D,"Gilmoora House, 57-61 Mortimer Street",Units!G:G)</f>
        <v/>
      </c>
      <c r="C61" s="400">
        <f>SUMIF(Units!D:D,"Gilmoora House, 57-61 Mortimer Street",Units!P:P)</f>
        <v/>
      </c>
      <c r="D61" s="400">
        <f>SUMIF(Units!D:D,"Gilmoora House, 57-61 Mortimer Street",Units!S:S)</f>
        <v/>
      </c>
      <c r="E61" s="400">
        <f>SUMIF(Units!D:D,"Gilmoora House, 57-61 Mortimer Street",Units!U:U)</f>
        <v/>
      </c>
      <c r="F61" s="401">
        <f>'Bank Schedule'!AA597</f>
        <v/>
      </c>
    </row>
    <row r="62">
      <c r="A62" t="inlineStr">
        <is>
          <t>67 - 81 Mortimer Street</t>
        </is>
      </c>
      <c r="B62" s="399">
        <f>SUMIF(Units!D:D,"67 - 81 Mortimer Street",Units!G:G)</f>
        <v/>
      </c>
      <c r="C62" s="400">
        <f>SUMIF(Units!D:D,"67 - 81 Mortimer Street",Units!P:P)</f>
        <v/>
      </c>
      <c r="D62" s="400">
        <f>SUMIF(Units!D:D,"67 - 81 Mortimer Street",Units!S:S)</f>
        <v/>
      </c>
      <c r="E62" s="400">
        <f>SUMIF(Units!D:D,"67 - 81 Mortimer Street",Units!U:U)</f>
        <v/>
      </c>
      <c r="F62" s="401">
        <f>'Bank Schedule'!AA614</f>
        <v/>
      </c>
    </row>
    <row r="63">
      <c r="A63" t="inlineStr">
        <is>
          <t>93 Mortimer Street &amp; 43 Great Portland Street</t>
        </is>
      </c>
      <c r="B63" s="399">
        <f>SUMIF(Units!D:D,"93 Mortimer Street &amp; 43 Great Portland Street",Units!G:G)</f>
        <v/>
      </c>
      <c r="C63" s="400">
        <f>SUMIF(Units!D:D,"93 Mortimer Street &amp; 43 Great Portland Street",Units!P:P)</f>
        <v/>
      </c>
      <c r="D63" s="400">
        <f>SUMIF(Units!D:D,"93 Mortimer Street &amp; 43 Great Portland Street",Units!S:S)</f>
        <v/>
      </c>
      <c r="E63" s="400">
        <f>SUMIF(Units!D:D,"93 Mortimer Street &amp; 43 Great Portland Street",Units!U:U)</f>
        <v/>
      </c>
      <c r="F63" s="401">
        <f>'Bank Schedule'!AA618</f>
        <v/>
      </c>
    </row>
    <row r="64">
      <c r="A64" t="inlineStr">
        <is>
          <t>142-144 Oxford Street</t>
        </is>
      </c>
      <c r="B64" s="399">
        <f>SUMIF(Units!D:D,"142-144 Oxford Street",Units!G:G)</f>
        <v/>
      </c>
      <c r="C64" s="400">
        <f>SUMIF(Units!D:D,"142-144 Oxford Street",Units!P:P)</f>
        <v/>
      </c>
      <c r="D64" s="400">
        <f>SUMIF(Units!D:D,"142-144 Oxford Street",Units!S:S)</f>
        <v/>
      </c>
      <c r="E64" s="400">
        <f>SUMIF(Units!D:D,"142-144 Oxford Street",Units!U:U)</f>
        <v/>
      </c>
      <c r="F64" s="401">
        <f>'Bank Schedule'!AA627</f>
        <v/>
      </c>
    </row>
    <row r="65">
      <c r="A65" t="inlineStr">
        <is>
          <t>146/148 Oxford Street</t>
        </is>
      </c>
      <c r="B65" s="399">
        <f>SUMIF(Units!D:D,"146/148 Oxford Street",Units!G:G)</f>
        <v/>
      </c>
      <c r="C65" s="400">
        <f>SUMIF(Units!D:D,"146/148 Oxford Street",Units!P:P)</f>
        <v/>
      </c>
      <c r="D65" s="400">
        <f>SUMIF(Units!D:D,"146/148 Oxford Street",Units!S:S)</f>
        <v/>
      </c>
      <c r="E65" s="400">
        <f>SUMIF(Units!D:D,"146/148 Oxford Street",Units!U:U)</f>
        <v/>
      </c>
      <c r="F65" s="401">
        <f>'Bank Schedule'!AA635</f>
        <v/>
      </c>
    </row>
    <row r="66">
      <c r="A66" t="inlineStr">
        <is>
          <t>150/154 Oxford Street</t>
        </is>
      </c>
      <c r="B66" s="399">
        <f>SUMIF(Units!D:D,"150/154 Oxford Street",Units!G:G)</f>
        <v/>
      </c>
      <c r="C66" s="400">
        <f>SUMIF(Units!D:D,"150/154 Oxford Street",Units!P:P)</f>
        <v/>
      </c>
      <c r="D66" s="400">
        <f>SUMIF(Units!D:D,"150/154 Oxford Street",Units!S:S)</f>
        <v/>
      </c>
      <c r="E66" s="400">
        <f>SUMIF(Units!D:D,"150/154 Oxford Street",Units!U:U)</f>
        <v/>
      </c>
      <c r="F66" s="401">
        <f>'Bank Schedule'!AA639</f>
        <v/>
      </c>
    </row>
    <row r="67">
      <c r="A67" t="inlineStr">
        <is>
          <t>50 Eastcastle Street</t>
        </is>
      </c>
      <c r="B67" s="399">
        <f>SUMIF(Units!D:D,"50 Eastcastle Street",Units!G:G)</f>
        <v/>
      </c>
      <c r="C67" s="400">
        <f>SUMIF(Units!D:D,"50 Eastcastle Street",Units!P:P)</f>
        <v/>
      </c>
      <c r="D67" s="400">
        <f>SUMIF(Units!D:D,"50 Eastcastle Street",Units!S:S)</f>
        <v/>
      </c>
      <c r="E67" s="400">
        <f>SUMIF(Units!D:D,"50 Eastcastle Street",Units!U:U)</f>
        <v/>
      </c>
    </row>
    <row r="68">
      <c r="A68" t="inlineStr">
        <is>
          <t>Mappin House, 156-162 Oxford Street</t>
        </is>
      </c>
      <c r="B68" s="399">
        <f>SUMIF(Units!D:D,"Mappin House, 156-162 Oxford Street",Units!G:G)</f>
        <v/>
      </c>
      <c r="C68" s="400">
        <f>SUMIF(Units!D:D,"Mappin House, 156-162 Oxford Street",Units!P:P)</f>
        <v/>
      </c>
      <c r="D68" s="400">
        <f>SUMIF(Units!D:D,"Mappin House, 156-162 Oxford Street",Units!S:S)</f>
        <v/>
      </c>
      <c r="E68" s="400">
        <f>SUMIF(Units!D:D,"Mappin House, 156-162 Oxford Street",Units!U:U)</f>
        <v/>
      </c>
      <c r="F68" s="401">
        <f>'Bank Schedule'!AA690</f>
        <v/>
      </c>
    </row>
    <row r="69">
      <c r="A69" t="inlineStr">
        <is>
          <t>53 Wells Street</t>
        </is>
      </c>
      <c r="B69" s="399">
        <f>SUMIF(Units!D:D,"53 Wells Street",Units!G:G)</f>
        <v/>
      </c>
      <c r="C69" s="400">
        <f>SUMIF(Units!D:D,"53 Wells Street",Units!P:P)</f>
        <v/>
      </c>
      <c r="D69" s="400">
        <f>SUMIF(Units!D:D,"53 Wells Street",Units!S:S)</f>
        <v/>
      </c>
      <c r="E69" s="400">
        <f>SUMIF(Units!D:D,"53 Wells Street",Units!U:U)</f>
        <v/>
      </c>
      <c r="F69" s="401">
        <f>'Bank Schedule'!AA700</f>
        <v/>
      </c>
    </row>
    <row r="70">
      <c r="A70" t="inlineStr">
        <is>
          <t>68 Wells Street</t>
        </is>
      </c>
      <c r="B70" s="399">
        <f>SUMIF(Units!D:D,"68 Wells Street",Units!G:G)</f>
        <v/>
      </c>
      <c r="C70" s="400">
        <f>SUMIF(Units!D:D,"68 Wells Street",Units!P:P)</f>
        <v/>
      </c>
      <c r="D70" s="400">
        <f>SUMIF(Units!D:D,"68 Wells Street",Units!S:S)</f>
        <v/>
      </c>
      <c r="E70" s="400">
        <f>SUMIF(Units!D:D,"68 Wells Street",Units!U:U)</f>
        <v/>
      </c>
      <c r="F70" s="401">
        <f>'Bank Schedule'!AA704</f>
        <v/>
      </c>
    </row>
    <row r="71">
      <c r="A71" t="inlineStr">
        <is>
          <t>33 Eastcastle Street</t>
        </is>
      </c>
      <c r="B71" s="399">
        <f>SUMIF(Units!D:D,"33 Eastcastle Street",Units!G:G)</f>
        <v/>
      </c>
      <c r="C71" s="400">
        <f>SUMIF(Units!D:D,"33 Eastcastle Street",Units!P:P)</f>
        <v/>
      </c>
      <c r="D71" s="400">
        <f>SUMIF(Units!D:D,"33 Eastcastle Street",Units!S:S)</f>
        <v/>
      </c>
      <c r="E71" s="400">
        <f>SUMIF(Units!D:D,"33 Eastcastle Street",Units!U:U)</f>
        <v/>
      </c>
      <c r="F71" s="401">
        <f>'Bank Schedule'!AA712</f>
        <v/>
      </c>
    </row>
    <row r="72">
      <c r="A72" t="inlineStr">
        <is>
          <t>Julco House, 26-28 Great Portland Street</t>
        </is>
      </c>
      <c r="B72" s="399">
        <f>SUMIF(Units!D:D,"Julco House, 26-28 Great Portland Street",Units!G:G)</f>
        <v/>
      </c>
      <c r="C72" s="400">
        <f>SUMIF(Units!D:D,"Julco House, 26-28 Great Portland Street",Units!P:P)</f>
        <v/>
      </c>
      <c r="D72" s="400">
        <f>SUMIF(Units!D:D,"Julco House, 26-28 Great Portland Street",Units!S:S)</f>
        <v/>
      </c>
      <c r="E72" s="400">
        <f>SUMIF(Units!D:D,"Julco House, 26-28 Great Portland Street",Units!U:U)</f>
        <v/>
      </c>
      <c r="F72" s="401">
        <f>'Bank Schedule'!AA726</f>
        <v/>
      </c>
    </row>
    <row r="73">
      <c r="A73" t="inlineStr">
        <is>
          <t>5 Margaret Street</t>
        </is>
      </c>
      <c r="B73" s="399">
        <f>SUMIF(Units!D:D,"5 Margaret Street",Units!G:G)</f>
        <v/>
      </c>
      <c r="C73" s="400">
        <f>SUMIF(Units!D:D,"5 Margaret Street",Units!P:P)</f>
        <v/>
      </c>
      <c r="D73" s="400">
        <f>SUMIF(Units!D:D,"5 Margaret Street",Units!S:S)</f>
        <v/>
      </c>
      <c r="E73" s="400">
        <f>SUMIF(Units!D:D,"5 Margaret Street",Units!U:U)</f>
        <v/>
      </c>
      <c r="F73" s="401">
        <f>'Bank Schedule'!AA731</f>
        <v/>
      </c>
    </row>
    <row r="74">
      <c r="A74" t="inlineStr">
        <is>
          <t>60/62 Margaret Street</t>
        </is>
      </c>
      <c r="B74" s="399">
        <f>SUMIF(Units!D:D,"60/62 Margaret Street",Units!G:G)</f>
        <v/>
      </c>
      <c r="C74" s="400">
        <f>SUMIF(Units!D:D,"60/62 Margaret Street",Units!P:P)</f>
        <v/>
      </c>
      <c r="D74" s="400">
        <f>SUMIF(Units!D:D,"60/62 Margaret Street",Units!S:S)</f>
        <v/>
      </c>
      <c r="E74" s="400">
        <f>SUMIF(Units!D:D,"60/62 Margaret Street",Units!U:U)</f>
        <v/>
      </c>
      <c r="F74" s="401">
        <f>'Bank Schedule'!AA736</f>
        <v/>
      </c>
    </row>
    <row r="75">
      <c r="A75" t="inlineStr">
        <is>
          <t>85 Mortimer Street</t>
        </is>
      </c>
      <c r="B75" s="399">
        <f>SUMIF(Units!D:D,"85 Mortimer Street",Units!G:G)</f>
        <v/>
      </c>
      <c r="C75" s="400">
        <f>SUMIF(Units!D:D,"85 Mortimer Street",Units!P:P)</f>
        <v/>
      </c>
      <c r="D75" s="400">
        <f>SUMIF(Units!D:D,"85 Mortimer Street",Units!S:S)</f>
        <v/>
      </c>
      <c r="E75" s="400">
        <f>SUMIF(Units!D:D,"85 Mortimer Street",Units!U:U)</f>
        <v/>
      </c>
      <c r="F75" s="401">
        <f>'Bank Schedule'!AA744</f>
        <v/>
      </c>
    </row>
    <row r="76">
      <c r="A76" t="inlineStr">
        <is>
          <t>Welbeck House, 66/67 Wells Street</t>
        </is>
      </c>
      <c r="B76" s="399">
        <f>SUMIF(Units!D:D,"Welbeck House, 66/67 Wells Street",Units!G:G)</f>
        <v/>
      </c>
      <c r="C76" s="400">
        <f>SUMIF(Units!D:D,"Welbeck House, 66/67 Wells Street",Units!P:P)</f>
        <v/>
      </c>
      <c r="D76" s="400">
        <f>SUMIF(Units!D:D,"Welbeck House, 66/67 Wells Street",Units!S:S)</f>
        <v/>
      </c>
      <c r="E76" s="400">
        <f>SUMIF(Units!D:D,"Welbeck House, 66/67 Wells Street",Units!U:U)</f>
        <v/>
      </c>
      <c r="F76" s="401">
        <f>'Bank Schedule'!AA759</f>
        <v/>
      </c>
    </row>
    <row r="77">
      <c r="A77" t="inlineStr">
        <is>
          <t>32-36 Great Portland Street</t>
        </is>
      </c>
      <c r="B77" s="399">
        <f>SUMIF(Units!D:D,"32-36 Great Portland Street",Units!G:G)</f>
        <v/>
      </c>
      <c r="C77" s="400">
        <f>SUMIF(Units!D:D,"32-36 Great Portland Street",Units!P:P)</f>
        <v/>
      </c>
      <c r="D77" s="400">
        <f>SUMIF(Units!D:D,"32-36 Great Portland Street",Units!S:S)</f>
        <v/>
      </c>
      <c r="E77" s="400">
        <f>SUMIF(Units!D:D,"32-36 Great Portland Street",Units!U:U)</f>
        <v/>
      </c>
      <c r="F77" s="401">
        <f>'Bank Schedule'!AA771</f>
        <v/>
      </c>
    </row>
    <row r="78">
      <c r="A78" t="inlineStr">
        <is>
          <t>184-190 Oxford Street &amp; 28/30 Market Place</t>
        </is>
      </c>
      <c r="B78" s="399">
        <f>SUMIF(Units!D:D,"184-190 Oxford Street &amp; 28/30 Market Place",Units!G:G)</f>
        <v/>
      </c>
      <c r="C78" s="400">
        <f>SUMIF(Units!D:D,"184-190 Oxford Street &amp; 28/30 Market Place",Units!P:P)</f>
        <v/>
      </c>
      <c r="D78" s="400">
        <f>SUMIF(Units!D:D,"184-190 Oxford Street &amp; 28/30 Market Place",Units!S:S)</f>
        <v/>
      </c>
      <c r="E78" s="400">
        <f>SUMIF(Units!D:D,"184-190 Oxford Street &amp; 28/30 Market Place",Units!U:U)</f>
        <v/>
      </c>
      <c r="F78" s="401">
        <f>'Bank Schedule'!AA788</f>
        <v/>
      </c>
    </row>
  </sheetData>
  <autoFilter ref="A2:F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2025-12-03T14:28:23Z</dcterms:modified>
  <cp:lastModifiedBy>Simone Morciano</cp:lastModifiedBy>
  <cp:lastPrinted>2025-09-05T13:47:35Z</cp:lastPrinted>
</cp:coreProperties>
</file>