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'Units'!$A$2:$AG$428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yyyy-mm-dd h:mm:ss"/>
  </numFmts>
  <fonts count="7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  <sz val="1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7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0" fontId="73" fillId="0" borderId="0" pivotButton="0" quotePrefix="0" xfId="0"/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L152" t="inlineStr"/>
      <c r="M152" t="inlineStr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K155" t="inlineStr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K156" t="inlineStr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28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hidden="1" width="8" customWidth="1" min="2" max="2"/>
    <col hidden="1" width="17" customWidth="1" min="3" max="3"/>
    <col width="30" customWidth="1" min="4" max="4"/>
    <col width="30" customWidth="1" min="5" max="5"/>
    <col width="30" customWidth="1" min="6" max="6"/>
    <col width="10" customWidth="1" min="7" max="7"/>
    <col hidden="1" width="8" customWidth="1" min="8" max="8"/>
    <col width="19" customWidth="1" min="9" max="9"/>
    <col width="3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22" customWidth="1" min="24" max="24"/>
    <col width="8" customWidth="1" min="25" max="25"/>
    <col hidden="1" width="8" customWidth="1" min="26" max="26"/>
    <col width="24" customWidth="1" min="27" max="27"/>
    <col width="20" customWidth="1" min="28" max="28"/>
    <col width="30" customWidth="1" min="29" max="29"/>
    <col width="29" customWidth="1" min="30" max="30"/>
    <col width="18" customWidth="1" min="31" max="31"/>
    <col width="16" customWidth="1" min="32" max="32"/>
    <col width="17" customWidth="1" min="33" max="33"/>
  </cols>
  <sheetData>
    <row r="1">
      <c r="A1" s="836" t="inlineStr">
        <is>
          <t>Document updated 03/12/2025 at 2.56pm</t>
        </is>
      </c>
    </row>
    <row r="2">
      <c r="A2" s="135" t="inlineStr">
        <is>
          <t>Surveyor</t>
        </is>
      </c>
      <c r="B2" s="135" t="inlineStr">
        <is>
          <t>Client</t>
        </is>
      </c>
      <c r="C2" s="74" t="inlineStr">
        <is>
          <t>Property Number</t>
        </is>
      </c>
      <c r="D2" s="74" t="inlineStr">
        <is>
          <t>Property</t>
        </is>
      </c>
      <c r="E2" s="74" t="inlineStr">
        <is>
          <t>Unit Demise</t>
        </is>
      </c>
      <c r="F2" s="75" t="inlineStr">
        <is>
          <t>Unit Type</t>
        </is>
      </c>
      <c r="G2" s="837" t="inlineStr">
        <is>
          <t>Net Area</t>
        </is>
      </c>
      <c r="H2" s="837" t="inlineStr">
        <is>
          <t>.</t>
        </is>
      </c>
      <c r="I2" s="837" t="inlineStr">
        <is>
          <t>Agency Area group</t>
        </is>
      </c>
      <c r="J2" s="77" t="inlineStr">
        <is>
          <t>Tenant Name</t>
        </is>
      </c>
      <c r="K2" s="580" t="inlineStr">
        <is>
          <t>Start            Date</t>
        </is>
      </c>
      <c r="L2" s="580" t="inlineStr">
        <is>
          <t>Expiry   Date</t>
        </is>
      </c>
      <c r="M2" s="580" t="inlineStr">
        <is>
          <t>Vacant Since?</t>
        </is>
      </c>
      <c r="N2" s="580" t="inlineStr">
        <is>
          <t>RRs</t>
        </is>
      </c>
      <c r="O2" s="580" t="inlineStr">
        <is>
          <t xml:space="preserve">Break Date </t>
        </is>
      </c>
      <c r="P2" s="582" t="inlineStr">
        <is>
          <t xml:space="preserve">Rent PA (£) </t>
        </is>
      </c>
      <c r="Q2" s="582" t="inlineStr">
        <is>
          <t>check 1</t>
        </is>
      </c>
      <c r="R2" s="582" t="inlineStr">
        <is>
          <t>check 2</t>
        </is>
      </c>
      <c r="S2" s="582" t="inlineStr">
        <is>
          <t xml:space="preserve">  2023 ERV (£)</t>
        </is>
      </c>
      <c r="T2" s="75" t="inlineStr">
        <is>
          <t>check 3</t>
        </is>
      </c>
      <c r="U2" s="582" t="inlineStr">
        <is>
          <t xml:space="preserve">  2024 ERV (£)</t>
        </is>
      </c>
      <c r="V2" s="75" t="inlineStr">
        <is>
          <t>check 4</t>
        </is>
      </c>
      <c r="W2" s="75" t="inlineStr">
        <is>
          <t>ERV 2024 £.Sq.ft</t>
        </is>
      </c>
      <c r="X2" s="75" t="inlineStr">
        <is>
          <t>ERV Variation</t>
        </is>
      </c>
      <c r="Y2" s="75" t="inlineStr">
        <is>
          <t>EPC</t>
        </is>
      </c>
      <c r="Z2" s="61" t="inlineStr">
        <is>
          <t>*</t>
        </is>
      </c>
      <c r="AA2" s="838" t="inlineStr">
        <is>
          <t xml:space="preserve">2024 Cap Valn. (£)    </t>
        </is>
      </c>
      <c r="AB2" s="838" t="inlineStr">
        <is>
          <t>1954 Act Protected</t>
        </is>
      </c>
      <c r="AC2" s="100" t="inlineStr">
        <is>
          <t>Remarks</t>
        </is>
      </c>
      <c r="AD2" s="584" t="inlineStr">
        <is>
          <t>Agency Quoting Rent £.sq.ft</t>
        </is>
      </c>
      <c r="AE2" s="274" t="inlineStr">
        <is>
          <t>Monthly Viewings</t>
        </is>
      </c>
      <c r="AF2" s="274" t="inlineStr">
        <is>
          <t>Total Viewings</t>
        </is>
      </c>
      <c r="AG2" s="274" t="inlineStr">
        <is>
          <t>Marketing Agent</t>
        </is>
      </c>
    </row>
    <row r="3">
      <c r="A3" s="839" t="inlineStr">
        <is>
          <t>JM</t>
        </is>
      </c>
      <c r="B3" s="839" t="inlineStr">
        <is>
          <t>MEL</t>
        </is>
      </c>
      <c r="C3" s="840" t="n">
        <v>550020</v>
      </c>
      <c r="D3" s="841" t="inlineStr">
        <is>
          <t>5-6 Bywell Place</t>
        </is>
      </c>
      <c r="E3" s="841" t="inlineStr">
        <is>
          <t>Whole Building</t>
        </is>
      </c>
      <c r="F3" s="842" t="inlineStr">
        <is>
          <t>Office</t>
        </is>
      </c>
      <c r="G3" s="18" t="n">
        <v>2011</v>
      </c>
      <c r="H3" s="843">
        <f>G3</f>
        <v/>
      </c>
      <c r="I3" s="843" t="n">
        <v>2000</v>
      </c>
      <c r="J3" s="841" t="inlineStr">
        <is>
          <t>111 Skin Limited</t>
        </is>
      </c>
      <c r="K3" s="844" t="n">
        <v>45365</v>
      </c>
      <c r="L3" s="845" t="n">
        <v>47190</v>
      </c>
      <c r="O3" s="845" t="n">
        <v>46459</v>
      </c>
      <c r="P3" s="591" t="n">
        <v>115500</v>
      </c>
      <c r="Q3" s="843">
        <f>P3</f>
        <v/>
      </c>
      <c r="R3" s="591">
        <f>Q3</f>
        <v/>
      </c>
      <c r="S3" s="591" t="n">
        <v>100600</v>
      </c>
      <c r="T3" s="843">
        <f>S3</f>
        <v/>
      </c>
      <c r="U3" s="591" t="n">
        <v>115000</v>
      </c>
      <c r="V3" s="843">
        <f>U3</f>
        <v/>
      </c>
      <c r="W3" s="846">
        <f>U3/G3</f>
        <v/>
      </c>
      <c r="X3" s="847">
        <f>SUM(U3-S3)/S3</f>
        <v/>
      </c>
      <c r="Y3" s="843" t="inlineStr">
        <is>
          <t>C</t>
        </is>
      </c>
      <c r="Z3" s="590" t="n"/>
      <c r="AA3" s="591" t="n">
        <v>1825000</v>
      </c>
      <c r="AB3" s="848" t="inlineStr">
        <is>
          <t>No</t>
        </is>
      </c>
      <c r="AC3" s="841" t="inlineStr">
        <is>
          <t>Tenant break on 6 months notice. Break penalty of £28,875 if exercised.</t>
        </is>
      </c>
    </row>
    <row r="4">
      <c r="A4" s="839" t="inlineStr">
        <is>
          <t>SH</t>
        </is>
      </c>
      <c r="B4" s="839" t="inlineStr">
        <is>
          <t>MEL</t>
        </is>
      </c>
      <c r="C4" s="840" t="n">
        <v>550910</v>
      </c>
      <c r="D4" s="841" t="inlineStr">
        <is>
          <t>22 and 23-25 Eastcastle Street</t>
        </is>
      </c>
      <c r="E4" s="841" t="inlineStr">
        <is>
          <t>Lower Ground &amp; Ground (22)</t>
        </is>
      </c>
      <c r="F4" s="842" t="inlineStr">
        <is>
          <t>Retail</t>
        </is>
      </c>
      <c r="G4" s="849" t="n">
        <v>2333</v>
      </c>
      <c r="H4" s="843">
        <f>G4</f>
        <v/>
      </c>
      <c r="I4" s="843" t="n">
        <v>2000</v>
      </c>
      <c r="J4" s="841" t="inlineStr">
        <is>
          <t>Top Bridal Ltd</t>
        </is>
      </c>
      <c r="K4" s="845" t="n">
        <v>45736</v>
      </c>
      <c r="L4" s="845" t="n">
        <v>47561</v>
      </c>
      <c r="O4" s="845" t="n">
        <v>46831</v>
      </c>
      <c r="P4" s="390" t="n">
        <v>128000</v>
      </c>
      <c r="Q4" s="843">
        <f>P4</f>
        <v/>
      </c>
      <c r="S4" s="849" t="n">
        <v>110000</v>
      </c>
      <c r="T4" s="843">
        <f>S4</f>
        <v/>
      </c>
      <c r="U4" s="849" t="n">
        <v>108100</v>
      </c>
      <c r="V4" s="843">
        <f>U4</f>
        <v/>
      </c>
      <c r="W4" s="846">
        <f>U4/G4</f>
        <v/>
      </c>
      <c r="X4" s="847">
        <f>SUM(U4-S4)/S4</f>
        <v/>
      </c>
      <c r="Y4" s="843" t="inlineStr">
        <is>
          <t>C</t>
        </is>
      </c>
      <c r="Z4" s="590" t="n"/>
      <c r="AA4" s="848" t="n"/>
      <c r="AB4" s="842" t="inlineStr">
        <is>
          <t>No</t>
        </is>
      </c>
      <c r="AC4" s="841" t="inlineStr">
        <is>
          <t>Stepped rent increasing to £130,000 wef 20/03/27. Tenant break on 6 months notice.</t>
        </is>
      </c>
      <c r="AD4" s="599" t="n"/>
      <c r="AE4" s="841" t="n">
        <v>1</v>
      </c>
      <c r="AF4" s="312" t="n">
        <v>3</v>
      </c>
    </row>
    <row r="5">
      <c r="A5" s="839" t="inlineStr">
        <is>
          <t>SH</t>
        </is>
      </c>
      <c r="B5" s="839" t="inlineStr">
        <is>
          <t>MEL</t>
        </is>
      </c>
      <c r="C5" s="840" t="n">
        <v>550910</v>
      </c>
      <c r="D5" s="841" t="inlineStr">
        <is>
          <t>22 and 23-25 Eastcastle Street</t>
        </is>
      </c>
      <c r="E5" s="841" t="inlineStr">
        <is>
          <t>Lower Ground &amp; Ground (23-25)</t>
        </is>
      </c>
      <c r="F5" s="842" t="inlineStr">
        <is>
          <t>Gallery</t>
        </is>
      </c>
      <c r="G5" s="849" t="n">
        <v>6092</v>
      </c>
      <c r="H5" s="843">
        <f>G5</f>
        <v/>
      </c>
      <c r="I5" s="843" t="n">
        <v>6000</v>
      </c>
      <c r="J5" s="841" t="inlineStr">
        <is>
          <t>Sisters Grimm Ltd</t>
        </is>
      </c>
      <c r="K5" s="844" t="n">
        <v>45712</v>
      </c>
      <c r="L5" s="845" t="n">
        <v>47537</v>
      </c>
      <c r="O5" s="845" t="n">
        <v>46806</v>
      </c>
      <c r="P5" s="843" t="n">
        <v>325000</v>
      </c>
      <c r="Q5" s="843">
        <f>P5</f>
        <v/>
      </c>
      <c r="S5" s="849" t="n">
        <v>225000</v>
      </c>
      <c r="T5" s="843">
        <f>S5</f>
        <v/>
      </c>
      <c r="U5" s="849" t="n">
        <v>226100</v>
      </c>
      <c r="V5" s="843">
        <f>U5</f>
        <v/>
      </c>
      <c r="W5" s="846">
        <f>U5/G5</f>
        <v/>
      </c>
      <c r="X5" s="847">
        <f>SUM(U5-S5)/S5</f>
        <v/>
      </c>
      <c r="Y5" s="843" t="inlineStr">
        <is>
          <t>B</t>
        </is>
      </c>
      <c r="Z5" s="590" t="n"/>
      <c r="AA5" s="848" t="n"/>
      <c r="AB5" s="842" t="inlineStr">
        <is>
          <t>No</t>
        </is>
      </c>
      <c r="AC5" s="841" t="inlineStr">
        <is>
          <t>Tenant break on 6 months notice. 1 month rent free from 24/02/28 if break not excerised.</t>
        </is>
      </c>
      <c r="AD5" s="599" t="n"/>
      <c r="AF5" s="312" t="n">
        <v>3</v>
      </c>
      <c r="AG5" s="841" t="inlineStr">
        <is>
          <t>LEM</t>
        </is>
      </c>
    </row>
    <row r="6">
      <c r="A6" s="839" t="inlineStr">
        <is>
          <t>SH</t>
        </is>
      </c>
      <c r="B6" s="839" t="inlineStr">
        <is>
          <t>MEL</t>
        </is>
      </c>
      <c r="C6" s="840" t="n">
        <v>550910</v>
      </c>
      <c r="D6" s="841" t="inlineStr">
        <is>
          <t>22 and 23-25 Eastcastle Street</t>
        </is>
      </c>
      <c r="E6" s="841" t="inlineStr">
        <is>
          <t>First Floor (22)</t>
        </is>
      </c>
      <c r="F6" s="842" t="inlineStr">
        <is>
          <t>Office</t>
        </is>
      </c>
      <c r="G6" s="849" t="n">
        <v>1063</v>
      </c>
      <c r="H6" s="843">
        <f>G6</f>
        <v/>
      </c>
      <c r="I6" s="843" t="n">
        <v>1000</v>
      </c>
      <c r="J6" s="841" t="inlineStr">
        <is>
          <t>Peter Alexander UK Ltd</t>
        </is>
      </c>
      <c r="K6" s="845" t="n">
        <v>45551</v>
      </c>
      <c r="L6" s="845" t="n">
        <v>47376</v>
      </c>
      <c r="O6" s="845" t="n">
        <v>46645</v>
      </c>
      <c r="P6" s="849" t="n">
        <v>61425</v>
      </c>
      <c r="Q6" s="843">
        <f>P6</f>
        <v/>
      </c>
      <c r="S6" s="849" t="n">
        <v>55700</v>
      </c>
      <c r="T6" s="843">
        <f>S6</f>
        <v/>
      </c>
      <c r="U6" s="849" t="n">
        <v>61100</v>
      </c>
      <c r="V6" s="843">
        <f>U6</f>
        <v/>
      </c>
      <c r="W6" s="846">
        <f>U6/G6</f>
        <v/>
      </c>
      <c r="X6" s="847">
        <f>SUM(U6-S6)/S6</f>
        <v/>
      </c>
      <c r="Y6" s="843" t="inlineStr">
        <is>
          <t>D</t>
        </is>
      </c>
      <c r="Z6" s="590" t="n"/>
      <c r="AA6" s="848" t="n"/>
      <c r="AB6" s="842" t="inlineStr">
        <is>
          <t>No</t>
        </is>
      </c>
      <c r="AC6" s="841" t="inlineStr">
        <is>
          <t>Tenant break on 3 months notice. Additional 3 months rent free if not exercised.</t>
        </is>
      </c>
      <c r="AG6" s="29" t="inlineStr">
        <is>
          <t>LEM</t>
        </is>
      </c>
    </row>
    <row r="7">
      <c r="A7" s="839" t="inlineStr">
        <is>
          <t>SH</t>
        </is>
      </c>
      <c r="B7" s="839" t="inlineStr">
        <is>
          <t>MEL</t>
        </is>
      </c>
      <c r="C7" s="840" t="n">
        <v>550910</v>
      </c>
      <c r="D7" s="841" t="inlineStr">
        <is>
          <t>22 and 23-25 Eastcastle Street</t>
        </is>
      </c>
      <c r="E7" s="841" t="inlineStr">
        <is>
          <t>First Floor (23-25)</t>
        </is>
      </c>
      <c r="F7" s="842" t="inlineStr">
        <is>
          <t>Office</t>
        </is>
      </c>
      <c r="G7" s="849" t="n">
        <v>2220</v>
      </c>
      <c r="H7" s="843">
        <f>G7</f>
        <v/>
      </c>
      <c r="I7" s="843" t="n">
        <v>2000</v>
      </c>
      <c r="J7" s="841" t="inlineStr">
        <is>
          <t>Cord Technologies Ltd</t>
        </is>
      </c>
      <c r="K7" s="845" t="n">
        <v>45086</v>
      </c>
      <c r="L7" s="845" t="n">
        <v>46181</v>
      </c>
      <c r="P7" s="849" t="n">
        <v>131400</v>
      </c>
      <c r="Q7" s="843">
        <f>P7</f>
        <v/>
      </c>
      <c r="S7" s="849" t="n">
        <v>131100</v>
      </c>
      <c r="T7" s="843">
        <f>S7</f>
        <v/>
      </c>
      <c r="U7" s="849" t="n">
        <v>133200</v>
      </c>
      <c r="V7" s="843">
        <f>U7</f>
        <v/>
      </c>
      <c r="W7" s="846">
        <f>U7/G7</f>
        <v/>
      </c>
      <c r="X7" s="847">
        <f>SUM(U7-S7)/S7</f>
        <v/>
      </c>
      <c r="Y7" s="843" t="inlineStr">
        <is>
          <t>D</t>
        </is>
      </c>
      <c r="Z7" s="590" t="n"/>
      <c r="AA7" s="848" t="n"/>
      <c r="AB7" s="842" t="inlineStr">
        <is>
          <t>No</t>
        </is>
      </c>
      <c r="AC7" s="29" t="inlineStr">
        <is>
          <t>Tenant break passed.</t>
        </is>
      </c>
      <c r="AF7" s="312" t="n"/>
    </row>
    <row r="8">
      <c r="A8" s="839" t="inlineStr">
        <is>
          <t>SH</t>
        </is>
      </c>
      <c r="B8" s="839" t="inlineStr">
        <is>
          <t>MEL</t>
        </is>
      </c>
      <c r="C8" s="840" t="n">
        <v>550910</v>
      </c>
      <c r="D8" s="841" t="inlineStr">
        <is>
          <t>22 and 23-25 Eastcastle Street</t>
        </is>
      </c>
      <c r="E8" s="841" t="inlineStr">
        <is>
          <t>Second Floor (22)</t>
        </is>
      </c>
      <c r="F8" s="842" t="inlineStr">
        <is>
          <t>Office</t>
        </is>
      </c>
      <c r="G8" s="849" t="n">
        <v>1124</v>
      </c>
      <c r="H8" s="843">
        <f>G8</f>
        <v/>
      </c>
      <c r="I8" s="843" t="n">
        <v>1000</v>
      </c>
      <c r="J8" s="841" t="inlineStr">
        <is>
          <t>Cord Technologies Ltd</t>
        </is>
      </c>
      <c r="K8" s="845" t="n">
        <v>45614</v>
      </c>
      <c r="L8" s="845" t="n">
        <v>46181</v>
      </c>
      <c r="M8" s="845" t="n"/>
      <c r="N8" s="845" t="n"/>
      <c r="O8" s="845" t="n"/>
      <c r="P8" s="849" t="n">
        <v>71875</v>
      </c>
      <c r="Q8" s="843">
        <f>P8</f>
        <v/>
      </c>
      <c r="R8" s="843" t="n"/>
      <c r="S8" s="849" t="n">
        <v>60400</v>
      </c>
      <c r="T8" s="843">
        <f>S8</f>
        <v/>
      </c>
      <c r="U8" s="849" t="n">
        <v>61800</v>
      </c>
      <c r="V8" s="843">
        <f>U8</f>
        <v/>
      </c>
      <c r="W8" s="846">
        <f>U8/G8</f>
        <v/>
      </c>
      <c r="X8" s="847">
        <f>SUM(U8-S8)/S8</f>
        <v/>
      </c>
      <c r="Y8" s="843" t="inlineStr">
        <is>
          <t>B</t>
        </is>
      </c>
      <c r="Z8" s="590" t="n"/>
      <c r="AA8" s="848" t="n"/>
      <c r="AB8" s="842" t="inlineStr">
        <is>
          <t>No</t>
        </is>
      </c>
      <c r="AC8" s="29" t="inlineStr">
        <is>
          <t>Tenant break passed.</t>
        </is>
      </c>
      <c r="AD8" s="599" t="n"/>
      <c r="AE8" s="841" t="n"/>
      <c r="AF8" s="312" t="n"/>
      <c r="AG8" s="841" t="n"/>
    </row>
    <row r="9">
      <c r="A9" s="839" t="inlineStr">
        <is>
          <t>SH</t>
        </is>
      </c>
      <c r="B9" s="839" t="inlineStr">
        <is>
          <t>MEL</t>
        </is>
      </c>
      <c r="C9" s="840" t="n">
        <v>550910</v>
      </c>
      <c r="D9" s="841" t="inlineStr">
        <is>
          <t>22 and 23-25 Eastcastle Street</t>
        </is>
      </c>
      <c r="E9" s="841" t="inlineStr">
        <is>
          <t>Second Floor (23-25)</t>
        </is>
      </c>
      <c r="F9" s="842" t="inlineStr">
        <is>
          <t>Office</t>
        </is>
      </c>
      <c r="G9" s="849" t="n">
        <v>2238</v>
      </c>
      <c r="H9" s="843">
        <f>G9</f>
        <v/>
      </c>
      <c r="I9" s="843" t="n">
        <v>2000</v>
      </c>
      <c r="J9" s="841" t="inlineStr">
        <is>
          <t>Vacant</t>
        </is>
      </c>
      <c r="K9" s="845" t="n"/>
      <c r="M9" s="845" t="n">
        <v>45636</v>
      </c>
      <c r="P9" s="849" t="n">
        <v>0</v>
      </c>
      <c r="Q9" s="843">
        <f>P9</f>
        <v/>
      </c>
      <c r="S9" s="849" t="n">
        <v>134300</v>
      </c>
      <c r="T9" s="843">
        <f>S9</f>
        <v/>
      </c>
      <c r="U9" s="849" t="n">
        <v>134300</v>
      </c>
      <c r="V9" s="843">
        <f>U9</f>
        <v/>
      </c>
      <c r="W9" s="846">
        <f>U9/G9</f>
        <v/>
      </c>
      <c r="X9" s="847">
        <f>SUM(U9-S9)/S9</f>
        <v/>
      </c>
      <c r="Y9" s="843" t="inlineStr">
        <is>
          <t>D</t>
        </is>
      </c>
      <c r="Z9" s="590" t="n"/>
      <c r="AA9" s="848" t="n"/>
      <c r="AB9" s="842" t="inlineStr">
        <is>
          <t>No</t>
        </is>
      </c>
      <c r="AC9" s="841" t="inlineStr">
        <is>
          <t>LEM marketing.</t>
        </is>
      </c>
      <c r="AE9" s="841" t="n">
        <v>2</v>
      </c>
      <c r="AF9" s="312" t="n">
        <v>2</v>
      </c>
      <c r="AG9" s="29" t="n"/>
    </row>
    <row r="10">
      <c r="A10" s="839" t="inlineStr">
        <is>
          <t>SH</t>
        </is>
      </c>
      <c r="B10" s="839" t="inlineStr">
        <is>
          <t>MEL</t>
        </is>
      </c>
      <c r="C10" s="840" t="n">
        <v>550910</v>
      </c>
      <c r="D10" s="841" t="inlineStr">
        <is>
          <t>22 and 23-25 Eastcastle Street</t>
        </is>
      </c>
      <c r="E10" s="841" t="inlineStr">
        <is>
          <t>Third Floor (22)</t>
        </is>
      </c>
      <c r="F10" s="842" t="inlineStr">
        <is>
          <t>Office</t>
        </is>
      </c>
      <c r="G10" s="849" t="n">
        <v>400</v>
      </c>
      <c r="H10" s="843">
        <f>G10</f>
        <v/>
      </c>
      <c r="I10" s="843" t="n">
        <v>500</v>
      </c>
      <c r="J10" s="841" t="inlineStr">
        <is>
          <t>Vacant</t>
        </is>
      </c>
      <c r="K10" s="845" t="n"/>
      <c r="M10" s="845" t="n">
        <v>45771</v>
      </c>
      <c r="P10" s="849" t="n">
        <v>0</v>
      </c>
      <c r="Q10" s="843">
        <f>P10</f>
        <v/>
      </c>
      <c r="S10" s="849" t="n">
        <v>20600</v>
      </c>
      <c r="T10" s="843">
        <f>S10</f>
        <v/>
      </c>
      <c r="U10" s="849" t="n">
        <v>23000</v>
      </c>
      <c r="V10" s="843">
        <f>U10</f>
        <v/>
      </c>
      <c r="W10" s="846">
        <f>U10/G10</f>
        <v/>
      </c>
      <c r="X10" s="847">
        <f>SUM(U10-S10)/S10</f>
        <v/>
      </c>
      <c r="Y10" s="843" t="inlineStr">
        <is>
          <t>D</t>
        </is>
      </c>
      <c r="Z10" s="590" t="n"/>
      <c r="AA10" s="848" t="n"/>
      <c r="AB10" s="842" t="inlineStr">
        <is>
          <t>No</t>
        </is>
      </c>
      <c r="AC10" s="841" t="inlineStr">
        <is>
          <t>LEM marketing.</t>
        </is>
      </c>
      <c r="AE10" s="841" t="n">
        <v>1</v>
      </c>
      <c r="AF10" s="312" t="n">
        <v>1</v>
      </c>
    </row>
    <row r="11">
      <c r="A11" s="839" t="inlineStr">
        <is>
          <t>SH</t>
        </is>
      </c>
      <c r="B11" s="839" t="inlineStr">
        <is>
          <t>MEL</t>
        </is>
      </c>
      <c r="C11" s="840" t="n">
        <v>550910</v>
      </c>
      <c r="D11" s="841" t="inlineStr">
        <is>
          <t>22 and 23-25 Eastcastle Street</t>
        </is>
      </c>
      <c r="E11" s="841" t="inlineStr">
        <is>
          <t>Third Floor (23-25)</t>
        </is>
      </c>
      <c r="F11" s="842" t="inlineStr">
        <is>
          <t>Office</t>
        </is>
      </c>
      <c r="G11" s="849" t="n">
        <v>1938</v>
      </c>
      <c r="H11" s="843">
        <f>G11</f>
        <v/>
      </c>
      <c r="I11" s="843" t="n">
        <v>2000</v>
      </c>
      <c r="J11" s="841" t="inlineStr">
        <is>
          <t>Vacant</t>
        </is>
      </c>
      <c r="M11" s="845" t="n">
        <v>45217</v>
      </c>
      <c r="P11" s="843" t="n">
        <v>0</v>
      </c>
      <c r="Q11" s="843">
        <f>P11</f>
        <v/>
      </c>
      <c r="S11" s="849" t="n">
        <v>109000</v>
      </c>
      <c r="T11" s="843">
        <f>S11</f>
        <v/>
      </c>
      <c r="U11" s="849" t="n">
        <v>111400</v>
      </c>
      <c r="V11" s="843">
        <f>U11</f>
        <v/>
      </c>
      <c r="W11" s="846">
        <f>U11/G11</f>
        <v/>
      </c>
      <c r="X11" s="847">
        <f>SUM(U11-S11)/S11</f>
        <v/>
      </c>
      <c r="Y11" s="843" t="inlineStr">
        <is>
          <t>D</t>
        </is>
      </c>
      <c r="Z11" s="590" t="n"/>
      <c r="AA11" s="848" t="n"/>
      <c r="AB11" s="842" t="inlineStr">
        <is>
          <t>No</t>
        </is>
      </c>
      <c r="AC11" s="841" t="inlineStr">
        <is>
          <t>LEM marketing.</t>
        </is>
      </c>
      <c r="AD11" s="850" t="n">
        <v>65</v>
      </c>
      <c r="AE11" s="841" t="n">
        <v>2</v>
      </c>
      <c r="AF11" s="312" t="n">
        <v>4</v>
      </c>
    </row>
    <row r="12">
      <c r="A12" s="839" t="inlineStr">
        <is>
          <t>SH</t>
        </is>
      </c>
      <c r="B12" s="839" t="inlineStr">
        <is>
          <t>MEL</t>
        </is>
      </c>
      <c r="C12" s="840" t="n">
        <v>550910</v>
      </c>
      <c r="D12" s="841" t="inlineStr">
        <is>
          <t>22 and 23-25 Eastcastle Street</t>
        </is>
      </c>
      <c r="E12" s="841" t="inlineStr">
        <is>
          <t>Fourth Floor (22)</t>
        </is>
      </c>
      <c r="F12" s="842" t="inlineStr">
        <is>
          <t>Office</t>
        </is>
      </c>
      <c r="G12" s="849" t="n">
        <v>419</v>
      </c>
      <c r="H12" s="843">
        <f>G12</f>
        <v/>
      </c>
      <c r="I12" s="843" t="n">
        <v>500</v>
      </c>
      <c r="J12" s="841" t="inlineStr">
        <is>
          <t>Element Pictures UK Ltd.</t>
        </is>
      </c>
      <c r="K12" s="844" t="n">
        <v>44539</v>
      </c>
      <c r="L12" s="845" t="n">
        <v>46364</v>
      </c>
      <c r="P12" s="843" t="n">
        <v>23940</v>
      </c>
      <c r="Q12" s="843">
        <f>P12</f>
        <v/>
      </c>
      <c r="S12" s="849" t="n">
        <v>21000</v>
      </c>
      <c r="T12" s="843">
        <f>S12</f>
        <v/>
      </c>
      <c r="U12" s="849" t="n">
        <v>24100</v>
      </c>
      <c r="V12" s="843">
        <f>U12</f>
        <v/>
      </c>
      <c r="W12" s="846">
        <f>U12/G12</f>
        <v/>
      </c>
      <c r="X12" s="847">
        <f>SUM(U12-S12)/S12</f>
        <v/>
      </c>
      <c r="Y12" s="843" t="inlineStr">
        <is>
          <t>D</t>
        </is>
      </c>
      <c r="Z12" s="590" t="n"/>
      <c r="AA12" s="848" t="n"/>
      <c r="AB12" s="842" t="inlineStr">
        <is>
          <t>No</t>
        </is>
      </c>
      <c r="AE12" s="841" t="n">
        <v>1</v>
      </c>
      <c r="AF12" s="312" t="n">
        <v>1</v>
      </c>
    </row>
    <row r="13">
      <c r="A13" s="839" t="inlineStr">
        <is>
          <t>SH</t>
        </is>
      </c>
      <c r="B13" s="839" t="inlineStr">
        <is>
          <t>MEL</t>
        </is>
      </c>
      <c r="C13" s="840" t="n">
        <v>550910</v>
      </c>
      <c r="D13" s="841" t="inlineStr">
        <is>
          <t>22 and 23-25 Eastcastle Street</t>
        </is>
      </c>
      <c r="E13" s="841" t="inlineStr">
        <is>
          <t>Fourth Floor (23-25)</t>
        </is>
      </c>
      <c r="F13" s="842" t="inlineStr">
        <is>
          <t>Office</t>
        </is>
      </c>
      <c r="G13" s="849" t="n">
        <v>972</v>
      </c>
      <c r="H13" s="843">
        <f>G13</f>
        <v/>
      </c>
      <c r="I13" s="843" t="n">
        <v>1000</v>
      </c>
      <c r="J13" s="841" t="inlineStr">
        <is>
          <t>Encore Search (Newburgh Street) Ltd.</t>
        </is>
      </c>
      <c r="K13" s="844" t="n">
        <v>45100</v>
      </c>
      <c r="L13" s="845" t="n">
        <v>46926</v>
      </c>
      <c r="O13" s="845" t="n">
        <v>46195</v>
      </c>
      <c r="P13" s="849" t="n">
        <v>58560</v>
      </c>
      <c r="Q13" s="843">
        <f>P13</f>
        <v/>
      </c>
      <c r="S13" s="849" t="n">
        <v>49400</v>
      </c>
      <c r="T13" s="843">
        <f>S13</f>
        <v/>
      </c>
      <c r="U13" s="849" t="n">
        <v>58300</v>
      </c>
      <c r="V13" s="843">
        <f>U13</f>
        <v/>
      </c>
      <c r="W13" s="846">
        <f>U13/G13</f>
        <v/>
      </c>
      <c r="X13" s="847">
        <f>SUM(U13-S13)/S13</f>
        <v/>
      </c>
      <c r="Y13" s="843" t="inlineStr">
        <is>
          <t>D</t>
        </is>
      </c>
      <c r="Z13" s="590" t="n"/>
      <c r="AA13" s="848" t="n"/>
      <c r="AB13" s="842" t="inlineStr">
        <is>
          <t>No</t>
        </is>
      </c>
      <c r="AC13" s="841" t="inlineStr">
        <is>
          <t>Tenant break on 6 months notice. 3 months rent free if not exercised.</t>
        </is>
      </c>
      <c r="AF13" s="312" t="n"/>
    </row>
    <row r="14">
      <c r="A14" s="839" t="inlineStr">
        <is>
          <t>SH</t>
        </is>
      </c>
      <c r="B14" s="839" t="inlineStr">
        <is>
          <t>MEL</t>
        </is>
      </c>
      <c r="C14" s="840" t="n">
        <v>550910</v>
      </c>
      <c r="D14" s="841" t="inlineStr">
        <is>
          <t>22 and 23-25 Eastcastle Street</t>
        </is>
      </c>
      <c r="E14" s="841" t="inlineStr">
        <is>
          <t>Fifth Floor (23-25)</t>
        </is>
      </c>
      <c r="F14" s="842" t="inlineStr">
        <is>
          <t>Office</t>
        </is>
      </c>
      <c r="G14" s="849" t="n">
        <v>977</v>
      </c>
      <c r="H14" s="843">
        <f>G14</f>
        <v/>
      </c>
      <c r="I14" s="843" t="n">
        <v>1000</v>
      </c>
      <c r="J14" s="841" t="inlineStr">
        <is>
          <t>Element Pictures UK Ltd.</t>
        </is>
      </c>
      <c r="K14" s="845" t="n">
        <v>45476</v>
      </c>
      <c r="L14" s="845" t="n">
        <v>47301</v>
      </c>
      <c r="O14" s="845" t="n">
        <v>46364</v>
      </c>
      <c r="P14" s="849" t="n">
        <v>58496</v>
      </c>
      <c r="Q14" s="843">
        <f>P14</f>
        <v/>
      </c>
      <c r="S14" s="849" t="n">
        <v>47400</v>
      </c>
      <c r="T14" s="843">
        <f>S14</f>
        <v/>
      </c>
      <c r="U14" s="849" t="n">
        <v>58600</v>
      </c>
      <c r="V14" s="843">
        <f>U14</f>
        <v/>
      </c>
      <c r="W14" s="846">
        <f>U14/G14</f>
        <v/>
      </c>
      <c r="X14" s="847">
        <f>SUM(U14-S14)/S14</f>
        <v/>
      </c>
      <c r="Y14" s="843" t="inlineStr">
        <is>
          <t>B</t>
        </is>
      </c>
      <c r="Z14" s="590" t="n"/>
      <c r="AA14" s="848" t="n"/>
      <c r="AB14" s="842" t="inlineStr">
        <is>
          <t>No</t>
        </is>
      </c>
      <c r="AC14" s="841" t="inlineStr">
        <is>
          <t>Tenant break on 6 months notice.</t>
        </is>
      </c>
      <c r="AE14" s="29" t="n"/>
      <c r="AF14" s="313" t="n"/>
      <c r="AG14" s="29" t="n"/>
    </row>
    <row r="15">
      <c r="A15" s="839" t="inlineStr">
        <is>
          <t>SH</t>
        </is>
      </c>
      <c r="B15" s="839" t="inlineStr">
        <is>
          <t>MEL</t>
        </is>
      </c>
      <c r="C15" s="840" t="n">
        <v>550910</v>
      </c>
      <c r="D15" s="841" t="inlineStr">
        <is>
          <t>22 and 23-25 Eastcastle Street</t>
        </is>
      </c>
      <c r="E15" s="841" t="inlineStr">
        <is>
          <t>Sixth Floor (23-25)</t>
        </is>
      </c>
      <c r="F15" s="842" t="inlineStr">
        <is>
          <t>Office</t>
        </is>
      </c>
      <c r="G15" s="849" t="n">
        <v>744</v>
      </c>
      <c r="H15" s="843">
        <f>G15</f>
        <v/>
      </c>
      <c r="I15" s="843" t="n">
        <v>750</v>
      </c>
      <c r="J15" s="841" t="inlineStr">
        <is>
          <t>Vacant</t>
        </is>
      </c>
      <c r="K15" s="845" t="n"/>
      <c r="M15" s="845" t="n">
        <v>45182</v>
      </c>
      <c r="P15" s="849" t="n">
        <v>0</v>
      </c>
      <c r="Q15" s="843">
        <f>P15</f>
        <v/>
      </c>
      <c r="S15" s="849" t="n">
        <v>34400</v>
      </c>
      <c r="T15" s="843">
        <f>S15</f>
        <v/>
      </c>
      <c r="U15" s="849" t="n">
        <v>47000</v>
      </c>
      <c r="V15" s="843">
        <f>U15</f>
        <v/>
      </c>
      <c r="W15" s="846">
        <f>U15/G15</f>
        <v/>
      </c>
      <c r="X15" s="847">
        <f>SUM(U15-S15)/S15</f>
        <v/>
      </c>
      <c r="Y15" s="843" t="inlineStr">
        <is>
          <t>D</t>
        </is>
      </c>
      <c r="Z15" s="590" t="n"/>
      <c r="AA15" s="848" t="n"/>
      <c r="AB15" s="842" t="inlineStr">
        <is>
          <t>No</t>
        </is>
      </c>
      <c r="AC15" s="841" t="inlineStr">
        <is>
          <t>LEM marketing.</t>
        </is>
      </c>
      <c r="AD15" s="850" t="n">
        <v>63.5</v>
      </c>
      <c r="AE15" s="841" t="n">
        <v>2</v>
      </c>
      <c r="AF15" s="312" t="n">
        <v>4</v>
      </c>
      <c r="AG15" s="841" t="inlineStr">
        <is>
          <t>LEM</t>
        </is>
      </c>
    </row>
    <row r="16">
      <c r="A16" s="839" t="inlineStr">
        <is>
          <t>SH</t>
        </is>
      </c>
      <c r="B16" s="839" t="inlineStr">
        <is>
          <t>MEL</t>
        </is>
      </c>
      <c r="C16" s="840" t="n">
        <v>550910</v>
      </c>
      <c r="D16" s="841" t="inlineStr">
        <is>
          <t>22 and 23-25 Eastcastle Street</t>
        </is>
      </c>
      <c r="E16" s="841" t="inlineStr">
        <is>
          <t>Garage</t>
        </is>
      </c>
      <c r="F16" s="842" t="inlineStr">
        <is>
          <t>Parking</t>
        </is>
      </c>
      <c r="G16" s="849" t="n">
        <v>185</v>
      </c>
      <c r="H16" s="843">
        <f>G16</f>
        <v/>
      </c>
      <c r="I16" s="843" t="n">
        <v>200</v>
      </c>
      <c r="J16" s="841" t="inlineStr">
        <is>
          <t>Vacant / Landlord</t>
        </is>
      </c>
      <c r="K16" s="845" t="n"/>
      <c r="M16" s="845" t="inlineStr">
        <is>
          <t>N/A</t>
        </is>
      </c>
      <c r="P16" s="849" t="n">
        <v>0</v>
      </c>
      <c r="Q16" s="843">
        <f>P16</f>
        <v/>
      </c>
      <c r="S16" s="849" t="n">
        <v>3000</v>
      </c>
      <c r="T16" s="843">
        <f>S16</f>
        <v/>
      </c>
      <c r="U16" s="849" t="n">
        <v>4500</v>
      </c>
      <c r="V16" s="843">
        <f>U16</f>
        <v/>
      </c>
      <c r="W16" s="846">
        <f>U16/G16</f>
        <v/>
      </c>
      <c r="X16" s="847">
        <f>SUM(U16-S16)/S16</f>
        <v/>
      </c>
      <c r="Y16" s="843" t="n"/>
      <c r="Z16" s="590" t="n"/>
      <c r="AA16" s="848" t="n"/>
      <c r="AB16" s="842" t="inlineStr">
        <is>
          <t>No</t>
        </is>
      </c>
      <c r="AF16" s="312" t="n"/>
    </row>
    <row r="17">
      <c r="A17" s="839" t="inlineStr">
        <is>
          <t>SH</t>
        </is>
      </c>
      <c r="B17" s="839" t="inlineStr">
        <is>
          <t>MEL</t>
        </is>
      </c>
      <c r="C17" s="840" t="n">
        <v>550920</v>
      </c>
      <c r="D17" s="841" t="inlineStr">
        <is>
          <t>26 Eastcastle Street</t>
        </is>
      </c>
      <c r="E17" s="841" t="inlineStr">
        <is>
          <t>Lower Ground &amp; Ground</t>
        </is>
      </c>
      <c r="F17" s="842" t="inlineStr">
        <is>
          <t>Showroom/ Offices</t>
        </is>
      </c>
      <c r="G17" s="849" t="n">
        <v>2940</v>
      </c>
      <c r="H17" s="843">
        <f>G17</f>
        <v/>
      </c>
      <c r="I17" s="843" t="n">
        <v>3000</v>
      </c>
      <c r="J17" s="841" t="inlineStr">
        <is>
          <t>Hela Brands Ltd</t>
        </is>
      </c>
      <c r="K17" s="845" t="n">
        <v>45649</v>
      </c>
      <c r="L17" s="845" t="n">
        <v>46743</v>
      </c>
      <c r="O17" s="845" t="n">
        <v>46013</v>
      </c>
      <c r="P17" s="849" t="n">
        <v>132000</v>
      </c>
      <c r="Q17" s="843">
        <f>P17</f>
        <v/>
      </c>
      <c r="S17" s="849" t="n">
        <v>114600</v>
      </c>
      <c r="T17" s="843">
        <f>S17</f>
        <v/>
      </c>
      <c r="U17" s="849" t="n">
        <v>124500</v>
      </c>
      <c r="V17" s="843">
        <f>U17</f>
        <v/>
      </c>
      <c r="W17" s="846">
        <f>U17/G17</f>
        <v/>
      </c>
      <c r="X17" s="847">
        <f>SUM(U17-S17)/S17</f>
        <v/>
      </c>
      <c r="Y17" s="843" t="inlineStr">
        <is>
          <t>C</t>
        </is>
      </c>
      <c r="Z17" s="590" t="n"/>
      <c r="AA17" s="848" t="n"/>
      <c r="AB17" s="842" t="inlineStr">
        <is>
          <t>No</t>
        </is>
      </c>
      <c r="AC17" s="841" t="inlineStr">
        <is>
          <t>Tenant rolling break from 22/12/25 on 4 months notice.</t>
        </is>
      </c>
      <c r="AF17" s="312" t="n"/>
    </row>
    <row r="18">
      <c r="A18" s="839" t="inlineStr">
        <is>
          <t>SH</t>
        </is>
      </c>
      <c r="B18" s="839" t="inlineStr">
        <is>
          <t>MEL</t>
        </is>
      </c>
      <c r="C18" s="840" t="n">
        <v>550920</v>
      </c>
      <c r="D18" s="841" t="inlineStr">
        <is>
          <t>26 Eastcastle Street</t>
        </is>
      </c>
      <c r="E18" s="841" t="inlineStr">
        <is>
          <t>First Floor</t>
        </is>
      </c>
      <c r="F18" s="842" t="inlineStr">
        <is>
          <t>Offices</t>
        </is>
      </c>
      <c r="G18" s="849" t="n">
        <v>1398</v>
      </c>
      <c r="H18" s="843">
        <f>G18</f>
        <v/>
      </c>
      <c r="I18" s="843" t="n">
        <v>1000</v>
      </c>
      <c r="J18" s="841" t="inlineStr">
        <is>
          <t>Alternative Real Estate Advisors Ltd</t>
        </is>
      </c>
      <c r="K18" s="845" t="n">
        <v>45470</v>
      </c>
      <c r="L18" s="845" t="n">
        <v>47295</v>
      </c>
      <c r="O18" s="845" t="n">
        <v>46564</v>
      </c>
      <c r="P18" s="849" t="n">
        <v>89833</v>
      </c>
      <c r="Q18" s="843">
        <f>P18</f>
        <v/>
      </c>
      <c r="S18" s="849" t="n">
        <v>76900</v>
      </c>
      <c r="T18" s="843">
        <f>S18</f>
        <v/>
      </c>
      <c r="U18" s="849" t="n">
        <v>97900</v>
      </c>
      <c r="V18" s="843">
        <f>U18</f>
        <v/>
      </c>
      <c r="W18" s="846">
        <f>U18/G18</f>
        <v/>
      </c>
      <c r="X18" s="847">
        <f>SUM(U18-S18)/S18</f>
        <v/>
      </c>
      <c r="Y18" s="843" t="inlineStr">
        <is>
          <t>D</t>
        </is>
      </c>
      <c r="Z18" s="590" t="n"/>
      <c r="AA18" s="848" t="n"/>
      <c r="AB18" s="842" t="inlineStr">
        <is>
          <t>No</t>
        </is>
      </c>
      <c r="AC18" s="841" t="inlineStr">
        <is>
          <t>Rent increases to £98,000 wef 27/06/27. Tenant break on 6 months notice.</t>
        </is>
      </c>
      <c r="AF18" s="312" t="n"/>
    </row>
    <row r="19">
      <c r="A19" s="839" t="inlineStr">
        <is>
          <t>SH</t>
        </is>
      </c>
      <c r="B19" s="839" t="inlineStr">
        <is>
          <t>MEL</t>
        </is>
      </c>
      <c r="C19" s="840" t="n">
        <v>550920</v>
      </c>
      <c r="D19" s="841" t="inlineStr">
        <is>
          <t>26 Eastcastle Street</t>
        </is>
      </c>
      <c r="E19" s="841" t="inlineStr">
        <is>
          <t>Second Floor</t>
        </is>
      </c>
      <c r="F19" s="842" t="inlineStr">
        <is>
          <t>Offices</t>
        </is>
      </c>
      <c r="G19" s="849" t="n">
        <v>1110</v>
      </c>
      <c r="H19" s="843">
        <f>G19</f>
        <v/>
      </c>
      <c r="I19" s="843" t="n">
        <v>1000</v>
      </c>
      <c r="J19" s="841" t="inlineStr">
        <is>
          <t>Vacant</t>
        </is>
      </c>
      <c r="K19" s="845" t="n"/>
      <c r="M19" s="845" t="n">
        <v>43273</v>
      </c>
      <c r="P19" s="849" t="n">
        <v>0</v>
      </c>
      <c r="Q19" s="843">
        <f>P19</f>
        <v/>
      </c>
      <c r="S19" s="849" t="n">
        <v>61100</v>
      </c>
      <c r="T19" s="843">
        <f>S19</f>
        <v/>
      </c>
      <c r="U19" s="849" t="n">
        <v>69400</v>
      </c>
      <c r="V19" s="843">
        <f>U19</f>
        <v/>
      </c>
      <c r="W19" s="846">
        <f>U19/G19</f>
        <v/>
      </c>
      <c r="X19" s="847">
        <f>SUM(U19-S19)/S19</f>
        <v/>
      </c>
      <c r="Y19" s="843" t="inlineStr">
        <is>
          <t>C</t>
        </is>
      </c>
      <c r="Z19" s="590" t="n"/>
      <c r="AA19" s="848" t="n"/>
      <c r="AB19" s="842" t="inlineStr">
        <is>
          <t>No</t>
        </is>
      </c>
      <c r="AC19" s="841" t="inlineStr">
        <is>
          <t>LEM marketing.</t>
        </is>
      </c>
      <c r="AD19" s="850" t="n">
        <v>63.5</v>
      </c>
      <c r="AF19" s="312" t="n">
        <v>1</v>
      </c>
    </row>
    <row r="20">
      <c r="A20" s="839" t="inlineStr">
        <is>
          <t>SH</t>
        </is>
      </c>
      <c r="B20" s="839" t="inlineStr">
        <is>
          <t>MEL</t>
        </is>
      </c>
      <c r="C20" s="840" t="n">
        <v>550920</v>
      </c>
      <c r="D20" s="841" t="inlineStr">
        <is>
          <t>26 Eastcastle Street</t>
        </is>
      </c>
      <c r="E20" s="841" t="inlineStr">
        <is>
          <t>Third Floor</t>
        </is>
      </c>
      <c r="F20" s="842" t="inlineStr">
        <is>
          <t>Offices</t>
        </is>
      </c>
      <c r="G20" s="849" t="n">
        <v>481</v>
      </c>
      <c r="H20" s="843">
        <f>G20</f>
        <v/>
      </c>
      <c r="I20" s="843" t="n">
        <v>500</v>
      </c>
      <c r="J20" s="841" t="inlineStr">
        <is>
          <t>Mr. A. Park</t>
        </is>
      </c>
      <c r="K20" s="845" t="n">
        <v>45541</v>
      </c>
      <c r="L20" s="845" t="n">
        <v>47366</v>
      </c>
      <c r="O20" s="845" t="n">
        <v>46635</v>
      </c>
      <c r="P20" s="849" t="n">
        <v>26000</v>
      </c>
      <c r="Q20" s="843">
        <f>P20</f>
        <v/>
      </c>
      <c r="S20" s="849" t="n">
        <v>25300</v>
      </c>
      <c r="T20" s="843">
        <f>S20</f>
        <v/>
      </c>
      <c r="U20" s="849" t="n">
        <v>25300</v>
      </c>
      <c r="V20" s="843">
        <f>U20</f>
        <v/>
      </c>
      <c r="W20" s="846">
        <f>U20/G20</f>
        <v/>
      </c>
      <c r="X20" s="847">
        <f>SUM(U20-S20)/S20</f>
        <v/>
      </c>
      <c r="Y20" s="843" t="inlineStr">
        <is>
          <t>D</t>
        </is>
      </c>
      <c r="Z20" s="590" t="n"/>
      <c r="AA20" s="848" t="n"/>
      <c r="AB20" s="842" t="inlineStr">
        <is>
          <t>No</t>
        </is>
      </c>
      <c r="AC20" s="841" t="inlineStr">
        <is>
          <t>Tenant break on 6 months notice.</t>
        </is>
      </c>
      <c r="AE20" s="29" t="n"/>
      <c r="AF20" s="313" t="n"/>
      <c r="AG20" s="29" t="n"/>
    </row>
    <row r="21">
      <c r="A21" s="839" t="inlineStr">
        <is>
          <t>SH</t>
        </is>
      </c>
      <c r="B21" s="839" t="inlineStr">
        <is>
          <t>MEL</t>
        </is>
      </c>
      <c r="C21" s="840" t="n">
        <v>550930</v>
      </c>
      <c r="D21" s="841" t="inlineStr">
        <is>
          <t>27 - 28 Eastcastle Street</t>
        </is>
      </c>
      <c r="E21" s="841" t="inlineStr">
        <is>
          <t>Lower Ground &amp; Ground</t>
        </is>
      </c>
      <c r="F21" s="842" t="inlineStr">
        <is>
          <t>Showroom / Offices</t>
        </is>
      </c>
      <c r="G21" s="849" t="n">
        <v>3668</v>
      </c>
      <c r="H21" s="843">
        <f>G21</f>
        <v/>
      </c>
      <c r="I21" s="843" t="n">
        <v>3500</v>
      </c>
      <c r="J21" s="841" t="inlineStr">
        <is>
          <t>The London Hair Clinic Ltd</t>
        </is>
      </c>
      <c r="K21" s="845" t="n">
        <v>44757</v>
      </c>
      <c r="L21" s="845" t="n">
        <v>48409</v>
      </c>
      <c r="N21" s="845" t="n">
        <v>46583</v>
      </c>
      <c r="P21" s="849" t="n">
        <v>170000</v>
      </c>
      <c r="Q21" s="843">
        <f>P21</f>
        <v/>
      </c>
      <c r="S21" s="849" t="n">
        <v>170000</v>
      </c>
      <c r="T21" s="843">
        <f>S21</f>
        <v/>
      </c>
      <c r="U21" s="849" t="n">
        <v>170000</v>
      </c>
      <c r="V21" s="843">
        <f>U21</f>
        <v/>
      </c>
      <c r="W21" s="846">
        <f>U21/G21</f>
        <v/>
      </c>
      <c r="X21" s="847">
        <f>SUM(U21-S21)/S21</f>
        <v/>
      </c>
      <c r="Y21" s="843" t="inlineStr">
        <is>
          <t>B</t>
        </is>
      </c>
      <c r="Z21" s="590" t="n"/>
      <c r="AA21" s="848" t="n"/>
      <c r="AB21" s="842" t="inlineStr">
        <is>
          <t>No</t>
        </is>
      </c>
      <c r="AF21" s="312" t="n"/>
    </row>
    <row r="22">
      <c r="A22" s="839" t="inlineStr">
        <is>
          <t>SH</t>
        </is>
      </c>
      <c r="B22" s="839" t="inlineStr">
        <is>
          <t>MEL</t>
        </is>
      </c>
      <c r="C22" s="840" t="n">
        <v>550930</v>
      </c>
      <c r="D22" s="841" t="inlineStr">
        <is>
          <t>27 - 28 Eastcastle Street</t>
        </is>
      </c>
      <c r="E22" s="841" t="inlineStr">
        <is>
          <t>First Floor</t>
        </is>
      </c>
      <c r="F22" s="842" t="inlineStr">
        <is>
          <t>Offices</t>
        </is>
      </c>
      <c r="G22" s="849" t="n">
        <v>1418</v>
      </c>
      <c r="H22" s="843">
        <f>G22</f>
        <v/>
      </c>
      <c r="I22" s="843" t="n">
        <v>1500</v>
      </c>
      <c r="J22" s="841" t="inlineStr">
        <is>
          <t>Feldberg Capital UK Limited</t>
        </is>
      </c>
      <c r="K22" s="845" t="n">
        <v>45231</v>
      </c>
      <c r="L22" s="845" t="n">
        <v>46326</v>
      </c>
      <c r="P22" s="849" t="n">
        <v>174500</v>
      </c>
      <c r="Q22" s="843">
        <f>P22</f>
        <v/>
      </c>
      <c r="S22" s="849" t="n">
        <v>78000</v>
      </c>
      <c r="T22" s="843">
        <f>S22</f>
        <v/>
      </c>
      <c r="U22" s="849" t="n">
        <v>99300</v>
      </c>
      <c r="V22" s="843">
        <f>U22</f>
        <v/>
      </c>
      <c r="W22" s="846">
        <f>U22/G22</f>
        <v/>
      </c>
      <c r="X22" s="847">
        <f>SUM(U22-S22)/S22</f>
        <v/>
      </c>
      <c r="Y22" s="843" t="inlineStr">
        <is>
          <t>B</t>
        </is>
      </c>
      <c r="Z22" s="590" t="n"/>
      <c r="AA22" s="848" t="n"/>
      <c r="AB22" s="842" t="inlineStr">
        <is>
          <t>No</t>
        </is>
      </c>
      <c r="AC22" s="841" t="inlineStr">
        <is>
          <t>All inclusive including rates and furniture.</t>
        </is>
      </c>
      <c r="AF22" s="312" t="n"/>
    </row>
    <row r="23">
      <c r="A23" s="839" t="inlineStr">
        <is>
          <t>SH</t>
        </is>
      </c>
      <c r="B23" s="839" t="inlineStr">
        <is>
          <t>MEL</t>
        </is>
      </c>
      <c r="C23" s="840" t="n">
        <v>550930</v>
      </c>
      <c r="D23" s="841" t="inlineStr">
        <is>
          <t>27 - 28 Eastcastle Street</t>
        </is>
      </c>
      <c r="E23" s="841" t="inlineStr">
        <is>
          <t>Second Floor</t>
        </is>
      </c>
      <c r="F23" s="842" t="inlineStr">
        <is>
          <t>Offices</t>
        </is>
      </c>
      <c r="G23" s="849" t="n">
        <v>716</v>
      </c>
      <c r="H23" s="843">
        <f>G23</f>
        <v/>
      </c>
      <c r="I23" s="843" t="n">
        <v>750</v>
      </c>
      <c r="J23" s="841" t="inlineStr">
        <is>
          <t>MSP Secretaries Ltd.</t>
        </is>
      </c>
      <c r="K23" s="845" t="n">
        <v>44384</v>
      </c>
      <c r="L23" s="845" t="n">
        <v>46209</v>
      </c>
      <c r="P23" s="849" t="n">
        <v>41000</v>
      </c>
      <c r="Q23" s="843">
        <f>P23</f>
        <v/>
      </c>
      <c r="S23" s="849" t="n">
        <v>39400</v>
      </c>
      <c r="T23" s="843">
        <f>S23</f>
        <v/>
      </c>
      <c r="U23" s="849" t="n">
        <v>41200</v>
      </c>
      <c r="V23" s="843">
        <f>U23</f>
        <v/>
      </c>
      <c r="W23" s="846">
        <f>U23/G23</f>
        <v/>
      </c>
      <c r="X23" s="847">
        <f>SUM(U23-S23)/S23</f>
        <v/>
      </c>
      <c r="Y23" s="843" t="inlineStr">
        <is>
          <t>B</t>
        </is>
      </c>
      <c r="Z23" s="590" t="n"/>
      <c r="AA23" s="848" t="n"/>
      <c r="AB23" s="842" t="inlineStr">
        <is>
          <t>No</t>
        </is>
      </c>
      <c r="AF23" s="312" t="n"/>
    </row>
    <row r="24">
      <c r="A24" s="839" t="inlineStr">
        <is>
          <t>SH</t>
        </is>
      </c>
      <c r="B24" s="839" t="inlineStr">
        <is>
          <t>MEL</t>
        </is>
      </c>
      <c r="C24" s="840" t="n">
        <v>550930</v>
      </c>
      <c r="D24" s="841" t="inlineStr">
        <is>
          <t>27 - 28 Eastcastle Street</t>
        </is>
      </c>
      <c r="E24" s="841" t="inlineStr">
        <is>
          <t>Third Floor</t>
        </is>
      </c>
      <c r="F24" s="842" t="inlineStr">
        <is>
          <t>Offices</t>
        </is>
      </c>
      <c r="G24" s="849" t="n">
        <v>665</v>
      </c>
      <c r="H24" s="843">
        <f>G24</f>
        <v/>
      </c>
      <c r="I24" s="843" t="n">
        <v>750</v>
      </c>
      <c r="J24" s="841" t="inlineStr">
        <is>
          <t>Principle Estate Management LLP</t>
        </is>
      </c>
      <c r="K24" s="845" t="n">
        <v>45617</v>
      </c>
      <c r="L24" s="845" t="n">
        <v>47442</v>
      </c>
      <c r="O24" s="845" t="n">
        <v>46527</v>
      </c>
      <c r="P24" s="849" t="n">
        <v>41875</v>
      </c>
      <c r="Q24" s="843">
        <f>P24</f>
        <v/>
      </c>
      <c r="S24" s="849" t="n">
        <v>36600</v>
      </c>
      <c r="T24" s="843">
        <f>S24</f>
        <v/>
      </c>
      <c r="U24" s="849" t="n">
        <v>38200</v>
      </c>
      <c r="V24" s="843">
        <f>U24</f>
        <v/>
      </c>
      <c r="W24" s="846">
        <f>U24/G24</f>
        <v/>
      </c>
      <c r="X24" s="847">
        <f>SUM(U24-S24)/S24</f>
        <v/>
      </c>
      <c r="Y24" s="843" t="inlineStr">
        <is>
          <t>B</t>
        </is>
      </c>
      <c r="Z24" s="590" t="n"/>
      <c r="AA24" s="848" t="n"/>
      <c r="AB24" s="842" t="inlineStr">
        <is>
          <t>No</t>
        </is>
      </c>
      <c r="AC24" s="841" t="inlineStr">
        <is>
          <t>Tenant break on 6 months notice. 2 months rent free if break not exercised.</t>
        </is>
      </c>
      <c r="AD24" s="599" t="n"/>
      <c r="AF24" s="312" t="n"/>
    </row>
    <row r="25">
      <c r="A25" s="839" t="inlineStr">
        <is>
          <t>WS</t>
        </is>
      </c>
      <c r="B25" s="839" t="inlineStr">
        <is>
          <t>MEL</t>
        </is>
      </c>
      <c r="C25" s="840" t="n">
        <v>550560</v>
      </c>
      <c r="D25" s="841" t="inlineStr">
        <is>
          <t>10 Great Castle Street</t>
        </is>
      </c>
      <c r="E25" s="841" t="inlineStr">
        <is>
          <t>Basmt. Ground  - 1 to 4 Floors</t>
        </is>
      </c>
      <c r="F25" s="842" t="inlineStr">
        <is>
          <t>Office</t>
        </is>
      </c>
      <c r="G25" s="18" t="n">
        <v>12578</v>
      </c>
      <c r="H25" s="843">
        <f>G25</f>
        <v/>
      </c>
      <c r="I25" s="843" t="n">
        <v>12500</v>
      </c>
      <c r="J25" s="841" t="inlineStr">
        <is>
          <t>Guaranty Trust Bank (UK) Ltd</t>
        </is>
      </c>
      <c r="K25" s="844" t="n">
        <v>44771</v>
      </c>
      <c r="L25" s="845" t="n">
        <v>50249</v>
      </c>
      <c r="N25" s="845" t="n">
        <v>46597</v>
      </c>
      <c r="O25" s="845" t="n">
        <v>48423</v>
      </c>
      <c r="P25" s="591" t="n">
        <v>633334</v>
      </c>
      <c r="Q25" s="843">
        <f>P25</f>
        <v/>
      </c>
      <c r="R25" s="591">
        <f>Q25</f>
        <v/>
      </c>
      <c r="S25" s="591" t="n">
        <v>950000</v>
      </c>
      <c r="T25" s="843">
        <f>S25</f>
        <v/>
      </c>
      <c r="U25" s="591" t="n">
        <v>950000</v>
      </c>
      <c r="V25" s="843">
        <f>U25</f>
        <v/>
      </c>
      <c r="W25" s="846">
        <f>U25/G25</f>
        <v/>
      </c>
      <c r="X25" s="847">
        <f>SUM(U25-S25)/S25</f>
        <v/>
      </c>
      <c r="Y25" s="843" t="inlineStr">
        <is>
          <t>C</t>
        </is>
      </c>
      <c r="Z25" s="590" t="n"/>
      <c r="AA25" s="18" t="n">
        <v>17050000</v>
      </c>
      <c r="AB25" s="842" t="inlineStr">
        <is>
          <t>No</t>
        </is>
      </c>
      <c r="AC25" s="841" t="inlineStr">
        <is>
          <t xml:space="preserve">Fixed increase to £950,000 wef 29/07/26. 5 yearly rent reviews. Tenant break on 9 months notice. Rent reduces by 20% for 12 months if break not activated. </t>
        </is>
      </c>
      <c r="AD25" s="850" t="n"/>
      <c r="AE25" s="841" t="n"/>
      <c r="AF25" s="312" t="n"/>
      <c r="AG25" s="841" t="n"/>
    </row>
    <row r="26">
      <c r="A26" s="839" t="inlineStr">
        <is>
          <t>SH</t>
        </is>
      </c>
      <c r="B26" s="839" t="inlineStr">
        <is>
          <t>MEL</t>
        </is>
      </c>
      <c r="C26" s="840" t="n">
        <v>550070</v>
      </c>
      <c r="D26" s="841" t="inlineStr">
        <is>
          <t>Windsor House, 40-41 Great Castle Street</t>
        </is>
      </c>
      <c r="E26" s="841" t="inlineStr">
        <is>
          <t>Basement &amp; Ground Floor</t>
        </is>
      </c>
      <c r="F26" s="842" t="inlineStr">
        <is>
          <t>Retail/Café</t>
        </is>
      </c>
      <c r="G26" s="849" t="n">
        <v>2235</v>
      </c>
      <c r="H26" s="843">
        <f>G26</f>
        <v/>
      </c>
      <c r="I26" s="843" t="n">
        <v>2000</v>
      </c>
      <c r="J26" s="841" t="inlineStr">
        <is>
          <t>Vacant</t>
        </is>
      </c>
      <c r="M26" s="845" t="n">
        <v>45754</v>
      </c>
      <c r="P26" s="843" t="n">
        <v>0</v>
      </c>
      <c r="Q26" s="843">
        <f>P26</f>
        <v/>
      </c>
      <c r="S26" s="843" t="n">
        <v>143000</v>
      </c>
      <c r="T26" s="843">
        <f>S26</f>
        <v/>
      </c>
      <c r="U26" s="843" t="n">
        <v>145000</v>
      </c>
      <c r="V26" s="843">
        <f>U26</f>
        <v/>
      </c>
      <c r="W26" s="846">
        <f>U26/G26</f>
        <v/>
      </c>
      <c r="X26" s="847">
        <f>SUM(U26-S26)/S26</f>
        <v/>
      </c>
      <c r="Y26" s="843" t="inlineStr">
        <is>
          <t>D</t>
        </is>
      </c>
      <c r="Z26" s="590" t="n"/>
      <c r="AA26" s="848" t="n"/>
      <c r="AB26" s="842" t="inlineStr">
        <is>
          <t>No</t>
        </is>
      </c>
      <c r="AC26" s="841" t="inlineStr">
        <is>
          <t>LEM Marketing.</t>
        </is>
      </c>
      <c r="AE26" s="841" t="n">
        <v>15</v>
      </c>
      <c r="AF26" s="312" t="n">
        <v>15</v>
      </c>
    </row>
    <row r="27">
      <c r="A27" s="839" t="inlineStr">
        <is>
          <t>SH</t>
        </is>
      </c>
      <c r="B27" s="839" t="inlineStr">
        <is>
          <t>MEL</t>
        </is>
      </c>
      <c r="C27" s="840" t="n">
        <v>550070</v>
      </c>
      <c r="D27" s="841" t="inlineStr">
        <is>
          <t>Windsor House, 40-41 Great Castle Street</t>
        </is>
      </c>
      <c r="E27" s="841" t="inlineStr">
        <is>
          <t>First Floor</t>
        </is>
      </c>
      <c r="F27" s="842" t="inlineStr">
        <is>
          <t>Office</t>
        </is>
      </c>
      <c r="G27" s="849" t="n">
        <v>694</v>
      </c>
      <c r="H27" s="843">
        <f>G27</f>
        <v/>
      </c>
      <c r="I27" s="843" t="n">
        <v>750</v>
      </c>
      <c r="J27" s="841" t="inlineStr">
        <is>
          <t>JRDL UK Ltd.</t>
        </is>
      </c>
      <c r="K27" s="844" t="n">
        <v>44904</v>
      </c>
      <c r="L27" s="845" t="n">
        <v>45999</v>
      </c>
      <c r="P27" s="843" t="n">
        <v>42000</v>
      </c>
      <c r="Q27" s="843">
        <f>P27</f>
        <v/>
      </c>
      <c r="S27" s="843" t="n">
        <v>42000</v>
      </c>
      <c r="T27" s="843">
        <f>S27</f>
        <v/>
      </c>
      <c r="U27" s="843" t="n">
        <v>42000</v>
      </c>
      <c r="V27" s="843">
        <f>U27</f>
        <v/>
      </c>
      <c r="W27" s="846">
        <f>U27/G27</f>
        <v/>
      </c>
      <c r="X27" s="847">
        <f>SUM(U27-S27)/S27</f>
        <v/>
      </c>
      <c r="Y27" s="843" t="inlineStr">
        <is>
          <t>D</t>
        </is>
      </c>
      <c r="Z27" s="590" t="n"/>
      <c r="AA27" s="848" t="n"/>
      <c r="AB27" s="842" t="inlineStr">
        <is>
          <t>No</t>
        </is>
      </c>
      <c r="AF27" s="312" t="n"/>
    </row>
    <row r="28">
      <c r="A28" s="839" t="inlineStr">
        <is>
          <t>SH</t>
        </is>
      </c>
      <c r="B28" s="839" t="inlineStr">
        <is>
          <t>MEL</t>
        </is>
      </c>
      <c r="C28" s="840" t="n">
        <v>550070</v>
      </c>
      <c r="D28" s="841" t="inlineStr">
        <is>
          <t>Windsor House, 40-41 Great Castle Street</t>
        </is>
      </c>
      <c r="E28" s="841" t="inlineStr">
        <is>
          <t>Second Floor</t>
        </is>
      </c>
      <c r="F28" s="842" t="inlineStr">
        <is>
          <t>Office</t>
        </is>
      </c>
      <c r="G28" s="849" t="n">
        <v>690</v>
      </c>
      <c r="H28" s="843">
        <f>G28</f>
        <v/>
      </c>
      <c r="I28" s="843" t="n">
        <v>750</v>
      </c>
      <c r="J28" s="841" t="inlineStr">
        <is>
          <t>Jamieson Stone Services Ltd.</t>
        </is>
      </c>
      <c r="K28" s="844" t="n">
        <v>45412</v>
      </c>
      <c r="L28" s="845" t="n">
        <v>47237</v>
      </c>
      <c r="O28" s="845" t="n">
        <v>46326</v>
      </c>
      <c r="P28" s="843" t="n">
        <v>40020</v>
      </c>
      <c r="Q28" s="843">
        <f>P28</f>
        <v/>
      </c>
      <c r="S28" s="843" t="n">
        <v>39700</v>
      </c>
      <c r="T28" s="843">
        <f>S28</f>
        <v/>
      </c>
      <c r="U28" s="843" t="n">
        <v>40000</v>
      </c>
      <c r="V28" s="843">
        <f>U28</f>
        <v/>
      </c>
      <c r="W28" s="846">
        <f>U28/G28</f>
        <v/>
      </c>
      <c r="X28" s="847">
        <f>SUM(U28-S28)/S28</f>
        <v/>
      </c>
      <c r="Y28" s="843" t="inlineStr">
        <is>
          <t>D</t>
        </is>
      </c>
      <c r="Z28" s="590" t="n"/>
      <c r="AA28" s="848" t="n"/>
      <c r="AB28" s="842" t="inlineStr">
        <is>
          <t>No</t>
        </is>
      </c>
      <c r="AC28" s="841" t="inlineStr">
        <is>
          <t>Tenant break on 6 months notice.</t>
        </is>
      </c>
      <c r="AF28" s="312" t="n"/>
    </row>
    <row r="29">
      <c r="A29" s="839" t="inlineStr">
        <is>
          <t>SH</t>
        </is>
      </c>
      <c r="B29" s="839" t="inlineStr">
        <is>
          <t>MEL</t>
        </is>
      </c>
      <c r="C29" s="840" t="n">
        <v>550070</v>
      </c>
      <c r="D29" s="841" t="inlineStr">
        <is>
          <t>Windsor House, 40-41 Great Castle Street</t>
        </is>
      </c>
      <c r="E29" s="841" t="inlineStr">
        <is>
          <t>Third Floor</t>
        </is>
      </c>
      <c r="F29" s="842" t="inlineStr">
        <is>
          <t>Office</t>
        </is>
      </c>
      <c r="G29" s="849" t="n">
        <v>620</v>
      </c>
      <c r="H29" s="843">
        <f>G29</f>
        <v/>
      </c>
      <c r="I29" s="843" t="n">
        <v>750</v>
      </c>
      <c r="J29" s="841" t="inlineStr">
        <is>
          <t>Arav Fashion UK Ltd.</t>
        </is>
      </c>
      <c r="K29" s="844" t="n">
        <v>44816</v>
      </c>
      <c r="L29" s="845" t="n">
        <v>45911</v>
      </c>
      <c r="P29" s="843" t="n">
        <v>33480</v>
      </c>
      <c r="Q29" s="843">
        <f>P29</f>
        <v/>
      </c>
      <c r="S29" s="843" t="n">
        <v>34100</v>
      </c>
      <c r="T29" s="843">
        <f>S29</f>
        <v/>
      </c>
      <c r="U29" s="843" t="n">
        <v>36000</v>
      </c>
      <c r="V29" s="843">
        <f>U29</f>
        <v/>
      </c>
      <c r="W29" s="846">
        <f>U29/G29</f>
        <v/>
      </c>
      <c r="X29" s="847">
        <f>SUM(U29-S29)/S29</f>
        <v/>
      </c>
      <c r="Y29" s="843" t="inlineStr">
        <is>
          <t>D</t>
        </is>
      </c>
      <c r="Z29" s="590" t="n"/>
      <c r="AA29" s="848" t="n"/>
      <c r="AB29" s="842" t="inlineStr">
        <is>
          <t>No</t>
        </is>
      </c>
      <c r="AC29" s="841" t="n"/>
      <c r="AD29" s="850" t="n"/>
      <c r="AE29" s="841" t="n"/>
      <c r="AF29" s="312" t="n"/>
      <c r="AG29" s="841" t="n"/>
    </row>
    <row r="30">
      <c r="A30" s="839" t="inlineStr">
        <is>
          <t>SH</t>
        </is>
      </c>
      <c r="B30" s="839" t="inlineStr">
        <is>
          <t>MEL</t>
        </is>
      </c>
      <c r="C30" s="840" t="n">
        <v>550070</v>
      </c>
      <c r="D30" s="841" t="inlineStr">
        <is>
          <t>Windsor House, 40-41 Great Castle Street</t>
        </is>
      </c>
      <c r="E30" s="841" t="inlineStr">
        <is>
          <t>Fourth Floor</t>
        </is>
      </c>
      <c r="F30" s="842" t="inlineStr">
        <is>
          <t>Office</t>
        </is>
      </c>
      <c r="G30" s="849" t="n">
        <v>400</v>
      </c>
      <c r="H30" s="843">
        <f>G30</f>
        <v/>
      </c>
      <c r="I30" s="843" t="n">
        <v>500</v>
      </c>
      <c r="J30" s="841" t="inlineStr">
        <is>
          <t>Vacant</t>
        </is>
      </c>
      <c r="M30" s="845" t="n">
        <v>44168</v>
      </c>
      <c r="P30" s="843" t="n">
        <v>0</v>
      </c>
      <c r="Q30" s="843">
        <f>P30</f>
        <v/>
      </c>
      <c r="S30" s="843" t="n">
        <v>21600</v>
      </c>
      <c r="T30" s="843">
        <f>S30</f>
        <v/>
      </c>
      <c r="U30" s="843" t="n">
        <v>22000</v>
      </c>
      <c r="V30" s="843">
        <f>U30</f>
        <v/>
      </c>
      <c r="W30" s="846">
        <f>U30/G30</f>
        <v/>
      </c>
      <c r="X30" s="847">
        <f>SUM(U30-S30)/S30</f>
        <v/>
      </c>
      <c r="Y30" s="843" t="inlineStr">
        <is>
          <t>D</t>
        </is>
      </c>
      <c r="Z30" s="590" t="n"/>
      <c r="AA30" s="848" t="n"/>
      <c r="AB30" s="842" t="inlineStr">
        <is>
          <t>No</t>
        </is>
      </c>
      <c r="AC30" s="841" t="inlineStr">
        <is>
          <t>To be refurbished.</t>
        </is>
      </c>
      <c r="AF30" s="312" t="n"/>
    </row>
    <row r="31">
      <c r="A31" s="839" t="inlineStr">
        <is>
          <t>SH</t>
        </is>
      </c>
      <c r="B31" s="839" t="inlineStr">
        <is>
          <t>MEL</t>
        </is>
      </c>
      <c r="C31" s="840" t="n">
        <v>550070</v>
      </c>
      <c r="D31" s="841" t="inlineStr">
        <is>
          <t>Windsor House, 40-41 Great Castle Street</t>
        </is>
      </c>
      <c r="E31" s="841" t="inlineStr">
        <is>
          <t>Roof</t>
        </is>
      </c>
      <c r="F31" s="842" t="inlineStr">
        <is>
          <t>Air Con Units</t>
        </is>
      </c>
      <c r="G31" s="849" t="n">
        <v>0</v>
      </c>
      <c r="H31" s="843">
        <f>G31</f>
        <v/>
      </c>
      <c r="I31" s="843" t="n"/>
      <c r="J31" s="841" t="inlineStr">
        <is>
          <t>Vacant / Landlord</t>
        </is>
      </c>
      <c r="M31" s="845" t="inlineStr">
        <is>
          <t>N/A</t>
        </is>
      </c>
      <c r="P31" s="843" t="n">
        <v>0</v>
      </c>
      <c r="Q31" s="591">
        <f>P31</f>
        <v/>
      </c>
      <c r="R31" s="591" t="n"/>
      <c r="S31" s="843" t="n">
        <v>0</v>
      </c>
      <c r="T31" s="591">
        <f>S31</f>
        <v/>
      </c>
      <c r="U31" s="843" t="n">
        <v>0</v>
      </c>
      <c r="V31" s="591">
        <f>U31</f>
        <v/>
      </c>
      <c r="W31" s="591" t="n"/>
      <c r="X31" s="600" t="n"/>
      <c r="Y31" s="591" t="n"/>
      <c r="Z31" s="603" t="n"/>
      <c r="AA31" s="848" t="n"/>
      <c r="AB31" s="842" t="inlineStr">
        <is>
          <t>No</t>
        </is>
      </c>
      <c r="AF31" s="312" t="n"/>
    </row>
    <row r="32">
      <c r="A32" s="839" t="inlineStr">
        <is>
          <t>SH</t>
        </is>
      </c>
      <c r="B32" s="839" t="inlineStr">
        <is>
          <t>MEL</t>
        </is>
      </c>
      <c r="C32" s="840" t="n">
        <v>550470</v>
      </c>
      <c r="D32" s="841" t="inlineStr">
        <is>
          <t>Portland House, 4 Great Portland Street</t>
        </is>
      </c>
      <c r="E32" s="841" t="inlineStr">
        <is>
          <t>Basement (West)</t>
        </is>
      </c>
      <c r="F32" s="842" t="inlineStr">
        <is>
          <t>Restaurant/Bar</t>
        </is>
      </c>
      <c r="G32" s="849" t="n">
        <v>2945</v>
      </c>
      <c r="H32" s="849">
        <f>G32</f>
        <v/>
      </c>
      <c r="I32" s="849" t="n">
        <v>3000</v>
      </c>
      <c r="J32" s="841" t="inlineStr">
        <is>
          <t>The London Cocktail Club Ltd</t>
        </is>
      </c>
      <c r="K32" s="844" t="n">
        <v>41457</v>
      </c>
      <c r="L32" s="845" t="n">
        <v>46935</v>
      </c>
      <c r="P32" s="843" t="n">
        <v>147500</v>
      </c>
      <c r="Q32" s="843">
        <f>P32</f>
        <v/>
      </c>
      <c r="S32" s="843" t="n">
        <v>147500</v>
      </c>
      <c r="T32" s="843">
        <f>S32</f>
        <v/>
      </c>
      <c r="U32" s="843" t="n">
        <v>147500</v>
      </c>
      <c r="V32" s="843">
        <f>U32</f>
        <v/>
      </c>
      <c r="W32" s="846">
        <f>U32/G32</f>
        <v/>
      </c>
      <c r="X32" s="847">
        <f>SUM(U32-S32)/S32</f>
        <v/>
      </c>
      <c r="Y32" s="843" t="inlineStr">
        <is>
          <t>E</t>
        </is>
      </c>
      <c r="Z32" s="590" t="n"/>
      <c r="AA32" s="848" t="n"/>
      <c r="AB32" s="842" t="inlineStr">
        <is>
          <t>No</t>
        </is>
      </c>
      <c r="AC32" s="841" t="inlineStr">
        <is>
          <t>5 year reversionary lease completed from 02/07/28 with day one rent review. Rent review to be documented at passing rent.</t>
        </is>
      </c>
      <c r="AF32" s="312" t="n"/>
    </row>
    <row r="33">
      <c r="A33" s="839" t="inlineStr">
        <is>
          <t>SH</t>
        </is>
      </c>
      <c r="B33" s="839" t="inlineStr">
        <is>
          <t>MEL</t>
        </is>
      </c>
      <c r="C33" s="840" t="n">
        <v>550470</v>
      </c>
      <c r="D33" s="841" t="inlineStr">
        <is>
          <t>Portland House, 4 Great Portland Street</t>
        </is>
      </c>
      <c r="E33" s="841" t="inlineStr">
        <is>
          <t>Ground Floor</t>
        </is>
      </c>
      <c r="F33" s="842" t="inlineStr">
        <is>
          <t>Retail/Cafe</t>
        </is>
      </c>
      <c r="G33" s="849" t="n">
        <v>2103</v>
      </c>
      <c r="H33" s="849">
        <f>G33</f>
        <v/>
      </c>
      <c r="I33" s="849" t="n">
        <v>2000</v>
      </c>
      <c r="J33" s="841" t="inlineStr">
        <is>
          <t>Costa Ltd</t>
        </is>
      </c>
      <c r="K33" s="844" t="n">
        <v>45669</v>
      </c>
      <c r="L33" s="845" t="n">
        <v>51146</v>
      </c>
      <c r="N33" s="845" t="n">
        <v>47495</v>
      </c>
      <c r="O33" s="845" t="n">
        <v>49320</v>
      </c>
      <c r="P33" s="843" t="n">
        <v>220000</v>
      </c>
      <c r="Q33" s="843">
        <f>P33</f>
        <v/>
      </c>
      <c r="S33" s="843" t="n">
        <v>176200</v>
      </c>
      <c r="T33" s="843">
        <f>S33</f>
        <v/>
      </c>
      <c r="U33" s="843" t="n">
        <v>220000</v>
      </c>
      <c r="V33" s="843">
        <f>U33</f>
        <v/>
      </c>
      <c r="W33" s="846">
        <f>U33/G33</f>
        <v/>
      </c>
      <c r="X33" s="847">
        <f>SUM(U33-S33)/S33</f>
        <v/>
      </c>
      <c r="Y33" s="843" t="inlineStr">
        <is>
          <t>B</t>
        </is>
      </c>
      <c r="Z33" s="590" t="n"/>
      <c r="AA33" s="848" t="n"/>
      <c r="AB33" s="842" t="inlineStr">
        <is>
          <t>No</t>
        </is>
      </c>
      <c r="AC33" s="841" t="inlineStr">
        <is>
          <t>Mutual break on 6 months notice.</t>
        </is>
      </c>
      <c r="AF33" s="312" t="n"/>
    </row>
    <row r="34">
      <c r="A34" s="839" t="inlineStr">
        <is>
          <t>SH</t>
        </is>
      </c>
      <c r="B34" s="839" t="inlineStr">
        <is>
          <t>MEL</t>
        </is>
      </c>
      <c r="C34" s="840" t="n">
        <v>550470</v>
      </c>
      <c r="D34" s="841" t="inlineStr">
        <is>
          <t>Portland House, 4 Great Portland Street</t>
        </is>
      </c>
      <c r="E34" s="841" t="inlineStr">
        <is>
          <t>Ground Floor &amp; Basement (East) &amp; Basement Vaults</t>
        </is>
      </c>
      <c r="F34" s="842" t="inlineStr">
        <is>
          <t>Restaurant</t>
        </is>
      </c>
      <c r="G34" s="849" t="n">
        <v>5667</v>
      </c>
      <c r="H34" s="849">
        <f>G34</f>
        <v/>
      </c>
      <c r="I34" s="849" t="n">
        <v>5500</v>
      </c>
      <c r="J34" s="841" t="inlineStr">
        <is>
          <t>Futuremaxx Ltd</t>
        </is>
      </c>
      <c r="K34" s="844" t="n">
        <v>45567</v>
      </c>
      <c r="L34" s="845" t="n">
        <v>51044</v>
      </c>
      <c r="N34" s="845" t="n">
        <v>47393</v>
      </c>
      <c r="P34" s="843" t="n">
        <v>150000</v>
      </c>
      <c r="Q34" s="843">
        <f>P34</f>
        <v/>
      </c>
      <c r="S34" s="843" t="n">
        <v>255000</v>
      </c>
      <c r="T34" s="843">
        <f>S34</f>
        <v/>
      </c>
      <c r="U34" s="843" t="n">
        <v>300000</v>
      </c>
      <c r="V34" s="843">
        <f>U34</f>
        <v/>
      </c>
      <c r="W34" s="846">
        <f>U34/G34</f>
        <v/>
      </c>
      <c r="X34" s="847">
        <f>SUM(U34-S34)/S34</f>
        <v/>
      </c>
      <c r="Y34" s="843" t="inlineStr">
        <is>
          <t>B</t>
        </is>
      </c>
      <c r="Z34" s="590" t="n"/>
      <c r="AA34" s="848" t="n"/>
      <c r="AB34" s="842" t="inlineStr">
        <is>
          <t>No</t>
        </is>
      </c>
      <c r="AC34" s="841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4" s="312" t="n"/>
    </row>
    <row r="35">
      <c r="A35" s="839" t="inlineStr">
        <is>
          <t>SH</t>
        </is>
      </c>
      <c r="B35" s="839" t="inlineStr">
        <is>
          <t>MEL</t>
        </is>
      </c>
      <c r="C35" s="840" t="n">
        <v>550470</v>
      </c>
      <c r="D35" s="841" t="inlineStr">
        <is>
          <t>Portland House, 4 Great Portland Street</t>
        </is>
      </c>
      <c r="E35" s="841" t="inlineStr">
        <is>
          <t>First Floor (West)</t>
        </is>
      </c>
      <c r="F35" s="842" t="inlineStr">
        <is>
          <t>Office</t>
        </is>
      </c>
      <c r="G35" s="849" t="n">
        <v>1784</v>
      </c>
      <c r="H35" s="849">
        <f>G35</f>
        <v/>
      </c>
      <c r="I35" s="849" t="n">
        <v>1750</v>
      </c>
      <c r="J35" s="841" t="inlineStr">
        <is>
          <t>Time &amp; Tide Holdings (UK) Ltd</t>
        </is>
      </c>
      <c r="K35" s="844" t="n">
        <v>45457</v>
      </c>
      <c r="L35" s="845" t="n">
        <v>47282</v>
      </c>
      <c r="P35" s="843" t="n">
        <v>60700</v>
      </c>
      <c r="Q35" s="843">
        <f>P35</f>
        <v/>
      </c>
      <c r="S35" s="843" t="n">
        <v>99700</v>
      </c>
      <c r="T35" s="843">
        <f>S35</f>
        <v/>
      </c>
      <c r="U35" s="843" t="n">
        <v>120400</v>
      </c>
      <c r="V35" s="843">
        <f>U35</f>
        <v/>
      </c>
      <c r="W35" s="846">
        <f>U35/G35</f>
        <v/>
      </c>
      <c r="X35" s="847">
        <f>SUM(U35-S35)/S35</f>
        <v/>
      </c>
      <c r="Y35" s="843" t="inlineStr">
        <is>
          <t>B</t>
        </is>
      </c>
      <c r="Z35" s="590" t="n"/>
      <c r="AA35" s="848" t="n"/>
      <c r="AB35" s="842" t="inlineStr">
        <is>
          <t>No</t>
        </is>
      </c>
      <c r="AC35" s="841" t="inlineStr">
        <is>
          <t>Rent increases to £121,400 wef 14/08/25</t>
        </is>
      </c>
      <c r="AF35" s="312" t="n"/>
    </row>
    <row r="36">
      <c r="A36" s="839" t="inlineStr">
        <is>
          <t>SH</t>
        </is>
      </c>
      <c r="B36" s="839" t="inlineStr">
        <is>
          <t>MEL</t>
        </is>
      </c>
      <c r="C36" s="840" t="n">
        <v>550470</v>
      </c>
      <c r="D36" s="841" t="inlineStr">
        <is>
          <t>Portland House, 4 Great Portland Street</t>
        </is>
      </c>
      <c r="E36" s="841" t="inlineStr">
        <is>
          <t>First Floor (East)</t>
        </is>
      </c>
      <c r="F36" s="842" t="inlineStr">
        <is>
          <t>Office</t>
        </is>
      </c>
      <c r="G36" s="849" t="n">
        <v>2075</v>
      </c>
      <c r="H36" s="849">
        <f>G36</f>
        <v/>
      </c>
      <c r="I36" s="849" t="n">
        <v>2000</v>
      </c>
      <c r="J36" s="841" t="inlineStr">
        <is>
          <t>L52 Communications Ltd</t>
        </is>
      </c>
      <c r="K36" s="844" t="n">
        <v>45384</v>
      </c>
      <c r="L36" s="845" t="n">
        <v>47209</v>
      </c>
      <c r="O36" s="845" t="n">
        <v>46478</v>
      </c>
      <c r="P36" s="843" t="n">
        <v>133280</v>
      </c>
      <c r="Q36" s="843">
        <f>P36</f>
        <v/>
      </c>
      <c r="S36" s="843" t="n">
        <v>114700</v>
      </c>
      <c r="T36" s="843">
        <f>S36</f>
        <v/>
      </c>
      <c r="U36" s="843" t="n">
        <v>140100</v>
      </c>
      <c r="V36" s="843">
        <f>U36</f>
        <v/>
      </c>
      <c r="W36" s="846">
        <f>U36/G36</f>
        <v/>
      </c>
      <c r="X36" s="847">
        <f>SUM(U36-S36)/S36</f>
        <v/>
      </c>
      <c r="Y36" s="843" t="inlineStr">
        <is>
          <t>B</t>
        </is>
      </c>
      <c r="Z36" s="590" t="n"/>
      <c r="AA36" s="848" t="n"/>
      <c r="AB36" s="842" t="inlineStr">
        <is>
          <t>No</t>
        </is>
      </c>
      <c r="AC36" s="841" t="inlineStr">
        <is>
          <t>Tenant break on 6 months notice. 1 month rent free from 02/04/27 if not exercised.</t>
        </is>
      </c>
      <c r="AF36" s="312" t="n"/>
    </row>
    <row r="37">
      <c r="A37" s="839" t="inlineStr">
        <is>
          <t>SH</t>
        </is>
      </c>
      <c r="B37" s="839" t="inlineStr">
        <is>
          <t>MEL</t>
        </is>
      </c>
      <c r="C37" s="840" t="n">
        <v>550470</v>
      </c>
      <c r="D37" s="841" t="inlineStr">
        <is>
          <t>Portland House, 4 Great Portland Street</t>
        </is>
      </c>
      <c r="E37" s="841" t="inlineStr">
        <is>
          <t>Second Floor (East)</t>
        </is>
      </c>
      <c r="F37" s="842" t="inlineStr">
        <is>
          <t>Office</t>
        </is>
      </c>
      <c r="G37" s="849" t="n">
        <v>2063</v>
      </c>
      <c r="H37" s="849">
        <f>G37</f>
        <v/>
      </c>
      <c r="I37" s="849" t="n">
        <v>2000</v>
      </c>
      <c r="J37" s="841" t="inlineStr">
        <is>
          <t>Tekcor4 Limited</t>
        </is>
      </c>
      <c r="K37" s="844" t="n">
        <v>45516</v>
      </c>
      <c r="L37" s="845" t="n">
        <v>47341</v>
      </c>
      <c r="O37" s="845" t="n">
        <v>46610</v>
      </c>
      <c r="P37" s="843" t="n">
        <v>146450</v>
      </c>
      <c r="Q37" s="843">
        <f>P37</f>
        <v/>
      </c>
      <c r="S37" s="843" t="n">
        <v>120700</v>
      </c>
      <c r="T37" s="843">
        <f>S37</f>
        <v/>
      </c>
      <c r="U37" s="843" t="n">
        <v>139260</v>
      </c>
      <c r="V37" s="843">
        <f>U37</f>
        <v/>
      </c>
      <c r="W37" s="846">
        <f>U37/G37</f>
        <v/>
      </c>
      <c r="X37" s="847">
        <f>SUM(U37-S37)/S37</f>
        <v/>
      </c>
      <c r="Y37" s="843" t="inlineStr">
        <is>
          <t>B</t>
        </is>
      </c>
      <c r="Z37" s="590" t="n"/>
      <c r="AA37" s="848" t="n"/>
      <c r="AB37" s="842" t="inlineStr">
        <is>
          <t>No</t>
        </is>
      </c>
      <c r="AC37" s="841" t="inlineStr">
        <is>
          <t>Tenant break on 6 months notice.</t>
        </is>
      </c>
      <c r="AE37" s="29" t="n"/>
      <c r="AF37" s="313" t="n"/>
      <c r="AG37" s="29" t="n"/>
    </row>
    <row r="38">
      <c r="A38" s="839" t="inlineStr">
        <is>
          <t>SH</t>
        </is>
      </c>
      <c r="B38" s="839" t="inlineStr">
        <is>
          <t>MEL</t>
        </is>
      </c>
      <c r="C38" s="840" t="n">
        <v>550470</v>
      </c>
      <c r="D38" s="841" t="inlineStr">
        <is>
          <t>Portland House, 4 Great Portland Street</t>
        </is>
      </c>
      <c r="E38" s="841" t="inlineStr">
        <is>
          <t>Second Floor (West)</t>
        </is>
      </c>
      <c r="F38" s="842" t="inlineStr">
        <is>
          <t>Office</t>
        </is>
      </c>
      <c r="G38" s="849" t="n">
        <v>1796</v>
      </c>
      <c r="H38" s="849">
        <f>G38</f>
        <v/>
      </c>
      <c r="I38" s="849" t="n">
        <v>1750</v>
      </c>
      <c r="J38" s="841" t="inlineStr">
        <is>
          <t>Vacant</t>
        </is>
      </c>
      <c r="M38" s="845" t="n">
        <v>45051</v>
      </c>
      <c r="P38" s="843" t="n">
        <v>0</v>
      </c>
      <c r="Q38" s="843">
        <f>P38</f>
        <v/>
      </c>
      <c r="S38" s="843" t="n">
        <v>87300</v>
      </c>
      <c r="T38" s="843">
        <f>S38</f>
        <v/>
      </c>
      <c r="U38" s="843" t="n">
        <v>121240</v>
      </c>
      <c r="V38" s="843">
        <f>U38</f>
        <v/>
      </c>
      <c r="W38" s="846">
        <f>U38/G38</f>
        <v/>
      </c>
      <c r="X38" s="847">
        <f>SUM(U38-S38)/S38</f>
        <v/>
      </c>
      <c r="Y38" s="843" t="inlineStr">
        <is>
          <t>B</t>
        </is>
      </c>
      <c r="Z38" s="590" t="n"/>
      <c r="AA38" s="848" t="n"/>
      <c r="AB38" s="842" t="inlineStr">
        <is>
          <t>No</t>
        </is>
      </c>
      <c r="AC38" s="841" t="inlineStr">
        <is>
          <t>LEM marketing.</t>
        </is>
      </c>
      <c r="AD38" s="850" t="n">
        <v>72.5</v>
      </c>
      <c r="AE38" s="841" t="n">
        <v>3</v>
      </c>
      <c r="AF38" s="312" t="n">
        <v>13</v>
      </c>
      <c r="AG38" s="841" t="inlineStr">
        <is>
          <t>LEM/LDG</t>
        </is>
      </c>
    </row>
    <row r="39">
      <c r="A39" s="839" t="inlineStr">
        <is>
          <t>SH</t>
        </is>
      </c>
      <c r="B39" s="839" t="inlineStr">
        <is>
          <t>MEL</t>
        </is>
      </c>
      <c r="C39" s="840" t="n">
        <v>550470</v>
      </c>
      <c r="D39" s="841" t="inlineStr">
        <is>
          <t>Portland House, 4 Great Portland Street</t>
        </is>
      </c>
      <c r="E39" s="841" t="inlineStr">
        <is>
          <t>Third Floor (West)</t>
        </is>
      </c>
      <c r="F39" s="842" t="inlineStr">
        <is>
          <t>Office</t>
        </is>
      </c>
      <c r="G39" s="849" t="n">
        <v>1691</v>
      </c>
      <c r="H39" s="849">
        <f>G39</f>
        <v/>
      </c>
      <c r="I39" s="849" t="n">
        <v>1500</v>
      </c>
      <c r="J39" s="841" t="inlineStr">
        <is>
          <t>J&amp;M Davidson Limited.</t>
        </is>
      </c>
      <c r="K39" s="844" t="n">
        <v>44795</v>
      </c>
      <c r="L39" s="845" t="n">
        <v>46620</v>
      </c>
      <c r="O39" s="845" t="n">
        <v>45890</v>
      </c>
      <c r="P39" s="843" t="n">
        <v>102705</v>
      </c>
      <c r="Q39" s="843">
        <f>P39</f>
        <v/>
      </c>
      <c r="S39" s="843" t="n">
        <v>102705</v>
      </c>
      <c r="T39" s="843">
        <f>S39</f>
        <v/>
      </c>
      <c r="U39" s="843" t="n">
        <v>114100</v>
      </c>
      <c r="V39" s="843">
        <f>U39</f>
        <v/>
      </c>
      <c r="W39" s="846">
        <f>U39/G39</f>
        <v/>
      </c>
      <c r="X39" s="847">
        <f>SUM(U39-S39)/S39</f>
        <v/>
      </c>
      <c r="Y39" s="843" t="inlineStr">
        <is>
          <t>B</t>
        </is>
      </c>
      <c r="Z39" s="590" t="n"/>
      <c r="AA39" s="848" t="n"/>
      <c r="AB39" s="842" t="inlineStr">
        <is>
          <t>No</t>
        </is>
      </c>
      <c r="AC39" s="841" t="inlineStr">
        <is>
          <t>Tenant break on 6 months notice.</t>
        </is>
      </c>
      <c r="AF39" s="312" t="n"/>
    </row>
    <row r="40">
      <c r="A40" s="839" t="inlineStr">
        <is>
          <t>SH</t>
        </is>
      </c>
      <c r="B40" s="839" t="inlineStr">
        <is>
          <t>MEL</t>
        </is>
      </c>
      <c r="C40" s="840" t="n">
        <v>550470</v>
      </c>
      <c r="D40" s="841" t="inlineStr">
        <is>
          <t>Portland House, 4 Great Portland Street</t>
        </is>
      </c>
      <c r="E40" s="841" t="inlineStr">
        <is>
          <t xml:space="preserve">Third Floor (East) </t>
        </is>
      </c>
      <c r="F40" s="842" t="inlineStr">
        <is>
          <t>Office</t>
        </is>
      </c>
      <c r="G40" s="849" t="n">
        <v>2055</v>
      </c>
      <c r="H40" s="849">
        <f>G40</f>
        <v/>
      </c>
      <c r="I40" s="849" t="n">
        <v>2000</v>
      </c>
      <c r="J40" s="841" t="inlineStr">
        <is>
          <t>Media Campaign Limited</t>
        </is>
      </c>
      <c r="K40" s="844" t="n">
        <v>45488</v>
      </c>
      <c r="L40" s="845" t="n">
        <v>47313</v>
      </c>
      <c r="O40" s="845" t="n">
        <v>46582</v>
      </c>
      <c r="P40" s="843" t="n">
        <v>181050</v>
      </c>
      <c r="Q40" s="843">
        <f>P40</f>
        <v/>
      </c>
      <c r="S40" s="843" t="n">
        <v>125050</v>
      </c>
      <c r="T40" s="843">
        <f>S40</f>
        <v/>
      </c>
      <c r="U40" s="843" t="n">
        <v>138700</v>
      </c>
      <c r="V40" s="843">
        <f>U40</f>
        <v/>
      </c>
      <c r="W40" s="846">
        <f>U40/G40</f>
        <v/>
      </c>
      <c r="X40" s="847">
        <f>SUM(U40-S40)/S40</f>
        <v/>
      </c>
      <c r="Y40" s="843" t="inlineStr">
        <is>
          <t>B</t>
        </is>
      </c>
      <c r="Z40" s="590" t="n"/>
      <c r="AA40" s="848" t="n"/>
      <c r="AB40" s="842" t="inlineStr">
        <is>
          <t>No</t>
        </is>
      </c>
      <c r="AC40" s="841" t="inlineStr">
        <is>
          <t>Tenant break on 6 months notice. 2 months rent free @ 15/07/27 if not exercised.</t>
        </is>
      </c>
      <c r="AE40" s="29" t="n"/>
      <c r="AF40" s="313" t="n"/>
      <c r="AG40" s="29" t="n"/>
    </row>
    <row r="41">
      <c r="A41" s="839" t="inlineStr">
        <is>
          <t>SH</t>
        </is>
      </c>
      <c r="B41" s="839" t="inlineStr">
        <is>
          <t>MEL</t>
        </is>
      </c>
      <c r="C41" s="840" t="n">
        <v>550470</v>
      </c>
      <c r="D41" s="841" t="inlineStr">
        <is>
          <t>Portland House, 4 Great Portland Street</t>
        </is>
      </c>
      <c r="E41" s="841" t="inlineStr">
        <is>
          <t>Fourth Floor (West)</t>
        </is>
      </c>
      <c r="F41" s="842" t="inlineStr">
        <is>
          <t>Office</t>
        </is>
      </c>
      <c r="G41" s="849" t="n">
        <v>1548</v>
      </c>
      <c r="H41" s="849">
        <f>G41</f>
        <v/>
      </c>
      <c r="I41" s="849" t="n">
        <v>1500</v>
      </c>
      <c r="J41" s="841" t="inlineStr">
        <is>
          <t>Racoon Media Services Limited</t>
        </is>
      </c>
      <c r="K41" s="844" t="n">
        <v>45609</v>
      </c>
      <c r="L41" s="845" t="n">
        <v>47434</v>
      </c>
      <c r="M41" s="845" t="n"/>
      <c r="N41" s="845" t="n"/>
      <c r="O41" s="845" t="n">
        <v>46703</v>
      </c>
      <c r="P41" s="843" t="n">
        <v>90090</v>
      </c>
      <c r="Q41" s="843">
        <f>P41</f>
        <v/>
      </c>
      <c r="R41" s="843" t="n"/>
      <c r="S41" s="843" t="n">
        <v>90100</v>
      </c>
      <c r="T41" s="843">
        <f>S41</f>
        <v/>
      </c>
      <c r="U41" s="843" t="n">
        <v>104500</v>
      </c>
      <c r="V41" s="843">
        <f>U41</f>
        <v/>
      </c>
      <c r="W41" s="846">
        <f>U41/G41</f>
        <v/>
      </c>
      <c r="X41" s="847">
        <f>SUM(U41-S41)/S41</f>
        <v/>
      </c>
      <c r="Y41" s="843" t="inlineStr">
        <is>
          <t>B</t>
        </is>
      </c>
      <c r="Z41" s="590" t="n"/>
      <c r="AA41" s="848" t="n"/>
      <c r="AB41" s="842" t="inlineStr">
        <is>
          <t>No</t>
        </is>
      </c>
      <c r="AC41" s="841" t="inlineStr">
        <is>
          <t>Tenant break on 6 months notice. Rent PA corrected.</t>
        </is>
      </c>
      <c r="AD41" s="850" t="n"/>
      <c r="AE41" s="841" t="n"/>
      <c r="AF41" s="312" t="n"/>
      <c r="AG41" s="841" t="n"/>
    </row>
    <row r="42">
      <c r="A42" s="839" t="inlineStr">
        <is>
          <t>SH</t>
        </is>
      </c>
      <c r="B42" s="839" t="inlineStr">
        <is>
          <t>MEL</t>
        </is>
      </c>
      <c r="C42" s="840" t="n">
        <v>550470</v>
      </c>
      <c r="D42" s="841" t="inlineStr">
        <is>
          <t>Portland House, 4 Great Portland Street</t>
        </is>
      </c>
      <c r="E42" s="841" t="inlineStr">
        <is>
          <t>Fourth Floor (East)</t>
        </is>
      </c>
      <c r="F42" s="842" t="inlineStr">
        <is>
          <t>Office</t>
        </is>
      </c>
      <c r="G42" s="849" t="n">
        <v>1957</v>
      </c>
      <c r="H42" s="849">
        <f>G42</f>
        <v/>
      </c>
      <c r="I42" s="849" t="n">
        <v>2000</v>
      </c>
      <c r="J42" s="841" t="inlineStr">
        <is>
          <t>Racoon Media Services Limited</t>
        </is>
      </c>
      <c r="K42" s="844" t="n">
        <v>45609</v>
      </c>
      <c r="L42" s="845" t="n">
        <v>47434</v>
      </c>
      <c r="O42" s="845" t="n">
        <v>46703</v>
      </c>
      <c r="P42" s="843" t="n">
        <v>114253</v>
      </c>
      <c r="Q42" s="843">
        <f>P42</f>
        <v/>
      </c>
      <c r="S42" s="843" t="n">
        <v>115800</v>
      </c>
      <c r="T42" s="843">
        <f>S42</f>
        <v/>
      </c>
      <c r="U42" s="843" t="n">
        <v>132100</v>
      </c>
      <c r="V42" s="843">
        <f>U42</f>
        <v/>
      </c>
      <c r="W42" s="846">
        <f>U42/G42</f>
        <v/>
      </c>
      <c r="X42" s="847">
        <f>SUM(U42-S42)/S42</f>
        <v/>
      </c>
      <c r="Y42" s="843" t="inlineStr">
        <is>
          <t>B</t>
        </is>
      </c>
      <c r="Z42" s="590" t="n"/>
      <c r="AA42" s="848" t="n"/>
      <c r="AB42" s="842" t="inlineStr">
        <is>
          <t>No</t>
        </is>
      </c>
      <c r="AC42" s="841" t="inlineStr">
        <is>
          <t>Tenant break on 6 months notice.</t>
        </is>
      </c>
      <c r="AD42" s="599" t="n"/>
      <c r="AF42" s="312" t="n"/>
    </row>
    <row r="43">
      <c r="A43" s="839" t="inlineStr">
        <is>
          <t>SH</t>
        </is>
      </c>
      <c r="B43" s="839" t="inlineStr">
        <is>
          <t>MEL</t>
        </is>
      </c>
      <c r="C43" s="840" t="n">
        <v>550470</v>
      </c>
      <c r="D43" s="841" t="inlineStr">
        <is>
          <t>Portland House, 4 Great Portland Street</t>
        </is>
      </c>
      <c r="E43" s="841" t="inlineStr">
        <is>
          <t>Fifth Floor (East)</t>
        </is>
      </c>
      <c r="F43" s="842" t="inlineStr">
        <is>
          <t>Office</t>
        </is>
      </c>
      <c r="G43" s="849" t="n">
        <v>1845</v>
      </c>
      <c r="H43" s="849">
        <f>G43</f>
        <v/>
      </c>
      <c r="I43" s="849" t="n">
        <v>2000</v>
      </c>
      <c r="J43" s="841" t="inlineStr">
        <is>
          <t>Greek National Tourism Organisation.</t>
        </is>
      </c>
      <c r="K43" s="844" t="n">
        <v>45256</v>
      </c>
      <c r="L43" s="845" t="n">
        <v>47082</v>
      </c>
      <c r="O43" s="845" t="n">
        <v>46351</v>
      </c>
      <c r="P43" s="843" t="n">
        <v>115500</v>
      </c>
      <c r="Q43" s="843">
        <f>P43</f>
        <v/>
      </c>
      <c r="S43" s="843" t="n">
        <v>107400</v>
      </c>
      <c r="T43" s="843">
        <f>S43</f>
        <v/>
      </c>
      <c r="U43" s="843" t="n">
        <v>124500</v>
      </c>
      <c r="V43" s="843">
        <f>U43</f>
        <v/>
      </c>
      <c r="W43" s="846">
        <f>U43/G43</f>
        <v/>
      </c>
      <c r="X43" s="847">
        <f>SUM(U43-S43)/S43</f>
        <v/>
      </c>
      <c r="Y43" s="843" t="inlineStr">
        <is>
          <t>B</t>
        </is>
      </c>
      <c r="Z43" s="590" t="n"/>
      <c r="AA43" s="848" t="n"/>
      <c r="AB43" s="842" t="inlineStr">
        <is>
          <t>No</t>
        </is>
      </c>
      <c r="AC43" s="841" t="inlineStr">
        <is>
          <t>Tenant break on 6 months notice.</t>
        </is>
      </c>
      <c r="AF43" s="312" t="n"/>
    </row>
    <row r="44">
      <c r="A44" s="839" t="inlineStr">
        <is>
          <t>SH</t>
        </is>
      </c>
      <c r="B44" s="839" t="inlineStr">
        <is>
          <t>MEL</t>
        </is>
      </c>
      <c r="C44" s="840" t="n">
        <v>550470</v>
      </c>
      <c r="D44" s="841" t="inlineStr">
        <is>
          <t>Portland House, 4 Great Portland Street</t>
        </is>
      </c>
      <c r="E44" s="841" t="inlineStr">
        <is>
          <t>Fifth Floor (West)</t>
        </is>
      </c>
      <c r="F44" s="842" t="inlineStr">
        <is>
          <t>Office</t>
        </is>
      </c>
      <c r="G44" s="849" t="n">
        <v>1528</v>
      </c>
      <c r="H44" s="849">
        <f>G44</f>
        <v/>
      </c>
      <c r="I44" s="849" t="n">
        <v>1500</v>
      </c>
      <c r="J44" s="841" t="inlineStr">
        <is>
          <t>Rios Designs Ltd</t>
        </is>
      </c>
      <c r="K44" s="844" t="n">
        <v>45622</v>
      </c>
      <c r="L44" s="845" t="n">
        <v>47447</v>
      </c>
      <c r="O44" s="845" t="n">
        <v>46716</v>
      </c>
      <c r="P44" s="843" t="n">
        <v>54340</v>
      </c>
      <c r="Q44" s="843">
        <f>P44</f>
        <v/>
      </c>
      <c r="S44" s="843" t="n">
        <v>76600</v>
      </c>
      <c r="T44" s="843">
        <f>S44</f>
        <v/>
      </c>
      <c r="U44" s="843" t="n">
        <v>103100</v>
      </c>
      <c r="V44" s="843">
        <f>U44</f>
        <v/>
      </c>
      <c r="W44" s="846">
        <f>U44/G44</f>
        <v/>
      </c>
      <c r="X44" s="847">
        <f>SUM(U44-S44)/S44</f>
        <v/>
      </c>
      <c r="Y44" s="843" t="inlineStr">
        <is>
          <t>B</t>
        </is>
      </c>
      <c r="Z44" s="590" t="n"/>
      <c r="AA44" s="848" t="n"/>
      <c r="AB44" s="842" t="inlineStr">
        <is>
          <t>No</t>
        </is>
      </c>
      <c r="AC44" s="841" t="inlineStr">
        <is>
          <t>Rent increases to £108,680 wef 26/11/25. Tenant break on 6 months notice.</t>
        </is>
      </c>
      <c r="AD44" s="599" t="n"/>
      <c r="AF44" s="312" t="n">
        <v>2</v>
      </c>
      <c r="AG44" s="841" t="inlineStr">
        <is>
          <t>LEM/LDG</t>
        </is>
      </c>
    </row>
    <row r="45">
      <c r="A45" s="839" t="inlineStr">
        <is>
          <t>SH</t>
        </is>
      </c>
      <c r="B45" s="839" t="inlineStr">
        <is>
          <t>MEL</t>
        </is>
      </c>
      <c r="C45" s="840" t="n">
        <v>550470</v>
      </c>
      <c r="D45" s="841" t="inlineStr">
        <is>
          <t>Portland House, 4 Great Portland Street</t>
        </is>
      </c>
      <c r="E45" s="851" t="inlineStr">
        <is>
          <t>Sixth Floor (West)</t>
        </is>
      </c>
      <c r="F45" s="842" t="inlineStr">
        <is>
          <t>Office</t>
        </is>
      </c>
      <c r="G45" s="849" t="n">
        <v>1253</v>
      </c>
      <c r="H45" s="849">
        <f>G45</f>
        <v/>
      </c>
      <c r="I45" s="849" t="n">
        <v>1250</v>
      </c>
      <c r="J45" s="841" t="inlineStr">
        <is>
          <t>Directors Cut Films West Limited</t>
        </is>
      </c>
      <c r="K45" s="844" t="n">
        <v>45617</v>
      </c>
      <c r="L45" s="845" t="n">
        <v>47442</v>
      </c>
      <c r="P45" s="843" t="n">
        <v>66700</v>
      </c>
      <c r="Q45" s="843">
        <f>P45</f>
        <v/>
      </c>
      <c r="S45" s="843" t="n">
        <v>66700</v>
      </c>
      <c r="T45" s="843">
        <f>S45</f>
        <v/>
      </c>
      <c r="U45" s="843" t="n">
        <v>78300</v>
      </c>
      <c r="V45" s="843">
        <f>U45</f>
        <v/>
      </c>
      <c r="W45" s="846">
        <f>U45/G45</f>
        <v/>
      </c>
      <c r="X45" s="847">
        <f>SUM(U45-S45)/S45</f>
        <v/>
      </c>
      <c r="Y45" s="843" t="inlineStr">
        <is>
          <t>D</t>
        </is>
      </c>
      <c r="Z45" s="590" t="n"/>
      <c r="AA45" s="848" t="n"/>
      <c r="AB45" s="842" t="inlineStr">
        <is>
          <t>No</t>
        </is>
      </c>
      <c r="AD45" s="599" t="n"/>
      <c r="AF45" s="312" t="n"/>
    </row>
    <row r="46">
      <c r="A46" s="839" t="inlineStr">
        <is>
          <t>SH</t>
        </is>
      </c>
      <c r="B46" s="839" t="inlineStr">
        <is>
          <t>MEL</t>
        </is>
      </c>
      <c r="C46" s="840" t="n">
        <v>550470</v>
      </c>
      <c r="D46" s="841" t="inlineStr">
        <is>
          <t>Portland House, 4 Great Portland Street</t>
        </is>
      </c>
      <c r="E46" s="841" t="inlineStr">
        <is>
          <t>Sixth Floor (East)</t>
        </is>
      </c>
      <c r="F46" s="842" t="inlineStr">
        <is>
          <t>Office</t>
        </is>
      </c>
      <c r="G46" s="849" t="n">
        <v>859</v>
      </c>
      <c r="H46" s="849">
        <f>G46</f>
        <v/>
      </c>
      <c r="I46" s="849" t="n">
        <v>1000</v>
      </c>
      <c r="J46" s="841" t="inlineStr">
        <is>
          <t>Vacant</t>
        </is>
      </c>
      <c r="M46" s="845" t="n">
        <v>44609</v>
      </c>
      <c r="P46" s="843" t="n">
        <v>0</v>
      </c>
      <c r="Q46" s="843">
        <f>P46</f>
        <v/>
      </c>
      <c r="S46" s="843" t="n">
        <v>65750</v>
      </c>
      <c r="T46" s="843">
        <f>S46</f>
        <v/>
      </c>
      <c r="U46" s="843" t="n">
        <v>53700</v>
      </c>
      <c r="V46" s="843">
        <f>U46</f>
        <v/>
      </c>
      <c r="W46" s="846">
        <f>U46/G46</f>
        <v/>
      </c>
      <c r="X46" s="847">
        <f>SUM(U46-S46)/S46</f>
        <v/>
      </c>
      <c r="Y46" s="843" t="inlineStr">
        <is>
          <t>D</t>
        </is>
      </c>
      <c r="Z46" s="590" t="n"/>
      <c r="AA46" s="848" t="n"/>
      <c r="AB46" s="842" t="inlineStr">
        <is>
          <t>No</t>
        </is>
      </c>
      <c r="AC46" s="841" t="inlineStr">
        <is>
          <t>LEM marketing.</t>
        </is>
      </c>
      <c r="AD46" s="850" t="n">
        <v>63</v>
      </c>
      <c r="AF46" s="312" t="n">
        <v>2</v>
      </c>
    </row>
    <row r="47">
      <c r="A47" s="839" t="inlineStr">
        <is>
          <t>SH</t>
        </is>
      </c>
      <c r="B47" s="839" t="inlineStr">
        <is>
          <t>MEL</t>
        </is>
      </c>
      <c r="C47" s="840" t="n">
        <v>550470</v>
      </c>
      <c r="D47" s="841" t="inlineStr">
        <is>
          <t>Portland House, 4 Great Portland Street</t>
        </is>
      </c>
      <c r="E47" s="841" t="inlineStr">
        <is>
          <t>Cupboards 2nd, 4th, 5th &amp; 6th Floors</t>
        </is>
      </c>
      <c r="F47" s="842" t="inlineStr">
        <is>
          <t>Storage</t>
        </is>
      </c>
      <c r="G47" s="849" t="n">
        <v>0</v>
      </c>
      <c r="H47" s="849">
        <f>G47</f>
        <v/>
      </c>
      <c r="I47" s="849" t="n"/>
      <c r="J47" s="841" t="inlineStr">
        <is>
          <t>Vacant / Landlord</t>
        </is>
      </c>
      <c r="K47" s="844" t="n"/>
      <c r="L47" s="845" t="n"/>
      <c r="M47" s="845" t="inlineStr">
        <is>
          <t>N/A</t>
        </is>
      </c>
      <c r="N47" s="845" t="n"/>
      <c r="O47" s="845" t="n"/>
      <c r="P47" s="843" t="n">
        <v>0</v>
      </c>
      <c r="Q47" s="843">
        <f>P47</f>
        <v/>
      </c>
      <c r="R47" s="843" t="n"/>
      <c r="S47" s="843" t="n">
        <v>1460</v>
      </c>
      <c r="T47" s="843">
        <f>S47</f>
        <v/>
      </c>
      <c r="U47" s="843" t="n">
        <v>0</v>
      </c>
      <c r="V47" s="843">
        <f>U47</f>
        <v/>
      </c>
      <c r="W47" s="843" t="n"/>
      <c r="X47" s="847" t="n"/>
      <c r="Y47" s="843" t="n"/>
      <c r="Z47" s="590" t="n"/>
      <c r="AA47" s="848" t="n"/>
      <c r="AB47" s="842" t="n"/>
      <c r="AC47" s="841" t="inlineStr">
        <is>
          <t>To be converted into extra toilet facilities.</t>
        </is>
      </c>
      <c r="AD47" s="850" t="n"/>
      <c r="AE47" s="841" t="n"/>
      <c r="AF47" s="312" t="n"/>
      <c r="AG47" s="841" t="n"/>
    </row>
    <row r="48">
      <c r="A48" s="839" t="inlineStr">
        <is>
          <t>SH</t>
        </is>
      </c>
      <c r="B48" s="839" t="inlineStr">
        <is>
          <t>MEL</t>
        </is>
      </c>
      <c r="C48" s="840" t="n">
        <v>550470</v>
      </c>
      <c r="D48" s="841" t="inlineStr">
        <is>
          <t>Portland House, 4 Great Portland Street</t>
        </is>
      </c>
      <c r="E48" s="841" t="inlineStr">
        <is>
          <t>Transformer Chamber</t>
        </is>
      </c>
      <c r="F48" s="842" t="inlineStr">
        <is>
          <t>Sub-Station</t>
        </is>
      </c>
      <c r="G48" s="849" t="n">
        <v>0</v>
      </c>
      <c r="H48" s="849">
        <f>G48</f>
        <v/>
      </c>
      <c r="J48" s="841" t="inlineStr">
        <is>
          <t>London Power Networks Plc</t>
        </is>
      </c>
      <c r="K48" s="852" t="n">
        <v>35240</v>
      </c>
      <c r="L48" s="853" t="n">
        <v>68735</v>
      </c>
      <c r="M48" s="853" t="n"/>
      <c r="P48" s="843" t="n">
        <v>0</v>
      </c>
      <c r="Q48" s="843">
        <f>P48</f>
        <v/>
      </c>
      <c r="S48" s="843" t="n">
        <v>0</v>
      </c>
      <c r="T48" s="843">
        <f>S48</f>
        <v/>
      </c>
      <c r="U48" s="843" t="n">
        <v>0</v>
      </c>
      <c r="V48" s="843">
        <f>U48</f>
        <v/>
      </c>
      <c r="W48" s="843" t="n"/>
      <c r="X48" s="847" t="n"/>
      <c r="Y48" s="843" t="n"/>
      <c r="Z48" s="590" t="n"/>
      <c r="AA48" s="848" t="n"/>
      <c r="AB48" s="842" t="inlineStr">
        <is>
          <t>Yes</t>
        </is>
      </c>
      <c r="AC48" s="841" t="inlineStr">
        <is>
          <t>Rolling redevelopment break on 6 months notice.</t>
        </is>
      </c>
      <c r="AF48" s="312" t="n"/>
    </row>
    <row r="49">
      <c r="A49" s="839" t="inlineStr">
        <is>
          <t>SH</t>
        </is>
      </c>
      <c r="B49" s="839" t="inlineStr">
        <is>
          <t>MEL</t>
        </is>
      </c>
      <c r="C49" s="840" t="n">
        <v>550480</v>
      </c>
      <c r="D49" s="841" t="inlineStr">
        <is>
          <t>6-10a Great Portland Street</t>
        </is>
      </c>
      <c r="E49" s="841" t="inlineStr">
        <is>
          <t>Basement &amp; Ground</t>
        </is>
      </c>
      <c r="F49" s="842" t="inlineStr">
        <is>
          <t>Retail</t>
        </is>
      </c>
      <c r="G49" s="849" t="n">
        <v>4958</v>
      </c>
      <c r="H49" s="849">
        <f>G49</f>
        <v/>
      </c>
      <c r="I49" s="849" t="n">
        <v>5000</v>
      </c>
      <c r="J49" s="841" t="inlineStr">
        <is>
          <t>PrettyLittleThing.com</t>
        </is>
      </c>
      <c r="K49" s="844" t="n">
        <v>45699</v>
      </c>
      <c r="L49" s="845" t="n">
        <v>47524</v>
      </c>
      <c r="O49" s="845" t="n">
        <v>46793</v>
      </c>
      <c r="P49" s="843" t="n">
        <v>187500</v>
      </c>
      <c r="Q49" s="843">
        <f>P49</f>
        <v/>
      </c>
      <c r="S49" s="843" t="n">
        <v>337100</v>
      </c>
      <c r="T49" s="843">
        <f>S49</f>
        <v/>
      </c>
      <c r="U49" s="843" t="n">
        <v>380000</v>
      </c>
      <c r="V49" s="843">
        <f>U49</f>
        <v/>
      </c>
      <c r="W49" s="846">
        <f>U49/G49</f>
        <v/>
      </c>
      <c r="X49" s="847">
        <f>SUM(U49-S49)/S49</f>
        <v/>
      </c>
      <c r="Y49" s="843" t="inlineStr">
        <is>
          <t>B</t>
        </is>
      </c>
      <c r="Z49" s="590" t="n"/>
      <c r="AA49" s="848" t="n"/>
      <c r="AB49" s="842" t="inlineStr">
        <is>
          <t>No</t>
        </is>
      </c>
      <c r="AC49" s="841" t="inlineStr">
        <is>
          <t>Rent increasing to £375,000 wef 11/09/25. Tenant break on 6 months notice. 3 months rent free if not exercised.</t>
        </is>
      </c>
      <c r="AD49" s="850" t="n">
        <v>68</v>
      </c>
      <c r="AE49" s="841" t="n">
        <v>1</v>
      </c>
      <c r="AF49" s="312" t="n">
        <v>13</v>
      </c>
      <c r="AG49" s="841" t="inlineStr">
        <is>
          <t>LEM / Colliers</t>
        </is>
      </c>
    </row>
    <row r="50">
      <c r="A50" s="839" t="inlineStr">
        <is>
          <t>SH</t>
        </is>
      </c>
      <c r="B50" s="839" t="inlineStr">
        <is>
          <t>MEL</t>
        </is>
      </c>
      <c r="C50" s="840" t="n">
        <v>550480</v>
      </c>
      <c r="D50" s="841" t="inlineStr">
        <is>
          <t>6-10a Great Portland Street</t>
        </is>
      </c>
      <c r="E50" s="841" t="inlineStr">
        <is>
          <t>First  Floor</t>
        </is>
      </c>
      <c r="F50" s="842" t="inlineStr">
        <is>
          <t>Office</t>
        </is>
      </c>
      <c r="G50" s="849" t="n">
        <v>1862</v>
      </c>
      <c r="H50" s="849">
        <f>G50</f>
        <v/>
      </c>
      <c r="I50" s="849" t="n">
        <v>2000</v>
      </c>
      <c r="J50" s="841" t="inlineStr">
        <is>
          <t>The Yuki Clinic Ltd.</t>
        </is>
      </c>
      <c r="K50" s="844" t="n">
        <v>44452</v>
      </c>
      <c r="L50" s="845" t="n">
        <v>46277</v>
      </c>
      <c r="P50" s="843" t="n">
        <v>108170</v>
      </c>
      <c r="Q50" s="843">
        <f>P50</f>
        <v/>
      </c>
      <c r="S50" s="843" t="n">
        <v>107200</v>
      </c>
      <c r="T50" s="843">
        <f>S50</f>
        <v/>
      </c>
      <c r="U50" s="843" t="n">
        <v>114500</v>
      </c>
      <c r="V50" s="843">
        <f>U50</f>
        <v/>
      </c>
      <c r="W50" s="846">
        <f>U50/G50</f>
        <v/>
      </c>
      <c r="X50" s="847">
        <f>SUM(U50-S50)/S50</f>
        <v/>
      </c>
      <c r="Y50" s="843" t="inlineStr">
        <is>
          <t>D</t>
        </is>
      </c>
      <c r="Z50" s="590" t="n"/>
      <c r="AA50" s="848" t="n"/>
      <c r="AB50" s="842" t="inlineStr">
        <is>
          <t>No</t>
        </is>
      </c>
      <c r="AF50" s="312" t="n"/>
    </row>
    <row r="51">
      <c r="A51" s="839" t="inlineStr">
        <is>
          <t>SH</t>
        </is>
      </c>
      <c r="B51" s="839" t="inlineStr">
        <is>
          <t>MEL</t>
        </is>
      </c>
      <c r="C51" s="840" t="n">
        <v>550480</v>
      </c>
      <c r="D51" s="841" t="inlineStr">
        <is>
          <t>6-10a Great Portland Street</t>
        </is>
      </c>
      <c r="E51" s="841" t="inlineStr">
        <is>
          <t>Second Floor</t>
        </is>
      </c>
      <c r="F51" s="842" t="inlineStr">
        <is>
          <t>Office</t>
        </is>
      </c>
      <c r="G51" s="849" t="n">
        <v>1818</v>
      </c>
      <c r="H51" s="849">
        <f>G51</f>
        <v/>
      </c>
      <c r="I51" s="849" t="n">
        <v>2000</v>
      </c>
      <c r="J51" s="841" t="inlineStr">
        <is>
          <t>Vacant</t>
        </is>
      </c>
      <c r="M51" s="844" t="n">
        <v>45609</v>
      </c>
      <c r="P51" s="843" t="n">
        <v>0</v>
      </c>
      <c r="Q51" s="843">
        <f>P51</f>
        <v/>
      </c>
      <c r="S51" s="843" t="n">
        <v>105500</v>
      </c>
      <c r="T51" s="843">
        <f>S51</f>
        <v/>
      </c>
      <c r="U51" s="843" t="n">
        <v>109100</v>
      </c>
      <c r="V51" s="843">
        <f>U51</f>
        <v/>
      </c>
      <c r="W51" s="846">
        <f>U51/G51</f>
        <v/>
      </c>
      <c r="X51" s="847">
        <f>SUM(U51-S51)/S51</f>
        <v/>
      </c>
      <c r="Y51" s="843" t="inlineStr">
        <is>
          <t>E</t>
        </is>
      </c>
      <c r="Z51" s="590" t="n"/>
      <c r="AA51" s="848" t="n"/>
      <c r="AB51" s="842" t="inlineStr">
        <is>
          <t>No</t>
        </is>
      </c>
      <c r="AC51" s="841" t="inlineStr">
        <is>
          <t>LEM marketing.</t>
        </is>
      </c>
      <c r="AD51" s="850" t="n">
        <v>65</v>
      </c>
      <c r="AE51" s="841" t="n">
        <v>4</v>
      </c>
      <c r="AF51" s="312" t="n">
        <v>6</v>
      </c>
    </row>
    <row r="52">
      <c r="A52" s="839" t="inlineStr">
        <is>
          <t>SH</t>
        </is>
      </c>
      <c r="B52" s="839" t="inlineStr">
        <is>
          <t>MEL</t>
        </is>
      </c>
      <c r="C52" s="840" t="n">
        <v>550480</v>
      </c>
      <c r="D52" s="841" t="inlineStr">
        <is>
          <t>6-10a Great Portland Street</t>
        </is>
      </c>
      <c r="E52" s="841" t="inlineStr">
        <is>
          <t>Third Floor</t>
        </is>
      </c>
      <c r="F52" s="842" t="inlineStr">
        <is>
          <t>Office</t>
        </is>
      </c>
      <c r="G52" s="849" t="n">
        <v>1808</v>
      </c>
      <c r="H52" s="849">
        <f>G52</f>
        <v/>
      </c>
      <c r="I52" s="849" t="n">
        <v>2000</v>
      </c>
      <c r="J52" s="841" t="inlineStr">
        <is>
          <t>Vacant</t>
        </is>
      </c>
      <c r="M52" s="844" t="n">
        <v>45609</v>
      </c>
      <c r="P52" s="843" t="n">
        <v>0</v>
      </c>
      <c r="Q52" s="843">
        <f>P52</f>
        <v/>
      </c>
      <c r="S52" s="843" t="n">
        <v>108800</v>
      </c>
      <c r="T52" s="843">
        <f>S52</f>
        <v/>
      </c>
      <c r="U52" s="843" t="n">
        <v>108500</v>
      </c>
      <c r="V52" s="843">
        <f>U52</f>
        <v/>
      </c>
      <c r="W52" s="846">
        <f>U52/G52</f>
        <v/>
      </c>
      <c r="X52" s="847">
        <f>SUM(U52-S52)/S52</f>
        <v/>
      </c>
      <c r="Y52" s="843" t="inlineStr">
        <is>
          <t>E</t>
        </is>
      </c>
      <c r="Z52" s="590" t="n"/>
      <c r="AA52" s="848" t="n"/>
      <c r="AB52" s="842" t="inlineStr">
        <is>
          <t>No</t>
        </is>
      </c>
      <c r="AC52" s="841" t="inlineStr">
        <is>
          <t>LEM marketing.</t>
        </is>
      </c>
      <c r="AD52" s="850" t="n">
        <v>65</v>
      </c>
      <c r="AE52" s="841" t="n">
        <v>4</v>
      </c>
      <c r="AF52" s="312" t="n">
        <v>6</v>
      </c>
    </row>
    <row r="53">
      <c r="A53" s="839" t="inlineStr">
        <is>
          <t>SH</t>
        </is>
      </c>
      <c r="B53" s="839" t="inlineStr">
        <is>
          <t>MEL</t>
        </is>
      </c>
      <c r="C53" s="840" t="n">
        <v>550480</v>
      </c>
      <c r="D53" s="841" t="inlineStr">
        <is>
          <t>6-10a Great Portland Street</t>
        </is>
      </c>
      <c r="E53" s="841" t="inlineStr">
        <is>
          <t>Fourth Floor</t>
        </is>
      </c>
      <c r="F53" s="842" t="inlineStr">
        <is>
          <t>Office</t>
        </is>
      </c>
      <c r="G53" s="849" t="n">
        <v>1672</v>
      </c>
      <c r="H53" s="849">
        <f>G53</f>
        <v/>
      </c>
      <c r="I53" s="849" t="n">
        <v>1500</v>
      </c>
      <c r="J53" s="841" t="inlineStr">
        <is>
          <t>Vacant</t>
        </is>
      </c>
      <c r="M53" s="845" t="n">
        <v>45457</v>
      </c>
      <c r="P53" s="843" t="n">
        <v>0</v>
      </c>
      <c r="Q53" s="843">
        <f>P53</f>
        <v/>
      </c>
      <c r="S53" s="843" t="n">
        <v>94400</v>
      </c>
      <c r="T53" s="843">
        <f>S53</f>
        <v/>
      </c>
      <c r="U53" s="843" t="n">
        <v>97800</v>
      </c>
      <c r="V53" s="843">
        <f>U53</f>
        <v/>
      </c>
      <c r="W53" s="846">
        <f>U53/G53</f>
        <v/>
      </c>
      <c r="X53" s="847">
        <f>SUM(U53-S53)/S53</f>
        <v/>
      </c>
      <c r="Y53" s="843" t="inlineStr">
        <is>
          <t>B</t>
        </is>
      </c>
      <c r="Z53" s="590" t="n"/>
      <c r="AA53" s="848" t="n"/>
      <c r="AB53" s="842" t="inlineStr">
        <is>
          <t>No</t>
        </is>
      </c>
      <c r="AC53" s="841" t="inlineStr">
        <is>
          <t>To be refurbished.</t>
        </is>
      </c>
      <c r="AD53" s="850" t="n">
        <v>65</v>
      </c>
      <c r="AE53" s="841" t="n">
        <v>1</v>
      </c>
      <c r="AF53" s="312" t="n">
        <v>2</v>
      </c>
      <c r="AG53" s="841" t="inlineStr">
        <is>
          <t>LEM</t>
        </is>
      </c>
    </row>
    <row r="54">
      <c r="A54" s="839" t="inlineStr">
        <is>
          <t>SH</t>
        </is>
      </c>
      <c r="B54" s="839" t="inlineStr">
        <is>
          <t>MEL</t>
        </is>
      </c>
      <c r="C54" s="840" t="n">
        <v>550480</v>
      </c>
      <c r="D54" s="841" t="inlineStr">
        <is>
          <t>6-10a Great Portland Street</t>
        </is>
      </c>
      <c r="E54" s="841" t="inlineStr">
        <is>
          <t>Fifth Floor</t>
        </is>
      </c>
      <c r="F54" s="842" t="inlineStr">
        <is>
          <t>Office</t>
        </is>
      </c>
      <c r="G54" s="849" t="n">
        <v>995</v>
      </c>
      <c r="H54" s="849">
        <f>G54</f>
        <v/>
      </c>
      <c r="I54" s="849" t="n">
        <v>1000</v>
      </c>
      <c r="J54" s="841" t="inlineStr">
        <is>
          <t>Racoon Media Services Limited</t>
        </is>
      </c>
      <c r="K54" s="844" t="n">
        <v>45609</v>
      </c>
      <c r="L54" s="845" t="n">
        <v>47434</v>
      </c>
      <c r="O54" s="845" t="n">
        <v>46703</v>
      </c>
      <c r="P54" s="843" t="n">
        <v>61928</v>
      </c>
      <c r="Q54" s="843">
        <f>P54</f>
        <v/>
      </c>
      <c r="S54" s="849" t="n">
        <v>61200</v>
      </c>
      <c r="T54" s="843">
        <f>S54</f>
        <v/>
      </c>
      <c r="U54" s="849" t="n">
        <v>57200</v>
      </c>
      <c r="V54" s="843">
        <f>U54</f>
        <v/>
      </c>
      <c r="W54" s="846">
        <f>U54/G54</f>
        <v/>
      </c>
      <c r="X54" s="847">
        <f>SUM(U54-S54)/S54</f>
        <v/>
      </c>
      <c r="Y54" s="843" t="inlineStr">
        <is>
          <t>E</t>
        </is>
      </c>
      <c r="Z54" s="590" t="n"/>
      <c r="AA54" s="848" t="n"/>
      <c r="AB54" s="842" t="inlineStr">
        <is>
          <t>No</t>
        </is>
      </c>
      <c r="AC54" s="841" t="inlineStr">
        <is>
          <t>Tenant break on 6 months notice.</t>
        </is>
      </c>
      <c r="AD54" s="599" t="n"/>
      <c r="AF54" s="312" t="n"/>
    </row>
    <row r="55">
      <c r="A55" s="839" t="inlineStr">
        <is>
          <t>SH</t>
        </is>
      </c>
      <c r="B55" s="839" t="inlineStr">
        <is>
          <t>MEL</t>
        </is>
      </c>
      <c r="C55" s="840" t="n">
        <v>550480</v>
      </c>
      <c r="D55" s="841" t="inlineStr">
        <is>
          <t>6-10a Great Portland Street</t>
        </is>
      </c>
      <c r="E55" s="854" t="inlineStr">
        <is>
          <t>Basement</t>
        </is>
      </c>
      <c r="F55" s="842" t="inlineStr">
        <is>
          <t>Sub-Station</t>
        </is>
      </c>
      <c r="G55" s="849" t="n">
        <v>0</v>
      </c>
      <c r="H55" s="849">
        <f>G55</f>
        <v/>
      </c>
      <c r="J55" s="841" t="inlineStr">
        <is>
          <t>London Power Networks Plc</t>
        </is>
      </c>
      <c r="K55" s="844" t="n">
        <v>39295</v>
      </c>
      <c r="L55" s="845" t="n">
        <v>46599</v>
      </c>
      <c r="N55" s="845" t="n">
        <v>45870</v>
      </c>
      <c r="P55" s="843" t="n">
        <v>903</v>
      </c>
      <c r="Q55" s="843">
        <f>P55</f>
        <v/>
      </c>
      <c r="S55" s="849" t="n">
        <v>625</v>
      </c>
      <c r="T55" s="843">
        <f>S55</f>
        <v/>
      </c>
      <c r="U55" s="849" t="n">
        <v>625</v>
      </c>
      <c r="V55" s="843">
        <f>U55</f>
        <v/>
      </c>
      <c r="W55" s="846" t="n"/>
      <c r="X55" s="847" t="n"/>
      <c r="Y55" s="843" t="n"/>
      <c r="Z55" s="590" t="n"/>
      <c r="AA55" s="848" t="n"/>
      <c r="AB55" s="842" t="inlineStr">
        <is>
          <t>No</t>
        </is>
      </c>
      <c r="AC55" s="841" t="inlineStr">
        <is>
          <t>Landlords redevelopment break on 6 months notice. Rent review is RPI indexation (every 2 years. Rent review completed. Backdated rent increased £737 wef 01/08/21 &amp; £903 wef 01/08/23.</t>
        </is>
      </c>
      <c r="AF55" s="312" t="n"/>
    </row>
    <row r="56">
      <c r="A56" s="839" t="inlineStr">
        <is>
          <t>SH</t>
        </is>
      </c>
      <c r="B56" s="839" t="inlineStr">
        <is>
          <t>MEL</t>
        </is>
      </c>
      <c r="C56" s="840" t="n">
        <v>550530</v>
      </c>
      <c r="D56" s="841" t="inlineStr">
        <is>
          <t>15-17 Great Portland Street &amp; 6-7 Great Castle Street</t>
        </is>
      </c>
      <c r="E56" s="841" t="inlineStr">
        <is>
          <t>Whole Building</t>
        </is>
      </c>
      <c r="F56" s="842" t="inlineStr">
        <is>
          <t>Office/Bank</t>
        </is>
      </c>
      <c r="G56" s="18" t="n">
        <v>9884</v>
      </c>
      <c r="H56" s="843">
        <f>G56</f>
        <v/>
      </c>
      <c r="I56" s="843" t="n">
        <v>10000</v>
      </c>
      <c r="J56" s="841" t="inlineStr">
        <is>
          <t>Barclays Bank UK Plc</t>
        </is>
      </c>
      <c r="K56" s="844" t="n">
        <v>44856</v>
      </c>
      <c r="L56" s="845" t="n">
        <v>47411</v>
      </c>
      <c r="N56" s="845" t="n">
        <v>46682</v>
      </c>
      <c r="P56" s="591" t="n">
        <v>580000</v>
      </c>
      <c r="Q56" s="843">
        <f>P56</f>
        <v/>
      </c>
      <c r="R56" s="591">
        <f>Q56</f>
        <v/>
      </c>
      <c r="S56" s="591" t="n">
        <v>580000</v>
      </c>
      <c r="T56" s="843">
        <f>S56</f>
        <v/>
      </c>
      <c r="U56" s="591" t="n">
        <v>607100</v>
      </c>
      <c r="V56" s="843">
        <f>U56</f>
        <v/>
      </c>
      <c r="W56" s="846">
        <f>U56/G56</f>
        <v/>
      </c>
      <c r="X56" s="847">
        <f>SUM(U56-S56)/S56</f>
        <v/>
      </c>
      <c r="Y56" s="843" t="inlineStr">
        <is>
          <t>B</t>
        </is>
      </c>
      <c r="Z56" s="590" t="n"/>
      <c r="AA56" s="18" t="n">
        <v>10650000</v>
      </c>
      <c r="AB56" s="842" t="inlineStr">
        <is>
          <t>Yes</t>
        </is>
      </c>
      <c r="AF56" s="312" t="n"/>
    </row>
    <row r="57">
      <c r="A57" s="839" t="inlineStr">
        <is>
          <t>CD</t>
        </is>
      </c>
      <c r="B57" s="839" t="inlineStr">
        <is>
          <t>MEL</t>
        </is>
      </c>
      <c r="C57" s="840" t="n">
        <v>550410</v>
      </c>
      <c r="D57" s="841" t="inlineStr">
        <is>
          <t>19-21 Great Portland Street .</t>
        </is>
      </c>
      <c r="E57" s="841" t="inlineStr">
        <is>
          <t>Basement, Ground &amp; First Floors</t>
        </is>
      </c>
      <c r="F57" s="842" t="inlineStr">
        <is>
          <t xml:space="preserve">Restaurant </t>
        </is>
      </c>
      <c r="G57" s="849" t="n">
        <v>11225</v>
      </c>
      <c r="H57" s="849">
        <f>G57</f>
        <v/>
      </c>
      <c r="I57" s="849" t="n">
        <v>10000</v>
      </c>
      <c r="J57" s="841" t="inlineStr">
        <is>
          <t>UK VAP GPS</t>
        </is>
      </c>
      <c r="K57" s="844" t="n">
        <v>44729</v>
      </c>
      <c r="L57" s="845" t="n">
        <v>50207</v>
      </c>
      <c r="N57" s="844" t="n">
        <v>46555</v>
      </c>
      <c r="O57" s="844" t="n">
        <v>48381</v>
      </c>
      <c r="P57" s="843" t="n">
        <v>625000</v>
      </c>
      <c r="Q57" s="843">
        <f>P57</f>
        <v/>
      </c>
      <c r="S57" s="843" t="n">
        <v>750000</v>
      </c>
      <c r="T57" s="843">
        <f>S57</f>
        <v/>
      </c>
      <c r="U57" s="843" t="n">
        <v>650000</v>
      </c>
      <c r="V57" s="843">
        <f>U57</f>
        <v/>
      </c>
      <c r="W57" s="846">
        <f>U57/G57</f>
        <v/>
      </c>
      <c r="X57" s="847">
        <f>SUM(U57-S57)/S57</f>
        <v/>
      </c>
      <c r="Y57" s="843" t="inlineStr">
        <is>
          <t>B</t>
        </is>
      </c>
      <c r="Z57" s="590" t="n"/>
      <c r="AA57" s="855" t="n"/>
      <c r="AB57" s="842" t="inlineStr">
        <is>
          <t>No</t>
        </is>
      </c>
      <c r="AC57" s="841" t="inlineStr">
        <is>
          <t>Rent increasing to £650,000 wef 25/03/26. Mutual break @ 16/06/32 on 6 months notice.</t>
        </is>
      </c>
    </row>
    <row r="58">
      <c r="A58" s="839" t="inlineStr">
        <is>
          <t>CD</t>
        </is>
      </c>
      <c r="B58" s="839" t="inlineStr">
        <is>
          <t>MEL</t>
        </is>
      </c>
      <c r="C58" s="840" t="n">
        <v>550410</v>
      </c>
      <c r="D58" s="841" t="inlineStr">
        <is>
          <t>19-21 Great Portland Street .</t>
        </is>
      </c>
      <c r="E58" s="841" t="inlineStr">
        <is>
          <t>Second Floor.</t>
        </is>
      </c>
      <c r="F58" s="842" t="inlineStr">
        <is>
          <t>Offices</t>
        </is>
      </c>
      <c r="G58" s="849" t="n">
        <v>2847</v>
      </c>
      <c r="H58" s="849">
        <f>G58</f>
        <v/>
      </c>
      <c r="I58" s="849" t="n">
        <v>3000</v>
      </c>
      <c r="J58" s="841" t="inlineStr">
        <is>
          <t>Vacant</t>
        </is>
      </c>
      <c r="M58" s="845" t="n">
        <v>45219</v>
      </c>
      <c r="P58" s="843" t="n">
        <v>0</v>
      </c>
      <c r="Q58" s="843">
        <f>P58</f>
        <v/>
      </c>
      <c r="S58" s="843" t="n">
        <v>170000</v>
      </c>
      <c r="T58" s="843">
        <f>S58</f>
        <v/>
      </c>
      <c r="U58" s="843" t="n">
        <v>185100</v>
      </c>
      <c r="V58" s="843">
        <f>U58</f>
        <v/>
      </c>
      <c r="W58" s="846">
        <f>U58/G58</f>
        <v/>
      </c>
      <c r="X58" s="847">
        <f>SUM(U58-S58)/S58</f>
        <v/>
      </c>
      <c r="Y58" s="843" t="inlineStr">
        <is>
          <t>B</t>
        </is>
      </c>
      <c r="Z58" s="590" t="n"/>
      <c r="AA58" s="855" t="n"/>
      <c r="AB58" s="842" t="inlineStr">
        <is>
          <t>No</t>
        </is>
      </c>
      <c r="AC58" s="841" t="inlineStr">
        <is>
          <t>LEM marketing.</t>
        </is>
      </c>
      <c r="AD58" s="850" t="n">
        <v>70</v>
      </c>
      <c r="AE58" s="841" t="n">
        <v>6</v>
      </c>
      <c r="AF58" s="312" t="n">
        <v>20</v>
      </c>
      <c r="AG58" s="841" t="inlineStr">
        <is>
          <t>LEM / Savills</t>
        </is>
      </c>
    </row>
    <row r="59">
      <c r="A59" s="839" t="inlineStr">
        <is>
          <t>CD</t>
        </is>
      </c>
      <c r="B59" s="839" t="inlineStr">
        <is>
          <t>MEL</t>
        </is>
      </c>
      <c r="C59" s="840" t="n">
        <v>550410</v>
      </c>
      <c r="D59" s="841" t="inlineStr">
        <is>
          <t>19-21 Great Portland Street .</t>
        </is>
      </c>
      <c r="E59" s="841" t="inlineStr">
        <is>
          <t>Third Floor</t>
        </is>
      </c>
      <c r="F59" s="842" t="inlineStr">
        <is>
          <t>Offices</t>
        </is>
      </c>
      <c r="G59" s="849" t="n">
        <v>2651</v>
      </c>
      <c r="H59" s="849">
        <f>G59</f>
        <v/>
      </c>
      <c r="I59" s="849" t="n">
        <v>2500</v>
      </c>
      <c r="J59" s="841" t="inlineStr">
        <is>
          <t>Vacant</t>
        </is>
      </c>
      <c r="K59" s="844" t="n"/>
      <c r="L59" s="845" t="n"/>
      <c r="M59" s="845" t="n">
        <v>44124</v>
      </c>
      <c r="N59" s="845" t="n"/>
      <c r="O59" s="845" t="n"/>
      <c r="P59" s="843" t="n">
        <v>0</v>
      </c>
      <c r="Q59" s="843">
        <f>P59</f>
        <v/>
      </c>
      <c r="R59" s="843" t="n"/>
      <c r="S59" s="843" t="n">
        <v>172000</v>
      </c>
      <c r="T59" s="843">
        <f>S59</f>
        <v/>
      </c>
      <c r="U59" s="843" t="n">
        <v>181600</v>
      </c>
      <c r="V59" s="843">
        <f>U59</f>
        <v/>
      </c>
      <c r="W59" s="846">
        <f>U59/G59</f>
        <v/>
      </c>
      <c r="X59" s="847">
        <f>SUM(U59-S59)/S59</f>
        <v/>
      </c>
      <c r="Y59" s="843" t="inlineStr">
        <is>
          <t>B</t>
        </is>
      </c>
      <c r="Z59" s="590" t="n"/>
      <c r="AA59" s="855" t="n"/>
      <c r="AB59" s="842" t="inlineStr">
        <is>
          <t>No</t>
        </is>
      </c>
      <c r="AC59" s="841" t="inlineStr">
        <is>
          <t>LEM marketing.</t>
        </is>
      </c>
      <c r="AD59" s="850" t="n">
        <v>72.5</v>
      </c>
      <c r="AE59" s="841" t="n">
        <v>6</v>
      </c>
      <c r="AF59" s="312" t="n">
        <v>20</v>
      </c>
      <c r="AG59" s="841" t="inlineStr">
        <is>
          <t>LEM / Savills</t>
        </is>
      </c>
    </row>
    <row r="60">
      <c r="A60" s="839" t="inlineStr">
        <is>
          <t>CD</t>
        </is>
      </c>
      <c r="B60" s="839" t="inlineStr">
        <is>
          <t>MEL</t>
        </is>
      </c>
      <c r="C60" s="840" t="n">
        <v>550410</v>
      </c>
      <c r="D60" s="841" t="inlineStr">
        <is>
          <t>19-21 Great Portland Street .</t>
        </is>
      </c>
      <c r="E60" s="841" t="inlineStr">
        <is>
          <t>Fourth Floor</t>
        </is>
      </c>
      <c r="F60" s="842" t="inlineStr">
        <is>
          <t>Offices</t>
        </is>
      </c>
      <c r="G60" s="849" t="n">
        <v>1197</v>
      </c>
      <c r="H60" s="849">
        <f>G60</f>
        <v/>
      </c>
      <c r="I60" s="849" t="n">
        <v>1000</v>
      </c>
      <c r="J60" s="841" t="inlineStr">
        <is>
          <t>Factory Studios Limited.</t>
        </is>
      </c>
      <c r="K60" s="844" t="n">
        <v>44362</v>
      </c>
      <c r="L60" s="845" t="n">
        <v>48013</v>
      </c>
      <c r="M60" s="845" t="n"/>
      <c r="N60" s="845" t="n">
        <v>46197</v>
      </c>
      <c r="O60" s="845" t="n">
        <v>46197</v>
      </c>
      <c r="P60" s="843" t="n">
        <v>80000</v>
      </c>
      <c r="Q60" s="843">
        <f>P60</f>
        <v/>
      </c>
      <c r="R60" s="843" t="n"/>
      <c r="S60" s="843" t="n">
        <v>80000</v>
      </c>
      <c r="T60" s="843">
        <f>S60</f>
        <v/>
      </c>
      <c r="U60" s="843" t="n">
        <v>80800</v>
      </c>
      <c r="V60" s="843">
        <f>U60</f>
        <v/>
      </c>
      <c r="W60" s="846">
        <f>U60/G60</f>
        <v/>
      </c>
      <c r="X60" s="847">
        <f>SUM(U60-S60)/S60</f>
        <v/>
      </c>
      <c r="Y60" s="843" t="inlineStr">
        <is>
          <t>B</t>
        </is>
      </c>
      <c r="Z60" s="590" t="n"/>
      <c r="AA60" s="855" t="n"/>
      <c r="AB60" s="842" t="inlineStr">
        <is>
          <t>No</t>
        </is>
      </c>
      <c r="AC60" s="841" t="inlineStr">
        <is>
          <t>Tenant break subject to 6 months notice.</t>
        </is>
      </c>
      <c r="AD60" s="850" t="n"/>
      <c r="AE60" s="841" t="n"/>
      <c r="AF60" s="312" t="n"/>
      <c r="AG60" s="841" t="n"/>
    </row>
    <row r="61">
      <c r="A61" s="839" t="inlineStr">
        <is>
          <t>WS</t>
        </is>
      </c>
      <c r="B61" s="839" t="inlineStr">
        <is>
          <t>MEL</t>
        </is>
      </c>
      <c r="C61" s="840" t="n">
        <v>550795</v>
      </c>
      <c r="D61" s="841" t="inlineStr">
        <is>
          <t>20 Great Portland Street</t>
        </is>
      </c>
      <c r="E61" s="841" t="inlineStr">
        <is>
          <t>Basement</t>
        </is>
      </c>
      <c r="F61" s="842" t="inlineStr">
        <is>
          <t>Studio</t>
        </is>
      </c>
      <c r="G61" s="849" t="n">
        <v>1330</v>
      </c>
      <c r="H61" s="849">
        <f>G61</f>
        <v/>
      </c>
      <c r="J61" s="841" t="inlineStr">
        <is>
          <t>Vacant / Landlord</t>
        </is>
      </c>
      <c r="M61" s="845" t="n">
        <v>43670</v>
      </c>
      <c r="P61" s="843" t="n">
        <v>0</v>
      </c>
      <c r="Q61" s="843">
        <f>P61</f>
        <v/>
      </c>
      <c r="S61" s="843" t="n">
        <v>25000</v>
      </c>
      <c r="T61" s="843">
        <f>S61</f>
        <v/>
      </c>
      <c r="U61" s="843" t="n">
        <v>25000</v>
      </c>
      <c r="V61" s="843">
        <f>U61</f>
        <v/>
      </c>
      <c r="W61" s="846">
        <f>U61/G61</f>
        <v/>
      </c>
      <c r="X61" s="847">
        <f>SUM(U61-S61)/S61</f>
        <v/>
      </c>
      <c r="Y61" s="843" t="inlineStr">
        <is>
          <t>D</t>
        </is>
      </c>
      <c r="Z61" s="590" t="n"/>
      <c r="AA61" s="848" t="n"/>
      <c r="AB61" s="842" t="inlineStr">
        <is>
          <t>No</t>
        </is>
      </c>
      <c r="AF61" s="312" t="n"/>
    </row>
    <row r="62">
      <c r="A62" s="839" t="inlineStr">
        <is>
          <t>WS</t>
        </is>
      </c>
      <c r="B62" s="839" t="inlineStr">
        <is>
          <t>MEL</t>
        </is>
      </c>
      <c r="C62" s="840" t="n">
        <v>550795</v>
      </c>
      <c r="D62" s="841" t="inlineStr">
        <is>
          <t>20 Great Portland Street</t>
        </is>
      </c>
      <c r="E62" s="841" t="inlineStr">
        <is>
          <t>Ground Floor Rear</t>
        </is>
      </c>
      <c r="F62" s="842" t="inlineStr">
        <is>
          <t>Retail</t>
        </is>
      </c>
      <c r="G62" s="849" t="n">
        <v>260</v>
      </c>
      <c r="H62" s="849">
        <f>G62</f>
        <v/>
      </c>
      <c r="I62" s="849" t="n">
        <v>250</v>
      </c>
      <c r="J62" s="841" t="inlineStr">
        <is>
          <t>Express Alteration and Tailoring Ltd</t>
        </is>
      </c>
      <c r="K62" s="844" t="n">
        <v>45645</v>
      </c>
      <c r="L62" s="845" t="n">
        <v>46739</v>
      </c>
      <c r="P62" s="843" t="n">
        <v>18000</v>
      </c>
      <c r="Q62" s="843">
        <f>P62</f>
        <v/>
      </c>
      <c r="S62" s="843" t="n">
        <v>11700</v>
      </c>
      <c r="T62" s="843">
        <f>S62</f>
        <v/>
      </c>
      <c r="U62" s="843" t="n">
        <v>11700</v>
      </c>
      <c r="V62" s="843">
        <f>U62</f>
        <v/>
      </c>
      <c r="W62" s="846">
        <f>U62/G62</f>
        <v/>
      </c>
      <c r="X62" s="847">
        <f>SUM(U62-S62)/S62</f>
        <v/>
      </c>
      <c r="Y62" s="843" t="inlineStr">
        <is>
          <t>C</t>
        </is>
      </c>
      <c r="Z62" s="590" t="n"/>
      <c r="AA62" s="848" t="n"/>
      <c r="AB62" s="842" t="inlineStr">
        <is>
          <t>No</t>
        </is>
      </c>
      <c r="AF62" s="312" t="n">
        <v>1</v>
      </c>
      <c r="AG62" s="841" t="inlineStr">
        <is>
          <t>LEM / RIB</t>
        </is>
      </c>
    </row>
    <row r="63">
      <c r="A63" s="839" t="inlineStr">
        <is>
          <t>WS</t>
        </is>
      </c>
      <c r="B63" s="839" t="inlineStr">
        <is>
          <t>MEL</t>
        </is>
      </c>
      <c r="C63" s="840" t="n">
        <v>550795</v>
      </c>
      <c r="D63" s="841" t="inlineStr">
        <is>
          <t>20 Great Portland Street</t>
        </is>
      </c>
      <c r="E63" s="841" t="inlineStr">
        <is>
          <t xml:space="preserve">Ground Floor Front </t>
        </is>
      </c>
      <c r="F63" s="842" t="inlineStr">
        <is>
          <t>Retail</t>
        </is>
      </c>
      <c r="G63" s="849" t="n">
        <v>652</v>
      </c>
      <c r="H63" s="849">
        <f>G63</f>
        <v/>
      </c>
      <c r="I63" s="849" t="n">
        <v>750</v>
      </c>
      <c r="J63" s="841" t="inlineStr">
        <is>
          <t>Explore Global Limited</t>
        </is>
      </c>
      <c r="K63" s="844" t="n">
        <v>44851</v>
      </c>
      <c r="L63" s="845" t="n">
        <v>48503</v>
      </c>
      <c r="N63" s="845" t="n">
        <v>46677</v>
      </c>
      <c r="P63" s="843" t="n">
        <v>55000</v>
      </c>
      <c r="Q63" s="843">
        <f>P63</f>
        <v/>
      </c>
      <c r="S63" s="843" t="n">
        <v>55000</v>
      </c>
      <c r="T63" s="843">
        <f>S63</f>
        <v/>
      </c>
      <c r="U63" s="843" t="n">
        <v>55000</v>
      </c>
      <c r="V63" s="843">
        <f>U63</f>
        <v/>
      </c>
      <c r="W63" s="846">
        <f>U63/G63</f>
        <v/>
      </c>
      <c r="X63" s="847">
        <f>SUM(U63-S63)/S63</f>
        <v/>
      </c>
      <c r="Y63" s="843" t="inlineStr">
        <is>
          <t>D</t>
        </is>
      </c>
      <c r="Z63" s="590" t="n"/>
      <c r="AA63" s="848" t="n"/>
      <c r="AB63" s="842" t="inlineStr">
        <is>
          <t>No</t>
        </is>
      </c>
      <c r="AF63" s="312" t="n"/>
    </row>
    <row r="64">
      <c r="A64" s="839" t="inlineStr">
        <is>
          <t>WS</t>
        </is>
      </c>
      <c r="B64" s="839" t="inlineStr">
        <is>
          <t>MEL</t>
        </is>
      </c>
      <c r="C64" s="840" t="n">
        <v>550795</v>
      </c>
      <c r="D64" s="841" t="inlineStr">
        <is>
          <t>20 Great Portland Street</t>
        </is>
      </c>
      <c r="E64" s="841" t="inlineStr">
        <is>
          <t>First Floor Front</t>
        </is>
      </c>
      <c r="F64" s="842" t="inlineStr">
        <is>
          <t>Offices</t>
        </is>
      </c>
      <c r="G64" s="849" t="n">
        <v>558</v>
      </c>
      <c r="H64" s="849">
        <f>G64</f>
        <v/>
      </c>
      <c r="I64" s="849" t="n">
        <v>500</v>
      </c>
      <c r="J64" s="841" t="inlineStr">
        <is>
          <t>Des Baines Ltd</t>
        </is>
      </c>
      <c r="K64" s="844" t="n">
        <v>45114</v>
      </c>
      <c r="L64" s="845" t="n">
        <v>46940</v>
      </c>
      <c r="O64" s="845" t="n">
        <v>46209</v>
      </c>
      <c r="P64" s="843" t="n">
        <v>32400</v>
      </c>
      <c r="Q64" s="843">
        <f>P64</f>
        <v/>
      </c>
      <c r="S64" s="843" t="n">
        <v>29300</v>
      </c>
      <c r="T64" s="843">
        <f>S64</f>
        <v/>
      </c>
      <c r="U64" s="843" t="n">
        <v>29300</v>
      </c>
      <c r="V64" s="843">
        <f>U64</f>
        <v/>
      </c>
      <c r="W64" s="846">
        <f>U64/G64</f>
        <v/>
      </c>
      <c r="X64" s="847">
        <f>SUM(U64-S64)/S64</f>
        <v/>
      </c>
      <c r="Y64" s="843" t="inlineStr">
        <is>
          <t>C</t>
        </is>
      </c>
      <c r="Z64" s="590" t="n"/>
      <c r="AA64" s="848" t="n"/>
      <c r="AB64" s="842" t="inlineStr">
        <is>
          <t>No</t>
        </is>
      </c>
      <c r="AC64" s="841" t="inlineStr">
        <is>
          <t>Tenant break on 6 months notice.</t>
        </is>
      </c>
      <c r="AF64" s="312" t="n"/>
    </row>
    <row r="65">
      <c r="A65" s="839" t="inlineStr">
        <is>
          <t>WS</t>
        </is>
      </c>
      <c r="B65" s="839" t="inlineStr">
        <is>
          <t>MEL</t>
        </is>
      </c>
      <c r="C65" s="840" t="n">
        <v>550795</v>
      </c>
      <c r="D65" s="841" t="inlineStr">
        <is>
          <t>20 Great Portland Street</t>
        </is>
      </c>
      <c r="E65" s="841" t="inlineStr">
        <is>
          <t>First Floor Rear</t>
        </is>
      </c>
      <c r="F65" s="842" t="inlineStr">
        <is>
          <t>Offices</t>
        </is>
      </c>
      <c r="G65" s="849" t="n">
        <v>310</v>
      </c>
      <c r="H65" s="849">
        <f>G65</f>
        <v/>
      </c>
      <c r="I65" s="849" t="n">
        <v>250</v>
      </c>
      <c r="J65" s="841" t="inlineStr">
        <is>
          <t>Face2Face Counselling Services Ltd</t>
        </is>
      </c>
      <c r="K65" s="844" t="n">
        <v>44043</v>
      </c>
      <c r="L65" s="845" t="n">
        <v>45868</v>
      </c>
      <c r="P65" s="843" t="n">
        <v>15500</v>
      </c>
      <c r="Q65" s="843">
        <f>P65</f>
        <v/>
      </c>
      <c r="S65" s="843" t="n">
        <v>15500</v>
      </c>
      <c r="T65" s="843">
        <f>S65</f>
        <v/>
      </c>
      <c r="U65" s="843" t="n">
        <v>15500</v>
      </c>
      <c r="V65" s="843">
        <f>U65</f>
        <v/>
      </c>
      <c r="W65" s="846">
        <f>U65/G65</f>
        <v/>
      </c>
      <c r="X65" s="847">
        <f>SUM(U65-S65)/S65</f>
        <v/>
      </c>
      <c r="Y65" s="843" t="inlineStr">
        <is>
          <t>C</t>
        </is>
      </c>
      <c r="Z65" s="590" t="n"/>
      <c r="AA65" s="848" t="n"/>
      <c r="AB65" s="842" t="inlineStr">
        <is>
          <t>No</t>
        </is>
      </c>
      <c r="AC65" s="841" t="inlineStr">
        <is>
          <t>Tenant break on 6 months notice. 5yr reversionary lease completed. Tenant change of name to One Therapy Ltd on new lease.</t>
        </is>
      </c>
      <c r="AF65" s="312" t="n"/>
    </row>
    <row r="66">
      <c r="A66" s="839" t="inlineStr">
        <is>
          <t>WS</t>
        </is>
      </c>
      <c r="B66" s="839" t="inlineStr">
        <is>
          <t>MEL</t>
        </is>
      </c>
      <c r="C66" s="840" t="n">
        <v>550795</v>
      </c>
      <c r="D66" s="841" t="inlineStr">
        <is>
          <t>20 Great Portland Street</t>
        </is>
      </c>
      <c r="E66" s="841" t="inlineStr">
        <is>
          <t>Second Floor Front</t>
        </is>
      </c>
      <c r="F66" s="842" t="inlineStr">
        <is>
          <t>Offices</t>
        </is>
      </c>
      <c r="G66" s="849" t="n">
        <v>455</v>
      </c>
      <c r="H66" s="849">
        <f>G66</f>
        <v/>
      </c>
      <c r="I66" s="849" t="n">
        <v>500</v>
      </c>
      <c r="J66" s="841" t="inlineStr">
        <is>
          <t>The Campbell Napier Practice Ltd</t>
        </is>
      </c>
      <c r="K66" s="844" t="n">
        <v>44505</v>
      </c>
      <c r="L66" s="845" t="n">
        <v>45965</v>
      </c>
      <c r="P66" s="843" t="n">
        <v>22800</v>
      </c>
      <c r="Q66" s="843">
        <f>P66</f>
        <v/>
      </c>
      <c r="S66" s="843" t="n">
        <v>22800</v>
      </c>
      <c r="T66" s="843">
        <f>S66</f>
        <v/>
      </c>
      <c r="U66" s="843" t="n">
        <v>22800</v>
      </c>
      <c r="V66" s="843">
        <f>U66</f>
        <v/>
      </c>
      <c r="W66" s="846">
        <f>U66/G66</f>
        <v/>
      </c>
      <c r="X66" s="847">
        <f>SUM(U66-S66)/S66</f>
        <v/>
      </c>
      <c r="Y66" s="843" t="inlineStr">
        <is>
          <t>E</t>
        </is>
      </c>
      <c r="Z66" s="590" t="n"/>
      <c r="AA66" s="848" t="n"/>
      <c r="AB66" s="842" t="inlineStr">
        <is>
          <t>No</t>
        </is>
      </c>
      <c r="AC66" s="841" t="inlineStr">
        <is>
          <t>Reversionary lease completed. Lease expiring 29/09/26 @ same rent.</t>
        </is>
      </c>
      <c r="AF66" s="312" t="n"/>
    </row>
    <row r="67">
      <c r="A67" s="839" t="inlineStr">
        <is>
          <t>WS</t>
        </is>
      </c>
      <c r="B67" s="839" t="inlineStr">
        <is>
          <t>MEL</t>
        </is>
      </c>
      <c r="C67" s="840" t="n">
        <v>550795</v>
      </c>
      <c r="D67" s="841" t="inlineStr">
        <is>
          <t>20 Great Portland Street</t>
        </is>
      </c>
      <c r="E67" s="841" t="inlineStr">
        <is>
          <t>Second Floor Rear</t>
        </is>
      </c>
      <c r="F67" s="842" t="inlineStr">
        <is>
          <t>Offices</t>
        </is>
      </c>
      <c r="G67" s="849" t="n">
        <v>310</v>
      </c>
      <c r="H67" s="849">
        <f>G67</f>
        <v/>
      </c>
      <c r="I67" s="849" t="n">
        <v>250</v>
      </c>
      <c r="J67" s="841" t="inlineStr">
        <is>
          <t>PsychotherapyUK Training Ltd.</t>
        </is>
      </c>
      <c r="K67" s="844" t="n">
        <v>44032</v>
      </c>
      <c r="L67" s="845" t="n">
        <v>45857</v>
      </c>
      <c r="P67" s="843" t="n">
        <v>15500</v>
      </c>
      <c r="Q67" s="843">
        <f>P67</f>
        <v/>
      </c>
      <c r="S67" s="843" t="n">
        <v>15500</v>
      </c>
      <c r="T67" s="843">
        <f>S67</f>
        <v/>
      </c>
      <c r="U67" s="843" t="n">
        <v>15500</v>
      </c>
      <c r="V67" s="843">
        <f>U67</f>
        <v/>
      </c>
      <c r="W67" s="846">
        <f>U67/G67</f>
        <v/>
      </c>
      <c r="X67" s="847">
        <f>SUM(U67-S67)/S67</f>
        <v/>
      </c>
      <c r="Y67" s="843" t="inlineStr">
        <is>
          <t>E</t>
        </is>
      </c>
      <c r="Z67" s="590" t="n"/>
      <c r="AA67" s="848" t="n"/>
      <c r="AB67" s="842" t="inlineStr">
        <is>
          <t>No</t>
        </is>
      </c>
      <c r="AC67" s="841" t="inlineStr">
        <is>
          <t xml:space="preserve">Tenant break on 6 months notice. 5yr reversionary lease completed. </t>
        </is>
      </c>
      <c r="AF67" s="312" t="n"/>
    </row>
    <row r="68">
      <c r="A68" s="839" t="inlineStr">
        <is>
          <t>WS</t>
        </is>
      </c>
      <c r="B68" s="839" t="inlineStr">
        <is>
          <t>MEL</t>
        </is>
      </c>
      <c r="C68" s="840" t="n">
        <v>550795</v>
      </c>
      <c r="D68" s="841" t="inlineStr">
        <is>
          <t>20 Great Portland Street</t>
        </is>
      </c>
      <c r="E68" s="841" t="inlineStr">
        <is>
          <t>Third Floor Front</t>
        </is>
      </c>
      <c r="F68" s="842" t="inlineStr">
        <is>
          <t>Offices</t>
        </is>
      </c>
      <c r="G68" s="849" t="n">
        <v>450</v>
      </c>
      <c r="H68" s="849">
        <f>G68</f>
        <v/>
      </c>
      <c r="I68" s="849" t="n">
        <v>500</v>
      </c>
      <c r="J68" s="841" t="inlineStr">
        <is>
          <t>The Campbell Napier Practice Ltd</t>
        </is>
      </c>
      <c r="K68" s="844" t="n">
        <v>45199</v>
      </c>
      <c r="L68" s="845" t="n">
        <v>47025</v>
      </c>
      <c r="O68" s="845" t="n">
        <v>46294</v>
      </c>
      <c r="P68" s="843" t="n">
        <v>24750</v>
      </c>
      <c r="Q68" s="843">
        <f>P68</f>
        <v/>
      </c>
      <c r="S68" s="843" t="n">
        <v>22838</v>
      </c>
      <c r="T68" s="843">
        <f>S68</f>
        <v/>
      </c>
      <c r="U68" s="843" t="n">
        <v>22500</v>
      </c>
      <c r="V68" s="843">
        <f>U68</f>
        <v/>
      </c>
      <c r="W68" s="846">
        <f>U68/G68</f>
        <v/>
      </c>
      <c r="X68" s="847">
        <f>SUM(U68-S68)/S68</f>
        <v/>
      </c>
      <c r="Y68" s="843" t="inlineStr">
        <is>
          <t>E</t>
        </is>
      </c>
      <c r="Z68" s="590" t="n"/>
      <c r="AA68" s="848" t="n"/>
      <c r="AB68" s="842" t="inlineStr">
        <is>
          <t>No</t>
        </is>
      </c>
      <c r="AC68" s="841" t="inlineStr">
        <is>
          <t>Rent rises to £26,325 wef 29/09/26. Tenant break on 6 months notice.</t>
        </is>
      </c>
      <c r="AF68" s="312" t="n"/>
    </row>
    <row r="69">
      <c r="A69" s="839" t="inlineStr">
        <is>
          <t>WS</t>
        </is>
      </c>
      <c r="B69" s="839" t="inlineStr">
        <is>
          <t>MEL</t>
        </is>
      </c>
      <c r="C69" s="840" t="n">
        <v>550795</v>
      </c>
      <c r="D69" s="841" t="inlineStr">
        <is>
          <t>20 Great Portland Street</t>
        </is>
      </c>
      <c r="E69" s="841" t="inlineStr">
        <is>
          <t>Third Floor Rear</t>
        </is>
      </c>
      <c r="F69" s="842" t="inlineStr">
        <is>
          <t>Offices</t>
        </is>
      </c>
      <c r="G69" s="849" t="n">
        <v>215</v>
      </c>
      <c r="H69" s="849">
        <f>G69</f>
        <v/>
      </c>
      <c r="I69" s="849" t="n">
        <v>250</v>
      </c>
      <c r="J69" s="841" t="inlineStr">
        <is>
          <t>One Therapy Ltd.</t>
        </is>
      </c>
      <c r="K69" s="844" t="n">
        <v>44043</v>
      </c>
      <c r="L69" s="845" t="n">
        <v>45868</v>
      </c>
      <c r="P69" s="843" t="n">
        <v>11502</v>
      </c>
      <c r="Q69" s="843">
        <f>P69</f>
        <v/>
      </c>
      <c r="S69" s="843" t="n">
        <v>10200</v>
      </c>
      <c r="T69" s="843">
        <f>S69</f>
        <v/>
      </c>
      <c r="U69" s="843" t="n">
        <v>10200</v>
      </c>
      <c r="V69" s="843">
        <f>U69</f>
        <v/>
      </c>
      <c r="W69" s="846">
        <f>U69/G69</f>
        <v/>
      </c>
      <c r="X69" s="847">
        <f>SUM(U69-S69)/S69</f>
        <v/>
      </c>
      <c r="Y69" s="843" t="inlineStr">
        <is>
          <t>E</t>
        </is>
      </c>
      <c r="Z69" s="590" t="n"/>
      <c r="AA69" s="848" t="n"/>
      <c r="AB69" s="842" t="inlineStr">
        <is>
          <t>No</t>
        </is>
      </c>
      <c r="AC69" s="841" t="inlineStr">
        <is>
          <t>Tenant break on 6 months notice. 5yr reversionary lease completed.</t>
        </is>
      </c>
      <c r="AF69" s="312" t="n"/>
    </row>
    <row r="70">
      <c r="A70" s="839" t="inlineStr">
        <is>
          <t>WS</t>
        </is>
      </c>
      <c r="B70" s="839" t="inlineStr">
        <is>
          <t>MEL</t>
        </is>
      </c>
      <c r="C70" s="840" t="n">
        <v>550795</v>
      </c>
      <c r="D70" s="841" t="inlineStr">
        <is>
          <t>20 Great Portland Street</t>
        </is>
      </c>
      <c r="E70" s="841" t="inlineStr">
        <is>
          <t>Fourth Floor</t>
        </is>
      </c>
      <c r="F70" s="842" t="inlineStr">
        <is>
          <t>Offices</t>
        </is>
      </c>
      <c r="G70" s="849" t="n">
        <v>410</v>
      </c>
      <c r="H70" s="849">
        <f>G70</f>
        <v/>
      </c>
      <c r="I70" s="849" t="n">
        <v>500</v>
      </c>
      <c r="J70" s="841" t="inlineStr">
        <is>
          <t>The Campbell Napier Practice Ltd</t>
        </is>
      </c>
      <c r="K70" s="844" t="n">
        <v>45199</v>
      </c>
      <c r="L70" s="845" t="n">
        <v>47025</v>
      </c>
      <c r="O70" s="845" t="n">
        <v>46294</v>
      </c>
      <c r="P70" s="843" t="n">
        <v>22550</v>
      </c>
      <c r="Q70" s="843">
        <f>P70</f>
        <v/>
      </c>
      <c r="S70" s="843" t="n">
        <v>21100</v>
      </c>
      <c r="T70" s="843">
        <f>S70</f>
        <v/>
      </c>
      <c r="U70" s="843" t="n">
        <v>21100</v>
      </c>
      <c r="V70" s="843">
        <f>U70</f>
        <v/>
      </c>
      <c r="W70" s="846">
        <f>U70/G70</f>
        <v/>
      </c>
      <c r="X70" s="847">
        <f>SUM(U70-S70)/S70</f>
        <v/>
      </c>
      <c r="Y70" s="843" t="inlineStr">
        <is>
          <t>D</t>
        </is>
      </c>
      <c r="Z70" s="590" t="n"/>
      <c r="AA70" s="848" t="n"/>
      <c r="AB70" s="842" t="inlineStr">
        <is>
          <t>No</t>
        </is>
      </c>
      <c r="AC70" s="841" t="inlineStr">
        <is>
          <t>Rent rises to £23,985 wef 29/09/26. Tenant break on 6 months notice.</t>
        </is>
      </c>
      <c r="AF70" s="312" t="n"/>
    </row>
    <row r="71">
      <c r="A71" s="839" t="inlineStr">
        <is>
          <t>WS</t>
        </is>
      </c>
      <c r="B71" s="839" t="inlineStr">
        <is>
          <t>MEL</t>
        </is>
      </c>
      <c r="C71" s="840" t="n">
        <v>550080</v>
      </c>
      <c r="D71" s="841" t="inlineStr">
        <is>
          <t>Highlight House, 22-24 Great Portland Street</t>
        </is>
      </c>
      <c r="E71" s="841" t="inlineStr">
        <is>
          <t>Basement &amp; Ground Floor</t>
        </is>
      </c>
      <c r="F71" s="842" t="inlineStr">
        <is>
          <t>Restaurant</t>
        </is>
      </c>
      <c r="G71" s="849" t="n">
        <v>3626</v>
      </c>
      <c r="H71" s="849">
        <f>G71</f>
        <v/>
      </c>
      <c r="I71" s="849" t="n">
        <v>3500</v>
      </c>
      <c r="J71" s="841" t="inlineStr">
        <is>
          <t>Mamaye UK Limited.</t>
        </is>
      </c>
      <c r="K71" s="844" t="n">
        <v>44635</v>
      </c>
      <c r="L71" s="845" t="n">
        <v>48287</v>
      </c>
      <c r="N71" s="845" t="n">
        <v>46461</v>
      </c>
      <c r="O71" s="845" t="n">
        <v>46460</v>
      </c>
      <c r="P71" s="843" t="n">
        <v>220000</v>
      </c>
      <c r="Q71" s="843">
        <f>P71</f>
        <v/>
      </c>
      <c r="S71" s="843" t="n">
        <v>210000</v>
      </c>
      <c r="T71" s="843">
        <f>S71</f>
        <v/>
      </c>
      <c r="U71" s="843" t="n">
        <v>227900</v>
      </c>
      <c r="V71" s="843">
        <f>U71</f>
        <v/>
      </c>
      <c r="W71" s="846">
        <f>U71/G71</f>
        <v/>
      </c>
      <c r="X71" s="847">
        <f>SUM(U71-S71)/S71</f>
        <v/>
      </c>
      <c r="Y71" s="843" t="inlineStr">
        <is>
          <t>D</t>
        </is>
      </c>
      <c r="Z71" s="590" t="n"/>
      <c r="AA71" s="848" t="n"/>
      <c r="AB71" s="842" t="inlineStr">
        <is>
          <t>No</t>
        </is>
      </c>
      <c r="AC71" s="841" t="inlineStr">
        <is>
          <t>Rent rises to £237,500 wef 15/03/26.</t>
        </is>
      </c>
      <c r="AF71" s="312" t="n"/>
    </row>
    <row r="72">
      <c r="A72" s="839" t="inlineStr">
        <is>
          <t>WS</t>
        </is>
      </c>
      <c r="B72" s="839" t="inlineStr">
        <is>
          <t>MEL</t>
        </is>
      </c>
      <c r="C72" s="840" t="n">
        <v>550080</v>
      </c>
      <c r="D72" s="841" t="inlineStr">
        <is>
          <t>Highlight House, 22-24 Great Portland Street</t>
        </is>
      </c>
      <c r="E72" s="841" t="inlineStr">
        <is>
          <t>First Floor</t>
        </is>
      </c>
      <c r="F72" s="842" t="inlineStr">
        <is>
          <t xml:space="preserve"> Office</t>
        </is>
      </c>
      <c r="G72" s="849" t="n">
        <v>1493</v>
      </c>
      <c r="H72" s="849">
        <f>G72</f>
        <v/>
      </c>
      <c r="I72" s="849" t="n">
        <v>1500</v>
      </c>
      <c r="J72" s="841" t="inlineStr">
        <is>
          <t>Vacant</t>
        </is>
      </c>
      <c r="M72" s="845" t="n">
        <v>43279</v>
      </c>
      <c r="P72" s="843" t="n">
        <v>0</v>
      </c>
      <c r="Q72" s="843">
        <f>P72</f>
        <v/>
      </c>
      <c r="S72" s="843" t="n">
        <v>86600</v>
      </c>
      <c r="T72" s="843">
        <f>S72</f>
        <v/>
      </c>
      <c r="U72" s="843" t="n">
        <v>93300</v>
      </c>
      <c r="V72" s="843">
        <f>U72</f>
        <v/>
      </c>
      <c r="W72" s="846">
        <f>U72/G72</f>
        <v/>
      </c>
      <c r="X72" s="847">
        <f>SUM(U72-S72)/S72</f>
        <v/>
      </c>
      <c r="Y72" s="843" t="inlineStr">
        <is>
          <t>D</t>
        </is>
      </c>
      <c r="Z72" s="590" t="n"/>
      <c r="AA72" s="848" t="n"/>
      <c r="AB72" s="842" t="inlineStr">
        <is>
          <t>No</t>
        </is>
      </c>
      <c r="AC72" s="841" t="inlineStr">
        <is>
          <t>Mothballed.</t>
        </is>
      </c>
      <c r="AE72" s="29" t="n"/>
      <c r="AF72" s="313" t="n">
        <v>2</v>
      </c>
      <c r="AG72" s="29" t="n"/>
    </row>
    <row r="73">
      <c r="A73" s="839" t="inlineStr">
        <is>
          <t>WS</t>
        </is>
      </c>
      <c r="B73" s="839" t="inlineStr">
        <is>
          <t>MEL</t>
        </is>
      </c>
      <c r="C73" s="840" t="n">
        <v>550080</v>
      </c>
      <c r="D73" s="841" t="inlineStr">
        <is>
          <t>Highlight House, 22-24 Great Portland Street</t>
        </is>
      </c>
      <c r="E73" s="841" t="inlineStr">
        <is>
          <t>Second Floor</t>
        </is>
      </c>
      <c r="F73" s="842" t="inlineStr">
        <is>
          <t>Office</t>
        </is>
      </c>
      <c r="G73" s="849" t="n">
        <v>1503</v>
      </c>
      <c r="H73" s="849">
        <f>G73</f>
        <v/>
      </c>
      <c r="I73" s="849" t="n">
        <v>1500</v>
      </c>
      <c r="J73" s="841" t="inlineStr">
        <is>
          <t>Vacant</t>
        </is>
      </c>
      <c r="M73" s="845" t="n">
        <v>43354</v>
      </c>
      <c r="P73" s="843" t="n">
        <v>0</v>
      </c>
      <c r="Q73" s="843">
        <f>P73</f>
        <v/>
      </c>
      <c r="S73" s="843" t="n">
        <v>88100</v>
      </c>
      <c r="T73" s="843">
        <f>S73</f>
        <v/>
      </c>
      <c r="U73" s="843" t="n">
        <v>93900</v>
      </c>
      <c r="V73" s="843">
        <f>U73</f>
        <v/>
      </c>
      <c r="W73" s="846">
        <f>U73/G73</f>
        <v/>
      </c>
      <c r="X73" s="847">
        <f>SUM(U73-S73)/S73</f>
        <v/>
      </c>
      <c r="Y73" s="843" t="inlineStr">
        <is>
          <t>D</t>
        </is>
      </c>
      <c r="Z73" s="590" t="n"/>
      <c r="AA73" s="848" t="n"/>
      <c r="AB73" s="842" t="inlineStr">
        <is>
          <t>No</t>
        </is>
      </c>
      <c r="AC73" s="841" t="inlineStr">
        <is>
          <t>Mothballed.</t>
        </is>
      </c>
      <c r="AE73" s="29" t="n"/>
      <c r="AF73" s="313" t="n">
        <v>2</v>
      </c>
      <c r="AG73" s="29" t="n"/>
    </row>
    <row r="74">
      <c r="A74" s="839" t="inlineStr">
        <is>
          <t>WS</t>
        </is>
      </c>
      <c r="B74" s="839" t="inlineStr">
        <is>
          <t>MEL</t>
        </is>
      </c>
      <c r="C74" s="840" t="n">
        <v>550080</v>
      </c>
      <c r="D74" s="841" t="inlineStr">
        <is>
          <t>Highlight House, 22-24 Great Portland Street</t>
        </is>
      </c>
      <c r="E74" s="841" t="inlineStr">
        <is>
          <t>Third Floor</t>
        </is>
      </c>
      <c r="F74" s="842" t="inlineStr">
        <is>
          <t>Office</t>
        </is>
      </c>
      <c r="G74" s="849" t="n">
        <v>1519</v>
      </c>
      <c r="H74" s="849">
        <f>G74</f>
        <v/>
      </c>
      <c r="I74" s="849" t="n">
        <v>1500</v>
      </c>
      <c r="J74" s="841" t="inlineStr">
        <is>
          <t>Vacant</t>
        </is>
      </c>
      <c r="M74" s="845" t="n">
        <v>43354</v>
      </c>
      <c r="P74" s="843" t="n">
        <v>0</v>
      </c>
      <c r="Q74" s="843">
        <f>P74</f>
        <v/>
      </c>
      <c r="S74" s="843" t="n">
        <v>83100</v>
      </c>
      <c r="T74" s="843">
        <f>S74</f>
        <v/>
      </c>
      <c r="U74" s="843" t="n">
        <v>91100</v>
      </c>
      <c r="V74" s="843">
        <f>U74</f>
        <v/>
      </c>
      <c r="W74" s="846">
        <f>U74/G74</f>
        <v/>
      </c>
      <c r="X74" s="847">
        <f>SUM(U74-S74)/S74</f>
        <v/>
      </c>
      <c r="Y74" s="843" t="inlineStr">
        <is>
          <t>D</t>
        </is>
      </c>
      <c r="Z74" s="590" t="n"/>
      <c r="AA74" s="848" t="n"/>
      <c r="AB74" s="842" t="inlineStr">
        <is>
          <t>No</t>
        </is>
      </c>
      <c r="AC74" s="841" t="inlineStr">
        <is>
          <t>Mothballed.</t>
        </is>
      </c>
      <c r="AE74" s="29" t="n"/>
      <c r="AF74" s="313" t="n">
        <v>2</v>
      </c>
      <c r="AG74" s="29" t="n"/>
    </row>
    <row r="75">
      <c r="A75" s="839" t="inlineStr">
        <is>
          <t>WS</t>
        </is>
      </c>
      <c r="B75" s="839" t="inlineStr">
        <is>
          <t>MEL</t>
        </is>
      </c>
      <c r="C75" s="840" t="n">
        <v>550080</v>
      </c>
      <c r="D75" s="841" t="inlineStr">
        <is>
          <t>Highlight House, 22-24 Great Portland Street</t>
        </is>
      </c>
      <c r="E75" s="841" t="inlineStr">
        <is>
          <t>Fourth Floor</t>
        </is>
      </c>
      <c r="F75" s="842" t="inlineStr">
        <is>
          <t>Office</t>
        </is>
      </c>
      <c r="G75" s="849" t="n">
        <v>1505</v>
      </c>
      <c r="H75" s="849">
        <f>G75</f>
        <v/>
      </c>
      <c r="I75" s="849" t="n">
        <v>1500</v>
      </c>
      <c r="J75" s="841" t="inlineStr">
        <is>
          <t>Vacant</t>
        </is>
      </c>
      <c r="M75" s="845" t="n">
        <v>43354</v>
      </c>
      <c r="P75" s="843" t="n">
        <v>0</v>
      </c>
      <c r="Q75" s="843">
        <f>P75</f>
        <v/>
      </c>
      <c r="S75" s="843" t="n">
        <v>83800</v>
      </c>
      <c r="T75" s="843">
        <f>S75</f>
        <v/>
      </c>
      <c r="U75" s="843" t="n">
        <v>90300</v>
      </c>
      <c r="V75" s="843">
        <f>U75</f>
        <v/>
      </c>
      <c r="W75" s="846">
        <f>U75/G75</f>
        <v/>
      </c>
      <c r="X75" s="847">
        <f>SUM(U75-S75)/S75</f>
        <v/>
      </c>
      <c r="Y75" s="843" t="inlineStr">
        <is>
          <t>D</t>
        </is>
      </c>
      <c r="Z75" s="590" t="n"/>
      <c r="AA75" s="848" t="n"/>
      <c r="AB75" s="842" t="inlineStr">
        <is>
          <t>No</t>
        </is>
      </c>
      <c r="AC75" s="841" t="inlineStr">
        <is>
          <t>Mothballed.</t>
        </is>
      </c>
      <c r="AE75" s="29" t="n"/>
      <c r="AF75" s="313" t="n">
        <v>2</v>
      </c>
      <c r="AG75" s="29" t="n"/>
    </row>
    <row r="76">
      <c r="A76" s="839" t="inlineStr">
        <is>
          <t>CD</t>
        </is>
      </c>
      <c r="B76" s="839" t="inlineStr">
        <is>
          <t>MEL</t>
        </is>
      </c>
      <c r="C76" s="840" t="n">
        <v>550400</v>
      </c>
      <c r="D76" s="841" t="inlineStr">
        <is>
          <t>23-25 Great Portland Street &amp; 54-55 Margaret Street</t>
        </is>
      </c>
      <c r="E76" s="841" t="inlineStr">
        <is>
          <t>Basement &amp; Ground Floor</t>
        </is>
      </c>
      <c r="F76" s="842" t="inlineStr">
        <is>
          <t>Shop/Cafe</t>
        </is>
      </c>
      <c r="G76" s="849" t="n">
        <v>2164</v>
      </c>
      <c r="H76" s="849">
        <f>G76</f>
        <v/>
      </c>
      <c r="I76" s="849" t="n">
        <v>2000</v>
      </c>
      <c r="J76" s="841" t="inlineStr">
        <is>
          <t>Florian James Limited</t>
        </is>
      </c>
      <c r="K76" s="844" t="n">
        <v>44995</v>
      </c>
      <c r="L76" s="845" t="n">
        <v>48647</v>
      </c>
      <c r="N76" s="845" t="n">
        <v>46822</v>
      </c>
      <c r="P76" s="843" t="n">
        <v>165000</v>
      </c>
      <c r="Q76" s="843">
        <f>P76</f>
        <v/>
      </c>
      <c r="S76" s="843" t="n">
        <v>165000</v>
      </c>
      <c r="T76" s="843">
        <f>S76</f>
        <v/>
      </c>
      <c r="U76" s="843" t="n">
        <v>165000</v>
      </c>
      <c r="V76" s="843">
        <f>U76</f>
        <v/>
      </c>
      <c r="W76" s="846">
        <f>U76/G76</f>
        <v/>
      </c>
      <c r="X76" s="847">
        <f>SUM(U76-S76)/S76</f>
        <v/>
      </c>
      <c r="Y76" s="843" t="inlineStr">
        <is>
          <t>D</t>
        </is>
      </c>
      <c r="Z76" s="590" t="n"/>
      <c r="AA76" s="848" t="n"/>
      <c r="AB76" s="842" t="inlineStr">
        <is>
          <t>No</t>
        </is>
      </c>
      <c r="AF76" s="312" t="n"/>
    </row>
    <row r="77">
      <c r="A77" s="839" t="inlineStr">
        <is>
          <t>CD</t>
        </is>
      </c>
      <c r="B77" s="839" t="inlineStr">
        <is>
          <t>MEL</t>
        </is>
      </c>
      <c r="C77" s="840" t="n">
        <v>550400</v>
      </c>
      <c r="D77" s="841" t="inlineStr">
        <is>
          <t>23-25 Great Portland Street &amp; 54-55 Margaret Street</t>
        </is>
      </c>
      <c r="E77" s="851" t="inlineStr">
        <is>
          <t>First to Fourth Floors</t>
        </is>
      </c>
      <c r="F77" s="842" t="inlineStr">
        <is>
          <t>Office</t>
        </is>
      </c>
      <c r="G77" s="849" t="n">
        <v>3545</v>
      </c>
      <c r="H77" s="849">
        <f>G77</f>
        <v/>
      </c>
      <c r="I77" s="849" t="n">
        <v>3500</v>
      </c>
      <c r="J77" s="841" t="inlineStr">
        <is>
          <t>Factory Studios Limited.</t>
        </is>
      </c>
      <c r="K77" s="844" t="n">
        <v>44362</v>
      </c>
      <c r="L77" s="845" t="n">
        <v>48013</v>
      </c>
      <c r="N77" s="845" t="n">
        <v>46197</v>
      </c>
      <c r="O77" s="845" t="n">
        <v>46197</v>
      </c>
      <c r="P77" s="843" t="n">
        <v>220000</v>
      </c>
      <c r="Q77" s="843">
        <f>P77</f>
        <v/>
      </c>
      <c r="S77" s="843" t="n">
        <v>220000</v>
      </c>
      <c r="T77" s="843">
        <f>S77</f>
        <v/>
      </c>
      <c r="U77" s="843" t="n">
        <v>220000</v>
      </c>
      <c r="V77" s="843">
        <f>U77</f>
        <v/>
      </c>
      <c r="W77" s="846">
        <f>U77/G77</f>
        <v/>
      </c>
      <c r="X77" s="847">
        <f>SUM(U77-S77)/S77</f>
        <v/>
      </c>
      <c r="Y77" s="843" t="inlineStr">
        <is>
          <t>C</t>
        </is>
      </c>
      <c r="Z77" s="590" t="n"/>
      <c r="AA77" s="848" t="n"/>
      <c r="AB77" s="842" t="inlineStr">
        <is>
          <t>No</t>
        </is>
      </c>
      <c r="AC77" s="841" t="inlineStr">
        <is>
          <t>Tenant break on 6 months notice.</t>
        </is>
      </c>
      <c r="AF77" s="312" t="n"/>
    </row>
    <row r="78">
      <c r="A78" s="839" t="inlineStr">
        <is>
          <t>CM</t>
        </is>
      </c>
      <c r="B78" s="839" t="inlineStr">
        <is>
          <t>MEL</t>
        </is>
      </c>
      <c r="C78" s="840" t="n">
        <v>550740</v>
      </c>
      <c r="D78" s="841" t="inlineStr">
        <is>
          <t>39 Great Portland Street</t>
        </is>
      </c>
      <c r="E78" s="841" t="inlineStr">
        <is>
          <t>Basement &amp; Ground Floor</t>
        </is>
      </c>
      <c r="F78" s="842" t="inlineStr">
        <is>
          <t>Showroom</t>
        </is>
      </c>
      <c r="G78" s="849" t="n">
        <v>1524</v>
      </c>
      <c r="H78" s="849">
        <f>G78</f>
        <v/>
      </c>
      <c r="I78" s="849" t="n">
        <v>1500</v>
      </c>
      <c r="J78" s="841" t="inlineStr">
        <is>
          <t>Fads Boutique Limited</t>
        </is>
      </c>
      <c r="K78" s="844" t="n">
        <v>44833</v>
      </c>
      <c r="L78" s="845" t="n">
        <v>45928</v>
      </c>
      <c r="P78" s="843" t="n">
        <v>72000</v>
      </c>
      <c r="Q78" s="843">
        <f>P78</f>
        <v/>
      </c>
      <c r="S78" s="843" t="n">
        <v>72000</v>
      </c>
      <c r="T78" s="843">
        <f>S78</f>
        <v/>
      </c>
      <c r="U78" s="843" t="n">
        <v>72038</v>
      </c>
      <c r="V78" s="843">
        <f>U78</f>
        <v/>
      </c>
      <c r="W78" s="846">
        <f>U78/G78</f>
        <v/>
      </c>
      <c r="X78" s="847">
        <f>SUM(U78-S78)/S78</f>
        <v/>
      </c>
      <c r="Y78" s="843" t="inlineStr">
        <is>
          <t>D</t>
        </is>
      </c>
      <c r="Z78" s="590" t="n"/>
      <c r="AA78" s="848" t="n"/>
      <c r="AB78" s="842" t="inlineStr">
        <is>
          <t>No</t>
        </is>
      </c>
      <c r="AC78" s="841" t="n"/>
      <c r="AD78" s="850" t="n"/>
      <c r="AE78" s="841" t="n">
        <v>1</v>
      </c>
      <c r="AF78" s="312" t="n">
        <v>1</v>
      </c>
      <c r="AG78" s="841" t="n"/>
    </row>
    <row r="79">
      <c r="A79" s="839" t="inlineStr">
        <is>
          <t>CM</t>
        </is>
      </c>
      <c r="B79" s="839" t="inlineStr">
        <is>
          <t>MEL</t>
        </is>
      </c>
      <c r="C79" s="840" t="n">
        <v>550740</v>
      </c>
      <c r="D79" s="841" t="inlineStr">
        <is>
          <t>39 Great Portland Street</t>
        </is>
      </c>
      <c r="E79" s="841" t="inlineStr">
        <is>
          <t>First Floor</t>
        </is>
      </c>
      <c r="F79" s="842" t="inlineStr">
        <is>
          <t>Office</t>
        </is>
      </c>
      <c r="G79" s="849" t="n">
        <v>730</v>
      </c>
      <c r="H79" s="849">
        <f>G79</f>
        <v/>
      </c>
      <c r="I79" s="849" t="n">
        <v>750</v>
      </c>
      <c r="J79" s="841" t="inlineStr">
        <is>
          <t>Studio Boum Limited.</t>
        </is>
      </c>
      <c r="K79" s="844" t="n">
        <v>45271</v>
      </c>
      <c r="L79" s="845" t="n">
        <v>46561</v>
      </c>
      <c r="P79" s="843" t="n">
        <v>42705</v>
      </c>
      <c r="Q79" s="843">
        <f>P79</f>
        <v/>
      </c>
      <c r="S79" s="843" t="n">
        <v>42000</v>
      </c>
      <c r="T79" s="843">
        <f>S79</f>
        <v/>
      </c>
      <c r="U79" s="843" t="n">
        <v>41975</v>
      </c>
      <c r="V79" s="843">
        <f>U79</f>
        <v/>
      </c>
      <c r="W79" s="846">
        <f>U79/G79</f>
        <v/>
      </c>
      <c r="X79" s="847">
        <f>SUM(U79-S79)/S79</f>
        <v/>
      </c>
      <c r="Y79" s="843" t="inlineStr">
        <is>
          <t>D</t>
        </is>
      </c>
      <c r="Z79" s="590" t="n"/>
      <c r="AA79" s="848" t="n"/>
      <c r="AB79" s="842" t="inlineStr">
        <is>
          <t>No</t>
        </is>
      </c>
      <c r="AC79" s="29" t="inlineStr">
        <is>
          <t>Tenant break passed.</t>
        </is>
      </c>
      <c r="AD79" s="850" t="n"/>
      <c r="AE79" s="841" t="n"/>
      <c r="AF79" s="312" t="n"/>
      <c r="AG79" s="841" t="n"/>
    </row>
    <row r="80">
      <c r="A80" s="839" t="inlineStr">
        <is>
          <t>CM</t>
        </is>
      </c>
      <c r="B80" s="839" t="inlineStr">
        <is>
          <t>MEL</t>
        </is>
      </c>
      <c r="C80" s="840" t="n">
        <v>550740</v>
      </c>
      <c r="D80" s="841" t="inlineStr">
        <is>
          <t>39 Great Portland Street</t>
        </is>
      </c>
      <c r="E80" s="841" t="inlineStr">
        <is>
          <t>Second Floor</t>
        </is>
      </c>
      <c r="F80" s="842" t="inlineStr">
        <is>
          <t>Office</t>
        </is>
      </c>
      <c r="G80" s="849" t="n">
        <v>730</v>
      </c>
      <c r="H80" s="849">
        <f>G80</f>
        <v/>
      </c>
      <c r="I80" s="849" t="n">
        <v>750</v>
      </c>
      <c r="J80" s="841" t="inlineStr">
        <is>
          <t>David Walker Architects Ltd.</t>
        </is>
      </c>
      <c r="K80" s="844" t="n">
        <v>44833</v>
      </c>
      <c r="L80" s="845" t="n">
        <v>46658</v>
      </c>
      <c r="P80" s="843" t="n">
        <v>42000</v>
      </c>
      <c r="Q80" s="843">
        <f>P80</f>
        <v/>
      </c>
      <c r="S80" s="843" t="n">
        <v>42000</v>
      </c>
      <c r="T80" s="843">
        <f>S80</f>
        <v/>
      </c>
      <c r="U80" s="843" t="n">
        <v>41975</v>
      </c>
      <c r="V80" s="843">
        <f>U80</f>
        <v/>
      </c>
      <c r="W80" s="846">
        <f>U80/G80</f>
        <v/>
      </c>
      <c r="X80" s="847">
        <f>SUM(U80-S80)/S80</f>
        <v/>
      </c>
      <c r="Y80" s="843" t="inlineStr">
        <is>
          <t>D</t>
        </is>
      </c>
      <c r="Z80" s="590" t="n"/>
      <c r="AA80" s="848" t="n"/>
      <c r="AB80" s="842" t="inlineStr">
        <is>
          <t>No</t>
        </is>
      </c>
      <c r="AF80" s="312" t="n"/>
    </row>
    <row r="81">
      <c r="A81" s="839" t="inlineStr">
        <is>
          <t>CM</t>
        </is>
      </c>
      <c r="B81" s="839" t="inlineStr">
        <is>
          <t>MEL</t>
        </is>
      </c>
      <c r="C81" s="840" t="n">
        <v>550740</v>
      </c>
      <c r="D81" s="841" t="inlineStr">
        <is>
          <t>39 Great Portland Street</t>
        </is>
      </c>
      <c r="E81" s="841" t="inlineStr">
        <is>
          <t>Third Floor</t>
        </is>
      </c>
      <c r="F81" s="842" t="inlineStr">
        <is>
          <t>Office</t>
        </is>
      </c>
      <c r="G81" s="849" t="n">
        <v>730</v>
      </c>
      <c r="H81" s="849">
        <f>G81</f>
        <v/>
      </c>
      <c r="I81" s="849" t="n">
        <v>750</v>
      </c>
      <c r="J81" s="841" t="inlineStr">
        <is>
          <t>Studio Boum Limited.</t>
        </is>
      </c>
      <c r="K81" s="844" t="n">
        <v>45271</v>
      </c>
      <c r="L81" s="845" t="n">
        <v>46561</v>
      </c>
      <c r="P81" s="843" t="n">
        <v>42705</v>
      </c>
      <c r="Q81" s="843">
        <f>P81</f>
        <v/>
      </c>
      <c r="S81" s="843" t="n">
        <v>42000</v>
      </c>
      <c r="T81" s="843">
        <f>S81</f>
        <v/>
      </c>
      <c r="U81" s="843" t="n">
        <v>41975</v>
      </c>
      <c r="V81" s="843">
        <f>U81</f>
        <v/>
      </c>
      <c r="W81" s="846">
        <f>U81/G81</f>
        <v/>
      </c>
      <c r="X81" s="847">
        <f>SUM(U81-S81)/S81</f>
        <v/>
      </c>
      <c r="Y81" s="843" t="inlineStr">
        <is>
          <t>D</t>
        </is>
      </c>
      <c r="Z81" s="590" t="n"/>
      <c r="AA81" s="848" t="n"/>
      <c r="AB81" s="842" t="inlineStr">
        <is>
          <t>No</t>
        </is>
      </c>
      <c r="AC81" s="29" t="inlineStr">
        <is>
          <t>Tenant break passed.</t>
        </is>
      </c>
      <c r="AF81" s="312" t="n"/>
    </row>
    <row r="82">
      <c r="A82" s="839" t="inlineStr">
        <is>
          <t>CM</t>
        </is>
      </c>
      <c r="B82" s="839" t="inlineStr">
        <is>
          <t>MEL</t>
        </is>
      </c>
      <c r="C82" s="840" t="n">
        <v>550740</v>
      </c>
      <c r="D82" s="841" t="inlineStr">
        <is>
          <t>39 Great Portland Street</t>
        </is>
      </c>
      <c r="E82" s="841" t="inlineStr">
        <is>
          <t>Fourth &amp; Fifth Floors</t>
        </is>
      </c>
      <c r="F82" s="842" t="inlineStr">
        <is>
          <t>Residential</t>
        </is>
      </c>
      <c r="G82" s="849" t="n">
        <v>1180</v>
      </c>
      <c r="H82" s="849">
        <f>G82</f>
        <v/>
      </c>
      <c r="I82" s="849" t="n">
        <v>1000</v>
      </c>
      <c r="J82" s="841" t="inlineStr">
        <is>
          <t>T. Ciss, E. Moser</t>
        </is>
      </c>
      <c r="K82" s="844" t="n">
        <v>45480</v>
      </c>
      <c r="L82" s="845" t="n">
        <v>45844</v>
      </c>
      <c r="P82" s="843" t="n">
        <v>65000</v>
      </c>
      <c r="Q82" s="843">
        <f>P82</f>
        <v/>
      </c>
      <c r="S82" s="843" t="n">
        <v>61360</v>
      </c>
      <c r="T82" s="843">
        <f>S82</f>
        <v/>
      </c>
      <c r="U82" s="843" t="n">
        <v>63177</v>
      </c>
      <c r="V82" s="843">
        <f>U82</f>
        <v/>
      </c>
      <c r="W82" s="846">
        <f>U82/G82</f>
        <v/>
      </c>
      <c r="X82" s="847">
        <f>SUM(U82-S82)/S82</f>
        <v/>
      </c>
      <c r="Y82" s="843" t="inlineStr">
        <is>
          <t>C</t>
        </is>
      </c>
      <c r="Z82" s="590" t="n"/>
      <c r="AA82" s="848" t="n"/>
      <c r="AB82" s="842" t="inlineStr">
        <is>
          <t>No</t>
        </is>
      </c>
      <c r="AC82" s="841" t="inlineStr">
        <is>
          <t>Lease renewal agreed.</t>
        </is>
      </c>
      <c r="AF82" s="312" t="n"/>
    </row>
    <row r="83">
      <c r="A83" s="839" t="inlineStr">
        <is>
          <t>CD</t>
        </is>
      </c>
      <c r="B83" s="839" t="inlineStr">
        <is>
          <t>MEL</t>
        </is>
      </c>
      <c r="C83" s="840" t="n">
        <v>550840</v>
      </c>
      <c r="D83" s="841" t="inlineStr">
        <is>
          <t>41 Great Portland Street</t>
        </is>
      </c>
      <c r="E83" s="841" t="inlineStr">
        <is>
          <t>Basement to Fourth</t>
        </is>
      </c>
      <c r="F83" s="842" t="inlineStr">
        <is>
          <t>Offices</t>
        </is>
      </c>
      <c r="G83" s="18" t="n">
        <v>2313</v>
      </c>
      <c r="H83" s="843">
        <f>G83</f>
        <v/>
      </c>
      <c r="I83" s="843" t="n">
        <v>2250</v>
      </c>
      <c r="J83" s="841" t="inlineStr">
        <is>
          <t>S.Hardwick &amp; L.Morris (t/a Hardwick &amp; Morris Chartered Accountants)</t>
        </is>
      </c>
      <c r="K83" s="844" t="n">
        <v>42339</v>
      </c>
      <c r="L83" s="845" t="n">
        <v>45991</v>
      </c>
      <c r="N83" s="845" t="n">
        <v>44166</v>
      </c>
      <c r="P83" s="591" t="n">
        <v>112000</v>
      </c>
      <c r="Q83" s="843">
        <f>P83</f>
        <v/>
      </c>
      <c r="R83" s="591">
        <f>Q83</f>
        <v/>
      </c>
      <c r="S83" s="18" t="n">
        <v>106600</v>
      </c>
      <c r="T83" s="843">
        <f>S83</f>
        <v/>
      </c>
      <c r="U83" s="18" t="n">
        <v>102100</v>
      </c>
      <c r="V83" s="843">
        <f>U83</f>
        <v/>
      </c>
      <c r="W83" s="846">
        <f>U83/G83</f>
        <v/>
      </c>
      <c r="X83" s="847">
        <f>SUM(U83-S83)/S83</f>
        <v/>
      </c>
      <c r="Y83" s="843" t="inlineStr">
        <is>
          <t>E</t>
        </is>
      </c>
      <c r="Z83" s="590" t="n"/>
      <c r="AA83" s="18" t="n">
        <v>1750000</v>
      </c>
      <c r="AB83" s="842" t="inlineStr">
        <is>
          <t>No</t>
        </is>
      </c>
      <c r="AF83" s="312" t="n"/>
    </row>
    <row r="84">
      <c r="A84" s="839" t="inlineStr">
        <is>
          <t>CM</t>
        </is>
      </c>
      <c r="B84" s="839" t="inlineStr">
        <is>
          <t>MEL</t>
        </is>
      </c>
      <c r="C84" s="840" t="n">
        <v>550830</v>
      </c>
      <c r="D84" s="841" t="inlineStr">
        <is>
          <t>42-48 Great Portland Street</t>
        </is>
      </c>
      <c r="E84" s="841" t="inlineStr">
        <is>
          <t xml:space="preserve">Basement &amp; Ground Floor </t>
        </is>
      </c>
      <c r="F84" s="839" t="inlineStr">
        <is>
          <t>Shop</t>
        </is>
      </c>
      <c r="G84" s="849" t="n">
        <v>4259</v>
      </c>
      <c r="H84" s="849">
        <f>G84</f>
        <v/>
      </c>
      <c r="I84" s="849" t="n">
        <v>4250</v>
      </c>
      <c r="J84" s="841" t="inlineStr">
        <is>
          <t>GP Acoustics (UK) Limited</t>
        </is>
      </c>
      <c r="K84" s="844" t="n">
        <v>44967</v>
      </c>
      <c r="L84" s="845" t="n">
        <v>48619</v>
      </c>
      <c r="N84" s="845" t="n">
        <v>46793</v>
      </c>
      <c r="O84" s="845" t="n">
        <v>46792</v>
      </c>
      <c r="P84" s="843" t="n">
        <v>215000</v>
      </c>
      <c r="Q84" s="843">
        <f>P84</f>
        <v/>
      </c>
      <c r="S84" s="849" t="n">
        <v>215000</v>
      </c>
      <c r="T84" s="843">
        <f>S84</f>
        <v/>
      </c>
      <c r="U84" s="849" t="n">
        <v>215000</v>
      </c>
      <c r="V84" s="843">
        <f>U84</f>
        <v/>
      </c>
      <c r="W84" s="846">
        <f>U84/G84</f>
        <v/>
      </c>
      <c r="X84" s="847">
        <f>SUM(U84-S84)/S84</f>
        <v/>
      </c>
      <c r="Y84" s="843" t="inlineStr">
        <is>
          <t>C</t>
        </is>
      </c>
      <c r="Z84" s="67" t="n"/>
      <c r="AA84" s="848" t="n"/>
      <c r="AB84" s="842" t="inlineStr">
        <is>
          <t>No</t>
        </is>
      </c>
      <c r="AC84" s="841" t="inlineStr">
        <is>
          <t>Tenant break on 6 months notice.</t>
        </is>
      </c>
      <c r="AF84" s="312" t="n"/>
    </row>
    <row r="85">
      <c r="A85" s="839" t="inlineStr">
        <is>
          <t>CM</t>
        </is>
      </c>
      <c r="B85" s="839" t="inlineStr">
        <is>
          <t>MEL</t>
        </is>
      </c>
      <c r="C85" s="840" t="n">
        <v>550830</v>
      </c>
      <c r="D85" s="841" t="inlineStr">
        <is>
          <t>42-48 Great Portland Street</t>
        </is>
      </c>
      <c r="E85" s="841" t="inlineStr">
        <is>
          <t>First Floor</t>
        </is>
      </c>
      <c r="F85" s="839" t="inlineStr">
        <is>
          <t>Office</t>
        </is>
      </c>
      <c r="G85" s="849" t="n">
        <v>1902</v>
      </c>
      <c r="H85" s="849">
        <f>G85</f>
        <v/>
      </c>
      <c r="I85" s="849" t="n">
        <v>2000</v>
      </c>
      <c r="J85" s="841" t="inlineStr">
        <is>
          <t>GP Acoustics (UK) Limited</t>
        </is>
      </c>
      <c r="K85" s="844" t="n">
        <v>44967</v>
      </c>
      <c r="L85" s="845" t="n">
        <v>48619</v>
      </c>
      <c r="N85" s="845" t="n">
        <v>46793</v>
      </c>
      <c r="O85" s="845" t="n">
        <v>46792</v>
      </c>
      <c r="P85" s="843" t="n">
        <v>109620</v>
      </c>
      <c r="Q85" s="843">
        <f>P85</f>
        <v/>
      </c>
      <c r="S85" s="849" t="n">
        <v>109620</v>
      </c>
      <c r="T85" s="843">
        <f>S85</f>
        <v/>
      </c>
      <c r="U85" s="849" t="n">
        <v>123600</v>
      </c>
      <c r="V85" s="843">
        <f>U85</f>
        <v/>
      </c>
      <c r="W85" s="846">
        <f>U85/G85</f>
        <v/>
      </c>
      <c r="X85" s="847">
        <f>SUM(U85-S85)/S85</f>
        <v/>
      </c>
      <c r="Y85" s="843" t="inlineStr">
        <is>
          <t>C</t>
        </is>
      </c>
      <c r="Z85" s="590" t="n"/>
      <c r="AA85" s="848" t="n"/>
      <c r="AB85" s="842" t="inlineStr">
        <is>
          <t>No</t>
        </is>
      </c>
      <c r="AC85" s="841" t="inlineStr">
        <is>
          <t>Tenant break on 6 months notice.</t>
        </is>
      </c>
      <c r="AF85" s="312" t="n"/>
    </row>
    <row r="86">
      <c r="A86" s="839" t="inlineStr">
        <is>
          <t>CM</t>
        </is>
      </c>
      <c r="B86" s="839" t="inlineStr">
        <is>
          <t>MEL</t>
        </is>
      </c>
      <c r="C86" s="840" t="n">
        <v>550830</v>
      </c>
      <c r="D86" s="841" t="inlineStr">
        <is>
          <t>42-48 Great Portland Street</t>
        </is>
      </c>
      <c r="E86" s="841" t="inlineStr">
        <is>
          <t>Second Floor</t>
        </is>
      </c>
      <c r="F86" s="839" t="inlineStr">
        <is>
          <t>Office</t>
        </is>
      </c>
      <c r="G86" s="849" t="n">
        <v>1440</v>
      </c>
      <c r="H86" s="849">
        <f>G86</f>
        <v/>
      </c>
      <c r="I86" s="849" t="n">
        <v>1500</v>
      </c>
      <c r="J86" s="841" t="inlineStr">
        <is>
          <t>Vacant</t>
        </is>
      </c>
      <c r="M86" s="845" t="n">
        <v>44593</v>
      </c>
      <c r="P86" s="843" t="n">
        <v>0</v>
      </c>
      <c r="Q86" s="843">
        <f>P86</f>
        <v/>
      </c>
      <c r="S86" s="849" t="n">
        <v>79800</v>
      </c>
      <c r="T86" s="843">
        <f>S86</f>
        <v/>
      </c>
      <c r="U86" s="849" t="n">
        <v>93600</v>
      </c>
      <c r="V86" s="843">
        <f>U86</f>
        <v/>
      </c>
      <c r="W86" s="846">
        <f>U86/G86</f>
        <v/>
      </c>
      <c r="X86" s="847">
        <f>SUM(U86-S86)/S86</f>
        <v/>
      </c>
      <c r="Y86" s="843" t="inlineStr">
        <is>
          <t>D</t>
        </is>
      </c>
      <c r="Z86" s="590" t="n"/>
      <c r="AA86" s="848" t="n"/>
      <c r="AB86" s="842" t="inlineStr">
        <is>
          <t>No</t>
        </is>
      </c>
      <c r="AC86" s="841" t="inlineStr">
        <is>
          <t>To be refurbished.</t>
        </is>
      </c>
      <c r="AF86" s="312" t="n"/>
    </row>
    <row r="87">
      <c r="A87" s="839" t="inlineStr">
        <is>
          <t>CM</t>
        </is>
      </c>
      <c r="B87" s="839" t="inlineStr">
        <is>
          <t>MEL</t>
        </is>
      </c>
      <c r="C87" s="840" t="n">
        <v>550830</v>
      </c>
      <c r="D87" s="841" t="inlineStr">
        <is>
          <t>42-48 Great Portland Street</t>
        </is>
      </c>
      <c r="E87" s="841" t="inlineStr">
        <is>
          <t>Third Floor</t>
        </is>
      </c>
      <c r="F87" s="839" t="inlineStr">
        <is>
          <t>Office</t>
        </is>
      </c>
      <c r="G87" s="849" t="n">
        <v>1433</v>
      </c>
      <c r="H87" s="849">
        <f>G87</f>
        <v/>
      </c>
      <c r="I87" s="849" t="n">
        <v>1500</v>
      </c>
      <c r="J87" s="841" t="inlineStr">
        <is>
          <t>Vacant</t>
        </is>
      </c>
      <c r="M87" s="845" t="n">
        <v>43313</v>
      </c>
      <c r="P87" s="843" t="n">
        <v>0</v>
      </c>
      <c r="Q87" s="843">
        <f>P87</f>
        <v/>
      </c>
      <c r="S87" s="849" t="n">
        <v>79750</v>
      </c>
      <c r="T87" s="843">
        <f>S87</f>
        <v/>
      </c>
      <c r="U87" s="849" t="n">
        <v>93100</v>
      </c>
      <c r="V87" s="843">
        <f>U87</f>
        <v/>
      </c>
      <c r="W87" s="846">
        <f>U87/G87</f>
        <v/>
      </c>
      <c r="X87" s="847">
        <f>SUM(U87-S87)/S87</f>
        <v/>
      </c>
      <c r="Y87" s="843" t="inlineStr">
        <is>
          <t>D</t>
        </is>
      </c>
      <c r="Z87" s="590" t="n"/>
      <c r="AA87" s="848" t="n"/>
      <c r="AB87" s="842" t="inlineStr">
        <is>
          <t>No</t>
        </is>
      </c>
      <c r="AC87" s="841" t="inlineStr">
        <is>
          <t>To be refurbished.</t>
        </is>
      </c>
      <c r="AF87" s="312" t="n"/>
    </row>
    <row r="88">
      <c r="A88" s="839" t="inlineStr">
        <is>
          <t>CM</t>
        </is>
      </c>
      <c r="B88" s="839" t="inlineStr">
        <is>
          <t>MEL</t>
        </is>
      </c>
      <c r="C88" s="840" t="n">
        <v>550830</v>
      </c>
      <c r="D88" s="841" t="inlineStr">
        <is>
          <t>42-48 Great Portland Street</t>
        </is>
      </c>
      <c r="E88" s="841" t="inlineStr">
        <is>
          <t>Fourth Floor</t>
        </is>
      </c>
      <c r="F88" s="839" t="inlineStr">
        <is>
          <t>Office</t>
        </is>
      </c>
      <c r="G88" s="849" t="n">
        <v>1480</v>
      </c>
      <c r="H88" s="849">
        <f>G88</f>
        <v/>
      </c>
      <c r="I88" s="849" t="n">
        <v>1500</v>
      </c>
      <c r="J88" s="841" t="inlineStr">
        <is>
          <t>Vacant</t>
        </is>
      </c>
      <c r="M88" s="845" t="n">
        <v>44409</v>
      </c>
      <c r="P88" s="843" t="n">
        <v>0</v>
      </c>
      <c r="Q88" s="843">
        <f>P88</f>
        <v/>
      </c>
      <c r="S88" s="849" t="n">
        <v>79800</v>
      </c>
      <c r="T88" s="843">
        <f>S88</f>
        <v/>
      </c>
      <c r="U88" s="849" t="n">
        <v>96200</v>
      </c>
      <c r="V88" s="843">
        <f>U88</f>
        <v/>
      </c>
      <c r="W88" s="846">
        <f>U88/G88</f>
        <v/>
      </c>
      <c r="X88" s="847">
        <f>SUM(U88-S88)/S88</f>
        <v/>
      </c>
      <c r="Y88" s="843" t="inlineStr">
        <is>
          <t>E</t>
        </is>
      </c>
      <c r="Z88" s="590" t="n"/>
      <c r="AA88" s="848" t="n"/>
      <c r="AB88" s="842" t="inlineStr">
        <is>
          <t>No</t>
        </is>
      </c>
      <c r="AC88" s="841" t="inlineStr">
        <is>
          <t>To be refurbished.</t>
        </is>
      </c>
      <c r="AF88" s="312" t="n"/>
    </row>
    <row r="89">
      <c r="A89" s="839" t="inlineStr">
        <is>
          <t>CM</t>
        </is>
      </c>
      <c r="B89" s="839" t="inlineStr">
        <is>
          <t>MEL</t>
        </is>
      </c>
      <c r="C89" s="840" t="n">
        <v>550830</v>
      </c>
      <c r="D89" s="841" t="inlineStr">
        <is>
          <t>42-48 Great Portland Street</t>
        </is>
      </c>
      <c r="E89" s="841" t="inlineStr">
        <is>
          <t>Fifth Floor</t>
        </is>
      </c>
      <c r="F89" s="839" t="inlineStr">
        <is>
          <t>Office</t>
        </is>
      </c>
      <c r="G89" s="849" t="n">
        <v>784</v>
      </c>
      <c r="H89" s="849">
        <f>G89</f>
        <v/>
      </c>
      <c r="I89" s="849" t="n">
        <v>750</v>
      </c>
      <c r="J89" s="841" t="inlineStr">
        <is>
          <t>Vacant</t>
        </is>
      </c>
      <c r="M89" s="845" t="n">
        <v>44734</v>
      </c>
      <c r="P89" s="843" t="n">
        <v>0</v>
      </c>
      <c r="Q89" s="843">
        <f>P89</f>
        <v/>
      </c>
      <c r="S89" s="849" t="n">
        <v>39030</v>
      </c>
      <c r="T89" s="843">
        <f>S89</f>
        <v/>
      </c>
      <c r="U89" s="849" t="n">
        <v>49000</v>
      </c>
      <c r="V89" s="843">
        <f>U89</f>
        <v/>
      </c>
      <c r="W89" s="846">
        <f>U89/G89</f>
        <v/>
      </c>
      <c r="X89" s="847">
        <f>SUM(U89-S89)/S89</f>
        <v/>
      </c>
      <c r="Y89" s="843" t="inlineStr">
        <is>
          <t>D</t>
        </is>
      </c>
      <c r="Z89" s="590" t="n"/>
      <c r="AA89" s="848" t="n"/>
      <c r="AB89" s="842" t="inlineStr">
        <is>
          <t>No</t>
        </is>
      </c>
      <c r="AC89" s="841" t="inlineStr">
        <is>
          <t>To be refurbished.</t>
        </is>
      </c>
      <c r="AF89" s="312" t="n"/>
    </row>
    <row r="90">
      <c r="A90" s="839" t="inlineStr">
        <is>
          <t>SH</t>
        </is>
      </c>
      <c r="B90" s="839" t="inlineStr">
        <is>
          <t>MEL</t>
        </is>
      </c>
      <c r="C90" s="840" t="n">
        <v>550600</v>
      </c>
      <c r="D90" s="841" t="inlineStr">
        <is>
          <t>45-49 Great Portland Street</t>
        </is>
      </c>
      <c r="E90" s="841" t="inlineStr">
        <is>
          <t>Ground Floor &amp; Basement (North)</t>
        </is>
      </c>
      <c r="F90" s="842" t="inlineStr">
        <is>
          <t>Showroom</t>
        </is>
      </c>
      <c r="G90" s="849" t="n">
        <v>1449</v>
      </c>
      <c r="H90" s="849">
        <f>G90</f>
        <v/>
      </c>
      <c r="I90" s="849" t="n">
        <v>1500</v>
      </c>
      <c r="J90" s="841" t="inlineStr">
        <is>
          <t>Straight Forward Retail Ltd.</t>
        </is>
      </c>
      <c r="K90" s="844" t="n">
        <v>45624</v>
      </c>
      <c r="L90" s="845" t="n">
        <v>49275</v>
      </c>
      <c r="P90" s="843" t="n">
        <v>70000</v>
      </c>
      <c r="Q90" s="843">
        <f>P90</f>
        <v/>
      </c>
      <c r="S90" s="843" t="n">
        <v>76500</v>
      </c>
      <c r="T90" s="843">
        <f>S90</f>
        <v/>
      </c>
      <c r="U90" s="843" t="n">
        <v>76800</v>
      </c>
      <c r="V90" s="843">
        <f>U90</f>
        <v/>
      </c>
      <c r="W90" s="846">
        <f>U90/G90</f>
        <v/>
      </c>
      <c r="X90" s="847">
        <f>SUM(U90-S90)/S90</f>
        <v/>
      </c>
      <c r="Y90" s="843" t="inlineStr">
        <is>
          <t>C</t>
        </is>
      </c>
      <c r="Z90" s="590" t="n"/>
      <c r="AA90" s="848" t="n"/>
      <c r="AB90" s="842" t="inlineStr">
        <is>
          <t>No</t>
        </is>
      </c>
      <c r="AC90" s="841" t="inlineStr">
        <is>
          <t>Rent increasing to £73,000 @ 28/11/27, £77,500 @ 28/11/30. Landlord break 27/11/27 on 6 months notice.</t>
        </is>
      </c>
      <c r="AD90" s="599" t="n"/>
      <c r="AF90" s="312" t="n"/>
    </row>
    <row r="91">
      <c r="A91" s="839" t="inlineStr">
        <is>
          <t>SH</t>
        </is>
      </c>
      <c r="B91" s="839" t="inlineStr">
        <is>
          <t>MEL</t>
        </is>
      </c>
      <c r="C91" s="840" t="n">
        <v>550600</v>
      </c>
      <c r="D91" s="841" t="inlineStr">
        <is>
          <t>45-49 Great Portland Street</t>
        </is>
      </c>
      <c r="E91" s="841" t="inlineStr">
        <is>
          <t>Ground Floor &amp; Basement (South</t>
        </is>
      </c>
      <c r="F91" s="842" t="inlineStr">
        <is>
          <t>A1/D1</t>
        </is>
      </c>
      <c r="G91" s="849" t="n">
        <v>1550</v>
      </c>
      <c r="H91" s="849">
        <f>G91</f>
        <v/>
      </c>
      <c r="I91" s="849" t="n">
        <v>1500</v>
      </c>
      <c r="J91" s="841" t="inlineStr">
        <is>
          <t>Reviv Global Ltd</t>
        </is>
      </c>
      <c r="K91" s="844" t="n">
        <v>43293</v>
      </c>
      <c r="L91" s="845" t="n">
        <v>46214</v>
      </c>
      <c r="P91" s="843" t="n">
        <v>120000</v>
      </c>
      <c r="Q91" s="843">
        <f>P91</f>
        <v/>
      </c>
      <c r="S91" s="843" t="n">
        <v>81000</v>
      </c>
      <c r="T91" s="843">
        <f>S91</f>
        <v/>
      </c>
      <c r="U91" s="843" t="n">
        <v>97300</v>
      </c>
      <c r="V91" s="843">
        <f>U91</f>
        <v/>
      </c>
      <c r="W91" s="846">
        <f>U91/G91</f>
        <v/>
      </c>
      <c r="X91" s="847">
        <f>SUM(U91-S91)/S91</f>
        <v/>
      </c>
      <c r="Y91" s="843" t="inlineStr">
        <is>
          <t>C</t>
        </is>
      </c>
      <c r="Z91" s="590" t="n"/>
      <c r="AA91" s="848" t="n"/>
      <c r="AB91" s="842" t="inlineStr">
        <is>
          <t>No</t>
        </is>
      </c>
      <c r="AF91" s="312" t="n"/>
    </row>
    <row r="92">
      <c r="A92" s="839" t="inlineStr">
        <is>
          <t>SH</t>
        </is>
      </c>
      <c r="B92" s="839" t="inlineStr">
        <is>
          <t>MEL</t>
        </is>
      </c>
      <c r="C92" s="840" t="n">
        <v>550600</v>
      </c>
      <c r="D92" s="841" t="inlineStr">
        <is>
          <t>45-49 Great Portland Street</t>
        </is>
      </c>
      <c r="E92" s="841" t="inlineStr">
        <is>
          <t>First, Second &amp; Third Floors</t>
        </is>
      </c>
      <c r="F92" s="842" t="inlineStr">
        <is>
          <t>Office</t>
        </is>
      </c>
      <c r="G92" s="849" t="n">
        <v>3441</v>
      </c>
      <c r="H92" s="849">
        <f>G92</f>
        <v/>
      </c>
      <c r="I92" s="849" t="n">
        <v>3500</v>
      </c>
      <c r="J92" s="841" t="inlineStr">
        <is>
          <t>DMR Film Ventures (Facilities) Ltd.</t>
        </is>
      </c>
      <c r="K92" s="844" t="n">
        <v>44358</v>
      </c>
      <c r="L92" s="845" t="n">
        <v>48009</v>
      </c>
      <c r="N92" s="845" t="n">
        <v>46184</v>
      </c>
      <c r="O92" s="845" t="n">
        <v>46183</v>
      </c>
      <c r="P92" s="843" t="n">
        <v>189000</v>
      </c>
      <c r="Q92" s="843">
        <f>P92</f>
        <v/>
      </c>
      <c r="S92" s="843" t="n">
        <v>189300</v>
      </c>
      <c r="T92" s="843">
        <f>S92</f>
        <v/>
      </c>
      <c r="U92" s="843" t="n">
        <v>189300</v>
      </c>
      <c r="V92" s="843">
        <f>U92</f>
        <v/>
      </c>
      <c r="W92" s="846">
        <f>U92/G92</f>
        <v/>
      </c>
      <c r="X92" s="847">
        <f>SUM(U92-S92)/S92</f>
        <v/>
      </c>
      <c r="Y92" s="843" t="inlineStr">
        <is>
          <t>E</t>
        </is>
      </c>
      <c r="Z92" s="590" t="n"/>
      <c r="AA92" s="848" t="n"/>
      <c r="AB92" s="842" t="inlineStr">
        <is>
          <t>No</t>
        </is>
      </c>
      <c r="AC92" s="841" t="inlineStr">
        <is>
          <t>Tenant break on 6 months notice. 6 months rent free if not exercised.</t>
        </is>
      </c>
      <c r="AF92" s="312" t="n"/>
    </row>
    <row r="93">
      <c r="A93" s="839" t="inlineStr">
        <is>
          <t>CD</t>
        </is>
      </c>
      <c r="B93" s="839" t="inlineStr">
        <is>
          <t>MEL</t>
        </is>
      </c>
      <c r="C93" s="840" t="n">
        <v>550990</v>
      </c>
      <c r="D93" s="841" t="inlineStr">
        <is>
          <t>50 Great Portland Street</t>
        </is>
      </c>
      <c r="E93" s="841" t="inlineStr">
        <is>
          <t>Ground Floor &amp; Basement</t>
        </is>
      </c>
      <c r="F93" s="842" t="inlineStr">
        <is>
          <t>Retail</t>
        </is>
      </c>
      <c r="G93" s="849" t="n">
        <v>1361</v>
      </c>
      <c r="H93" s="849">
        <f>G93</f>
        <v/>
      </c>
      <c r="J93" s="841" t="inlineStr">
        <is>
          <t>Beautify LDN Ltd.</t>
        </is>
      </c>
      <c r="K93" s="844" t="n">
        <v>45352</v>
      </c>
      <c r="L93" s="845" t="n">
        <v>49003</v>
      </c>
      <c r="N93" s="845" t="n">
        <v>47178</v>
      </c>
      <c r="O93" s="845" t="n">
        <v>47177</v>
      </c>
      <c r="P93" s="843" t="n">
        <v>60000</v>
      </c>
      <c r="Q93" s="843">
        <f>P93</f>
        <v/>
      </c>
      <c r="S93" s="843" t="n">
        <v>55600</v>
      </c>
      <c r="T93" s="843">
        <f>S93</f>
        <v/>
      </c>
      <c r="U93" s="843" t="n">
        <v>59000</v>
      </c>
      <c r="V93" s="843">
        <f>U93</f>
        <v/>
      </c>
      <c r="W93" s="846">
        <f>U93/G93</f>
        <v/>
      </c>
      <c r="X93" s="847">
        <f>SUM(U93-S93)/S93</f>
        <v/>
      </c>
      <c r="Y93" s="843" t="inlineStr">
        <is>
          <t>B</t>
        </is>
      </c>
      <c r="Z93" s="590" t="n"/>
      <c r="AA93" s="848" t="n"/>
      <c r="AB93" s="842" t="inlineStr">
        <is>
          <t>No</t>
        </is>
      </c>
      <c r="AC93" s="841" t="inlineStr">
        <is>
          <t>Mutual break 28/02/29 on 6 months notice. 3 months rent free if break not exercised.</t>
        </is>
      </c>
      <c r="AF93" s="312" t="n"/>
    </row>
    <row r="94">
      <c r="A94" s="839" t="inlineStr">
        <is>
          <t>CD</t>
        </is>
      </c>
      <c r="B94" s="839" t="inlineStr">
        <is>
          <t>MEL</t>
        </is>
      </c>
      <c r="C94" s="840" t="n">
        <v>550990</v>
      </c>
      <c r="D94" s="841" t="inlineStr">
        <is>
          <t>50 Great Portland Street</t>
        </is>
      </c>
      <c r="E94" s="841" t="inlineStr">
        <is>
          <t>First Floor</t>
        </is>
      </c>
      <c r="F94" s="842" t="inlineStr">
        <is>
          <t>Office</t>
        </is>
      </c>
      <c r="G94" s="849" t="n">
        <v>552</v>
      </c>
      <c r="H94" s="849">
        <f>G94</f>
        <v/>
      </c>
      <c r="J94" s="841" t="inlineStr">
        <is>
          <t>Fresh Film Productions Ltd.</t>
        </is>
      </c>
      <c r="K94" s="844" t="n">
        <v>45579</v>
      </c>
      <c r="L94" s="845" t="n">
        <v>47404</v>
      </c>
      <c r="O94" s="845" t="n">
        <v>46673</v>
      </c>
      <c r="P94" s="843" t="n">
        <v>33000</v>
      </c>
      <c r="Q94" s="843">
        <f>P94</f>
        <v/>
      </c>
      <c r="S94" s="843" t="n">
        <v>29700</v>
      </c>
      <c r="T94" s="843">
        <f>S94</f>
        <v/>
      </c>
      <c r="U94" s="843" t="n">
        <v>30400</v>
      </c>
      <c r="V94" s="843">
        <f>U94</f>
        <v/>
      </c>
      <c r="W94" s="846">
        <f>U94/G94</f>
        <v/>
      </c>
      <c r="X94" s="847">
        <f>SUM(U94-S94)/S94</f>
        <v/>
      </c>
      <c r="Y94" s="843" t="inlineStr">
        <is>
          <t>D</t>
        </is>
      </c>
      <c r="Z94" s="590" t="n"/>
      <c r="AA94" s="848" t="n"/>
      <c r="AB94" s="842" t="inlineStr">
        <is>
          <t>No</t>
        </is>
      </c>
      <c r="AC94" s="841" t="inlineStr">
        <is>
          <t>Tenant break on 6 months notice.</t>
        </is>
      </c>
      <c r="AD94" s="599" t="n"/>
      <c r="AF94" s="312" t="n"/>
    </row>
    <row r="95">
      <c r="A95" s="839" t="inlineStr">
        <is>
          <t>CD</t>
        </is>
      </c>
      <c r="B95" s="839" t="inlineStr">
        <is>
          <t>MEL</t>
        </is>
      </c>
      <c r="C95" s="840" t="n">
        <v>550990</v>
      </c>
      <c r="D95" s="841" t="inlineStr">
        <is>
          <t>50 Great Portland Street</t>
        </is>
      </c>
      <c r="E95" s="841" t="inlineStr">
        <is>
          <t>Second Floor</t>
        </is>
      </c>
      <c r="F95" s="842" t="inlineStr">
        <is>
          <t>Office</t>
        </is>
      </c>
      <c r="G95" s="849" t="n">
        <v>304</v>
      </c>
      <c r="H95" s="849">
        <f>G95</f>
        <v/>
      </c>
      <c r="I95" s="849" t="n">
        <v>250</v>
      </c>
      <c r="J95" s="841" t="inlineStr">
        <is>
          <t>Vacant</t>
        </is>
      </c>
      <c r="M95" s="845" t="n">
        <v>43256</v>
      </c>
      <c r="P95" s="843" t="n">
        <v>0</v>
      </c>
      <c r="Q95" s="843">
        <f>P95</f>
        <v/>
      </c>
      <c r="S95" s="843" t="n">
        <v>15800</v>
      </c>
      <c r="T95" s="843">
        <f>S95</f>
        <v/>
      </c>
      <c r="U95" s="843" t="n">
        <v>16700</v>
      </c>
      <c r="V95" s="843">
        <f>U95</f>
        <v/>
      </c>
      <c r="W95" s="846">
        <f>U95/G95</f>
        <v/>
      </c>
      <c r="X95" s="847">
        <f>SUM(U95-S95)/S95</f>
        <v/>
      </c>
      <c r="Y95" s="843" t="inlineStr">
        <is>
          <t>D</t>
        </is>
      </c>
      <c r="Z95" s="590" t="n"/>
      <c r="AA95" s="848" t="n"/>
      <c r="AB95" s="842" t="inlineStr">
        <is>
          <t>No</t>
        </is>
      </c>
      <c r="AC95" s="841" t="inlineStr">
        <is>
          <t>To be refurbished.</t>
        </is>
      </c>
      <c r="AF95" s="312" t="n"/>
    </row>
    <row r="96">
      <c r="A96" s="839" t="inlineStr">
        <is>
          <t>CD</t>
        </is>
      </c>
      <c r="B96" s="839" t="inlineStr">
        <is>
          <t>MEL</t>
        </is>
      </c>
      <c r="C96" s="840" t="n">
        <v>550990</v>
      </c>
      <c r="D96" s="841" t="inlineStr">
        <is>
          <t>50 Great Portland Street</t>
        </is>
      </c>
      <c r="E96" s="841" t="inlineStr">
        <is>
          <t>Third Floor</t>
        </is>
      </c>
      <c r="F96" s="842" t="inlineStr">
        <is>
          <t>Office</t>
        </is>
      </c>
      <c r="G96" s="849" t="n">
        <v>314</v>
      </c>
      <c r="H96" s="849">
        <f>G96</f>
        <v/>
      </c>
      <c r="J96" s="841" t="inlineStr">
        <is>
          <t>Therapy Central LLP</t>
        </is>
      </c>
      <c r="K96" s="844" t="n">
        <v>45476</v>
      </c>
      <c r="L96" s="845" t="n">
        <v>47301</v>
      </c>
      <c r="O96" s="845" t="n">
        <v>46570</v>
      </c>
      <c r="P96" s="843" t="n">
        <v>17500</v>
      </c>
      <c r="Q96" s="843">
        <f>P96</f>
        <v/>
      </c>
      <c r="S96" s="843" t="n">
        <v>15000</v>
      </c>
      <c r="T96" s="843">
        <f>S96</f>
        <v/>
      </c>
      <c r="U96" s="843" t="n">
        <v>18100</v>
      </c>
      <c r="V96" s="843">
        <f>U96</f>
        <v/>
      </c>
      <c r="W96" s="846">
        <f>U96/G96</f>
        <v/>
      </c>
      <c r="X96" s="847">
        <f>SUM(U96-S96)/S96</f>
        <v/>
      </c>
      <c r="Y96" s="843" t="inlineStr">
        <is>
          <t>C</t>
        </is>
      </c>
      <c r="Z96" s="590" t="n"/>
      <c r="AA96" s="848" t="n"/>
      <c r="AB96" s="842" t="inlineStr">
        <is>
          <t>No</t>
        </is>
      </c>
      <c r="AC96" s="841" t="inlineStr">
        <is>
          <t>Tenant break on 4 months notice.</t>
        </is>
      </c>
      <c r="AE96" s="29" t="n"/>
      <c r="AF96" s="313" t="n"/>
      <c r="AG96" s="29" t="n"/>
    </row>
    <row r="97">
      <c r="A97" s="839" t="inlineStr">
        <is>
          <t>CD</t>
        </is>
      </c>
      <c r="B97" s="839" t="inlineStr">
        <is>
          <t>MEL</t>
        </is>
      </c>
      <c r="C97" s="840" t="n">
        <v>550990</v>
      </c>
      <c r="D97" s="841" t="inlineStr">
        <is>
          <t>50 Great Portland Street</t>
        </is>
      </c>
      <c r="E97" s="841" t="inlineStr">
        <is>
          <t>Fourth Floor</t>
        </is>
      </c>
      <c r="F97" s="842" t="inlineStr">
        <is>
          <t>Office</t>
        </is>
      </c>
      <c r="G97" s="849" t="n">
        <v>314</v>
      </c>
      <c r="H97" s="849">
        <f>G97</f>
        <v/>
      </c>
      <c r="J97" s="841" t="inlineStr">
        <is>
          <t>James Boatman</t>
        </is>
      </c>
      <c r="K97" s="844" t="n">
        <v>45754</v>
      </c>
      <c r="L97" s="845" t="n">
        <v>46849</v>
      </c>
      <c r="P97" s="843" t="n">
        <v>17500</v>
      </c>
      <c r="Q97" s="843">
        <f>P97</f>
        <v/>
      </c>
      <c r="S97" s="843" t="n">
        <v>15500</v>
      </c>
      <c r="T97" s="843">
        <f>S97</f>
        <v/>
      </c>
      <c r="U97" s="843" t="n">
        <v>17300</v>
      </c>
      <c r="V97" s="843">
        <f>U97</f>
        <v/>
      </c>
      <c r="W97" s="846">
        <f>U97/G97</f>
        <v/>
      </c>
      <c r="X97" s="847">
        <f>SUM(U97-S97)/S97</f>
        <v/>
      </c>
      <c r="Y97" s="843" t="inlineStr">
        <is>
          <t>C</t>
        </is>
      </c>
      <c r="Z97" s="590" t="n"/>
      <c r="AA97" s="848" t="n"/>
      <c r="AB97" s="842" t="inlineStr">
        <is>
          <t>No</t>
        </is>
      </c>
      <c r="AF97" s="312" t="n"/>
    </row>
    <row r="98">
      <c r="A98" s="839" t="inlineStr">
        <is>
          <t>CD</t>
        </is>
      </c>
      <c r="B98" s="839" t="inlineStr">
        <is>
          <t>MEL</t>
        </is>
      </c>
      <c r="C98" s="840" t="n">
        <v>550990</v>
      </c>
      <c r="D98" s="841" t="inlineStr">
        <is>
          <t>50 Great Portland Street</t>
        </is>
      </c>
      <c r="E98" s="841" t="inlineStr">
        <is>
          <t>Fifth Floor</t>
        </is>
      </c>
      <c r="F98" s="842" t="inlineStr">
        <is>
          <t>Office</t>
        </is>
      </c>
      <c r="G98" s="849" t="n">
        <v>309</v>
      </c>
      <c r="H98" s="849">
        <f>G98</f>
        <v/>
      </c>
      <c r="J98" s="841" t="inlineStr">
        <is>
          <t>OpenStudio Architects Ltd.</t>
        </is>
      </c>
      <c r="K98" s="844" t="n">
        <v>44767</v>
      </c>
      <c r="L98" s="845" t="n">
        <v>45862</v>
      </c>
      <c r="P98" s="843" t="n">
        <v>16000</v>
      </c>
      <c r="Q98" s="843">
        <f>P98</f>
        <v/>
      </c>
      <c r="S98" s="843" t="n">
        <v>15000</v>
      </c>
      <c r="T98" s="843">
        <f>S98</f>
        <v/>
      </c>
      <c r="U98" s="843" t="n">
        <v>15500</v>
      </c>
      <c r="V98" s="843">
        <f>U98</f>
        <v/>
      </c>
      <c r="W98" s="846">
        <f>U98/G98</f>
        <v/>
      </c>
      <c r="X98" s="847">
        <f>SUM(U98-S98)/S98</f>
        <v/>
      </c>
      <c r="Y98" s="843" t="inlineStr">
        <is>
          <t>C</t>
        </is>
      </c>
      <c r="Z98" s="590" t="n"/>
      <c r="AA98" s="848" t="n"/>
      <c r="AB98" s="842" t="inlineStr">
        <is>
          <t>No</t>
        </is>
      </c>
      <c r="AC98" s="841" t="inlineStr">
        <is>
          <t>Lease renewal terms agreed.</t>
        </is>
      </c>
      <c r="AF98" s="312" t="n"/>
    </row>
    <row r="99">
      <c r="A99" s="839" t="inlineStr">
        <is>
          <t>WS</t>
        </is>
      </c>
      <c r="B99" s="839" t="inlineStr">
        <is>
          <t>MEL</t>
        </is>
      </c>
      <c r="C99" s="840" t="n">
        <v>550700</v>
      </c>
      <c r="D99" s="841" t="inlineStr">
        <is>
          <t>51 Great Portland Street</t>
        </is>
      </c>
      <c r="E99" s="841" t="inlineStr">
        <is>
          <t>Ground Floor &amp; Basement</t>
        </is>
      </c>
      <c r="F99" s="842" t="inlineStr">
        <is>
          <t>Retail</t>
        </is>
      </c>
      <c r="G99" s="849" t="n">
        <v>750</v>
      </c>
      <c r="H99" s="849">
        <f>G99</f>
        <v/>
      </c>
      <c r="J99" s="841" t="inlineStr">
        <is>
          <t>Bernardo Vasconcelos Ltd</t>
        </is>
      </c>
      <c r="K99" s="844" t="n">
        <v>45377</v>
      </c>
      <c r="L99" s="845" t="n">
        <v>49028</v>
      </c>
      <c r="N99" s="845" t="n">
        <v>47203</v>
      </c>
      <c r="P99" s="843" t="n">
        <v>45000</v>
      </c>
      <c r="Q99" s="843">
        <f>P99</f>
        <v/>
      </c>
      <c r="S99" s="843" t="n">
        <v>39000</v>
      </c>
      <c r="T99" s="843">
        <f>S99</f>
        <v/>
      </c>
      <c r="U99" s="843" t="n">
        <v>39000</v>
      </c>
      <c r="V99" s="843">
        <f>U99</f>
        <v/>
      </c>
      <c r="W99" s="846">
        <f>U99/G99</f>
        <v/>
      </c>
      <c r="X99" s="847">
        <f>SUM(U99-S99)/S99</f>
        <v/>
      </c>
      <c r="Y99" s="843" t="inlineStr">
        <is>
          <t>D</t>
        </is>
      </c>
      <c r="Z99" s="590" t="n"/>
      <c r="AA99" s="848" t="n"/>
      <c r="AB99" s="842" t="inlineStr">
        <is>
          <t>No</t>
        </is>
      </c>
    </row>
    <row r="100">
      <c r="A100" s="839" t="inlineStr">
        <is>
          <t>WS</t>
        </is>
      </c>
      <c r="B100" s="839" t="inlineStr">
        <is>
          <t>MEL</t>
        </is>
      </c>
      <c r="C100" s="840" t="n">
        <v>550700</v>
      </c>
      <c r="D100" s="841" t="inlineStr">
        <is>
          <t>51 Great Portland Street</t>
        </is>
      </c>
      <c r="E100" s="841" t="inlineStr">
        <is>
          <t>First Floor</t>
        </is>
      </c>
      <c r="F100" s="842" t="inlineStr">
        <is>
          <t>Office</t>
        </is>
      </c>
      <c r="G100" s="849" t="n">
        <v>325</v>
      </c>
      <c r="H100" s="849">
        <f>G100</f>
        <v/>
      </c>
      <c r="I100" s="849" t="n">
        <v>500</v>
      </c>
      <c r="J100" s="841" t="inlineStr">
        <is>
          <t>Vacant</t>
        </is>
      </c>
      <c r="M100" s="845" t="n">
        <v>45282</v>
      </c>
      <c r="P100" s="843" t="n">
        <v>0</v>
      </c>
      <c r="Q100" s="843">
        <f>P100</f>
        <v/>
      </c>
      <c r="S100" s="843" t="n">
        <v>17100</v>
      </c>
      <c r="T100" s="843">
        <f>S100</f>
        <v/>
      </c>
      <c r="U100" s="843" t="n">
        <v>17100</v>
      </c>
      <c r="V100" s="843">
        <f>U100</f>
        <v/>
      </c>
      <c r="W100" s="846">
        <f>U100/G100</f>
        <v/>
      </c>
      <c r="X100" s="847">
        <f>SUM(U100-S100)/S100</f>
        <v/>
      </c>
      <c r="Y100" s="843" t="inlineStr">
        <is>
          <t>E</t>
        </is>
      </c>
      <c r="Z100" s="590" t="n"/>
      <c r="AA100" s="848" t="n"/>
      <c r="AB100" s="842" t="inlineStr">
        <is>
          <t>No</t>
        </is>
      </c>
      <c r="AC100" s="841" t="inlineStr">
        <is>
          <t>To be refurbished.</t>
        </is>
      </c>
      <c r="AD100" s="850" t="n">
        <v>58</v>
      </c>
      <c r="AF100" s="312" t="n">
        <v>4</v>
      </c>
    </row>
    <row r="101">
      <c r="A101" s="839" t="inlineStr">
        <is>
          <t>WS</t>
        </is>
      </c>
      <c r="B101" s="839" t="inlineStr">
        <is>
          <t>MEL</t>
        </is>
      </c>
      <c r="C101" s="840" t="n">
        <v>550700</v>
      </c>
      <c r="D101" s="841" t="inlineStr">
        <is>
          <t>51 Great Portland Street</t>
        </is>
      </c>
      <c r="E101" s="841" t="inlineStr">
        <is>
          <t>Second Floor</t>
        </is>
      </c>
      <c r="F101" s="842" t="inlineStr">
        <is>
          <t>Office</t>
        </is>
      </c>
      <c r="G101" s="849" t="n">
        <v>325</v>
      </c>
      <c r="H101" s="849">
        <f>G101</f>
        <v/>
      </c>
      <c r="I101" s="849" t="n">
        <v>500</v>
      </c>
      <c r="J101" s="841" t="inlineStr">
        <is>
          <t>Learn Lab Language School Ltd</t>
        </is>
      </c>
      <c r="K101" s="844" t="n">
        <v>45698</v>
      </c>
      <c r="L101" s="845" t="n">
        <v>46427</v>
      </c>
      <c r="P101" s="843" t="n">
        <v>22069</v>
      </c>
      <c r="Q101" s="843">
        <f>P101</f>
        <v/>
      </c>
      <c r="S101" s="843" t="n">
        <v>17100</v>
      </c>
      <c r="T101" s="843">
        <f>S101</f>
        <v/>
      </c>
      <c r="U101" s="843" t="n">
        <v>17100</v>
      </c>
      <c r="V101" s="843">
        <f>U101</f>
        <v/>
      </c>
      <c r="W101" s="846">
        <f>U101/G101</f>
        <v/>
      </c>
      <c r="X101" s="847">
        <f>SUM(U101-S101)/S101</f>
        <v/>
      </c>
      <c r="Y101" s="843" t="inlineStr">
        <is>
          <t>D</t>
        </is>
      </c>
      <c r="Z101" s="590" t="n"/>
      <c r="AA101" s="848" t="n"/>
      <c r="AB101" s="842" t="inlineStr">
        <is>
          <t>No</t>
        </is>
      </c>
      <c r="AC101" s="841" t="inlineStr">
        <is>
          <t>Rent all inclusive (excl rates).</t>
        </is>
      </c>
      <c r="AF101" s="312" t="n">
        <v>1</v>
      </c>
    </row>
    <row r="102">
      <c r="A102" s="839" t="inlineStr">
        <is>
          <t>WS</t>
        </is>
      </c>
      <c r="B102" s="839" t="inlineStr">
        <is>
          <t>MEL</t>
        </is>
      </c>
      <c r="C102" s="840" t="n">
        <v>550700</v>
      </c>
      <c r="D102" s="841" t="inlineStr">
        <is>
          <t>51 Great Portland Street</t>
        </is>
      </c>
      <c r="E102" s="841" t="inlineStr">
        <is>
          <t>Third Floor</t>
        </is>
      </c>
      <c r="F102" s="842" t="inlineStr">
        <is>
          <t>Office</t>
        </is>
      </c>
      <c r="G102" s="849" t="n">
        <v>325</v>
      </c>
      <c r="H102" s="849">
        <f>G102</f>
        <v/>
      </c>
      <c r="I102" s="849" t="n">
        <v>500</v>
      </c>
      <c r="J102" s="841" t="inlineStr">
        <is>
          <t>Vacant</t>
        </is>
      </c>
      <c r="M102" s="845" t="n">
        <v>44714</v>
      </c>
      <c r="P102" s="843" t="n">
        <v>0</v>
      </c>
      <c r="Q102" s="843">
        <f>P102</f>
        <v/>
      </c>
      <c r="S102" s="843" t="n">
        <v>16300</v>
      </c>
      <c r="T102" s="843">
        <f>S102</f>
        <v/>
      </c>
      <c r="U102" s="843" t="n">
        <v>16300</v>
      </c>
      <c r="V102" s="843">
        <f>U102</f>
        <v/>
      </c>
      <c r="W102" s="846">
        <f>U102/G102</f>
        <v/>
      </c>
      <c r="X102" s="847">
        <f>SUM(U102-S102)/S102</f>
        <v/>
      </c>
      <c r="Y102" s="843" t="inlineStr">
        <is>
          <t>C</t>
        </is>
      </c>
      <c r="Z102" s="590" t="n"/>
      <c r="AA102" s="848" t="n"/>
      <c r="AB102" s="842" t="inlineStr">
        <is>
          <t>No</t>
        </is>
      </c>
      <c r="AC102" s="841" t="inlineStr">
        <is>
          <t>To be refurbished.</t>
        </is>
      </c>
      <c r="AD102" s="850" t="n">
        <v>52.5</v>
      </c>
      <c r="AF102" s="312" t="n"/>
    </row>
    <row r="103">
      <c r="A103" s="839" t="inlineStr">
        <is>
          <t>WS</t>
        </is>
      </c>
      <c r="B103" s="839" t="inlineStr">
        <is>
          <t>MEL</t>
        </is>
      </c>
      <c r="C103" s="840" t="n">
        <v>550710</v>
      </c>
      <c r="D103" s="841" t="inlineStr">
        <is>
          <t>53 Great Portland Street</t>
        </is>
      </c>
      <c r="E103" s="841" t="inlineStr">
        <is>
          <t>Ground Floor &amp; Basement</t>
        </is>
      </c>
      <c r="F103" s="842" t="inlineStr">
        <is>
          <t>Café</t>
        </is>
      </c>
      <c r="G103" s="849" t="n">
        <v>807</v>
      </c>
      <c r="H103" s="849">
        <f>G103</f>
        <v/>
      </c>
      <c r="I103" s="849" t="n">
        <v>1000</v>
      </c>
      <c r="J103" s="841" t="inlineStr">
        <is>
          <t>O-Chaa Thai Ltd.</t>
        </is>
      </c>
      <c r="K103" s="844" t="n">
        <v>42179</v>
      </c>
      <c r="L103" s="845" t="n">
        <v>45831</v>
      </c>
      <c r="P103" s="843" t="n">
        <v>34320</v>
      </c>
      <c r="Q103" s="843">
        <f>P103</f>
        <v/>
      </c>
      <c r="S103" s="843" t="n">
        <v>34320</v>
      </c>
      <c r="T103" s="843">
        <f>S103</f>
        <v/>
      </c>
      <c r="U103" s="843" t="n">
        <v>34481</v>
      </c>
      <c r="V103" s="843">
        <f>U103</f>
        <v/>
      </c>
      <c r="W103" s="846">
        <f>U103/G103</f>
        <v/>
      </c>
      <c r="X103" s="847">
        <f>SUM(U103-S103)/S103</f>
        <v/>
      </c>
      <c r="Y103" s="843" t="inlineStr">
        <is>
          <t>E</t>
        </is>
      </c>
      <c r="Z103" s="590" t="n"/>
      <c r="AA103" s="848" t="n"/>
      <c r="AB103" s="842" t="inlineStr">
        <is>
          <t>No</t>
        </is>
      </c>
      <c r="AC103" s="841" t="inlineStr">
        <is>
          <t>Lease renewal terms being discussed.</t>
        </is>
      </c>
      <c r="AF103" s="312" t="n"/>
    </row>
    <row r="104">
      <c r="A104" s="839" t="inlineStr">
        <is>
          <t>WS</t>
        </is>
      </c>
      <c r="B104" s="839" t="inlineStr">
        <is>
          <t>MEL</t>
        </is>
      </c>
      <c r="C104" s="840" t="n">
        <v>550710</v>
      </c>
      <c r="D104" s="841" t="inlineStr">
        <is>
          <t>53 Great Portland Street</t>
        </is>
      </c>
      <c r="E104" s="841" t="inlineStr">
        <is>
          <t>Ground Floor</t>
        </is>
      </c>
      <c r="F104" s="842" t="inlineStr">
        <is>
          <t>Kiosk</t>
        </is>
      </c>
      <c r="G104" s="849" t="n">
        <v>60</v>
      </c>
      <c r="H104" s="849">
        <f>G104</f>
        <v/>
      </c>
      <c r="J104" s="841" t="inlineStr">
        <is>
          <t>J C Patel</t>
        </is>
      </c>
      <c r="K104" s="844" t="n">
        <v>44075</v>
      </c>
      <c r="L104" s="845" t="n">
        <v>45900</v>
      </c>
      <c r="P104" s="843" t="n">
        <v>12500</v>
      </c>
      <c r="Q104" s="843">
        <f>P104</f>
        <v/>
      </c>
      <c r="S104" s="843" t="n">
        <v>12000</v>
      </c>
      <c r="T104" s="843">
        <f>S104</f>
        <v/>
      </c>
      <c r="U104" s="843" t="n">
        <v>12000</v>
      </c>
      <c r="V104" s="843">
        <f>U104</f>
        <v/>
      </c>
      <c r="W104" s="846">
        <f>U104/G104</f>
        <v/>
      </c>
      <c r="X104" s="847">
        <f>SUM(U104-S104)/S104</f>
        <v/>
      </c>
      <c r="Y104" s="843" t="inlineStr">
        <is>
          <t>E</t>
        </is>
      </c>
      <c r="Z104" s="590" t="n"/>
      <c r="AA104" s="848" t="n"/>
      <c r="AB104" s="842" t="inlineStr">
        <is>
          <t>No</t>
        </is>
      </c>
      <c r="AC104" s="841" t="inlineStr">
        <is>
          <t>All Inclusive. Lease renewal being discussed.</t>
        </is>
      </c>
      <c r="AF104" s="312" t="n"/>
    </row>
    <row r="105">
      <c r="A105" s="839" t="inlineStr">
        <is>
          <t>WS</t>
        </is>
      </c>
      <c r="B105" s="839" t="inlineStr">
        <is>
          <t>MEL</t>
        </is>
      </c>
      <c r="C105" s="840" t="n">
        <v>550710</v>
      </c>
      <c r="D105" s="841" t="inlineStr">
        <is>
          <t>53 Great Portland Street</t>
        </is>
      </c>
      <c r="E105" s="841" t="inlineStr">
        <is>
          <t>First Floor</t>
        </is>
      </c>
      <c r="F105" s="842" t="inlineStr">
        <is>
          <t>Office</t>
        </is>
      </c>
      <c r="G105" s="849" t="n">
        <v>370</v>
      </c>
      <c r="H105" s="849">
        <f>G105</f>
        <v/>
      </c>
      <c r="I105" s="849" t="n">
        <v>500</v>
      </c>
      <c r="J105" s="841" t="inlineStr">
        <is>
          <t>Vacant</t>
        </is>
      </c>
      <c r="M105" s="845" t="n">
        <v>43738</v>
      </c>
      <c r="P105" s="843" t="n">
        <v>0</v>
      </c>
      <c r="Q105" s="843">
        <f>P105</f>
        <v/>
      </c>
      <c r="S105" s="843" t="n">
        <v>18500</v>
      </c>
      <c r="T105" s="843">
        <f>S105</f>
        <v/>
      </c>
      <c r="U105" s="843" t="n">
        <v>18500</v>
      </c>
      <c r="V105" s="843">
        <f>U105</f>
        <v/>
      </c>
      <c r="W105" s="846">
        <f>U105/G105</f>
        <v/>
      </c>
      <c r="X105" s="847">
        <f>SUM(U105-S105)/S105</f>
        <v/>
      </c>
      <c r="Y105" s="843" t="inlineStr">
        <is>
          <t>E</t>
        </is>
      </c>
      <c r="Z105" s="590" t="n"/>
      <c r="AA105" s="848" t="n"/>
      <c r="AB105" s="842" t="inlineStr">
        <is>
          <t>No</t>
        </is>
      </c>
      <c r="AC105" s="841" t="inlineStr">
        <is>
          <t>To be refurbished.</t>
        </is>
      </c>
      <c r="AD105" s="850" t="n">
        <v>52.5</v>
      </c>
      <c r="AE105" s="841" t="n">
        <v>1</v>
      </c>
      <c r="AF105" s="312" t="n">
        <v>3</v>
      </c>
    </row>
    <row r="106">
      <c r="A106" s="839" t="inlineStr">
        <is>
          <t>WS</t>
        </is>
      </c>
      <c r="B106" s="839" t="inlineStr">
        <is>
          <t>MEL</t>
        </is>
      </c>
      <c r="C106" s="840" t="n">
        <v>550710</v>
      </c>
      <c r="D106" s="841" t="inlineStr">
        <is>
          <t>53 Great Portland Street</t>
        </is>
      </c>
      <c r="E106" s="841" t="inlineStr">
        <is>
          <t>Second Floor</t>
        </is>
      </c>
      <c r="F106" s="842" t="inlineStr">
        <is>
          <t>Office</t>
        </is>
      </c>
      <c r="G106" s="849" t="n">
        <v>325</v>
      </c>
      <c r="H106" s="849">
        <f>G106</f>
        <v/>
      </c>
      <c r="I106" s="849" t="n">
        <v>500</v>
      </c>
      <c r="J106" s="841" t="inlineStr">
        <is>
          <t>Vacant</t>
        </is>
      </c>
      <c r="M106" s="845" t="n">
        <v>45379</v>
      </c>
      <c r="P106" s="843" t="n">
        <v>0</v>
      </c>
      <c r="Q106" s="843">
        <f>P106</f>
        <v/>
      </c>
      <c r="S106" s="843" t="n">
        <v>17000</v>
      </c>
      <c r="T106" s="843">
        <f>S106</f>
        <v/>
      </c>
      <c r="U106" s="843" t="n">
        <v>17062</v>
      </c>
      <c r="V106" s="843">
        <f>U106</f>
        <v/>
      </c>
      <c r="W106" s="846">
        <f>U106/G106</f>
        <v/>
      </c>
      <c r="X106" s="847">
        <f>SUM(U106-S106)/S106</f>
        <v/>
      </c>
      <c r="Y106" s="843" t="inlineStr">
        <is>
          <t>E</t>
        </is>
      </c>
      <c r="Z106" s="590" t="n"/>
      <c r="AA106" s="848" t="n"/>
      <c r="AB106" s="842" t="inlineStr">
        <is>
          <t>No</t>
        </is>
      </c>
      <c r="AC106" s="841" t="inlineStr">
        <is>
          <t>To be refurbished.</t>
        </is>
      </c>
      <c r="AD106" s="850" t="n">
        <v>53</v>
      </c>
      <c r="AF106" s="312" t="n"/>
    </row>
    <row r="107">
      <c r="A107" s="839" t="inlineStr">
        <is>
          <t>WS</t>
        </is>
      </c>
      <c r="B107" s="839" t="inlineStr">
        <is>
          <t>MEL</t>
        </is>
      </c>
      <c r="C107" s="840" t="n">
        <v>550710</v>
      </c>
      <c r="D107" s="841" t="inlineStr">
        <is>
          <t>53 Great Portland Street</t>
        </is>
      </c>
      <c r="E107" s="841" t="inlineStr">
        <is>
          <t>Third Floor</t>
        </is>
      </c>
      <c r="F107" s="842" t="inlineStr">
        <is>
          <t>Office</t>
        </is>
      </c>
      <c r="G107" s="849" t="n">
        <v>321</v>
      </c>
      <c r="H107" s="849">
        <f>G107</f>
        <v/>
      </c>
      <c r="I107" s="849" t="n">
        <v>500</v>
      </c>
      <c r="J107" s="841" t="inlineStr">
        <is>
          <t>Vacant</t>
        </is>
      </c>
      <c r="M107" s="845" t="n">
        <v>45170</v>
      </c>
      <c r="P107" s="843" t="n">
        <v>0</v>
      </c>
      <c r="Q107" s="843">
        <f>P107</f>
        <v/>
      </c>
      <c r="S107" s="843" t="n">
        <v>17000</v>
      </c>
      <c r="T107" s="843">
        <f>S107</f>
        <v/>
      </c>
      <c r="U107" s="843" t="n">
        <v>16852</v>
      </c>
      <c r="V107" s="843">
        <f>U107</f>
        <v/>
      </c>
      <c r="W107" s="846">
        <f>U107/G107</f>
        <v/>
      </c>
      <c r="X107" s="847">
        <f>SUM(U107-S107)/S107</f>
        <v/>
      </c>
      <c r="Y107" s="843" t="inlineStr">
        <is>
          <t>E</t>
        </is>
      </c>
      <c r="Z107" s="590" t="n"/>
      <c r="AA107" s="848" t="n"/>
      <c r="AB107" s="842" t="inlineStr">
        <is>
          <t>No</t>
        </is>
      </c>
      <c r="AC107" s="841" t="inlineStr">
        <is>
          <t>To be refurbished.</t>
        </is>
      </c>
      <c r="AD107" s="850" t="n">
        <v>53</v>
      </c>
      <c r="AE107" s="841" t="n">
        <v>2</v>
      </c>
      <c r="AF107" s="312" t="n">
        <v>2</v>
      </c>
    </row>
    <row r="108">
      <c r="A108" s="839" t="inlineStr">
        <is>
          <t>CM</t>
        </is>
      </c>
      <c r="B108" s="839" t="inlineStr">
        <is>
          <t>MEL</t>
        </is>
      </c>
      <c r="C108" s="840" t="n">
        <v>550090</v>
      </c>
      <c r="D108" s="841" t="inlineStr">
        <is>
          <t>76 Great Portland Street</t>
        </is>
      </c>
      <c r="E108" s="841" t="inlineStr">
        <is>
          <t>Basement &amp; Ground Floor (Front)</t>
        </is>
      </c>
      <c r="F108" s="842" t="inlineStr">
        <is>
          <t>Showroom</t>
        </is>
      </c>
      <c r="G108" s="849" t="n">
        <v>607</v>
      </c>
      <c r="H108" s="849">
        <f>G108</f>
        <v/>
      </c>
      <c r="I108" s="849" t="n">
        <v>500</v>
      </c>
      <c r="J108" s="841" t="inlineStr">
        <is>
          <t>O-Chaa Thai Ltd.</t>
        </is>
      </c>
      <c r="K108" s="844" t="n">
        <v>45706</v>
      </c>
      <c r="L108" s="845" t="n">
        <v>49357</v>
      </c>
      <c r="N108" s="845" t="n">
        <v>47532</v>
      </c>
      <c r="O108" s="845" t="n">
        <v>47531</v>
      </c>
      <c r="P108" s="843" t="n">
        <v>27000</v>
      </c>
      <c r="Q108" s="843">
        <f>P108</f>
        <v/>
      </c>
      <c r="S108" s="843" t="n">
        <v>25000</v>
      </c>
      <c r="T108" s="843">
        <f>S108</f>
        <v/>
      </c>
      <c r="U108" s="843" t="n">
        <v>25000</v>
      </c>
      <c r="V108" s="843">
        <f>U108</f>
        <v/>
      </c>
      <c r="W108" s="846">
        <f>U108/G108</f>
        <v/>
      </c>
      <c r="X108" s="847">
        <f>SUM(U108-S108)/S108</f>
        <v/>
      </c>
      <c r="Y108" s="843" t="inlineStr">
        <is>
          <t>B</t>
        </is>
      </c>
      <c r="Z108" s="590" t="n"/>
      <c r="AA108" s="848" t="n"/>
      <c r="AB108" s="842" t="inlineStr">
        <is>
          <t>No</t>
        </is>
      </c>
      <c r="AC108" s="841" t="inlineStr">
        <is>
          <t xml:space="preserve">Tenant break on 6 months notice. </t>
        </is>
      </c>
      <c r="AF108" s="312" t="n"/>
    </row>
    <row r="109">
      <c r="A109" s="839" t="inlineStr">
        <is>
          <t>CM</t>
        </is>
      </c>
      <c r="B109" s="839" t="inlineStr">
        <is>
          <t>MEL</t>
        </is>
      </c>
      <c r="C109" s="840" t="n">
        <v>550090</v>
      </c>
      <c r="D109" s="841" t="inlineStr">
        <is>
          <t>76 Great Portland Street</t>
        </is>
      </c>
      <c r="E109" s="841" t="inlineStr">
        <is>
          <t>Basement &amp; Ground Floor (Rear)</t>
        </is>
      </c>
      <c r="F109" s="842" t="inlineStr">
        <is>
          <t>Restaurant</t>
        </is>
      </c>
      <c r="G109" s="849" t="n">
        <v>662</v>
      </c>
      <c r="H109" s="849">
        <f>G109</f>
        <v/>
      </c>
      <c r="I109" s="849" t="n">
        <v>500</v>
      </c>
      <c r="J109" s="841" t="inlineStr">
        <is>
          <t>O-Chaa Thai Ltd.</t>
        </is>
      </c>
      <c r="K109" s="844" t="n">
        <v>45706</v>
      </c>
      <c r="L109" s="845" t="n">
        <v>49357</v>
      </c>
      <c r="N109" s="845" t="n">
        <v>47532</v>
      </c>
      <c r="O109" s="845" t="n">
        <v>47531</v>
      </c>
      <c r="P109" s="843" t="n">
        <v>22000</v>
      </c>
      <c r="Q109" s="843">
        <f>P109</f>
        <v/>
      </c>
      <c r="S109" s="843" t="n">
        <v>20000</v>
      </c>
      <c r="T109" s="843">
        <f>S109</f>
        <v/>
      </c>
      <c r="U109" s="843" t="n">
        <v>20000</v>
      </c>
      <c r="V109" s="843">
        <f>U109</f>
        <v/>
      </c>
      <c r="W109" s="846">
        <f>U109/G109</f>
        <v/>
      </c>
      <c r="X109" s="847">
        <f>SUM(U109-S109)/S109</f>
        <v/>
      </c>
      <c r="Y109" s="843" t="inlineStr">
        <is>
          <t>B</t>
        </is>
      </c>
      <c r="Z109" s="590" t="n"/>
      <c r="AA109" s="848" t="n"/>
      <c r="AB109" s="842" t="inlineStr">
        <is>
          <t>No</t>
        </is>
      </c>
      <c r="AC109" s="841" t="inlineStr">
        <is>
          <t>Tenant break on 6 months notice.</t>
        </is>
      </c>
      <c r="AF109" s="312" t="n"/>
    </row>
    <row r="110">
      <c r="A110" s="839" t="inlineStr">
        <is>
          <t>CM</t>
        </is>
      </c>
      <c r="B110" s="839" t="inlineStr">
        <is>
          <t>MEL</t>
        </is>
      </c>
      <c r="C110" s="840" t="n">
        <v>550090</v>
      </c>
      <c r="D110" s="841" t="inlineStr">
        <is>
          <t>76 Great Portland Street</t>
        </is>
      </c>
      <c r="E110" s="841" t="inlineStr">
        <is>
          <t>First to Fourth Floor</t>
        </is>
      </c>
      <c r="F110" s="842" t="inlineStr">
        <is>
          <t>Office</t>
        </is>
      </c>
      <c r="G110" s="849" t="n">
        <v>1765</v>
      </c>
      <c r="H110" s="849">
        <f>G110</f>
        <v/>
      </c>
      <c r="I110" s="849" t="n">
        <v>1750</v>
      </c>
      <c r="J110" s="841" t="inlineStr">
        <is>
          <t>Vacant</t>
        </is>
      </c>
      <c r="M110" s="845" t="n">
        <v>43256</v>
      </c>
      <c r="P110" s="843" t="n">
        <v>0</v>
      </c>
      <c r="Q110" s="843">
        <f>P110</f>
        <v/>
      </c>
      <c r="S110" s="843" t="n">
        <v>90000</v>
      </c>
      <c r="T110" s="843">
        <f>S110</f>
        <v/>
      </c>
      <c r="U110" s="843" t="n">
        <v>85000</v>
      </c>
      <c r="V110" s="843">
        <f>U110</f>
        <v/>
      </c>
      <c r="W110" s="846">
        <f>U110/G110</f>
        <v/>
      </c>
      <c r="X110" s="847">
        <f>SUM(U110-S110)/S110</f>
        <v/>
      </c>
      <c r="Y110" s="843" t="inlineStr">
        <is>
          <t>E</t>
        </is>
      </c>
      <c r="Z110" s="590" t="n"/>
      <c r="AA110" s="848" t="n"/>
      <c r="AB110" s="842" t="inlineStr">
        <is>
          <t>No</t>
        </is>
      </c>
      <c r="AC110" s="841" t="inlineStr">
        <is>
          <t>Mothballed.</t>
        </is>
      </c>
      <c r="AE110" s="29" t="n"/>
      <c r="AF110" s="313" t="n"/>
      <c r="AG110" s="29" t="n"/>
    </row>
    <row r="111">
      <c r="A111" s="839" t="inlineStr">
        <is>
          <t>WS</t>
        </is>
      </c>
      <c r="B111" s="839" t="inlineStr">
        <is>
          <t>MEL</t>
        </is>
      </c>
      <c r="C111" s="840" t="n">
        <v>550750</v>
      </c>
      <c r="D111" s="841" t="inlineStr">
        <is>
          <t>1 Great Titchfield Street</t>
        </is>
      </c>
      <c r="E111" s="841" t="inlineStr">
        <is>
          <t>Basement to Third Floor</t>
        </is>
      </c>
      <c r="F111" s="842" t="inlineStr">
        <is>
          <t>Shop/Snack Bar</t>
        </is>
      </c>
      <c r="G111" s="18" t="n">
        <v>1305</v>
      </c>
      <c r="H111" s="843">
        <f>G111</f>
        <v/>
      </c>
      <c r="I111" s="843" t="n">
        <v>1250</v>
      </c>
      <c r="J111" s="841" t="inlineStr">
        <is>
          <t>Tikkas Group Ltd</t>
        </is>
      </c>
      <c r="K111" s="844" t="n">
        <v>45748</v>
      </c>
      <c r="L111" s="845" t="n">
        <v>49399</v>
      </c>
      <c r="N111" s="845" t="n">
        <v>47574</v>
      </c>
      <c r="O111" s="845" t="n">
        <v>47573</v>
      </c>
      <c r="P111" s="843" t="n">
        <v>0</v>
      </c>
      <c r="Q111" s="843">
        <f>P111</f>
        <v/>
      </c>
      <c r="R111" s="591">
        <f>Q111</f>
        <v/>
      </c>
      <c r="S111" s="591" t="n">
        <v>90000</v>
      </c>
      <c r="T111" s="843">
        <f>S111</f>
        <v/>
      </c>
      <c r="U111" s="591" t="n">
        <v>90000</v>
      </c>
      <c r="V111" s="843">
        <f>U111</f>
        <v/>
      </c>
      <c r="W111" s="846">
        <f>U111/G111</f>
        <v/>
      </c>
      <c r="X111" s="847">
        <f>SUM(U111-S111)/S111</f>
        <v/>
      </c>
      <c r="Y111" s="843" t="inlineStr">
        <is>
          <t>D</t>
        </is>
      </c>
      <c r="Z111" s="590" t="n"/>
      <c r="AA111" s="591" t="n">
        <v>1630000</v>
      </c>
      <c r="AB111" s="842" t="inlineStr">
        <is>
          <t>No</t>
        </is>
      </c>
      <c r="AC111" s="841" t="inlineStr">
        <is>
          <t>Rent £90,000 wef 01/09/25. Tenant break on 6 months notice. 2 months rent free if break not exercised.</t>
        </is>
      </c>
      <c r="AD111" s="850" t="n">
        <v>69</v>
      </c>
      <c r="AF111" s="312" t="n">
        <v>10</v>
      </c>
      <c r="AG111" s="841" t="inlineStr">
        <is>
          <t>LEM</t>
        </is>
      </c>
    </row>
    <row r="112">
      <c r="A112" s="839" t="inlineStr">
        <is>
          <t>CM</t>
        </is>
      </c>
      <c r="B112" s="839" t="inlineStr">
        <is>
          <t>MEL</t>
        </is>
      </c>
      <c r="C112" s="840" t="n">
        <v>550880</v>
      </c>
      <c r="D112" s="841" t="inlineStr">
        <is>
          <t>3 Great Titchfield Street</t>
        </is>
      </c>
      <c r="E112" s="841" t="inlineStr">
        <is>
          <t>Basement &amp; Ground</t>
        </is>
      </c>
      <c r="F112" s="842" t="inlineStr">
        <is>
          <t>Restaurant</t>
        </is>
      </c>
      <c r="G112" s="856" t="n">
        <v>1440</v>
      </c>
      <c r="H112" s="843">
        <f>G112</f>
        <v/>
      </c>
      <c r="I112" s="843" t="n">
        <v>1500</v>
      </c>
      <c r="J112" s="841" t="inlineStr">
        <is>
          <t>Pho Trading Ltd.</t>
        </is>
      </c>
      <c r="K112" s="845" t="n">
        <v>43430</v>
      </c>
      <c r="L112" s="845" t="n">
        <v>47082</v>
      </c>
      <c r="N112" s="845" t="n">
        <v>45256</v>
      </c>
      <c r="P112" s="843" t="n">
        <v>100000</v>
      </c>
      <c r="Q112" s="843">
        <f>P112</f>
        <v/>
      </c>
      <c r="S112" s="843" t="n">
        <v>100000</v>
      </c>
      <c r="T112" s="843">
        <f>S112</f>
        <v/>
      </c>
      <c r="U112" s="843" t="n">
        <v>100000</v>
      </c>
      <c r="V112" s="843">
        <f>U112</f>
        <v/>
      </c>
      <c r="W112" s="846">
        <f>U112/G112</f>
        <v/>
      </c>
      <c r="X112" s="847">
        <f>SUM(U112-S112)/S112</f>
        <v/>
      </c>
      <c r="Y112" s="843" t="inlineStr">
        <is>
          <t>C</t>
        </is>
      </c>
      <c r="Z112" s="590" t="n"/>
      <c r="AA112" s="848" t="n"/>
      <c r="AB112" s="842" t="inlineStr">
        <is>
          <t>No</t>
        </is>
      </c>
      <c r="AC112" s="841" t="inlineStr">
        <is>
          <t>Rent review not activated due to level of passing rent.</t>
        </is>
      </c>
      <c r="AF112" s="312" t="n"/>
    </row>
    <row r="113">
      <c r="A113" s="839" t="inlineStr">
        <is>
          <t>CM</t>
        </is>
      </c>
      <c r="B113" s="839" t="inlineStr">
        <is>
          <t>MEL</t>
        </is>
      </c>
      <c r="C113" s="840" t="n">
        <v>550880</v>
      </c>
      <c r="D113" s="841" t="inlineStr">
        <is>
          <t>3 Great Titchfield Street</t>
        </is>
      </c>
      <c r="E113" s="841" t="inlineStr">
        <is>
          <t xml:space="preserve">First to Third Floor </t>
        </is>
      </c>
      <c r="F113" s="839" t="inlineStr">
        <is>
          <t>Flat</t>
        </is>
      </c>
      <c r="G113" s="849" t="n">
        <v>1082</v>
      </c>
      <c r="H113" s="843">
        <f>G113</f>
        <v/>
      </c>
      <c r="I113" s="843" t="n">
        <v>1000</v>
      </c>
      <c r="J113" s="857" t="inlineStr">
        <is>
          <t>Hewson Independent Trading Company Ltd</t>
        </is>
      </c>
      <c r="K113" s="845" t="n">
        <v>45065</v>
      </c>
      <c r="L113" s="845" t="n">
        <v>46160</v>
      </c>
      <c r="P113" s="843" t="n">
        <v>88400</v>
      </c>
      <c r="Q113" s="843">
        <f>P113</f>
        <v/>
      </c>
      <c r="S113" s="843" t="n">
        <v>58968</v>
      </c>
      <c r="T113" s="843">
        <f>S113</f>
        <v/>
      </c>
      <c r="U113" s="843" t="n">
        <v>58968</v>
      </c>
      <c r="V113" s="843">
        <f>U113</f>
        <v/>
      </c>
      <c r="W113" s="846">
        <f>U113/G113</f>
        <v/>
      </c>
      <c r="X113" s="847">
        <f>SUM(U113-S113)/S113</f>
        <v/>
      </c>
      <c r="Y113" s="843" t="inlineStr">
        <is>
          <t>D</t>
        </is>
      </c>
      <c r="Z113" s="590" t="n"/>
      <c r="AA113" s="848" t="n"/>
      <c r="AB113" s="842" t="inlineStr">
        <is>
          <t>No</t>
        </is>
      </c>
      <c r="AF113" s="312" t="n"/>
    </row>
    <row r="114">
      <c r="A114" s="839" t="inlineStr">
        <is>
          <t>WS</t>
        </is>
      </c>
      <c r="B114" s="839" t="inlineStr">
        <is>
          <t>MEL</t>
        </is>
      </c>
      <c r="C114" s="840" t="n">
        <v>550180</v>
      </c>
      <c r="D114" s="841" t="inlineStr">
        <is>
          <t>Great Titchfield House,  14-18 Great Titchfield Street</t>
        </is>
      </c>
      <c r="E114" s="841" t="inlineStr">
        <is>
          <t>Ground Floor &amp; Basement (South)</t>
        </is>
      </c>
      <c r="F114" s="842" t="inlineStr">
        <is>
          <t>Showroom</t>
        </is>
      </c>
      <c r="G114" s="849" t="n">
        <v>2026</v>
      </c>
      <c r="H114" s="849">
        <f>G114</f>
        <v/>
      </c>
      <c r="I114" s="849" t="n">
        <v>2000</v>
      </c>
      <c r="J114" s="841" t="inlineStr">
        <is>
          <t>Sound Disposition Limited</t>
        </is>
      </c>
      <c r="K114" s="844" t="n">
        <v>45247</v>
      </c>
      <c r="L114" s="845" t="n">
        <v>48899</v>
      </c>
      <c r="N114" s="845" t="n">
        <v>47074</v>
      </c>
      <c r="O114" s="845" t="n">
        <v>47073</v>
      </c>
      <c r="P114" s="843" t="n">
        <v>100000</v>
      </c>
      <c r="Q114" s="843">
        <f>P114</f>
        <v/>
      </c>
      <c r="S114" s="843" t="n">
        <v>71800</v>
      </c>
      <c r="T114" s="843">
        <f>S114</f>
        <v/>
      </c>
      <c r="U114" s="843" t="n">
        <v>100000</v>
      </c>
      <c r="V114" s="843">
        <f>U114</f>
        <v/>
      </c>
      <c r="W114" s="846">
        <f>U114/G114</f>
        <v/>
      </c>
      <c r="X114" s="847">
        <f>SUM(U114-S114)/S114</f>
        <v/>
      </c>
      <c r="Y114" s="843" t="inlineStr">
        <is>
          <t>C</t>
        </is>
      </c>
      <c r="Z114" s="590" t="n"/>
      <c r="AA114" s="848" t="n"/>
      <c r="AB114" s="842" t="inlineStr">
        <is>
          <t>No</t>
        </is>
      </c>
      <c r="AC114" s="841" t="inlineStr">
        <is>
          <t>Tenant break on 6 months notice. 5 months rent free if not exercised (spread over 12 months).</t>
        </is>
      </c>
      <c r="AF114" s="312" t="n"/>
    </row>
    <row r="115">
      <c r="A115" s="839" t="inlineStr">
        <is>
          <t>WS</t>
        </is>
      </c>
      <c r="B115" s="839" t="inlineStr">
        <is>
          <t>MEL</t>
        </is>
      </c>
      <c r="C115" s="840" t="n">
        <v>550180</v>
      </c>
      <c r="D115" s="841" t="inlineStr">
        <is>
          <t>Great Titchfield House,  14-18 Great Titchfield Street</t>
        </is>
      </c>
      <c r="E115" s="841" t="inlineStr">
        <is>
          <t>Ground Floor &amp; Basement (North)</t>
        </is>
      </c>
      <c r="F115" s="842" t="inlineStr">
        <is>
          <t>Showroom</t>
        </is>
      </c>
      <c r="G115" s="849" t="n">
        <v>2202</v>
      </c>
      <c r="H115" s="849">
        <f>G115</f>
        <v/>
      </c>
      <c r="I115" s="849" t="n">
        <v>2000</v>
      </c>
      <c r="J115" s="841" t="inlineStr">
        <is>
          <t>Godske Group A/S</t>
        </is>
      </c>
      <c r="K115" s="844" t="n">
        <v>44497</v>
      </c>
      <c r="L115" s="845" t="n">
        <v>46322</v>
      </c>
      <c r="P115" s="843" t="n">
        <v>96000</v>
      </c>
      <c r="Q115" s="843">
        <f>P115</f>
        <v/>
      </c>
      <c r="S115" s="843" t="n">
        <v>78600</v>
      </c>
      <c r="T115" s="843">
        <f>S115</f>
        <v/>
      </c>
      <c r="U115" s="843" t="n">
        <v>96000</v>
      </c>
      <c r="V115" s="843">
        <f>U115</f>
        <v/>
      </c>
      <c r="W115" s="846">
        <f>U115/G115</f>
        <v/>
      </c>
      <c r="X115" s="847">
        <f>SUM(U115-S115)/S115</f>
        <v/>
      </c>
      <c r="Y115" s="843" t="inlineStr">
        <is>
          <t>C</t>
        </is>
      </c>
      <c r="Z115" s="590" t="n"/>
      <c r="AA115" s="848" t="n"/>
      <c r="AB115" s="842" t="inlineStr">
        <is>
          <t>No</t>
        </is>
      </c>
      <c r="AF115" s="312" t="n"/>
    </row>
    <row r="116">
      <c r="A116" s="839" t="inlineStr">
        <is>
          <t>WS</t>
        </is>
      </c>
      <c r="B116" s="839" t="inlineStr">
        <is>
          <t>MEL</t>
        </is>
      </c>
      <c r="C116" s="840" t="n">
        <v>550180</v>
      </c>
      <c r="D116" s="841" t="inlineStr">
        <is>
          <t>Great Titchfield House,  14-18 Great Titchfield Street</t>
        </is>
      </c>
      <c r="E116" s="841" t="inlineStr">
        <is>
          <t>First Floor</t>
        </is>
      </c>
      <c r="F116" s="842" t="inlineStr">
        <is>
          <t>Recording Studio /Office</t>
        </is>
      </c>
      <c r="G116" s="849" t="n">
        <v>1977</v>
      </c>
      <c r="H116" s="849">
        <f>G116</f>
        <v/>
      </c>
      <c r="I116" s="849" t="n">
        <v>2000</v>
      </c>
      <c r="J116" s="841" t="inlineStr">
        <is>
          <t>Sound Disposition Limited</t>
        </is>
      </c>
      <c r="K116" s="844" t="n">
        <v>45441</v>
      </c>
      <c r="P116" s="843" t="n">
        <v>96000</v>
      </c>
      <c r="Q116" s="843">
        <f>P116</f>
        <v/>
      </c>
      <c r="S116" s="843" t="n">
        <v>121900</v>
      </c>
      <c r="T116" s="843">
        <f>S116</f>
        <v/>
      </c>
      <c r="U116" s="843" t="n">
        <v>133400</v>
      </c>
      <c r="V116" s="843">
        <f>U116</f>
        <v/>
      </c>
      <c r="W116" s="846">
        <f>U116/G116</f>
        <v/>
      </c>
      <c r="X116" s="847">
        <f>SUM(U116-S116)/S116</f>
        <v/>
      </c>
      <c r="Y116" s="843" t="inlineStr">
        <is>
          <t>D</t>
        </is>
      </c>
      <c r="Z116" s="590" t="n"/>
      <c r="AA116" s="848" t="n"/>
      <c r="AB116" s="842" t="inlineStr">
        <is>
          <t>No</t>
        </is>
      </c>
      <c r="AC116" s="841" t="inlineStr">
        <is>
          <t>Tenancy at will.</t>
        </is>
      </c>
      <c r="AE116" s="29" t="n"/>
      <c r="AF116" s="313" t="n"/>
      <c r="AG116" s="29" t="n"/>
    </row>
    <row r="117">
      <c r="A117" s="839" t="inlineStr">
        <is>
          <t>WS</t>
        </is>
      </c>
      <c r="B117" s="839" t="inlineStr">
        <is>
          <t>MEL</t>
        </is>
      </c>
      <c r="C117" s="840" t="n">
        <v>550180</v>
      </c>
      <c r="D117" s="841" t="inlineStr">
        <is>
          <t>Great Titchfield House,  14-18 Great Titchfield Street</t>
        </is>
      </c>
      <c r="E117" s="841" t="inlineStr">
        <is>
          <t>Second Floor</t>
        </is>
      </c>
      <c r="F117" s="842" t="inlineStr">
        <is>
          <t>Office</t>
        </is>
      </c>
      <c r="G117" s="849" t="n">
        <v>1938</v>
      </c>
      <c r="H117" s="849">
        <f>G117</f>
        <v/>
      </c>
      <c r="I117" s="849" t="n">
        <v>2000</v>
      </c>
      <c r="J117" s="841" t="inlineStr">
        <is>
          <t>Infront Sports &amp; Media UK Ltd</t>
        </is>
      </c>
      <c r="K117" s="844" t="n">
        <v>44768</v>
      </c>
      <c r="L117" s="845" t="n">
        <v>45863</v>
      </c>
      <c r="P117" s="843" t="n">
        <v>152250</v>
      </c>
      <c r="Q117" s="843">
        <f>P117</f>
        <v/>
      </c>
      <c r="S117" s="843" t="n">
        <v>121800</v>
      </c>
      <c r="T117" s="843">
        <f>S117</f>
        <v/>
      </c>
      <c r="U117" s="843" t="n">
        <v>130800</v>
      </c>
      <c r="V117" s="843">
        <f>U117</f>
        <v/>
      </c>
      <c r="W117" s="846">
        <f>U117/G117</f>
        <v/>
      </c>
      <c r="X117" s="847">
        <f>SUM(U117-S117)/S117</f>
        <v/>
      </c>
      <c r="Y117" s="843" t="inlineStr">
        <is>
          <t>D</t>
        </is>
      </c>
      <c r="Z117" s="590" t="n"/>
      <c r="AA117" s="848" t="n"/>
      <c r="AB117" s="842" t="inlineStr">
        <is>
          <t>No</t>
        </is>
      </c>
      <c r="AC117" s="841" t="inlineStr">
        <is>
          <t>Tenanct vacating on expiry.</t>
        </is>
      </c>
      <c r="AF117" s="312" t="n"/>
    </row>
    <row r="118">
      <c r="A118" s="839" t="inlineStr">
        <is>
          <t>WS</t>
        </is>
      </c>
      <c r="B118" s="839" t="inlineStr">
        <is>
          <t>MEL</t>
        </is>
      </c>
      <c r="C118" s="840" t="n">
        <v>550180</v>
      </c>
      <c r="D118" s="841" t="inlineStr">
        <is>
          <t>Great Titchfield House,  14-18 Great Titchfield Street</t>
        </is>
      </c>
      <c r="E118" s="841" t="inlineStr">
        <is>
          <t>Third Floor</t>
        </is>
      </c>
      <c r="F118" s="842" t="inlineStr">
        <is>
          <t>Showroom/ Office</t>
        </is>
      </c>
      <c r="G118" s="849" t="n">
        <v>1961</v>
      </c>
      <c r="H118" s="849">
        <f>G118</f>
        <v/>
      </c>
      <c r="I118" s="849" t="n">
        <v>2000</v>
      </c>
      <c r="J118" s="841" t="inlineStr">
        <is>
          <t>Sam Rogoff &amp; Co Ltd</t>
        </is>
      </c>
      <c r="K118" s="844" t="n">
        <v>45357</v>
      </c>
      <c r="L118" s="845" t="n">
        <v>47182</v>
      </c>
      <c r="P118" s="843" t="n">
        <v>137025</v>
      </c>
      <c r="Q118" s="843">
        <f>P118</f>
        <v/>
      </c>
      <c r="S118" s="843" t="n">
        <v>121800</v>
      </c>
      <c r="T118" s="843">
        <f>S118</f>
        <v/>
      </c>
      <c r="U118" s="843" t="n">
        <v>137035</v>
      </c>
      <c r="V118" s="843">
        <f>U118</f>
        <v/>
      </c>
      <c r="W118" s="846">
        <f>U118/G118</f>
        <v/>
      </c>
      <c r="X118" s="847">
        <f>SUM(U118-S118)/S118</f>
        <v/>
      </c>
      <c r="Y118" s="843" t="inlineStr">
        <is>
          <t>B</t>
        </is>
      </c>
      <c r="Z118" s="590" t="n"/>
      <c r="AA118" s="848" t="n"/>
      <c r="AB118" s="842" t="inlineStr">
        <is>
          <t>No</t>
        </is>
      </c>
      <c r="AC118" s="841" t="inlineStr">
        <is>
          <t>Rent PA corrected</t>
        </is>
      </c>
      <c r="AF118" s="312" t="n"/>
    </row>
    <row r="119">
      <c r="A119" s="839" t="inlineStr">
        <is>
          <t>WS</t>
        </is>
      </c>
      <c r="B119" s="839" t="inlineStr">
        <is>
          <t>MEL</t>
        </is>
      </c>
      <c r="C119" s="840" t="n">
        <v>550180</v>
      </c>
      <c r="D119" s="841" t="inlineStr">
        <is>
          <t>Great Titchfield House,  14-18 Great Titchfield Street</t>
        </is>
      </c>
      <c r="E119" s="841" t="inlineStr">
        <is>
          <t>Fourth Floor</t>
        </is>
      </c>
      <c r="F119" s="842" t="inlineStr">
        <is>
          <t>Showroom/ Office</t>
        </is>
      </c>
      <c r="G119" s="849" t="n">
        <v>1992</v>
      </c>
      <c r="H119" s="849">
        <f>G119</f>
        <v/>
      </c>
      <c r="I119" s="849" t="n">
        <v>2000</v>
      </c>
      <c r="J119" s="841" t="inlineStr">
        <is>
          <t>Vacant</t>
        </is>
      </c>
      <c r="K119" s="845" t="n"/>
      <c r="M119" s="845" t="n">
        <v>45596</v>
      </c>
      <c r="P119" s="843" t="n">
        <v>0</v>
      </c>
      <c r="Q119" s="843">
        <f>P119</f>
        <v/>
      </c>
      <c r="S119" s="843" t="n">
        <v>117300</v>
      </c>
      <c r="T119" s="843">
        <f>S119</f>
        <v/>
      </c>
      <c r="U119" s="843" t="n">
        <v>130325</v>
      </c>
      <c r="V119" s="843">
        <f>U119</f>
        <v/>
      </c>
      <c r="W119" s="846">
        <f>U119/G119</f>
        <v/>
      </c>
      <c r="X119" s="847">
        <f>SUM(U119-S119)/S119</f>
        <v/>
      </c>
      <c r="Y119" s="843" t="inlineStr">
        <is>
          <t>D</t>
        </is>
      </c>
      <c r="Z119" s="590" t="n"/>
      <c r="AA119" s="848" t="n"/>
      <c r="AB119" s="842" t="inlineStr">
        <is>
          <t>No</t>
        </is>
      </c>
      <c r="AC119" s="841" t="inlineStr">
        <is>
          <t>To be refurbished.</t>
        </is>
      </c>
      <c r="AD119" s="850" t="n">
        <v>72.5</v>
      </c>
      <c r="AE119" s="841" t="n">
        <v>4</v>
      </c>
      <c r="AF119" s="312" t="n">
        <v>9</v>
      </c>
      <c r="AG119" s="841" t="inlineStr">
        <is>
          <t>LEM</t>
        </is>
      </c>
    </row>
    <row r="120">
      <c r="A120" s="839" t="inlineStr">
        <is>
          <t>WS</t>
        </is>
      </c>
      <c r="B120" s="839" t="inlineStr">
        <is>
          <t>MEL</t>
        </is>
      </c>
      <c r="C120" s="840" t="n">
        <v>550180</v>
      </c>
      <c r="D120" s="841" t="inlineStr">
        <is>
          <t>Great Titchfield House,  14-18 Great Titchfield Street</t>
        </is>
      </c>
      <c r="E120" s="841" t="inlineStr">
        <is>
          <t>Fifth Floor</t>
        </is>
      </c>
      <c r="F120" s="842" t="inlineStr">
        <is>
          <t>Recording Studio/ Office</t>
        </is>
      </c>
      <c r="G120" s="849" t="n">
        <v>1468</v>
      </c>
      <c r="H120" s="849">
        <f>G120</f>
        <v/>
      </c>
      <c r="I120" s="849" t="n">
        <v>1500</v>
      </c>
      <c r="J120" s="841" t="inlineStr">
        <is>
          <t>Sine Audio Post Production Ltd</t>
        </is>
      </c>
      <c r="K120" s="844" t="n">
        <v>44805</v>
      </c>
      <c r="L120" s="845" t="n">
        <v>46630</v>
      </c>
      <c r="O120" s="845" t="n">
        <v>45900</v>
      </c>
      <c r="P120" s="843" t="n">
        <v>98280</v>
      </c>
      <c r="Q120" s="843">
        <f>P120</f>
        <v/>
      </c>
      <c r="S120" s="843" t="n">
        <v>100400</v>
      </c>
      <c r="T120" s="843">
        <f>S120</f>
        <v/>
      </c>
      <c r="U120" s="843" t="n">
        <v>99100</v>
      </c>
      <c r="V120" s="843">
        <f>U120</f>
        <v/>
      </c>
      <c r="W120" s="846">
        <f>U120/G120</f>
        <v/>
      </c>
      <c r="X120" s="847">
        <f>SUM(U120-S120)/S120</f>
        <v/>
      </c>
      <c r="Y120" s="617" t="inlineStr">
        <is>
          <t>B</t>
        </is>
      </c>
      <c r="Z120" s="590" t="n"/>
      <c r="AA120" s="848" t="n"/>
      <c r="AB120" s="842" t="inlineStr">
        <is>
          <t>No</t>
        </is>
      </c>
      <c r="AC120" s="841" t="inlineStr">
        <is>
          <t>Tenant break on 6 months notice. Rent concession to be granted to reflect cost of tenant installing air-con.</t>
        </is>
      </c>
      <c r="AF120" s="312" t="n"/>
    </row>
    <row r="121">
      <c r="A121" s="839" t="inlineStr">
        <is>
          <t>WS</t>
        </is>
      </c>
      <c r="B121" s="839" t="inlineStr">
        <is>
          <t>MEL</t>
        </is>
      </c>
      <c r="C121" s="840" t="n">
        <v>550420</v>
      </c>
      <c r="D121" s="841" t="inlineStr">
        <is>
          <t>Golderbrock House,  15-19 Great Titchfield Street</t>
        </is>
      </c>
      <c r="E121" s="841" t="inlineStr">
        <is>
          <t>Ground &amp; Basement (South)</t>
        </is>
      </c>
      <c r="F121" s="842" t="inlineStr">
        <is>
          <t>Showroom</t>
        </is>
      </c>
      <c r="G121" s="849" t="n">
        <v>1115</v>
      </c>
      <c r="H121" s="849">
        <f>G121</f>
        <v/>
      </c>
      <c r="I121" s="849" t="n">
        <v>1000</v>
      </c>
      <c r="J121" s="29" t="inlineStr">
        <is>
          <t>Dal Fiorentino Ltd</t>
        </is>
      </c>
      <c r="K121" s="844" t="n">
        <v>45504</v>
      </c>
      <c r="L121" s="845" t="n">
        <v>47329</v>
      </c>
      <c r="O121" s="845" t="n">
        <v>46599</v>
      </c>
      <c r="P121" s="843" t="n">
        <v>60000</v>
      </c>
      <c r="Q121" s="843">
        <f>P121</f>
        <v/>
      </c>
      <c r="S121" s="843" t="n">
        <v>50400</v>
      </c>
      <c r="T121" s="843">
        <f>S121</f>
        <v/>
      </c>
      <c r="U121" s="843" t="n">
        <v>63500</v>
      </c>
      <c r="V121" s="843">
        <f>U121</f>
        <v/>
      </c>
      <c r="W121" s="846">
        <f>U121/G121</f>
        <v/>
      </c>
      <c r="X121" s="847">
        <f>SUM(U121-S121)/S121</f>
        <v/>
      </c>
      <c r="Y121" s="843" t="inlineStr">
        <is>
          <t>C</t>
        </is>
      </c>
      <c r="Z121" s="590" t="n"/>
      <c r="AA121" s="848" t="n"/>
      <c r="AB121" s="842" t="inlineStr">
        <is>
          <t>No</t>
        </is>
      </c>
      <c r="AC121" s="841" t="inlineStr">
        <is>
          <t>Rent increasing to £65,000 wef 31/07/25. Tenant break on 6 months notice. Tenant name corrected.</t>
        </is>
      </c>
      <c r="AE121" s="29" t="n"/>
      <c r="AF121" s="313" t="n"/>
      <c r="AG121" s="29" t="n"/>
    </row>
    <row r="122">
      <c r="A122" s="839" t="inlineStr">
        <is>
          <t>WS</t>
        </is>
      </c>
      <c r="B122" s="839" t="inlineStr">
        <is>
          <t>MEL</t>
        </is>
      </c>
      <c r="C122" s="840" t="n">
        <v>550420</v>
      </c>
      <c r="D122" s="841" t="inlineStr">
        <is>
          <t>Golderbrock House,  15-19 Great Titchfield Street</t>
        </is>
      </c>
      <c r="E122" s="841" t="inlineStr">
        <is>
          <t>Basement (Rear)</t>
        </is>
      </c>
      <c r="F122" s="842" t="inlineStr">
        <is>
          <t>Recording Studio</t>
        </is>
      </c>
      <c r="G122" s="849" t="n">
        <v>488</v>
      </c>
      <c r="H122" s="849">
        <f>G122</f>
        <v/>
      </c>
      <c r="I122" s="849" t="n">
        <v>500</v>
      </c>
      <c r="J122" s="841" t="inlineStr">
        <is>
          <t>Soho Sonic Ltd.</t>
        </is>
      </c>
      <c r="K122" s="844" t="n">
        <v>45439</v>
      </c>
      <c r="L122" s="845" t="n">
        <v>47264</v>
      </c>
      <c r="P122" s="843" t="n">
        <v>16000</v>
      </c>
      <c r="Q122" s="843">
        <f>P122</f>
        <v/>
      </c>
      <c r="S122" s="843" t="n">
        <v>13100</v>
      </c>
      <c r="T122" s="843">
        <f>S122</f>
        <v/>
      </c>
      <c r="U122" s="843" t="n">
        <v>14600</v>
      </c>
      <c r="V122" s="843">
        <f>U122</f>
        <v/>
      </c>
      <c r="W122" s="846">
        <f>U122/G122</f>
        <v/>
      </c>
      <c r="X122" s="847">
        <f>SUM(U122-S122)/S122</f>
        <v/>
      </c>
      <c r="Y122" s="843" t="inlineStr">
        <is>
          <t>C</t>
        </is>
      </c>
      <c r="Z122" s="590" t="n"/>
      <c r="AA122" s="848" t="n"/>
      <c r="AB122" s="842" t="inlineStr">
        <is>
          <t>No</t>
        </is>
      </c>
      <c r="AC122" s="851" t="n"/>
      <c r="AE122" s="851" t="n"/>
      <c r="AF122" s="619" t="n"/>
      <c r="AG122" s="851" t="n"/>
    </row>
    <row r="123">
      <c r="A123" s="839" t="inlineStr">
        <is>
          <t>WS</t>
        </is>
      </c>
      <c r="B123" s="839" t="inlineStr">
        <is>
          <t>MEL</t>
        </is>
      </c>
      <c r="C123" s="840" t="n">
        <v>550420</v>
      </c>
      <c r="D123" s="841" t="inlineStr">
        <is>
          <t>Golderbrock House,  15-19 Great Titchfield Street</t>
        </is>
      </c>
      <c r="E123" s="841" t="inlineStr">
        <is>
          <t>Ground &amp; Basement (North)</t>
        </is>
      </c>
      <c r="F123" s="842" t="inlineStr">
        <is>
          <t>Showroom</t>
        </is>
      </c>
      <c r="G123" s="849" t="n">
        <v>1064</v>
      </c>
      <c r="H123" s="849">
        <f>G123</f>
        <v/>
      </c>
      <c r="I123" s="849" t="n">
        <v>100</v>
      </c>
      <c r="J123" s="841" t="inlineStr">
        <is>
          <t>Gillian Jason Modern &amp; Contemporary Art Ltd</t>
        </is>
      </c>
      <c r="K123" s="844" t="n">
        <v>44515</v>
      </c>
      <c r="L123" s="845" t="n">
        <v>46340</v>
      </c>
      <c r="P123" s="843" t="n">
        <v>48000</v>
      </c>
      <c r="Q123" s="843">
        <f>P123</f>
        <v/>
      </c>
      <c r="S123" s="843" t="n">
        <v>48000</v>
      </c>
      <c r="T123" s="843">
        <f>S123</f>
        <v/>
      </c>
      <c r="U123" s="843" t="n">
        <v>48000</v>
      </c>
      <c r="V123" s="843">
        <f>U123</f>
        <v/>
      </c>
      <c r="W123" s="846">
        <f>U123/G123</f>
        <v/>
      </c>
      <c r="X123" s="847">
        <f>SUM(U123-S123)/S123</f>
        <v/>
      </c>
      <c r="Y123" s="843" t="inlineStr">
        <is>
          <t>D</t>
        </is>
      </c>
      <c r="Z123" s="590" t="n"/>
      <c r="AA123" s="848" t="n"/>
      <c r="AB123" s="842" t="inlineStr">
        <is>
          <t>No</t>
        </is>
      </c>
      <c r="AF123" s="312" t="n"/>
    </row>
    <row r="124">
      <c r="A124" s="839" t="inlineStr">
        <is>
          <t>WS</t>
        </is>
      </c>
      <c r="B124" s="839" t="inlineStr">
        <is>
          <t>MEL</t>
        </is>
      </c>
      <c r="C124" s="840" t="n">
        <v>550420</v>
      </c>
      <c r="D124" s="841" t="inlineStr">
        <is>
          <t>Golderbrock House,  15-19 Great Titchfield Street</t>
        </is>
      </c>
      <c r="E124" s="841" t="inlineStr">
        <is>
          <t xml:space="preserve">Ground Floor (Rear) </t>
        </is>
      </c>
      <c r="F124" s="842" t="inlineStr">
        <is>
          <t>Office</t>
        </is>
      </c>
      <c r="G124" s="849" t="n">
        <v>325</v>
      </c>
      <c r="H124" s="849">
        <f>G124</f>
        <v/>
      </c>
      <c r="I124" s="849" t="n">
        <v>500</v>
      </c>
      <c r="J124" s="841" t="inlineStr">
        <is>
          <t>Arlettie London Ltd.</t>
        </is>
      </c>
      <c r="K124" s="844" t="n">
        <v>45709</v>
      </c>
      <c r="L124" s="845" t="n">
        <v>47066</v>
      </c>
      <c r="P124" s="843" t="n">
        <v>25310</v>
      </c>
      <c r="Q124" s="843">
        <f>P124</f>
        <v/>
      </c>
      <c r="S124" s="843" t="n">
        <v>28000</v>
      </c>
      <c r="T124" s="843">
        <f>S124</f>
        <v/>
      </c>
      <c r="U124" s="843" t="n">
        <v>27600</v>
      </c>
      <c r="V124" s="843">
        <f>U124</f>
        <v/>
      </c>
      <c r="W124" s="846">
        <f>U124/G124</f>
        <v/>
      </c>
      <c r="X124" s="847">
        <f>SUM(U124-S124)/S124</f>
        <v/>
      </c>
      <c r="Y124" s="617" t="inlineStr">
        <is>
          <t>B</t>
        </is>
      </c>
      <c r="Z124" s="590" t="n"/>
      <c r="AA124" s="848" t="n"/>
      <c r="AB124" s="842" t="inlineStr">
        <is>
          <t>No</t>
        </is>
      </c>
      <c r="AC124" s="841" t="inlineStr">
        <is>
          <t>All inclusive excluding rates.</t>
        </is>
      </c>
      <c r="AF124" s="312" t="n">
        <v>1</v>
      </c>
      <c r="AG124" s="841" t="inlineStr">
        <is>
          <t>LEM</t>
        </is>
      </c>
    </row>
    <row r="125">
      <c r="A125" s="839" t="inlineStr">
        <is>
          <t>WS</t>
        </is>
      </c>
      <c r="B125" s="839" t="inlineStr">
        <is>
          <t>MEL</t>
        </is>
      </c>
      <c r="C125" s="840" t="n">
        <v>550420</v>
      </c>
      <c r="D125" s="841" t="inlineStr">
        <is>
          <t>Golderbrock House,  15-19 Great Titchfield Street</t>
        </is>
      </c>
      <c r="E125" s="841" t="inlineStr">
        <is>
          <t>First Floor (Front)</t>
        </is>
      </c>
      <c r="F125" s="842" t="inlineStr">
        <is>
          <t>Office</t>
        </is>
      </c>
      <c r="G125" s="849" t="n">
        <v>1335</v>
      </c>
      <c r="H125" s="849">
        <f>G125</f>
        <v/>
      </c>
      <c r="I125" s="849" t="n">
        <v>1250</v>
      </c>
      <c r="J125" s="841" t="inlineStr">
        <is>
          <t>Space Workplace Ltd</t>
        </is>
      </c>
      <c r="K125" s="844" t="n">
        <v>45624</v>
      </c>
      <c r="L125" s="845" t="n">
        <v>47449</v>
      </c>
      <c r="O125" s="845" t="n">
        <v>46718</v>
      </c>
      <c r="P125" s="843" t="n">
        <v>40200</v>
      </c>
      <c r="Q125" s="843">
        <f>P125</f>
        <v/>
      </c>
      <c r="S125" s="843" t="n">
        <v>73700</v>
      </c>
      <c r="T125" s="843">
        <f>S125</f>
        <v/>
      </c>
      <c r="U125" s="843" t="n">
        <v>75710</v>
      </c>
      <c r="V125" s="843">
        <f>U125</f>
        <v/>
      </c>
      <c r="W125" s="846">
        <f>U125/G125</f>
        <v/>
      </c>
      <c r="X125" s="847">
        <f>SUM(U125-S125)/S125</f>
        <v/>
      </c>
      <c r="Y125" s="617" t="inlineStr">
        <is>
          <t>B</t>
        </is>
      </c>
      <c r="Z125" s="590" t="n"/>
      <c r="AA125" s="848" t="n"/>
      <c r="AB125" s="842" t="inlineStr">
        <is>
          <t>No</t>
        </is>
      </c>
      <c r="AC125" s="841" t="inlineStr">
        <is>
          <t>Rent increases to £80,400 wef 28/11/25. Tenant break on 6 months notice.</t>
        </is>
      </c>
      <c r="AF125" s="312" t="n">
        <v>1</v>
      </c>
      <c r="AG125" s="841" t="inlineStr">
        <is>
          <t>LEM</t>
        </is>
      </c>
    </row>
    <row r="126">
      <c r="A126" s="839" t="inlineStr">
        <is>
          <t>WS</t>
        </is>
      </c>
      <c r="B126" s="839" t="inlineStr">
        <is>
          <t>MEL</t>
        </is>
      </c>
      <c r="C126" s="840" t="n">
        <v>550420</v>
      </c>
      <c r="D126" s="841" t="inlineStr">
        <is>
          <t>Golderbrock House,  15-19 Great Titchfield Street</t>
        </is>
      </c>
      <c r="E126" s="841" t="inlineStr">
        <is>
          <t>First Floor (Rear)</t>
        </is>
      </c>
      <c r="F126" s="842" t="inlineStr">
        <is>
          <t>Office</t>
        </is>
      </c>
      <c r="G126" s="849" t="n">
        <v>533</v>
      </c>
      <c r="H126" s="849">
        <f>G126</f>
        <v/>
      </c>
      <c r="I126" s="849" t="n">
        <v>500</v>
      </c>
      <c r="J126" s="841" t="inlineStr">
        <is>
          <t>Vacant</t>
        </is>
      </c>
      <c r="M126" s="845" t="n">
        <v>44536</v>
      </c>
      <c r="P126" s="843" t="n">
        <v>0</v>
      </c>
      <c r="Q126" s="843">
        <f>P126</f>
        <v/>
      </c>
      <c r="S126" s="843" t="n">
        <v>28900</v>
      </c>
      <c r="T126" s="843">
        <f>S126</f>
        <v/>
      </c>
      <c r="U126" s="843" t="n">
        <v>29300</v>
      </c>
      <c r="V126" s="843">
        <f>U126</f>
        <v/>
      </c>
      <c r="W126" s="846">
        <f>U126/G126</f>
        <v/>
      </c>
      <c r="X126" s="847">
        <f>SUM(U126-S126)/S126</f>
        <v/>
      </c>
      <c r="Y126" s="843" t="inlineStr">
        <is>
          <t>C</t>
        </is>
      </c>
      <c r="Z126" s="590" t="n"/>
      <c r="AA126" s="848" t="n"/>
      <c r="AB126" s="842" t="inlineStr">
        <is>
          <t>No</t>
        </is>
      </c>
      <c r="AC126" s="841" t="inlineStr">
        <is>
          <t>To be refurbished.</t>
        </is>
      </c>
      <c r="AE126" s="841" t="n">
        <v>1</v>
      </c>
      <c r="AF126" s="312" t="n">
        <v>1</v>
      </c>
    </row>
    <row r="127">
      <c r="A127" s="839" t="inlineStr">
        <is>
          <t>WS</t>
        </is>
      </c>
      <c r="B127" s="839" t="inlineStr">
        <is>
          <t>MEL</t>
        </is>
      </c>
      <c r="C127" s="840" t="n">
        <v>550420</v>
      </c>
      <c r="D127" s="841" t="inlineStr">
        <is>
          <t>Golderbrock House,  15-19 Great Titchfield Street</t>
        </is>
      </c>
      <c r="E127" s="841" t="inlineStr">
        <is>
          <t>Second Floor</t>
        </is>
      </c>
      <c r="F127" s="842" t="inlineStr">
        <is>
          <t>Office</t>
        </is>
      </c>
      <c r="G127" s="849" t="n">
        <v>1404</v>
      </c>
      <c r="H127" s="849">
        <f>G127</f>
        <v/>
      </c>
      <c r="I127" s="849" t="n">
        <v>1500</v>
      </c>
      <c r="J127" s="841" t="inlineStr">
        <is>
          <t>Final Cut Ltd.</t>
        </is>
      </c>
      <c r="K127" s="844" t="n">
        <v>44490</v>
      </c>
      <c r="L127" s="845" t="n">
        <v>45930</v>
      </c>
      <c r="N127" s="845" t="n">
        <v>45258</v>
      </c>
      <c r="P127" s="843" t="n">
        <v>78000</v>
      </c>
      <c r="Q127" s="843">
        <f>P127</f>
        <v/>
      </c>
      <c r="S127" s="843" t="n">
        <v>79100</v>
      </c>
      <c r="T127" s="843">
        <f>S127</f>
        <v/>
      </c>
      <c r="U127" s="843" t="n">
        <v>80700</v>
      </c>
      <c r="V127" s="843">
        <f>U127</f>
        <v/>
      </c>
      <c r="W127" s="846">
        <f>U127/G127</f>
        <v/>
      </c>
      <c r="X127" s="847">
        <f>SUM(U127-S127)/S127</f>
        <v/>
      </c>
      <c r="Y127" s="843" t="inlineStr">
        <is>
          <t>C</t>
        </is>
      </c>
      <c r="Z127" s="590" t="n"/>
      <c r="AA127" s="848" t="n"/>
      <c r="AB127" s="842" t="inlineStr">
        <is>
          <t>No</t>
        </is>
      </c>
      <c r="AF127" s="312" t="n"/>
    </row>
    <row r="128">
      <c r="A128" s="839" t="inlineStr">
        <is>
          <t>WS</t>
        </is>
      </c>
      <c r="B128" s="839" t="inlineStr">
        <is>
          <t>MEL</t>
        </is>
      </c>
      <c r="C128" s="840" t="n">
        <v>550420</v>
      </c>
      <c r="D128" s="841" t="inlineStr">
        <is>
          <t>Golderbrock House,  15-19 Great Titchfield Street</t>
        </is>
      </c>
      <c r="E128" s="841" t="inlineStr">
        <is>
          <t>Third Floor</t>
        </is>
      </c>
      <c r="F128" s="842" t="inlineStr">
        <is>
          <t>Office</t>
        </is>
      </c>
      <c r="G128" s="849" t="n">
        <v>1404</v>
      </c>
      <c r="H128" s="849">
        <f>G128</f>
        <v/>
      </c>
      <c r="I128" s="849" t="n">
        <v>1500</v>
      </c>
      <c r="J128" s="841" t="inlineStr">
        <is>
          <t>Final Cut Ltd.</t>
        </is>
      </c>
      <c r="K128" s="844" t="n">
        <v>45259</v>
      </c>
      <c r="L128" s="845" t="n">
        <v>45930</v>
      </c>
      <c r="M128" s="845" t="n"/>
      <c r="N128" s="845" t="n"/>
      <c r="O128" s="845" t="n">
        <v>45930</v>
      </c>
      <c r="P128" s="843" t="n">
        <v>78800</v>
      </c>
      <c r="Q128" s="843">
        <f>P128</f>
        <v/>
      </c>
      <c r="R128" s="843" t="n"/>
      <c r="S128" s="843" t="n">
        <v>79600</v>
      </c>
      <c r="T128" s="843">
        <f>S128</f>
        <v/>
      </c>
      <c r="U128" s="843" t="n">
        <v>80700</v>
      </c>
      <c r="V128" s="843">
        <f>U128</f>
        <v/>
      </c>
      <c r="W128" s="846">
        <f>U128/G128</f>
        <v/>
      </c>
      <c r="X128" s="847">
        <f>SUM(U128-S128)/S128</f>
        <v/>
      </c>
      <c r="Y128" s="843" t="inlineStr">
        <is>
          <t>C</t>
        </is>
      </c>
      <c r="Z128" s="590" t="n"/>
      <c r="AA128" s="848" t="n"/>
      <c r="AB128" s="842" t="inlineStr">
        <is>
          <t>No</t>
        </is>
      </c>
      <c r="AC128" s="841" t="inlineStr">
        <is>
          <t>Tenant break on 6 months notice. Tenant break exercised. Lease to end on 30/09/25 if conditions met.</t>
        </is>
      </c>
      <c r="AD128" s="850" t="n"/>
      <c r="AE128" s="841" t="n"/>
      <c r="AF128" s="312" t="n"/>
      <c r="AG128" s="841" t="n"/>
    </row>
    <row r="129">
      <c r="A129" s="839" t="inlineStr">
        <is>
          <t>WS</t>
        </is>
      </c>
      <c r="B129" s="839" t="inlineStr">
        <is>
          <t>MEL</t>
        </is>
      </c>
      <c r="C129" s="840" t="n">
        <v>550420</v>
      </c>
      <c r="D129" s="841" t="inlineStr">
        <is>
          <t>Golderbrock House,  15-19 Great Titchfield Street</t>
        </is>
      </c>
      <c r="E129" s="841" t="inlineStr">
        <is>
          <t>Fourth Floor</t>
        </is>
      </c>
      <c r="F129" s="842" t="inlineStr">
        <is>
          <t>Office</t>
        </is>
      </c>
      <c r="G129" s="849" t="n">
        <v>1330</v>
      </c>
      <c r="H129" s="849">
        <f>G129</f>
        <v/>
      </c>
      <c r="I129" s="849" t="n">
        <v>1250</v>
      </c>
      <c r="J129" s="841" t="inlineStr">
        <is>
          <t>Autonomous UK Operations Ltd</t>
        </is>
      </c>
      <c r="K129" s="844" t="n">
        <v>45762</v>
      </c>
      <c r="L129" s="845" t="n">
        <v>47587</v>
      </c>
      <c r="M129" s="845" t="n"/>
      <c r="N129" s="845" t="n"/>
      <c r="O129" s="845" t="n">
        <v>46857</v>
      </c>
      <c r="P129" s="843" t="n">
        <v>86450</v>
      </c>
      <c r="Q129" s="843">
        <f>P129</f>
        <v/>
      </c>
      <c r="R129" s="843" t="n"/>
      <c r="S129" s="843" t="n">
        <v>78200</v>
      </c>
      <c r="T129" s="843">
        <f>S129</f>
        <v/>
      </c>
      <c r="U129" s="843" t="n">
        <v>76500</v>
      </c>
      <c r="V129" s="843">
        <f>U129</f>
        <v/>
      </c>
      <c r="W129" s="846">
        <f>U129/G129</f>
        <v/>
      </c>
      <c r="X129" s="847">
        <f>SUM(U129-S129)/S129</f>
        <v/>
      </c>
      <c r="Y129" s="843" t="inlineStr">
        <is>
          <t>B</t>
        </is>
      </c>
      <c r="Z129" s="590" t="n"/>
      <c r="AA129" s="848" t="n"/>
      <c r="AB129" s="842" t="inlineStr">
        <is>
          <t>No</t>
        </is>
      </c>
      <c r="AC129" s="841" t="inlineStr">
        <is>
          <t>Tenant break on 6 months notice.</t>
        </is>
      </c>
      <c r="AD129" s="850" t="n">
        <v>63</v>
      </c>
      <c r="AE129" s="841" t="n"/>
      <c r="AF129" s="312" t="n">
        <v>4</v>
      </c>
      <c r="AG129" s="841" t="inlineStr">
        <is>
          <t>LEM</t>
        </is>
      </c>
    </row>
    <row r="130">
      <c r="A130" s="839" t="inlineStr">
        <is>
          <t>SH</t>
        </is>
      </c>
      <c r="B130" s="839" t="inlineStr">
        <is>
          <t>MEL</t>
        </is>
      </c>
      <c r="C130" s="840" t="n">
        <v>550190</v>
      </c>
      <c r="D130" s="841" t="inlineStr">
        <is>
          <t>Circus House,  21 Great Titchfield Street</t>
        </is>
      </c>
      <c r="E130" s="841" t="inlineStr">
        <is>
          <t>Basement &amp; Ground (East)</t>
        </is>
      </c>
      <c r="F130" s="842" t="inlineStr">
        <is>
          <t>Showroom/ Office</t>
        </is>
      </c>
      <c r="G130" s="849" t="n">
        <v>3443</v>
      </c>
      <c r="H130" s="849">
        <f>G130</f>
        <v/>
      </c>
      <c r="I130" s="849" t="n">
        <v>3500</v>
      </c>
      <c r="J130" s="841" t="inlineStr">
        <is>
          <t>The Graphical Tree Ltd</t>
        </is>
      </c>
      <c r="K130" s="844" t="n">
        <v>44348</v>
      </c>
      <c r="L130" s="845" t="n">
        <v>47999</v>
      </c>
      <c r="N130" s="845" t="n">
        <v>46174</v>
      </c>
      <c r="O130" s="845" t="n">
        <v>46173</v>
      </c>
      <c r="P130" s="843" t="n">
        <v>75000</v>
      </c>
      <c r="Q130" s="843">
        <f>P130</f>
        <v/>
      </c>
      <c r="S130" s="843" t="n">
        <v>75800</v>
      </c>
      <c r="T130" s="843">
        <f>S130</f>
        <v/>
      </c>
      <c r="U130" s="843" t="n">
        <v>75000</v>
      </c>
      <c r="V130" s="843">
        <f>U130</f>
        <v/>
      </c>
      <c r="W130" s="846">
        <f>U130/G130</f>
        <v/>
      </c>
      <c r="X130" s="847">
        <f>SUM(U130-S130)/S130</f>
        <v/>
      </c>
      <c r="Y130" s="843" t="inlineStr">
        <is>
          <t>B</t>
        </is>
      </c>
      <c r="Z130" s="590" t="n"/>
      <c r="AA130" s="848" t="n"/>
      <c r="AB130" s="842" t="inlineStr">
        <is>
          <t>No</t>
        </is>
      </c>
      <c r="AC130" s="841" t="inlineStr">
        <is>
          <t>Tenant break on 6 months notice. Rent free 01/06/26 to 31/08/26 if not exercised. Landlord rolling break from 07/10/25.</t>
        </is>
      </c>
      <c r="AF130" s="312" t="n"/>
    </row>
    <row r="131">
      <c r="A131" s="839" t="inlineStr">
        <is>
          <t>SH</t>
        </is>
      </c>
      <c r="B131" s="839" t="inlineStr">
        <is>
          <t>MEL</t>
        </is>
      </c>
      <c r="C131" s="840" t="n">
        <v>550190</v>
      </c>
      <c r="D131" s="841" t="inlineStr">
        <is>
          <t>Circus House,  21 Great Titchfield Street</t>
        </is>
      </c>
      <c r="E131" s="841" t="inlineStr">
        <is>
          <t>Ground Floor (West)</t>
        </is>
      </c>
      <c r="F131" s="842" t="inlineStr">
        <is>
          <t>Office</t>
        </is>
      </c>
      <c r="G131" s="849" t="n">
        <v>1946</v>
      </c>
      <c r="H131" s="849">
        <f>G131</f>
        <v/>
      </c>
      <c r="I131" s="849" t="n">
        <v>2000</v>
      </c>
      <c r="J131" s="841" t="inlineStr">
        <is>
          <t>Vacant</t>
        </is>
      </c>
      <c r="M131" s="845" t="n">
        <v>45154</v>
      </c>
      <c r="P131" s="843" t="n">
        <v>0</v>
      </c>
      <c r="Q131" s="843">
        <f>P131</f>
        <v/>
      </c>
      <c r="S131" s="843" t="n">
        <v>113900</v>
      </c>
      <c r="T131" s="843">
        <f>S131</f>
        <v/>
      </c>
      <c r="U131" s="843" t="n">
        <v>116800</v>
      </c>
      <c r="V131" s="843">
        <f>U131</f>
        <v/>
      </c>
      <c r="W131" s="846">
        <f>U131/G131</f>
        <v/>
      </c>
      <c r="X131" s="847">
        <f>SUM(U131-S131)/S131</f>
        <v/>
      </c>
      <c r="Y131" s="843" t="inlineStr">
        <is>
          <t>E</t>
        </is>
      </c>
      <c r="Z131" s="590" t="n"/>
      <c r="AA131" s="848" t="n"/>
      <c r="AB131" s="842" t="inlineStr">
        <is>
          <t>No</t>
        </is>
      </c>
      <c r="AC131" s="841" t="inlineStr">
        <is>
          <t>LEM marketing.</t>
        </is>
      </c>
      <c r="AD131" s="850" t="n">
        <v>60</v>
      </c>
      <c r="AE131" s="841" t="n">
        <v>5</v>
      </c>
      <c r="AF131" s="312" t="n">
        <v>11</v>
      </c>
      <c r="AG131" s="841" t="inlineStr">
        <is>
          <t>LEM</t>
        </is>
      </c>
    </row>
    <row r="132">
      <c r="A132" s="839" t="inlineStr">
        <is>
          <t>SH</t>
        </is>
      </c>
      <c r="B132" s="839" t="inlineStr">
        <is>
          <t>MEL</t>
        </is>
      </c>
      <c r="C132" s="840" t="n">
        <v>550190</v>
      </c>
      <c r="D132" s="841" t="inlineStr">
        <is>
          <t>Circus House,  21 Great Titchfield Street</t>
        </is>
      </c>
      <c r="E132" s="841" t="inlineStr">
        <is>
          <t>First Floor</t>
        </is>
      </c>
      <c r="F132" s="842" t="inlineStr">
        <is>
          <t>Office</t>
        </is>
      </c>
      <c r="G132" s="849" t="n">
        <v>2319</v>
      </c>
      <c r="H132" s="849">
        <f>G132</f>
        <v/>
      </c>
      <c r="I132" s="849" t="n">
        <v>2250</v>
      </c>
      <c r="J132" s="841" t="inlineStr">
        <is>
          <t>Dawbell Limited</t>
        </is>
      </c>
      <c r="K132" s="844" t="n">
        <v>44839</v>
      </c>
      <c r="L132" s="845" t="n">
        <v>46664</v>
      </c>
      <c r="O132" s="845" t="n">
        <v>45935</v>
      </c>
      <c r="P132" s="843" t="n">
        <v>153216</v>
      </c>
      <c r="Q132" s="843">
        <f>P132</f>
        <v/>
      </c>
      <c r="S132" s="843" t="n">
        <v>153600</v>
      </c>
      <c r="T132" s="843">
        <f>S132</f>
        <v/>
      </c>
      <c r="U132" s="843" t="n">
        <v>151900</v>
      </c>
      <c r="V132" s="843">
        <f>U132</f>
        <v/>
      </c>
      <c r="W132" s="846">
        <f>U132/G132</f>
        <v/>
      </c>
      <c r="X132" s="847">
        <f>SUM(U132-S132)/S132</f>
        <v/>
      </c>
      <c r="Y132" s="843" t="inlineStr">
        <is>
          <t>D</t>
        </is>
      </c>
      <c r="Z132" s="590" t="n"/>
      <c r="AA132" s="848" t="n"/>
      <c r="AB132" s="842" t="inlineStr">
        <is>
          <t>No</t>
        </is>
      </c>
      <c r="AC132" s="841" t="inlineStr">
        <is>
          <t>Rent reducing to £134,064 wef 05/10/25. Tenant break on 6 months notice.</t>
        </is>
      </c>
      <c r="AF132" s="312" t="n"/>
    </row>
    <row r="133">
      <c r="A133" s="839" t="inlineStr">
        <is>
          <t>SH</t>
        </is>
      </c>
      <c r="B133" s="839" t="inlineStr">
        <is>
          <t>MEL</t>
        </is>
      </c>
      <c r="C133" s="840" t="n">
        <v>550190</v>
      </c>
      <c r="D133" s="841" t="inlineStr">
        <is>
          <t>Circus House,  21 Great Titchfield Street</t>
        </is>
      </c>
      <c r="E133" s="841" t="inlineStr">
        <is>
          <t>Second &amp; Third Floors</t>
        </is>
      </c>
      <c r="F133" s="842" t="inlineStr">
        <is>
          <t>Office</t>
        </is>
      </c>
      <c r="G133" s="849" t="n">
        <v>4653</v>
      </c>
      <c r="H133" s="849">
        <f>G133</f>
        <v/>
      </c>
      <c r="I133" s="849" t="n">
        <v>4500</v>
      </c>
      <c r="J133" s="841" t="inlineStr">
        <is>
          <t>Mesmerise Global Limited</t>
        </is>
      </c>
      <c r="K133" s="844" t="n">
        <v>44879</v>
      </c>
      <c r="L133" s="845" t="n">
        <v>46704</v>
      </c>
      <c r="O133" s="845" t="n">
        <v>45974</v>
      </c>
      <c r="P133" s="843" t="n">
        <v>310500</v>
      </c>
      <c r="Q133" s="843">
        <f>P133</f>
        <v/>
      </c>
      <c r="S133" s="843" t="n">
        <v>310800</v>
      </c>
      <c r="T133" s="843">
        <f>S133</f>
        <v/>
      </c>
      <c r="U133" s="843" t="n">
        <v>316400</v>
      </c>
      <c r="V133" s="843">
        <f>U133</f>
        <v/>
      </c>
      <c r="W133" s="846">
        <f>U133/G133</f>
        <v/>
      </c>
      <c r="X133" s="847">
        <f>SUM(U133-S133)/S133</f>
        <v/>
      </c>
      <c r="Y133" s="843" t="inlineStr">
        <is>
          <t>D</t>
        </is>
      </c>
      <c r="Z133" s="590" t="n"/>
      <c r="AA133" s="848" t="n"/>
      <c r="AB133" s="842" t="inlineStr">
        <is>
          <t>No</t>
        </is>
      </c>
      <c r="AC133" s="841" t="inlineStr">
        <is>
          <t>Tenant break on 6 months notice. 3 months rent free if not exercised. Break notice served. Ongoing discussions regarding renewal of one floor.</t>
        </is>
      </c>
      <c r="AF133" s="312" t="n"/>
    </row>
    <row r="134">
      <c r="A134" s="839" t="inlineStr">
        <is>
          <t>SH</t>
        </is>
      </c>
      <c r="B134" s="839" t="inlineStr">
        <is>
          <t>MEL</t>
        </is>
      </c>
      <c r="C134" s="840" t="n">
        <v>550190</v>
      </c>
      <c r="D134" s="841" t="inlineStr">
        <is>
          <t>Circus House,  21 Great Titchfield Street</t>
        </is>
      </c>
      <c r="E134" s="841" t="inlineStr">
        <is>
          <t>Fourth Floor</t>
        </is>
      </c>
      <c r="F134" s="842" t="inlineStr">
        <is>
          <t>Office</t>
        </is>
      </c>
      <c r="G134" s="849" t="n">
        <v>2316</v>
      </c>
      <c r="H134" s="849">
        <f>G134</f>
        <v/>
      </c>
      <c r="I134" s="849" t="n">
        <v>2250</v>
      </c>
      <c r="J134" s="841" t="inlineStr">
        <is>
          <t>Marstead Living Limited</t>
        </is>
      </c>
      <c r="K134" s="844" t="n">
        <v>44883</v>
      </c>
      <c r="L134" s="845" t="n">
        <v>46708</v>
      </c>
      <c r="O134" s="845" t="n">
        <v>45978</v>
      </c>
      <c r="P134" s="843" t="n">
        <v>151875</v>
      </c>
      <c r="Q134" s="843">
        <f>P134</f>
        <v/>
      </c>
      <c r="S134" s="843" t="n">
        <v>152900</v>
      </c>
      <c r="T134" s="843">
        <f>S134</f>
        <v/>
      </c>
      <c r="U134" s="843" t="n">
        <v>157500</v>
      </c>
      <c r="V134" s="843">
        <f>U134</f>
        <v/>
      </c>
      <c r="W134" s="846">
        <f>U134/G134</f>
        <v/>
      </c>
      <c r="X134" s="847">
        <f>SUM(U134-S134)/S134</f>
        <v/>
      </c>
      <c r="Y134" s="843" t="inlineStr">
        <is>
          <t>E</t>
        </is>
      </c>
      <c r="Z134" s="590" t="n"/>
      <c r="AA134" s="848" t="n"/>
      <c r="AB134" s="842" t="inlineStr">
        <is>
          <t>No</t>
        </is>
      </c>
      <c r="AC134" s="841" t="inlineStr">
        <is>
          <t>Tenant break on 6 months notice. 3 months rent free if not exercised.</t>
        </is>
      </c>
      <c r="AF134" s="312" t="n"/>
    </row>
    <row r="135">
      <c r="A135" s="839" t="inlineStr">
        <is>
          <t>SH</t>
        </is>
      </c>
      <c r="B135" s="839" t="inlineStr">
        <is>
          <t>MEL</t>
        </is>
      </c>
      <c r="C135" s="840" t="n">
        <v>550190</v>
      </c>
      <c r="D135" s="841" t="inlineStr">
        <is>
          <t>Circus House,  21 Great Titchfield Street</t>
        </is>
      </c>
      <c r="E135" s="841" t="inlineStr">
        <is>
          <t>Fifth Floor</t>
        </is>
      </c>
      <c r="F135" s="842" t="inlineStr">
        <is>
          <t>Office</t>
        </is>
      </c>
      <c r="G135" s="849" t="n">
        <v>2096</v>
      </c>
      <c r="H135" s="849">
        <f>G135</f>
        <v/>
      </c>
      <c r="I135" s="849" t="n">
        <v>2000</v>
      </c>
      <c r="J135" s="841" t="inlineStr">
        <is>
          <t>NSL Limited</t>
        </is>
      </c>
      <c r="K135" s="844" t="n">
        <v>44470</v>
      </c>
      <c r="L135" s="845" t="n">
        <v>46295</v>
      </c>
      <c r="P135" s="843" t="n">
        <v>120750</v>
      </c>
      <c r="Q135" s="843">
        <f>P135</f>
        <v/>
      </c>
      <c r="S135" s="843" t="n">
        <v>141800</v>
      </c>
      <c r="T135" s="843">
        <f>S135</f>
        <v/>
      </c>
      <c r="U135" s="843" t="n">
        <v>142500</v>
      </c>
      <c r="V135" s="843">
        <f>U135</f>
        <v/>
      </c>
      <c r="W135" s="846">
        <f>U135/G135</f>
        <v/>
      </c>
      <c r="X135" s="847">
        <f>SUM(U135-S135)/S135</f>
        <v/>
      </c>
      <c r="Y135" s="843" t="inlineStr">
        <is>
          <t>E</t>
        </is>
      </c>
      <c r="Z135" s="590" t="n"/>
      <c r="AA135" s="848" t="n"/>
      <c r="AB135" s="842" t="inlineStr">
        <is>
          <t>No</t>
        </is>
      </c>
      <c r="AC135" s="841" t="inlineStr">
        <is>
          <t>Ongoing legal action withdrawn. Rent stop removed. Tenant repaid all arrears.</t>
        </is>
      </c>
      <c r="AF135" s="312" t="n"/>
    </row>
    <row r="136">
      <c r="A136" s="839" t="inlineStr">
        <is>
          <t>WS</t>
        </is>
      </c>
      <c r="B136" s="839" t="inlineStr">
        <is>
          <t>MEL</t>
        </is>
      </c>
      <c r="C136" s="840" t="n">
        <v>550570</v>
      </c>
      <c r="D136" s="841" t="inlineStr">
        <is>
          <t>Moray House, 23-35 Great Titchfield Street &amp; 63-65 Mortimer Street</t>
        </is>
      </c>
      <c r="E136" s="841" t="inlineStr">
        <is>
          <t>Part Lower Ground</t>
        </is>
      </c>
      <c r="F136" s="842" t="inlineStr">
        <is>
          <t>Gym / D1</t>
        </is>
      </c>
      <c r="G136" s="849" t="n">
        <v>2604</v>
      </c>
      <c r="H136" s="849">
        <f>G136</f>
        <v/>
      </c>
      <c r="I136" s="849" t="n">
        <v>2500</v>
      </c>
      <c r="J136" s="841" t="inlineStr">
        <is>
          <t>Rehabilitation &amp; Athletics Performance UK Ltd.</t>
        </is>
      </c>
      <c r="K136" s="844" t="n">
        <v>44941</v>
      </c>
      <c r="L136" s="845" t="n">
        <v>47057</v>
      </c>
      <c r="P136" s="843" t="n">
        <v>80000</v>
      </c>
      <c r="Q136" s="843">
        <f>P136</f>
        <v/>
      </c>
      <c r="S136" s="843" t="n">
        <v>80000</v>
      </c>
      <c r="T136" s="843">
        <f>S136</f>
        <v/>
      </c>
      <c r="U136" s="843" t="n">
        <v>70000</v>
      </c>
      <c r="V136" s="843">
        <f>U136</f>
        <v/>
      </c>
      <c r="W136" s="846">
        <f>U136/G136</f>
        <v/>
      </c>
      <c r="X136" s="847">
        <f>SUM(U136-S136)/S136</f>
        <v/>
      </c>
      <c r="Y136" s="843" t="inlineStr">
        <is>
          <t>D</t>
        </is>
      </c>
      <c r="Z136" s="590" t="n"/>
      <c r="AA136" s="848" t="n"/>
      <c r="AB136" s="842" t="inlineStr">
        <is>
          <t>No</t>
        </is>
      </c>
      <c r="AC136" s="841" t="inlineStr">
        <is>
          <t>Fixed increases 01/05/26 wef  £85,000, 01/05/27 wef £90,000 and 01/05/28 wef £95,000.</t>
        </is>
      </c>
      <c r="AF136" s="312" t="n"/>
    </row>
    <row r="137">
      <c r="A137" s="839" t="inlineStr">
        <is>
          <t>WS</t>
        </is>
      </c>
      <c r="B137" s="839" t="inlineStr">
        <is>
          <t>MEL</t>
        </is>
      </c>
      <c r="C137" s="840" t="n">
        <v>550570</v>
      </c>
      <c r="D137" s="841" t="inlineStr">
        <is>
          <t>Moray House, 23-35 Great Titchfield Street &amp; 63-65 Mortimer Street</t>
        </is>
      </c>
      <c r="E137" s="841" t="inlineStr">
        <is>
          <t>Unit A &amp; B. Ground Floor</t>
        </is>
      </c>
      <c r="F137" s="842" t="inlineStr">
        <is>
          <t>Shop/Showroom</t>
        </is>
      </c>
      <c r="G137" s="849" t="n">
        <v>1452</v>
      </c>
      <c r="H137" s="849">
        <f>G137</f>
        <v/>
      </c>
      <c r="I137" s="849" t="n">
        <v>1500</v>
      </c>
      <c r="J137" s="841" t="inlineStr">
        <is>
          <t>Medialab Group Ltd.</t>
        </is>
      </c>
      <c r="K137" s="844" t="n">
        <v>45586</v>
      </c>
      <c r="L137" s="845" t="n">
        <v>46827</v>
      </c>
      <c r="O137" s="845" t="n">
        <v>46097</v>
      </c>
      <c r="P137" s="843" t="n">
        <v>117500</v>
      </c>
      <c r="Q137" s="843">
        <f>P137</f>
        <v/>
      </c>
      <c r="S137" s="843" t="n">
        <v>115000</v>
      </c>
      <c r="T137" s="843">
        <f>S137</f>
        <v/>
      </c>
      <c r="U137" s="843" t="n">
        <v>115000</v>
      </c>
      <c r="V137" s="843">
        <f>U137</f>
        <v/>
      </c>
      <c r="W137" s="846">
        <f>U137/G137</f>
        <v/>
      </c>
      <c r="X137" s="847">
        <f>SUM(U137-S137)/S137</f>
        <v/>
      </c>
      <c r="Y137" s="843" t="inlineStr">
        <is>
          <t>B</t>
        </is>
      </c>
      <c r="Z137" s="590" t="n"/>
      <c r="AA137" s="848" t="n"/>
      <c r="AB137" s="842" t="inlineStr">
        <is>
          <t>No</t>
        </is>
      </c>
      <c r="AC137" s="841" t="inlineStr">
        <is>
          <t>Tenant break on 6 months notice.</t>
        </is>
      </c>
      <c r="AF137" s="312" t="n"/>
    </row>
    <row r="138">
      <c r="A138" s="839" t="inlineStr">
        <is>
          <t>WS</t>
        </is>
      </c>
      <c r="B138" s="839" t="inlineStr">
        <is>
          <t>MEL</t>
        </is>
      </c>
      <c r="C138" s="840" t="n">
        <v>550570</v>
      </c>
      <c r="D138" s="841" t="inlineStr">
        <is>
          <t>Moray House, 23-35 Great Titchfield Street &amp; 63-65 Mortimer Street</t>
        </is>
      </c>
      <c r="E138" s="841" t="inlineStr">
        <is>
          <t>Unit C. Ground Floor &amp; Basement</t>
        </is>
      </c>
      <c r="F138" s="842" t="inlineStr">
        <is>
          <t>Office/ Showroom</t>
        </is>
      </c>
      <c r="G138" s="849" t="n">
        <v>1949</v>
      </c>
      <c r="H138" s="849">
        <f>G138</f>
        <v/>
      </c>
      <c r="I138" s="849" t="n">
        <v>2000</v>
      </c>
      <c r="J138" s="841" t="inlineStr">
        <is>
          <t>H Illume Ltd (t/a LAPO)</t>
        </is>
      </c>
      <c r="K138" s="844" t="n">
        <v>45687</v>
      </c>
      <c r="L138" s="845" t="n">
        <v>49338</v>
      </c>
      <c r="N138" s="845" t="n">
        <v>47513</v>
      </c>
      <c r="P138" s="843" t="n">
        <v>59000</v>
      </c>
      <c r="Q138" s="843">
        <f>P138</f>
        <v/>
      </c>
      <c r="S138" s="843" t="n">
        <v>91000</v>
      </c>
      <c r="T138" s="843">
        <f>S138</f>
        <v/>
      </c>
      <c r="U138" s="843" t="n">
        <v>115000</v>
      </c>
      <c r="V138" s="843">
        <f>U138</f>
        <v/>
      </c>
      <c r="W138" s="846">
        <f>U138/G138</f>
        <v/>
      </c>
      <c r="X138" s="847">
        <f>SUM(U138-S138)/S138</f>
        <v/>
      </c>
      <c r="Y138" s="843" t="inlineStr">
        <is>
          <t>D</t>
        </is>
      </c>
      <c r="Z138" s="590" t="n"/>
      <c r="AA138" s="848" t="n"/>
      <c r="AB138" s="842" t="inlineStr">
        <is>
          <t>No</t>
        </is>
      </c>
      <c r="AC138" s="841" t="inlineStr">
        <is>
          <t>Rent increasing to £118,000 wef 30/04/26.</t>
        </is>
      </c>
      <c r="AF138" s="312" t="n">
        <v>3</v>
      </c>
      <c r="AG138" s="841" t="inlineStr">
        <is>
          <t>LEM</t>
        </is>
      </c>
    </row>
    <row r="139">
      <c r="A139" s="839" t="inlineStr">
        <is>
          <t>WS</t>
        </is>
      </c>
      <c r="B139" s="839" t="inlineStr">
        <is>
          <t>MEL</t>
        </is>
      </c>
      <c r="C139" s="840" t="n">
        <v>550570</v>
      </c>
      <c r="D139" s="841" t="inlineStr">
        <is>
          <t>Moray House, 23-35 Great Titchfield Street &amp; 63-65 Mortimer Street</t>
        </is>
      </c>
      <c r="E139" s="841" t="inlineStr">
        <is>
          <t>Unit D &amp; E. Ground Floor &amp; Part Basement</t>
        </is>
      </c>
      <c r="F139" s="842" t="inlineStr">
        <is>
          <t>Gym / D1</t>
        </is>
      </c>
      <c r="G139" s="849" t="n">
        <v>4976</v>
      </c>
      <c r="H139" s="849">
        <f>G139</f>
        <v/>
      </c>
      <c r="I139" s="849" t="n">
        <v>5000</v>
      </c>
      <c r="J139" s="841" t="inlineStr">
        <is>
          <t>CSS F45 UK Ltd</t>
        </is>
      </c>
      <c r="K139" s="844" t="n">
        <v>44722</v>
      </c>
      <c r="L139" s="845" t="n">
        <v>48374</v>
      </c>
      <c r="N139" s="845" t="n">
        <v>46548</v>
      </c>
      <c r="O139" s="845" t="n">
        <v>46547</v>
      </c>
      <c r="P139" s="843" t="n">
        <v>230000</v>
      </c>
      <c r="Q139" s="843">
        <f>P139</f>
        <v/>
      </c>
      <c r="S139" s="843" t="n">
        <v>230000</v>
      </c>
      <c r="T139" s="843">
        <f>S139</f>
        <v/>
      </c>
      <c r="U139" s="843" t="n">
        <v>230000</v>
      </c>
      <c r="V139" s="843">
        <f>U139</f>
        <v/>
      </c>
      <c r="W139" s="846">
        <f>U139/G139</f>
        <v/>
      </c>
      <c r="X139" s="847">
        <f>SUM(U139-S139)/S139</f>
        <v/>
      </c>
      <c r="Y139" s="843" t="inlineStr">
        <is>
          <t>B</t>
        </is>
      </c>
      <c r="Z139" s="590" t="n"/>
      <c r="AA139" s="848" t="n"/>
      <c r="AB139" s="842" t="inlineStr">
        <is>
          <t>No</t>
        </is>
      </c>
      <c r="AC139" s="851" t="inlineStr">
        <is>
          <t xml:space="preserve">Tenant break on 6 months notice. </t>
        </is>
      </c>
      <c r="AE139" s="851" t="n"/>
      <c r="AF139" s="619" t="n"/>
      <c r="AG139" s="851" t="n"/>
    </row>
    <row r="140">
      <c r="A140" s="839" t="inlineStr">
        <is>
          <t>WS</t>
        </is>
      </c>
      <c r="B140" s="839" t="inlineStr">
        <is>
          <t>MEL</t>
        </is>
      </c>
      <c r="C140" s="840" t="n">
        <v>550570</v>
      </c>
      <c r="D140" s="841" t="inlineStr">
        <is>
          <t>Moray House, 23-35 Great Titchfield Street &amp; 63-65 Mortimer Street</t>
        </is>
      </c>
      <c r="E140" s="841" t="inlineStr">
        <is>
          <t>Suite 1.1 First Floor</t>
        </is>
      </c>
      <c r="F140" s="842" t="inlineStr">
        <is>
          <t>Office</t>
        </is>
      </c>
      <c r="G140" s="849" t="n">
        <v>1443</v>
      </c>
      <c r="H140" s="849">
        <f>G140</f>
        <v/>
      </c>
      <c r="I140" s="849" t="n">
        <v>1500</v>
      </c>
      <c r="J140" s="841" t="inlineStr">
        <is>
          <t>Vacant</t>
        </is>
      </c>
      <c r="M140" s="845" t="n">
        <v>44121</v>
      </c>
      <c r="P140" s="843" t="n">
        <v>0</v>
      </c>
      <c r="Q140" s="843">
        <f>P140</f>
        <v/>
      </c>
      <c r="S140" s="843" t="n">
        <v>87800</v>
      </c>
      <c r="T140" s="843">
        <f>S140</f>
        <v/>
      </c>
      <c r="U140" s="843" t="n">
        <v>90200</v>
      </c>
      <c r="V140" s="843">
        <f>U140</f>
        <v/>
      </c>
      <c r="W140" s="846">
        <f>U140/G140</f>
        <v/>
      </c>
      <c r="X140" s="847">
        <f>SUM(U140-S140)/S140</f>
        <v/>
      </c>
      <c r="Y140" s="843" t="inlineStr">
        <is>
          <t>D</t>
        </is>
      </c>
      <c r="Z140" s="590" t="n"/>
      <c r="AA140" s="848" t="n"/>
      <c r="AB140" s="842" t="inlineStr">
        <is>
          <t>No</t>
        </is>
      </c>
      <c r="AC140" s="841" t="inlineStr">
        <is>
          <t>To be refurbished.</t>
        </is>
      </c>
      <c r="AD140" s="850" t="n">
        <v>65</v>
      </c>
      <c r="AF140" s="312" t="n">
        <v>3</v>
      </c>
      <c r="AG140" s="841" t="inlineStr">
        <is>
          <t>LEM</t>
        </is>
      </c>
    </row>
    <row r="141">
      <c r="A141" s="839" t="inlineStr">
        <is>
          <t>WS</t>
        </is>
      </c>
      <c r="B141" s="839" t="inlineStr">
        <is>
          <t>MEL</t>
        </is>
      </c>
      <c r="C141" s="840" t="n">
        <v>550570</v>
      </c>
      <c r="D141" s="841" t="inlineStr">
        <is>
          <t>Moray House, 23-35 Great Titchfield Street &amp; 63-65 Mortimer Street</t>
        </is>
      </c>
      <c r="E141" s="841" t="inlineStr">
        <is>
          <t xml:space="preserve">Suites 2 &amp; 3 First Floor  </t>
        </is>
      </c>
      <c r="F141" s="842" t="inlineStr">
        <is>
          <t>Showroom/Office</t>
        </is>
      </c>
      <c r="G141" s="849" t="n">
        <v>2851</v>
      </c>
      <c r="H141" s="849">
        <f>G141</f>
        <v/>
      </c>
      <c r="I141" s="849" t="n">
        <v>2750</v>
      </c>
      <c r="J141" s="841" t="inlineStr">
        <is>
          <t>Wacoal Emea Ltd.</t>
        </is>
      </c>
      <c r="K141" s="844" t="n">
        <v>42192</v>
      </c>
      <c r="L141" s="845" t="n">
        <v>45844</v>
      </c>
      <c r="N141" s="845" t="n">
        <v>44019</v>
      </c>
      <c r="P141" s="843" t="n">
        <v>156000</v>
      </c>
      <c r="Q141" s="843">
        <f>P141</f>
        <v/>
      </c>
      <c r="S141" s="843" t="n">
        <v>151300</v>
      </c>
      <c r="T141" s="843">
        <f>S141</f>
        <v/>
      </c>
      <c r="U141" s="843" t="n">
        <v>178200</v>
      </c>
      <c r="V141" s="843">
        <f>U141</f>
        <v/>
      </c>
      <c r="W141" s="846">
        <f>U141/G141</f>
        <v/>
      </c>
      <c r="X141" s="847">
        <f>SUM(U141-S141)/S141</f>
        <v/>
      </c>
      <c r="Y141" s="843" t="inlineStr">
        <is>
          <t>C</t>
        </is>
      </c>
      <c r="Z141" s="590" t="n"/>
      <c r="AA141" s="848" t="n"/>
      <c r="AB141" s="842" t="inlineStr">
        <is>
          <t>No</t>
        </is>
      </c>
      <c r="AC141" s="841" t="inlineStr">
        <is>
          <t>Tenant vacating on expiry. Renewal discussions ended.</t>
        </is>
      </c>
      <c r="AF141" s="312" t="n"/>
    </row>
    <row r="142">
      <c r="A142" s="839" t="inlineStr">
        <is>
          <t>WS</t>
        </is>
      </c>
      <c r="B142" s="839" t="inlineStr">
        <is>
          <t>MEL</t>
        </is>
      </c>
      <c r="C142" s="840" t="n">
        <v>550570</v>
      </c>
      <c r="D142" s="841" t="inlineStr">
        <is>
          <t>Moray House, 23-35 Great Titchfield Street &amp; 63-65 Mortimer Street</t>
        </is>
      </c>
      <c r="E142" s="841" t="inlineStr">
        <is>
          <t>Suite 4 First Floor</t>
        </is>
      </c>
      <c r="F142" s="842" t="inlineStr">
        <is>
          <t>Showroom/Office</t>
        </is>
      </c>
      <c r="G142" s="849" t="n">
        <v>483</v>
      </c>
      <c r="H142" s="849">
        <f>G142</f>
        <v/>
      </c>
      <c r="I142" s="849" t="n">
        <v>500</v>
      </c>
      <c r="J142" s="841" t="inlineStr">
        <is>
          <t>Oldie Publications Ltd</t>
        </is>
      </c>
      <c r="K142" s="844" t="n">
        <v>44272</v>
      </c>
      <c r="L142" s="845" t="n">
        <v>46097</v>
      </c>
      <c r="P142" s="843" t="n">
        <v>52200</v>
      </c>
      <c r="Q142" s="843">
        <f>P142</f>
        <v/>
      </c>
      <c r="S142" s="843" t="n">
        <v>54900</v>
      </c>
      <c r="T142" s="843">
        <f>S142</f>
        <v/>
      </c>
      <c r="U142" s="843" t="n">
        <v>30200</v>
      </c>
      <c r="V142" s="843">
        <f>U142</f>
        <v/>
      </c>
      <c r="W142" s="846">
        <f>U142/G142</f>
        <v/>
      </c>
      <c r="X142" s="847">
        <f>SUM(U142-S142)/S142</f>
        <v/>
      </c>
      <c r="Y142" s="843" t="inlineStr">
        <is>
          <t>E</t>
        </is>
      </c>
      <c r="Z142" s="590" t="n"/>
      <c r="AA142" s="848" t="n"/>
      <c r="AB142" s="842" t="inlineStr">
        <is>
          <t>No</t>
        </is>
      </c>
      <c r="AF142" s="312" t="n"/>
    </row>
    <row r="143">
      <c r="A143" s="839" t="inlineStr">
        <is>
          <t>WS</t>
        </is>
      </c>
      <c r="B143" s="839" t="inlineStr">
        <is>
          <t>MEL</t>
        </is>
      </c>
      <c r="C143" s="840" t="n">
        <v>550570</v>
      </c>
      <c r="D143" s="841" t="inlineStr">
        <is>
          <t>Moray House, 23-35 Great Titchfield Street &amp; 63-65 Mortimer Street</t>
        </is>
      </c>
      <c r="E143" s="841" t="inlineStr">
        <is>
          <t>Suites 1, 2, 3 &amp; 4, Second Floor</t>
        </is>
      </c>
      <c r="F143" s="842" t="inlineStr">
        <is>
          <t>Showroom</t>
        </is>
      </c>
      <c r="G143" s="849" t="n">
        <v>3299</v>
      </c>
      <c r="H143" s="849">
        <f>G143</f>
        <v/>
      </c>
      <c r="I143" s="849" t="n">
        <v>3250</v>
      </c>
      <c r="J143" s="841" t="inlineStr">
        <is>
          <t>InPost UK Limited</t>
        </is>
      </c>
      <c r="K143" s="844" t="n">
        <v>45807</v>
      </c>
      <c r="L143" s="845" t="n">
        <v>47143</v>
      </c>
      <c r="O143" s="845" t="n">
        <v>46408</v>
      </c>
      <c r="P143" s="843" t="n">
        <v>0</v>
      </c>
      <c r="Q143" s="843">
        <f>P143</f>
        <v/>
      </c>
      <c r="S143" s="843" t="n">
        <v>193200</v>
      </c>
      <c r="T143" s="843">
        <f>S143</f>
        <v/>
      </c>
      <c r="U143" s="843" t="n">
        <v>209500</v>
      </c>
      <c r="V143" s="843">
        <f>U143</f>
        <v/>
      </c>
      <c r="W143" s="846">
        <f>U143/G143</f>
        <v/>
      </c>
      <c r="X143" s="847">
        <f>SUM(U143-S143)/S143</f>
        <v/>
      </c>
      <c r="Y143" s="617" t="inlineStr">
        <is>
          <t>B</t>
        </is>
      </c>
      <c r="Z143" s="590" t="n"/>
      <c r="AA143" s="848" t="n"/>
      <c r="AB143" s="842" t="inlineStr">
        <is>
          <t>No</t>
        </is>
      </c>
      <c r="AC143" s="841" t="inlineStr">
        <is>
          <t>Rent £231,000 wef 30/07/25. Tenant break on 6 months notice. 1 month rent free wef 22/01/27 if break not exercised.</t>
        </is>
      </c>
      <c r="AE143" s="841" t="n">
        <v>3</v>
      </c>
      <c r="AF143" s="312" t="n">
        <v>5</v>
      </c>
    </row>
    <row r="144">
      <c r="A144" s="839" t="inlineStr">
        <is>
          <t>WS</t>
        </is>
      </c>
      <c r="B144" s="839" t="inlineStr">
        <is>
          <t>MEL</t>
        </is>
      </c>
      <c r="C144" s="840" t="n">
        <v>550570</v>
      </c>
      <c r="D144" s="841" t="inlineStr">
        <is>
          <t>Moray House, 23-35 Great Titchfield Street &amp; 63-65 Mortimer Street</t>
        </is>
      </c>
      <c r="E144" s="841" t="inlineStr">
        <is>
          <t>Suite 5, Second Floor</t>
        </is>
      </c>
      <c r="F144" s="842" t="inlineStr">
        <is>
          <t>Showroom/ Office</t>
        </is>
      </c>
      <c r="G144" s="849" t="n">
        <v>882</v>
      </c>
      <c r="H144" s="849">
        <f>G144</f>
        <v/>
      </c>
      <c r="I144" s="849" t="n">
        <v>1000</v>
      </c>
      <c r="J144" s="841" t="inlineStr">
        <is>
          <t>Carbonaires Ltd</t>
        </is>
      </c>
      <c r="K144" s="844" t="n">
        <v>45114</v>
      </c>
      <c r="L144" s="845" t="n">
        <v>46209</v>
      </c>
      <c r="O144" s="845" t="n">
        <v>45844</v>
      </c>
      <c r="P144" s="843" t="n">
        <v>56225</v>
      </c>
      <c r="Q144" s="843">
        <f>P144</f>
        <v/>
      </c>
      <c r="S144" s="843" t="n">
        <v>52800</v>
      </c>
      <c r="T144" s="843">
        <f>S144</f>
        <v/>
      </c>
      <c r="U144" s="843" t="n">
        <v>56225</v>
      </c>
      <c r="V144" s="843">
        <f>U144</f>
        <v/>
      </c>
      <c r="W144" s="846">
        <f>U144/G144</f>
        <v/>
      </c>
      <c r="X144" s="847">
        <f>SUM(U144-S144)/S144</f>
        <v/>
      </c>
      <c r="Y144" s="843" t="inlineStr">
        <is>
          <t>D</t>
        </is>
      </c>
      <c r="Z144" s="590" t="n"/>
      <c r="AA144" s="848" t="n"/>
      <c r="AB144" s="842" t="inlineStr">
        <is>
          <t>No</t>
        </is>
      </c>
      <c r="AC144" s="841" t="inlineStr">
        <is>
          <t>Tenant break on 6 months notice. Rent free @ 07/07/25 to 20/09/25 if not exercised.</t>
        </is>
      </c>
      <c r="AF144" s="312" t="n"/>
    </row>
    <row r="145">
      <c r="A145" s="839" t="inlineStr">
        <is>
          <t>WS</t>
        </is>
      </c>
      <c r="B145" s="839" t="inlineStr">
        <is>
          <t>MEL</t>
        </is>
      </c>
      <c r="C145" s="840" t="n">
        <v>550570</v>
      </c>
      <c r="D145" s="841" t="inlineStr">
        <is>
          <t>Moray House, 23-35 Great Titchfield Street &amp; 63-65 Mortimer Street</t>
        </is>
      </c>
      <c r="E145" s="841" t="inlineStr">
        <is>
          <t>Third Floor</t>
        </is>
      </c>
      <c r="F145" s="842" t="inlineStr">
        <is>
          <t>Showroom/ Office</t>
        </is>
      </c>
      <c r="G145" s="849" t="n">
        <v>4169</v>
      </c>
      <c r="H145" s="849">
        <f>G145</f>
        <v/>
      </c>
      <c r="I145" s="849" t="n">
        <v>4000</v>
      </c>
      <c r="J145" s="841" t="inlineStr">
        <is>
          <t>Knotel Moray House Ltd.</t>
        </is>
      </c>
      <c r="K145" s="844" t="n">
        <v>43378</v>
      </c>
      <c r="L145" s="845" t="n">
        <v>47030</v>
      </c>
      <c r="N145" s="845" t="n">
        <v>45204</v>
      </c>
      <c r="P145" s="843" t="n">
        <v>257635</v>
      </c>
      <c r="Q145" s="843">
        <f>P145</f>
        <v/>
      </c>
      <c r="S145" s="843" t="n">
        <v>264100</v>
      </c>
      <c r="T145" s="843">
        <f>S145</f>
        <v/>
      </c>
      <c r="U145" s="843" t="n">
        <v>271000</v>
      </c>
      <c r="V145" s="843">
        <f>U145</f>
        <v/>
      </c>
      <c r="W145" s="846">
        <f>U145/G145</f>
        <v/>
      </c>
      <c r="X145" s="847">
        <f>SUM(U145-S145)/S145</f>
        <v/>
      </c>
      <c r="Y145" s="843" t="inlineStr">
        <is>
          <t>D</t>
        </is>
      </c>
      <c r="Z145" s="590" t="n"/>
      <c r="AA145" s="848" t="n"/>
      <c r="AB145" s="842" t="inlineStr">
        <is>
          <t>No</t>
        </is>
      </c>
      <c r="AC145" s="841" t="inlineStr">
        <is>
          <t>Landlords redevelopment break @ 04/10/26 on 9 months notice.</t>
        </is>
      </c>
      <c r="AE145" s="841" t="n">
        <v>1</v>
      </c>
      <c r="AF145" s="312" t="n">
        <v>1</v>
      </c>
    </row>
    <row r="146">
      <c r="A146" s="839" t="inlineStr">
        <is>
          <t>WS</t>
        </is>
      </c>
      <c r="B146" s="839" t="inlineStr">
        <is>
          <t>MEL</t>
        </is>
      </c>
      <c r="C146" s="840" t="n">
        <v>550570</v>
      </c>
      <c r="D146" s="841" t="inlineStr">
        <is>
          <t>Moray House, 23-35 Great Titchfield Street &amp; 63-65 Mortimer Street</t>
        </is>
      </c>
      <c r="E146" s="841" t="inlineStr">
        <is>
          <t>Suite 1, 2 &amp; 3  Fourth Floor</t>
        </is>
      </c>
      <c r="F146" s="842" t="inlineStr">
        <is>
          <t>Office</t>
        </is>
      </c>
      <c r="G146" s="849" t="n">
        <v>4098</v>
      </c>
      <c r="H146" s="849">
        <f>G146</f>
        <v/>
      </c>
      <c r="I146" s="849" t="n">
        <v>4000</v>
      </c>
      <c r="J146" s="841" t="inlineStr">
        <is>
          <t>InPost UK Limited</t>
        </is>
      </c>
      <c r="K146" s="844" t="n">
        <v>45317</v>
      </c>
      <c r="L146" s="845" t="n">
        <v>47143</v>
      </c>
      <c r="O146" s="845" t="n">
        <v>46047</v>
      </c>
      <c r="P146" s="843" t="n">
        <v>304500</v>
      </c>
      <c r="Q146" s="843">
        <f>P146</f>
        <v/>
      </c>
      <c r="S146" s="843" t="n">
        <v>255600</v>
      </c>
      <c r="T146" s="843">
        <f>S146</f>
        <v/>
      </c>
      <c r="U146" s="843" t="n">
        <v>304500</v>
      </c>
      <c r="V146" s="843">
        <f>U146</f>
        <v/>
      </c>
      <c r="W146" s="846">
        <f>U146/G146</f>
        <v/>
      </c>
      <c r="X146" s="847">
        <f>SUM(U146-S146)/S146</f>
        <v/>
      </c>
      <c r="Y146" s="843" t="inlineStr">
        <is>
          <t>B</t>
        </is>
      </c>
      <c r="Z146" s="590" t="n"/>
      <c r="AA146" s="848" t="n"/>
      <c r="AB146" s="842" t="inlineStr">
        <is>
          <t>No</t>
        </is>
      </c>
      <c r="AC146" s="841" t="inlineStr">
        <is>
          <t>Tenant breaks @ 26/01/26 &amp; 21/01/27 on 3 months notice. One month rent free if not exercised.</t>
        </is>
      </c>
      <c r="AF146" s="312" t="n"/>
    </row>
    <row r="147">
      <c r="A147" s="839" t="inlineStr">
        <is>
          <t>WS</t>
        </is>
      </c>
      <c r="B147" s="839" t="inlineStr">
        <is>
          <t>MEL</t>
        </is>
      </c>
      <c r="C147" s="840" t="n">
        <v>550570</v>
      </c>
      <c r="D147" s="841" t="inlineStr">
        <is>
          <t>Moray House, 23-35 Great Titchfield Street &amp; 63-65 Mortimer Street</t>
        </is>
      </c>
      <c r="E147" s="841" t="inlineStr">
        <is>
          <t>Fifth Floor</t>
        </is>
      </c>
      <c r="F147" s="842" t="inlineStr">
        <is>
          <t>Office</t>
        </is>
      </c>
      <c r="G147" s="849" t="n">
        <v>3179</v>
      </c>
      <c r="H147" s="849">
        <f>G147</f>
        <v/>
      </c>
      <c r="I147" s="849" t="n">
        <v>3000</v>
      </c>
      <c r="J147" s="841" t="inlineStr">
        <is>
          <t xml:space="preserve">ACP Ltd &amp; ACM Ltd </t>
        </is>
      </c>
      <c r="K147" s="844" t="n">
        <v>45086</v>
      </c>
      <c r="L147" s="845" t="n">
        <v>46912</v>
      </c>
      <c r="O147" s="845" t="n">
        <v>46181</v>
      </c>
      <c r="P147" s="843" t="n">
        <v>225875</v>
      </c>
      <c r="Q147" s="843">
        <f>P147</f>
        <v/>
      </c>
      <c r="S147" s="843" t="n">
        <v>196883</v>
      </c>
      <c r="T147" s="843">
        <f>S147</f>
        <v/>
      </c>
      <c r="U147" s="843" t="n">
        <v>230500</v>
      </c>
      <c r="V147" s="843">
        <f>U147</f>
        <v/>
      </c>
      <c r="W147" s="846">
        <f>U147/G147</f>
        <v/>
      </c>
      <c r="X147" s="847">
        <f>SUM(U147-S147)/S147</f>
        <v/>
      </c>
      <c r="Y147" s="843" t="inlineStr">
        <is>
          <t>D</t>
        </is>
      </c>
      <c r="Z147" s="590" t="n"/>
      <c r="AA147" s="848" t="n"/>
      <c r="AB147" s="842" t="inlineStr">
        <is>
          <t>No</t>
        </is>
      </c>
      <c r="AC147" s="841" t="inlineStr">
        <is>
          <t>Tenant break on 6 months notice. Rent free @ 09/06/26 to 23/09/26 if not exercised.</t>
        </is>
      </c>
      <c r="AF147" s="312" t="n"/>
    </row>
    <row r="148">
      <c r="A148" s="839" t="inlineStr">
        <is>
          <t>WS</t>
        </is>
      </c>
      <c r="B148" s="839" t="inlineStr">
        <is>
          <t>MEL</t>
        </is>
      </c>
      <c r="C148" s="840" t="n">
        <v>550570</v>
      </c>
      <c r="D148" s="841" t="inlineStr">
        <is>
          <t>Moray House, 23-35 Great Titchfield Street &amp; 63-65 Mortimer Street</t>
        </is>
      </c>
      <c r="E148" s="841" t="inlineStr">
        <is>
          <t>Suites 1 &amp; 2 , Sixth Floor</t>
        </is>
      </c>
      <c r="F148" s="842" t="inlineStr">
        <is>
          <t>Office</t>
        </is>
      </c>
      <c r="G148" s="849" t="n">
        <v>2099</v>
      </c>
      <c r="H148" s="849">
        <f>G148</f>
        <v/>
      </c>
      <c r="I148" s="849" t="n">
        <v>2000</v>
      </c>
      <c r="J148" s="841" t="inlineStr">
        <is>
          <t>Katch Investment Management Ltd</t>
        </is>
      </c>
      <c r="K148" s="844" t="n">
        <v>45019</v>
      </c>
      <c r="L148" s="845" t="n">
        <v>46845</v>
      </c>
      <c r="O148" s="845" t="n">
        <v>46114</v>
      </c>
      <c r="P148" s="843" t="n">
        <v>133250</v>
      </c>
      <c r="Q148" s="843">
        <f>P148</f>
        <v/>
      </c>
      <c r="S148" s="843" t="n">
        <v>135167</v>
      </c>
      <c r="T148" s="843">
        <f>S148</f>
        <v/>
      </c>
      <c r="U148" s="843" t="n">
        <v>152200</v>
      </c>
      <c r="V148" s="843">
        <f>U148</f>
        <v/>
      </c>
      <c r="W148" s="846">
        <f>U148/G148</f>
        <v/>
      </c>
      <c r="X148" s="847">
        <f>SUM(U148-S148)/S148</f>
        <v/>
      </c>
      <c r="Y148" s="843" t="inlineStr">
        <is>
          <t>D</t>
        </is>
      </c>
      <c r="Z148" s="590" t="n"/>
      <c r="AA148" s="848" t="n"/>
      <c r="AB148" s="842" t="inlineStr">
        <is>
          <t>No</t>
        </is>
      </c>
      <c r="AC148" s="841" t="inlineStr">
        <is>
          <t>Tenant break on 6 months notice. Rent reduces to £66,625 for 2 months if not exercised.</t>
        </is>
      </c>
      <c r="AF148" s="312" t="n"/>
    </row>
    <row r="149">
      <c r="A149" s="839" t="inlineStr">
        <is>
          <t>WS</t>
        </is>
      </c>
      <c r="B149" s="839" t="inlineStr">
        <is>
          <t>MEL</t>
        </is>
      </c>
      <c r="C149" s="840" t="n">
        <v>550570</v>
      </c>
      <c r="D149" s="841" t="inlineStr">
        <is>
          <t>Moray House, 23-35 Great Titchfield Street &amp; 63-65 Mortimer Street</t>
        </is>
      </c>
      <c r="E149" s="841" t="inlineStr">
        <is>
          <t>Sixth Floor</t>
        </is>
      </c>
      <c r="F149" s="842" t="inlineStr">
        <is>
          <t>Residential</t>
        </is>
      </c>
      <c r="G149" s="849" t="n">
        <v>580</v>
      </c>
      <c r="H149" s="849">
        <f>G149</f>
        <v/>
      </c>
      <c r="I149" s="849" t="n">
        <v>500</v>
      </c>
      <c r="J149" s="841" t="inlineStr">
        <is>
          <t>Mr M Versteegh &amp; Mr W Antell</t>
        </is>
      </c>
      <c r="K149" s="844" t="n">
        <v>45546</v>
      </c>
      <c r="L149" s="845" t="n">
        <v>45910</v>
      </c>
      <c r="P149" s="843" t="n">
        <v>42016</v>
      </c>
      <c r="Q149" s="843">
        <f>P149</f>
        <v/>
      </c>
      <c r="S149" s="843" t="n">
        <v>26496</v>
      </c>
      <c r="T149" s="843">
        <f>S149</f>
        <v/>
      </c>
      <c r="U149" s="843" t="n">
        <v>26496</v>
      </c>
      <c r="V149" s="843">
        <f>U149</f>
        <v/>
      </c>
      <c r="W149" s="846">
        <f>U149/G149</f>
        <v/>
      </c>
      <c r="X149" s="847">
        <f>SUM(U149-S149)/S149</f>
        <v/>
      </c>
      <c r="Y149" s="843" t="inlineStr">
        <is>
          <t>E</t>
        </is>
      </c>
      <c r="Z149" s="590" t="n"/>
      <c r="AA149" s="848" t="n"/>
      <c r="AB149" s="842" t="inlineStr">
        <is>
          <t>No</t>
        </is>
      </c>
      <c r="AE149" s="29" t="n"/>
      <c r="AF149" s="313" t="n"/>
      <c r="AG149" s="29" t="n"/>
    </row>
    <row r="150">
      <c r="A150" s="839" t="inlineStr">
        <is>
          <t>CD</t>
        </is>
      </c>
      <c r="B150" s="839" t="inlineStr">
        <is>
          <t>MEL</t>
        </is>
      </c>
      <c r="C150" s="840" t="n">
        <v>550430</v>
      </c>
      <c r="D150" s="841" t="inlineStr">
        <is>
          <t>56 Great Titchfield Street</t>
        </is>
      </c>
      <c r="E150" s="841" t="inlineStr">
        <is>
          <t>Whole Building</t>
        </is>
      </c>
      <c r="F150" s="842" t="inlineStr">
        <is>
          <t>Retail</t>
        </is>
      </c>
      <c r="G150" s="18" t="n">
        <v>2692</v>
      </c>
      <c r="H150" s="843">
        <f>G150</f>
        <v/>
      </c>
      <c r="I150" s="843" t="n">
        <v>2750</v>
      </c>
      <c r="J150" s="841" t="inlineStr">
        <is>
          <t>Morplan Ltd.</t>
        </is>
      </c>
      <c r="K150" s="844" t="n">
        <v>39814</v>
      </c>
      <c r="L150" s="620" t="n">
        <v>45747</v>
      </c>
      <c r="P150" s="591" t="n">
        <v>104500</v>
      </c>
      <c r="Q150" s="843">
        <f>P150</f>
        <v/>
      </c>
      <c r="R150" s="591">
        <f>Q150</f>
        <v/>
      </c>
      <c r="S150" s="591" t="n">
        <v>94400</v>
      </c>
      <c r="T150" s="843">
        <f>S150</f>
        <v/>
      </c>
      <c r="U150" s="591" t="n">
        <v>94400</v>
      </c>
      <c r="V150" s="843">
        <f>U150</f>
        <v/>
      </c>
      <c r="W150" s="846">
        <f>U150/G150</f>
        <v/>
      </c>
      <c r="X150" s="847">
        <f>SUM(U150-S150)/S150</f>
        <v/>
      </c>
      <c r="Y150" s="843" t="inlineStr">
        <is>
          <t>B</t>
        </is>
      </c>
      <c r="Z150" s="590" t="n"/>
      <c r="AA150" s="591" t="n">
        <v>1425000</v>
      </c>
      <c r="AB150" s="842" t="inlineStr">
        <is>
          <t>Yes</t>
        </is>
      </c>
      <c r="AC150" s="841" t="inlineStr">
        <is>
          <t>Tenant holding over. S25 served terminating tenancy @ 12/10/24. Lease renewal agreed. Awaiting completion. Lease extension agreed to 31/03/25</t>
        </is>
      </c>
      <c r="AF150" s="312" t="n"/>
    </row>
    <row r="151">
      <c r="A151" s="839" t="inlineStr">
        <is>
          <t>CD</t>
        </is>
      </c>
      <c r="B151" s="839" t="inlineStr">
        <is>
          <t>MEL</t>
        </is>
      </c>
      <c r="C151" s="840" t="n">
        <v>550440</v>
      </c>
      <c r="D151" s="841" t="inlineStr">
        <is>
          <t>58 Great Titchfield Street</t>
        </is>
      </c>
      <c r="E151" s="841" t="inlineStr">
        <is>
          <t>Basement &amp; Ground Floor</t>
        </is>
      </c>
      <c r="F151" s="842" t="inlineStr">
        <is>
          <t>Retail</t>
        </is>
      </c>
      <c r="G151" s="849" t="n">
        <v>1171</v>
      </c>
      <c r="H151" s="843">
        <f>G151</f>
        <v/>
      </c>
      <c r="I151" s="843" t="n">
        <v>1000</v>
      </c>
      <c r="J151" s="841" t="inlineStr">
        <is>
          <t>Morplan Ltd.</t>
        </is>
      </c>
      <c r="K151" s="844" t="n">
        <v>39814</v>
      </c>
      <c r="L151" s="620" t="n">
        <v>45747</v>
      </c>
      <c r="P151" s="843" t="n">
        <v>50425</v>
      </c>
      <c r="Q151" s="843">
        <f>P151</f>
        <v/>
      </c>
      <c r="S151" s="843" t="n">
        <v>41000</v>
      </c>
      <c r="T151" s="843">
        <f>S151</f>
        <v/>
      </c>
      <c r="U151" s="843" t="n">
        <v>41000</v>
      </c>
      <c r="V151" s="843">
        <f>U151</f>
        <v/>
      </c>
      <c r="W151" s="846">
        <f>U151/G151</f>
        <v/>
      </c>
      <c r="X151" s="847">
        <f>SUM(U151-S151)/S151</f>
        <v/>
      </c>
      <c r="Y151" s="843" t="inlineStr">
        <is>
          <t>B</t>
        </is>
      </c>
      <c r="Z151" s="590" t="n"/>
      <c r="AA151" s="591" t="n"/>
      <c r="AB151" s="842" t="inlineStr">
        <is>
          <t>Yes</t>
        </is>
      </c>
      <c r="AC151" s="841" t="inlineStr">
        <is>
          <t>Tenant holding over. S25 served terminating tenancy @ 12/10/24. Lease renewal agreed. Awaiting completion. Lease extension agreed to 31/03/25</t>
        </is>
      </c>
      <c r="AF151" s="312" t="n"/>
    </row>
    <row r="152">
      <c r="A152" s="839" t="inlineStr">
        <is>
          <t>CD</t>
        </is>
      </c>
      <c r="B152" s="839" t="inlineStr">
        <is>
          <t>MEL</t>
        </is>
      </c>
      <c r="C152" s="840" t="n">
        <v>550440</v>
      </c>
      <c r="D152" s="841" t="inlineStr">
        <is>
          <t>58 Great Titchfield Street</t>
        </is>
      </c>
      <c r="E152" s="841" t="inlineStr">
        <is>
          <t>First, Second &amp; Third Floors</t>
        </is>
      </c>
      <c r="F152" s="842" t="inlineStr">
        <is>
          <t>Retail/Showroom/Office</t>
        </is>
      </c>
      <c r="G152" s="849" t="n">
        <v>1120</v>
      </c>
      <c r="H152" s="843">
        <f>G152</f>
        <v/>
      </c>
      <c r="I152" s="843" t="n">
        <v>1000</v>
      </c>
      <c r="J152" s="841" t="inlineStr">
        <is>
          <t>Morplan Ltd.</t>
        </is>
      </c>
      <c r="K152" s="844" t="n">
        <v>45292</v>
      </c>
      <c r="P152" s="843" t="n">
        <v>61575</v>
      </c>
      <c r="Q152" s="843">
        <f>P152</f>
        <v/>
      </c>
      <c r="S152" s="843" t="n">
        <v>58800</v>
      </c>
      <c r="T152" s="843">
        <f>S152</f>
        <v/>
      </c>
      <c r="U152" s="843" t="n">
        <v>58800</v>
      </c>
      <c r="V152" s="843">
        <f>U152</f>
        <v/>
      </c>
      <c r="W152" s="846">
        <f>U152/G152</f>
        <v/>
      </c>
      <c r="X152" s="847" t="n"/>
      <c r="Y152" s="843" t="inlineStr">
        <is>
          <t>E</t>
        </is>
      </c>
      <c r="Z152" s="590" t="n"/>
      <c r="AA152" s="591" t="n"/>
      <c r="AB152" s="842" t="inlineStr">
        <is>
          <t>No</t>
        </is>
      </c>
      <c r="AC152" s="841" t="inlineStr">
        <is>
          <t>Lease renewal terms being discussed.</t>
        </is>
      </c>
      <c r="AF152" s="312" t="n"/>
    </row>
    <row r="153">
      <c r="A153" s="839" t="inlineStr">
        <is>
          <t>WS</t>
        </is>
      </c>
      <c r="B153" s="839" t="inlineStr">
        <is>
          <t>MEL</t>
        </is>
      </c>
      <c r="C153" s="840" t="n">
        <v>550220</v>
      </c>
      <c r="D153" s="841" t="inlineStr">
        <is>
          <t>12 Hallam Street (The Hallam Hotel)</t>
        </is>
      </c>
      <c r="E153" s="841" t="inlineStr">
        <is>
          <t xml:space="preserve">Whole Building </t>
        </is>
      </c>
      <c r="F153" s="842" t="inlineStr">
        <is>
          <t>Hotel                       25 Beds</t>
        </is>
      </c>
      <c r="G153" s="18" t="n">
        <v>4284</v>
      </c>
      <c r="H153" s="843">
        <f>G153</f>
        <v/>
      </c>
      <c r="I153" s="843" t="n">
        <v>4250</v>
      </c>
      <c r="J153" s="841" t="inlineStr">
        <is>
          <t>Vacant</t>
        </is>
      </c>
      <c r="M153" s="845" t="n">
        <v>44387</v>
      </c>
      <c r="P153" s="591" t="n">
        <v>0</v>
      </c>
      <c r="Q153" s="843">
        <f>P153</f>
        <v/>
      </c>
      <c r="R153" s="591">
        <f>Q153</f>
        <v/>
      </c>
      <c r="S153" s="591" t="n">
        <v>0</v>
      </c>
      <c r="T153" s="843">
        <f>S153</f>
        <v/>
      </c>
      <c r="U153" s="591" t="n">
        <v>0</v>
      </c>
      <c r="V153" s="843">
        <f>U153</f>
        <v/>
      </c>
      <c r="W153" s="843" t="n"/>
      <c r="X153" s="847" t="n"/>
      <c r="Y153" s="843" t="n"/>
      <c r="Z153" s="590" t="n"/>
      <c r="AA153" s="591" t="n">
        <v>1500000</v>
      </c>
      <c r="AB153" s="842" t="inlineStr">
        <is>
          <t>No</t>
        </is>
      </c>
      <c r="AC153" s="841" t="inlineStr">
        <is>
          <t>Mothballed.</t>
        </is>
      </c>
      <c r="AE153" s="29" t="n"/>
      <c r="AF153" s="313" t="n"/>
      <c r="AG153" s="29" t="n"/>
    </row>
    <row r="154">
      <c r="A154" s="839" t="inlineStr">
        <is>
          <t>WS</t>
        </is>
      </c>
      <c r="B154" s="839" t="inlineStr">
        <is>
          <t>MEL</t>
        </is>
      </c>
      <c r="C154" s="840" t="n">
        <v>550890</v>
      </c>
      <c r="D154" s="841" t="inlineStr">
        <is>
          <t>16-20 Hallam Street  (Astor Court Hotel)</t>
        </is>
      </c>
      <c r="E154" s="841" t="inlineStr">
        <is>
          <t>Whole Building</t>
        </is>
      </c>
      <c r="F154" s="842" t="inlineStr">
        <is>
          <t>Hotel 52 Beds</t>
        </is>
      </c>
      <c r="G154" s="18" t="n">
        <v>23500</v>
      </c>
      <c r="H154" s="843">
        <f>G154</f>
        <v/>
      </c>
      <c r="I154" s="843" t="n">
        <v>23500</v>
      </c>
      <c r="J154" s="841" t="inlineStr">
        <is>
          <t>Wesdom Investments Ltd.</t>
        </is>
      </c>
      <c r="K154" s="844" t="n">
        <v>45651</v>
      </c>
      <c r="L154" s="845" t="n">
        <v>49302</v>
      </c>
      <c r="N154" s="844" t="n">
        <v>47477</v>
      </c>
      <c r="O154" s="844" t="n"/>
      <c r="P154" s="591" t="n">
        <v>660000</v>
      </c>
      <c r="Q154" s="843">
        <f>P154</f>
        <v/>
      </c>
      <c r="R154" s="591">
        <f>Q154</f>
        <v/>
      </c>
      <c r="S154" s="591" t="n">
        <v>0</v>
      </c>
      <c r="T154" s="843">
        <f>S154</f>
        <v/>
      </c>
      <c r="U154" s="591" t="n">
        <v>0</v>
      </c>
      <c r="V154" s="843">
        <f>U154</f>
        <v/>
      </c>
      <c r="W154" s="843" t="n"/>
      <c r="X154" s="847" t="n"/>
      <c r="Y154" s="843" t="inlineStr">
        <is>
          <t>B</t>
        </is>
      </c>
      <c r="Z154" s="590" t="n"/>
      <c r="AA154" s="591" t="n">
        <v>17500000</v>
      </c>
      <c r="AB154" s="842" t="inlineStr">
        <is>
          <t>No</t>
        </is>
      </c>
      <c r="AC154" s="858" t="inlineStr">
        <is>
          <t>Internal Lease to another Lee Family Group Company. CBRE value on a DCF basis and do not adopt ERV for valuation purposes. Guide ERV is £660,000 pa. Rent review is CPI indexed.</t>
        </is>
      </c>
      <c r="AD154" s="859" t="n"/>
      <c r="AE154" s="858" t="n"/>
      <c r="AF154" s="317" t="n"/>
      <c r="AG154" s="858" t="n"/>
    </row>
    <row r="155">
      <c r="A155" s="839" t="inlineStr">
        <is>
          <t>CM</t>
        </is>
      </c>
      <c r="B155" s="839" t="inlineStr">
        <is>
          <t>MEL</t>
        </is>
      </c>
      <c r="C155" s="840" t="n">
        <v>550586</v>
      </c>
      <c r="D155" s="841" t="inlineStr">
        <is>
          <t>Flat 1, 2 Little Portland Street</t>
        </is>
      </c>
      <c r="E155" s="841" t="inlineStr">
        <is>
          <t>Flat 1</t>
        </is>
      </c>
      <c r="F155" s="842" t="inlineStr">
        <is>
          <t>Residential</t>
        </is>
      </c>
      <c r="G155" s="18" t="n">
        <v>420</v>
      </c>
      <c r="H155" s="843">
        <f>G155</f>
        <v/>
      </c>
      <c r="I155" s="843" t="n">
        <v>500</v>
      </c>
      <c r="J155" s="841" t="inlineStr">
        <is>
          <t>Miss Julia Tressler</t>
        </is>
      </c>
      <c r="K155" s="844" t="n">
        <v>45664</v>
      </c>
      <c r="L155" s="845" t="n">
        <v>46028</v>
      </c>
      <c r="P155" s="591" t="n">
        <v>25220</v>
      </c>
      <c r="Q155" s="843">
        <f>P155</f>
        <v/>
      </c>
      <c r="R155" s="591">
        <f>Q155</f>
        <v/>
      </c>
      <c r="S155" s="591" t="n">
        <v>27000</v>
      </c>
      <c r="T155" s="843">
        <f>S155</f>
        <v/>
      </c>
      <c r="U155" s="591" t="n">
        <v>27000</v>
      </c>
      <c r="V155" s="843">
        <f>U155</f>
        <v/>
      </c>
      <c r="W155" s="843" t="n"/>
      <c r="X155" s="847">
        <f>SUM(U155-S155)/S155</f>
        <v/>
      </c>
      <c r="Y155" s="843" t="inlineStr">
        <is>
          <t>D</t>
        </is>
      </c>
      <c r="Z155" s="590" t="n"/>
      <c r="AA155" s="591" t="n">
        <v>590000</v>
      </c>
      <c r="AB155" s="842" t="inlineStr">
        <is>
          <t>No</t>
        </is>
      </c>
      <c r="AC155" s="29" t="inlineStr">
        <is>
          <t>Tenant break passed.</t>
        </is>
      </c>
      <c r="AE155" s="29" t="n"/>
      <c r="AF155" s="313" t="n"/>
      <c r="AG155" s="29" t="n"/>
    </row>
    <row r="156">
      <c r="A156" s="839" t="inlineStr">
        <is>
          <t>CD</t>
        </is>
      </c>
      <c r="B156" s="839" t="inlineStr">
        <is>
          <t>MEL</t>
        </is>
      </c>
      <c r="C156" s="840" t="n">
        <v>550300</v>
      </c>
      <c r="D156" s="841" t="inlineStr">
        <is>
          <t>3/4/4a Little Portland Street</t>
        </is>
      </c>
      <c r="E156" s="841" t="inlineStr">
        <is>
          <t>Basement (North &amp; Centre) Part Ground</t>
        </is>
      </c>
      <c r="F156" s="842" t="inlineStr">
        <is>
          <t>Storage/Cloakroom</t>
        </is>
      </c>
      <c r="G156" s="849" t="n">
        <v>1911</v>
      </c>
      <c r="H156" s="849">
        <f>G156</f>
        <v/>
      </c>
      <c r="I156" s="849" t="n">
        <v>2000</v>
      </c>
      <c r="J156" s="841" t="inlineStr">
        <is>
          <t>Pure Public Relations Ltd.</t>
        </is>
      </c>
      <c r="K156" s="844" t="n">
        <v>44774</v>
      </c>
      <c r="L156" s="845" t="n">
        <v>46599</v>
      </c>
      <c r="O156" s="845" t="n">
        <v>45870</v>
      </c>
      <c r="P156" s="843" t="n">
        <v>44735</v>
      </c>
      <c r="Q156" s="843">
        <f>P156</f>
        <v/>
      </c>
      <c r="S156" s="843" t="n">
        <v>45700</v>
      </c>
      <c r="T156" s="843">
        <f>S156</f>
        <v/>
      </c>
      <c r="U156" s="843" t="n">
        <v>47800</v>
      </c>
      <c r="V156" s="843">
        <f>U156</f>
        <v/>
      </c>
      <c r="W156" s="846">
        <f>U156/G156</f>
        <v/>
      </c>
      <c r="X156" s="847">
        <f>SUM(U156-S156)/S156</f>
        <v/>
      </c>
      <c r="Y156" s="843" t="inlineStr">
        <is>
          <t>E</t>
        </is>
      </c>
      <c r="Z156" s="590" t="n"/>
      <c r="AA156" s="848" t="n"/>
      <c r="AB156" s="842" t="inlineStr">
        <is>
          <t>No</t>
        </is>
      </c>
      <c r="AC156" s="841" t="inlineStr">
        <is>
          <t>Tenant break on 6 months notice. 3 months rent free if not exercised.</t>
        </is>
      </c>
      <c r="AF156" s="312" t="n"/>
    </row>
    <row r="157">
      <c r="A157" s="839" t="inlineStr">
        <is>
          <t>CD</t>
        </is>
      </c>
      <c r="B157" s="839" t="inlineStr">
        <is>
          <t>MEL</t>
        </is>
      </c>
      <c r="C157" s="840" t="n">
        <v>550300</v>
      </c>
      <c r="D157" s="841" t="inlineStr">
        <is>
          <t>3/4/4a Little Portland Street</t>
        </is>
      </c>
      <c r="E157" s="841" t="inlineStr">
        <is>
          <t>Ground Floor (Rear)</t>
        </is>
      </c>
      <c r="F157" s="842" t="inlineStr">
        <is>
          <t>Cloakroom</t>
        </is>
      </c>
      <c r="G157" s="849" t="n">
        <v>0</v>
      </c>
      <c r="H157" s="849">
        <f>G157</f>
        <v/>
      </c>
      <c r="J157" s="841" t="inlineStr">
        <is>
          <t>Vacant / Landlord</t>
        </is>
      </c>
      <c r="M157" s="845" t="n">
        <v>45456</v>
      </c>
      <c r="P157" s="843" t="n">
        <v>0</v>
      </c>
      <c r="Q157" s="843">
        <f>P157</f>
        <v/>
      </c>
      <c r="S157" s="843" t="n">
        <v>0</v>
      </c>
      <c r="T157" s="843">
        <f>S157</f>
        <v/>
      </c>
      <c r="U157" s="843" t="n">
        <v>0</v>
      </c>
      <c r="V157" s="843">
        <f>U157</f>
        <v/>
      </c>
      <c r="W157" s="846" t="n"/>
      <c r="X157" s="847" t="n"/>
      <c r="Y157" s="843" t="inlineStr">
        <is>
          <t>E</t>
        </is>
      </c>
      <c r="Z157" s="590" t="n"/>
      <c r="AA157" s="848" t="n"/>
      <c r="AB157" s="842" t="inlineStr">
        <is>
          <t>No</t>
        </is>
      </c>
      <c r="AF157" s="312" t="n"/>
    </row>
    <row r="158">
      <c r="A158" s="839" t="inlineStr">
        <is>
          <t>CD</t>
        </is>
      </c>
      <c r="B158" s="839" t="inlineStr">
        <is>
          <t>MEL</t>
        </is>
      </c>
      <c r="C158" s="840" t="n">
        <v>550300</v>
      </c>
      <c r="D158" s="841" t="inlineStr">
        <is>
          <t>3/4/4a Little Portland Street</t>
        </is>
      </c>
      <c r="E158" s="841" t="inlineStr">
        <is>
          <t>Ground Floor (East)</t>
        </is>
      </c>
      <c r="F158" s="842" t="inlineStr">
        <is>
          <t>Showroom</t>
        </is>
      </c>
      <c r="G158" s="849" t="n">
        <v>495</v>
      </c>
      <c r="H158" s="849">
        <f>G158</f>
        <v/>
      </c>
      <c r="I158" s="849" t="n">
        <v>500</v>
      </c>
      <c r="J158" s="841" t="inlineStr">
        <is>
          <t>Econnective UK Ltd.</t>
        </is>
      </c>
      <c r="K158" s="844" t="n">
        <v>45010</v>
      </c>
      <c r="L158" s="845" t="n">
        <v>48662</v>
      </c>
      <c r="N158" s="845" t="n">
        <v>46837</v>
      </c>
      <c r="P158" s="843" t="n">
        <v>35000</v>
      </c>
      <c r="Q158" s="843">
        <f>P158</f>
        <v/>
      </c>
      <c r="S158" s="843" t="n">
        <v>35400</v>
      </c>
      <c r="T158" s="843">
        <f>S158</f>
        <v/>
      </c>
      <c r="U158" s="843" t="n">
        <v>35000</v>
      </c>
      <c r="V158" s="843">
        <f>U158</f>
        <v/>
      </c>
      <c r="W158" s="846">
        <f>U158/G158</f>
        <v/>
      </c>
      <c r="X158" s="847">
        <f>SUM(U158-S158)/S158</f>
        <v/>
      </c>
      <c r="Y158" s="843" t="inlineStr">
        <is>
          <t>E</t>
        </is>
      </c>
      <c r="Z158" s="590" t="n"/>
      <c r="AA158" s="848" t="n"/>
      <c r="AB158" s="842" t="inlineStr">
        <is>
          <t>No</t>
        </is>
      </c>
      <c r="AF158" s="312" t="n"/>
    </row>
    <row r="159">
      <c r="A159" s="839" t="inlineStr">
        <is>
          <t>CD</t>
        </is>
      </c>
      <c r="B159" s="839" t="inlineStr">
        <is>
          <t>MEL</t>
        </is>
      </c>
      <c r="C159" s="840" t="n">
        <v>550300</v>
      </c>
      <c r="D159" s="841" t="inlineStr">
        <is>
          <t>3/4/4a Little Portland Street</t>
        </is>
      </c>
      <c r="E159" s="841" t="inlineStr">
        <is>
          <t>Basement (South) (Front)</t>
        </is>
      </c>
      <c r="F159" s="842" t="inlineStr">
        <is>
          <t>Workshop</t>
        </is>
      </c>
      <c r="G159" s="849" t="n">
        <v>1051</v>
      </c>
      <c r="H159" s="849">
        <f>G159</f>
        <v/>
      </c>
      <c r="I159" s="849" t="n">
        <v>1000</v>
      </c>
      <c r="J159" s="841" t="inlineStr">
        <is>
          <t>Langham Estate Management Ltd</t>
        </is>
      </c>
      <c r="K159" s="844" t="n">
        <v>43549</v>
      </c>
      <c r="L159" s="845" t="n">
        <v>46836</v>
      </c>
      <c r="N159" s="845" t="n">
        <v>45010</v>
      </c>
      <c r="P159" s="843" t="n">
        <v>28200</v>
      </c>
      <c r="Q159" s="843">
        <f>P159</f>
        <v/>
      </c>
      <c r="S159" s="843" t="n">
        <v>32000</v>
      </c>
      <c r="T159" s="843">
        <f>S159</f>
        <v/>
      </c>
      <c r="U159" s="843" t="n">
        <v>21000</v>
      </c>
      <c r="V159" s="843">
        <f>U159</f>
        <v/>
      </c>
      <c r="W159" s="846">
        <f>U159/G159</f>
        <v/>
      </c>
      <c r="X159" s="847">
        <f>SUM(U159-S159)/S159</f>
        <v/>
      </c>
      <c r="Y159" s="843" t="inlineStr">
        <is>
          <t>E</t>
        </is>
      </c>
      <c r="Z159" s="590" t="n"/>
      <c r="AA159" s="848" t="n"/>
      <c r="AB159" s="842" t="inlineStr">
        <is>
          <t>No</t>
        </is>
      </c>
      <c r="AC159" s="841" t="inlineStr">
        <is>
          <t>Mutual rolling break on 6 months notice. Internal Lease to another Lee Family Group Company.</t>
        </is>
      </c>
      <c r="AF159" s="312" t="n"/>
    </row>
    <row r="160">
      <c r="A160" s="839" t="inlineStr">
        <is>
          <t>CD</t>
        </is>
      </c>
      <c r="B160" s="839" t="inlineStr">
        <is>
          <t>MEL</t>
        </is>
      </c>
      <c r="C160" s="840" t="n">
        <v>550300</v>
      </c>
      <c r="D160" s="841" t="inlineStr">
        <is>
          <t>3/4/4a Little Portland Street</t>
        </is>
      </c>
      <c r="E160" s="841" t="inlineStr">
        <is>
          <t>Ground Floor (West)</t>
        </is>
      </c>
      <c r="F160" s="842" t="inlineStr">
        <is>
          <t>Offices</t>
        </is>
      </c>
      <c r="G160" s="849" t="n">
        <v>2254</v>
      </c>
      <c r="H160" s="849">
        <f>G160</f>
        <v/>
      </c>
      <c r="I160" s="849" t="n">
        <v>2250</v>
      </c>
      <c r="J160" s="841" t="inlineStr">
        <is>
          <t>Medialab Group Ltd.</t>
        </is>
      </c>
      <c r="K160" s="844" t="n">
        <v>45001</v>
      </c>
      <c r="L160" s="845" t="n">
        <v>46827</v>
      </c>
      <c r="M160" s="845" t="n"/>
      <c r="O160" s="845" t="n">
        <v>46097</v>
      </c>
      <c r="P160" s="843" t="n">
        <v>148590</v>
      </c>
      <c r="Q160" s="843">
        <f>P160</f>
        <v/>
      </c>
      <c r="S160" s="843" t="n">
        <v>148600</v>
      </c>
      <c r="T160" s="843">
        <f>S160</f>
        <v/>
      </c>
      <c r="U160" s="843" t="n">
        <v>148590</v>
      </c>
      <c r="V160" s="843">
        <f>U160</f>
        <v/>
      </c>
      <c r="W160" s="846">
        <f>U160/G160</f>
        <v/>
      </c>
      <c r="X160" s="847">
        <f>SUM(U160-S160)/S160</f>
        <v/>
      </c>
      <c r="Y160" s="843" t="inlineStr">
        <is>
          <t>E</t>
        </is>
      </c>
      <c r="Z160" s="590" t="n"/>
      <c r="AA160" s="848" t="n"/>
      <c r="AB160" s="842" t="inlineStr">
        <is>
          <t>No</t>
        </is>
      </c>
      <c r="AC160" s="841" t="inlineStr">
        <is>
          <t>Mutual break in the event of planning enforcement. Tenant break on 6 months notice. 3 months rent free if not exercised.</t>
        </is>
      </c>
      <c r="AF160" s="312" t="n"/>
    </row>
    <row r="161">
      <c r="A161" s="839" t="inlineStr">
        <is>
          <t>CD</t>
        </is>
      </c>
      <c r="B161" s="839" t="inlineStr">
        <is>
          <t>MEL</t>
        </is>
      </c>
      <c r="C161" s="840" t="n">
        <v>550300</v>
      </c>
      <c r="D161" s="841" t="inlineStr">
        <is>
          <t>3/4/4a Little Portland Street</t>
        </is>
      </c>
      <c r="E161" s="841" t="inlineStr">
        <is>
          <t>First Floor</t>
        </is>
      </c>
      <c r="F161" s="842" t="inlineStr">
        <is>
          <t>Office</t>
        </is>
      </c>
      <c r="G161" s="849" t="n">
        <v>3205</v>
      </c>
      <c r="H161" s="849">
        <f>G161</f>
        <v/>
      </c>
      <c r="I161" s="849" t="n">
        <v>3250</v>
      </c>
      <c r="J161" s="841" t="inlineStr">
        <is>
          <t>Medialab Group Ltd.</t>
        </is>
      </c>
      <c r="K161" s="844" t="n">
        <v>45000</v>
      </c>
      <c r="L161" s="845" t="n">
        <v>46827</v>
      </c>
      <c r="M161" s="845" t="n"/>
      <c r="O161" s="845" t="n">
        <v>46097</v>
      </c>
      <c r="P161" s="843" t="n">
        <v>218325</v>
      </c>
      <c r="Q161" s="843">
        <f>P161</f>
        <v/>
      </c>
      <c r="S161" s="843" t="n">
        <v>218300</v>
      </c>
      <c r="T161" s="843">
        <f>S161</f>
        <v/>
      </c>
      <c r="U161" s="843" t="n">
        <v>218325</v>
      </c>
      <c r="V161" s="843">
        <f>U161</f>
        <v/>
      </c>
      <c r="W161" s="846">
        <f>U161/G161</f>
        <v/>
      </c>
      <c r="X161" s="847">
        <f>SUM(U161-S161)/S161</f>
        <v/>
      </c>
      <c r="Y161" s="843" t="inlineStr">
        <is>
          <t>E</t>
        </is>
      </c>
      <c r="Z161" s="590" t="n"/>
      <c r="AA161" s="848" t="n"/>
      <c r="AB161" s="842" t="inlineStr">
        <is>
          <t>No</t>
        </is>
      </c>
      <c r="AC161" s="841" t="inlineStr">
        <is>
          <t>Mutual break in the event of planning enforcement. Tenant break on 6 months notice. 3 months rent free if not exercised.</t>
        </is>
      </c>
      <c r="AF161" s="312" t="n"/>
    </row>
    <row r="162">
      <c r="A162" s="839" t="inlineStr">
        <is>
          <t>CD</t>
        </is>
      </c>
      <c r="B162" s="839" t="inlineStr">
        <is>
          <t>MEL</t>
        </is>
      </c>
      <c r="C162" s="840" t="n">
        <v>550300</v>
      </c>
      <c r="D162" s="841" t="inlineStr">
        <is>
          <t>3/4/4a Little Portland Street</t>
        </is>
      </c>
      <c r="E162" s="841" t="inlineStr">
        <is>
          <t>Second Floor (Middle &amp; West)</t>
        </is>
      </c>
      <c r="F162" s="842" t="inlineStr">
        <is>
          <t>Office</t>
        </is>
      </c>
      <c r="G162" s="849" t="n">
        <v>1510</v>
      </c>
      <c r="H162" s="849">
        <f>G162</f>
        <v/>
      </c>
      <c r="I162" s="849" t="n">
        <v>1500</v>
      </c>
      <c r="J162" s="841" t="inlineStr">
        <is>
          <t>Medialab Group Ltd.</t>
        </is>
      </c>
      <c r="K162" s="844" t="n">
        <v>45200</v>
      </c>
      <c r="L162" s="845" t="n">
        <v>46827</v>
      </c>
      <c r="M162" s="845" t="n"/>
      <c r="O162" s="845" t="n">
        <v>46097</v>
      </c>
      <c r="P162" s="843" t="n">
        <v>92250</v>
      </c>
      <c r="Q162" s="843">
        <f>P162</f>
        <v/>
      </c>
      <c r="S162" s="843" t="n">
        <v>92300</v>
      </c>
      <c r="T162" s="843">
        <f>S162</f>
        <v/>
      </c>
      <c r="U162" s="843" t="n">
        <v>92250</v>
      </c>
      <c r="V162" s="843">
        <f>U162</f>
        <v/>
      </c>
      <c r="W162" s="846">
        <f>U162/G162</f>
        <v/>
      </c>
      <c r="X162" s="847">
        <f>SUM(U162-S162)/S162</f>
        <v/>
      </c>
      <c r="Y162" s="843" t="inlineStr">
        <is>
          <t>E</t>
        </is>
      </c>
      <c r="Z162" s="590" t="n"/>
      <c r="AA162" s="848" t="n"/>
      <c r="AB162" s="842" t="inlineStr">
        <is>
          <t>No</t>
        </is>
      </c>
      <c r="AC162" s="841" t="inlineStr">
        <is>
          <t>Tenant break on 6 months notice with £7.7k penalty clause.</t>
        </is>
      </c>
      <c r="AF162" s="312" t="n"/>
    </row>
    <row r="163">
      <c r="A163" s="839" t="inlineStr">
        <is>
          <t>CD</t>
        </is>
      </c>
      <c r="B163" s="839" t="inlineStr">
        <is>
          <t>MEL</t>
        </is>
      </c>
      <c r="C163" s="840" t="n">
        <v>550300</v>
      </c>
      <c r="D163" s="841" t="inlineStr">
        <is>
          <t>3/4/4a Little Portland Street</t>
        </is>
      </c>
      <c r="E163" s="841" t="inlineStr">
        <is>
          <t xml:space="preserve">Second Floor (East) </t>
        </is>
      </c>
      <c r="F163" s="842" t="inlineStr">
        <is>
          <t>Office</t>
        </is>
      </c>
      <c r="G163" s="849" t="n">
        <v>130</v>
      </c>
      <c r="H163" s="849">
        <f>G163</f>
        <v/>
      </c>
      <c r="I163" s="849" t="n">
        <v>250</v>
      </c>
      <c r="J163" s="841" t="inlineStr">
        <is>
          <t>Vacant</t>
        </is>
      </c>
      <c r="M163" s="845" t="n">
        <v>45173</v>
      </c>
      <c r="P163" s="843" t="n">
        <v>0</v>
      </c>
      <c r="Q163" s="843">
        <f>P163</f>
        <v/>
      </c>
      <c r="S163" s="843" t="n">
        <v>8120</v>
      </c>
      <c r="T163" s="843">
        <f>S163</f>
        <v/>
      </c>
      <c r="U163" s="843" t="n">
        <v>8000</v>
      </c>
      <c r="V163" s="843">
        <f>U163</f>
        <v/>
      </c>
      <c r="W163" s="846">
        <f>U163/G163</f>
        <v/>
      </c>
      <c r="X163" s="847">
        <f>SUM(U163-S163)/S163</f>
        <v/>
      </c>
      <c r="Y163" s="843" t="inlineStr">
        <is>
          <t>E</t>
        </is>
      </c>
      <c r="Z163" s="590" t="n"/>
      <c r="AA163" s="848" t="n"/>
      <c r="AB163" s="842" t="inlineStr">
        <is>
          <t>No</t>
        </is>
      </c>
      <c r="AC163" s="841" t="inlineStr">
        <is>
          <t>LEM marketing.</t>
        </is>
      </c>
      <c r="AF163" s="312" t="n"/>
    </row>
    <row r="164">
      <c r="A164" s="839" t="inlineStr">
        <is>
          <t>CD</t>
        </is>
      </c>
      <c r="B164" s="839" t="inlineStr">
        <is>
          <t>MEL</t>
        </is>
      </c>
      <c r="C164" s="840" t="n">
        <v>550300</v>
      </c>
      <c r="D164" s="841" t="inlineStr">
        <is>
          <t>3/4/4a Little Portland Street</t>
        </is>
      </c>
      <c r="E164" s="121" t="inlineStr">
        <is>
          <t>Second (Rear) &amp; Part Ground (Storage)</t>
        </is>
      </c>
      <c r="F164" s="842" t="inlineStr">
        <is>
          <t xml:space="preserve"> Office &amp; Storage</t>
        </is>
      </c>
      <c r="G164" s="849" t="n">
        <v>1074</v>
      </c>
      <c r="H164" s="849">
        <f>G164</f>
        <v/>
      </c>
      <c r="I164" s="849" t="n">
        <v>1000</v>
      </c>
      <c r="J164" s="841" t="inlineStr">
        <is>
          <t>Vacant</t>
        </is>
      </c>
      <c r="M164" s="845" t="n">
        <v>45003</v>
      </c>
      <c r="P164" s="843" t="n">
        <v>0</v>
      </c>
      <c r="Q164" s="843">
        <f>P164</f>
        <v/>
      </c>
      <c r="S164" s="843" t="n">
        <v>72100</v>
      </c>
      <c r="T164" s="843">
        <f>S164</f>
        <v/>
      </c>
      <c r="U164" s="843" t="n">
        <v>66100</v>
      </c>
      <c r="V164" s="843">
        <f>U164</f>
        <v/>
      </c>
      <c r="W164" s="846">
        <f>U164/G164</f>
        <v/>
      </c>
      <c r="X164" s="847">
        <f>SUM(U164-S164)/S164</f>
        <v/>
      </c>
      <c r="Y164" s="843" t="inlineStr">
        <is>
          <t>E</t>
        </is>
      </c>
      <c r="Z164" s="590" t="inlineStr">
        <is>
          <t>*</t>
        </is>
      </c>
      <c r="AA164" s="848" t="n"/>
      <c r="AB164" s="842" t="inlineStr">
        <is>
          <t>No</t>
        </is>
      </c>
      <c r="AC164" s="841" t="inlineStr">
        <is>
          <t>LEM marketing.</t>
        </is>
      </c>
      <c r="AD164" s="850" t="n">
        <v>67.5</v>
      </c>
      <c r="AE164" s="841" t="n">
        <v>2</v>
      </c>
      <c r="AF164" s="312" t="n">
        <v>5</v>
      </c>
    </row>
    <row r="165">
      <c r="A165" s="839" t="inlineStr">
        <is>
          <t>CD</t>
        </is>
      </c>
      <c r="B165" s="839" t="inlineStr">
        <is>
          <t>MEL</t>
        </is>
      </c>
      <c r="C165" s="840" t="n">
        <v>550300</v>
      </c>
      <c r="D165" s="841" t="inlineStr">
        <is>
          <t>3/4/4a Little Portland Street</t>
        </is>
      </c>
      <c r="E165" s="841" t="inlineStr">
        <is>
          <t>Third Floor</t>
        </is>
      </c>
      <c r="F165" s="842" t="inlineStr">
        <is>
          <t>Office</t>
        </is>
      </c>
      <c r="G165" s="849" t="n">
        <v>2018</v>
      </c>
      <c r="H165" s="849">
        <f>G165</f>
        <v/>
      </c>
      <c r="I165" s="849" t="n">
        <v>2000</v>
      </c>
      <c r="J165" s="841" t="inlineStr">
        <is>
          <t>Total Recruitment Specialists Ltd</t>
        </is>
      </c>
      <c r="K165" s="844" t="n">
        <v>45456</v>
      </c>
      <c r="L165" s="845" t="n">
        <v>47281</v>
      </c>
      <c r="O165" s="845" t="n">
        <v>46550</v>
      </c>
      <c r="P165" s="843" t="n">
        <v>140315</v>
      </c>
      <c r="Q165" s="843">
        <f>P165</f>
        <v/>
      </c>
      <c r="S165" s="843" t="n">
        <v>129800</v>
      </c>
      <c r="T165" s="843">
        <f>S165</f>
        <v/>
      </c>
      <c r="U165" s="843" t="n">
        <v>140315</v>
      </c>
      <c r="V165" s="843">
        <f>U165</f>
        <v/>
      </c>
      <c r="W165" s="846">
        <f>U165/G165</f>
        <v/>
      </c>
      <c r="X165" s="847">
        <f>SUM(U165-S165)/S165</f>
        <v/>
      </c>
      <c r="Y165" s="843" t="inlineStr">
        <is>
          <t>E</t>
        </is>
      </c>
      <c r="Z165" s="590" t="n"/>
      <c r="AA165" s="848" t="n"/>
      <c r="AB165" s="842" t="inlineStr">
        <is>
          <t>No</t>
        </is>
      </c>
      <c r="AC165" s="841" t="inlineStr">
        <is>
          <t>Tenant break on 6 months notice.</t>
        </is>
      </c>
      <c r="AF165" s="312" t="n"/>
    </row>
    <row r="166">
      <c r="A166" s="839" t="inlineStr">
        <is>
          <t>CD</t>
        </is>
      </c>
      <c r="B166" s="839" t="inlineStr">
        <is>
          <t>MEL</t>
        </is>
      </c>
      <c r="C166" s="840" t="n">
        <v>550300</v>
      </c>
      <c r="D166" s="841" t="inlineStr">
        <is>
          <t>3/4/4a Little Portland Street</t>
        </is>
      </c>
      <c r="E166" s="841" t="inlineStr">
        <is>
          <t>Electricity Sub-Station</t>
        </is>
      </c>
      <c r="F166" s="842" t="inlineStr">
        <is>
          <t>Sub-Station</t>
        </is>
      </c>
      <c r="G166" s="849" t="n">
        <v>0</v>
      </c>
      <c r="H166" s="849">
        <f>G166</f>
        <v/>
      </c>
      <c r="J166" s="841" t="inlineStr">
        <is>
          <t>London Power Networks Plc</t>
        </is>
      </c>
      <c r="K166" s="844" t="n">
        <v>43866</v>
      </c>
      <c r="L166" s="845" t="n">
        <v>47518</v>
      </c>
      <c r="N166" s="845" t="n">
        <v>45693</v>
      </c>
      <c r="P166" s="843" t="n">
        <v>1000</v>
      </c>
      <c r="Q166" s="843">
        <f>P166</f>
        <v/>
      </c>
      <c r="S166" s="843" t="n">
        <v>1000</v>
      </c>
      <c r="T166" s="843">
        <f>S166</f>
        <v/>
      </c>
      <c r="U166" s="843" t="n">
        <v>1000</v>
      </c>
      <c r="V166" s="843">
        <f>U166</f>
        <v/>
      </c>
      <c r="W166" s="846" t="n"/>
      <c r="X166" s="847" t="n"/>
      <c r="Y166" s="843" t="n"/>
      <c r="Z166" s="590" t="n"/>
      <c r="AA166" s="848" t="n"/>
      <c r="AB166" s="842" t="inlineStr">
        <is>
          <t>Yes</t>
        </is>
      </c>
      <c r="AC166" s="841" t="inlineStr">
        <is>
          <t>Rent review is RPI. Rolling landlords redevelopment break after 04/02/25 on 9 months notice.</t>
        </is>
      </c>
      <c r="AF166" s="312" t="n"/>
    </row>
    <row r="167">
      <c r="A167" s="839" t="inlineStr">
        <is>
          <t>CD</t>
        </is>
      </c>
      <c r="B167" s="839" t="inlineStr">
        <is>
          <t>MEL</t>
        </is>
      </c>
      <c r="C167" s="840" t="n">
        <v>550500</v>
      </c>
      <c r="D167" s="841" t="inlineStr">
        <is>
          <t>5 Little Portland Street</t>
        </is>
      </c>
      <c r="E167" s="841" t="inlineStr">
        <is>
          <t>Ground &amp; Basement</t>
        </is>
      </c>
      <c r="F167" s="842" t="inlineStr">
        <is>
          <t>Bar</t>
        </is>
      </c>
      <c r="G167" s="849" t="n">
        <v>2520</v>
      </c>
      <c r="H167" s="843">
        <f>G167</f>
        <v/>
      </c>
      <c r="I167" s="843" t="n">
        <v>2500</v>
      </c>
      <c r="J167" s="841" t="inlineStr">
        <is>
          <t>The Social Little Portland Street Ltd.</t>
        </is>
      </c>
      <c r="K167" s="844" t="n">
        <v>43571</v>
      </c>
      <c r="L167" s="845" t="n">
        <v>47223</v>
      </c>
      <c r="N167" s="845" t="n">
        <v>45398</v>
      </c>
      <c r="P167" s="843" t="n">
        <v>82500</v>
      </c>
      <c r="Q167" s="843">
        <f>P167</f>
        <v/>
      </c>
      <c r="S167" s="843" t="n">
        <v>70000</v>
      </c>
      <c r="T167" s="843">
        <f>S167</f>
        <v/>
      </c>
      <c r="U167" s="843" t="n">
        <v>70000</v>
      </c>
      <c r="V167" s="843">
        <f>U167</f>
        <v/>
      </c>
      <c r="W167" s="846">
        <f>U167/G167</f>
        <v/>
      </c>
      <c r="X167" s="847">
        <f>SUM(U167-S167)/S167</f>
        <v/>
      </c>
      <c r="Y167" s="843" t="inlineStr">
        <is>
          <t>B</t>
        </is>
      </c>
      <c r="Z167" s="590" t="n"/>
      <c r="AA167" s="591" t="n"/>
      <c r="AB167" s="842" t="inlineStr">
        <is>
          <t>No</t>
        </is>
      </c>
      <c r="AF167" s="312" t="n"/>
    </row>
    <row r="168">
      <c r="A168" s="839" t="inlineStr">
        <is>
          <t>CD</t>
        </is>
      </c>
      <c r="B168" s="839" t="inlineStr">
        <is>
          <t>MEL</t>
        </is>
      </c>
      <c r="C168" s="840" t="n">
        <v>550500</v>
      </c>
      <c r="D168" s="841" t="inlineStr">
        <is>
          <t>5 Little Portland Street</t>
        </is>
      </c>
      <c r="E168" s="841" t="inlineStr">
        <is>
          <t>First to Third Floors</t>
        </is>
      </c>
      <c r="F168" s="842" t="inlineStr">
        <is>
          <t>Office</t>
        </is>
      </c>
      <c r="G168" s="849" t="n">
        <v>2186</v>
      </c>
      <c r="H168" s="843">
        <f>G168</f>
        <v/>
      </c>
      <c r="I168" s="843" t="n">
        <v>2000</v>
      </c>
      <c r="J168" s="841" t="inlineStr">
        <is>
          <t>Oaxaca Ltd.</t>
        </is>
      </c>
      <c r="K168" s="844" t="n">
        <v>43398</v>
      </c>
      <c r="L168" s="845" t="n">
        <v>47050</v>
      </c>
      <c r="N168" s="845" t="n">
        <v>45955</v>
      </c>
      <c r="O168" s="845" t="n">
        <v>45954</v>
      </c>
      <c r="P168" s="843" t="n">
        <v>101200</v>
      </c>
      <c r="Q168" s="843">
        <f>P168</f>
        <v/>
      </c>
      <c r="S168" s="843" t="n">
        <v>117100</v>
      </c>
      <c r="T168" s="843">
        <f>S168</f>
        <v/>
      </c>
      <c r="U168" s="843" t="n">
        <v>117100</v>
      </c>
      <c r="V168" s="843">
        <f>U168</f>
        <v/>
      </c>
      <c r="W168" s="846">
        <f>U168/G168</f>
        <v/>
      </c>
      <c r="X168" s="847">
        <f>SUM(U168-S168)/S168</f>
        <v/>
      </c>
      <c r="Y168" s="843" t="inlineStr">
        <is>
          <t>E</t>
        </is>
      </c>
      <c r="Z168" s="590" t="n"/>
      <c r="AA168" s="591" t="n"/>
      <c r="AB168" s="842" t="inlineStr">
        <is>
          <t>No</t>
        </is>
      </c>
      <c r="AC168" s="841" t="inlineStr">
        <is>
          <t>Tenant break on 6 months notice. Tenant has a 20% concession reducing the rent until the 25/10/25 review date, after this date it reverts to £126,500 pa.</t>
        </is>
      </c>
      <c r="AF168" s="312" t="n"/>
    </row>
    <row r="169">
      <c r="A169" s="839" t="inlineStr">
        <is>
          <t>CD</t>
        </is>
      </c>
      <c r="B169" s="839" t="inlineStr">
        <is>
          <t>MEL</t>
        </is>
      </c>
      <c r="C169" s="840" t="n">
        <v>550310</v>
      </c>
      <c r="D169" s="841" t="inlineStr">
        <is>
          <t>Alexandra House, 6 Little Portland Street</t>
        </is>
      </c>
      <c r="E169" s="841" t="inlineStr">
        <is>
          <t>Ground Floor &amp; Part Basement</t>
        </is>
      </c>
      <c r="F169" s="842" t="inlineStr">
        <is>
          <t>Restaurant</t>
        </is>
      </c>
      <c r="G169" s="849" t="n">
        <v>4430</v>
      </c>
      <c r="H169" s="843">
        <f>G169</f>
        <v/>
      </c>
      <c r="I169" s="843" t="n">
        <v>4500</v>
      </c>
      <c r="J169" s="841" t="inlineStr">
        <is>
          <t>Burger &amp; Lobster Restaurant Group Ltd.</t>
        </is>
      </c>
      <c r="K169" s="844" t="n">
        <v>41585</v>
      </c>
      <c r="L169" s="845" t="n">
        <v>47063</v>
      </c>
      <c r="N169" s="845" t="n">
        <v>45237</v>
      </c>
      <c r="P169" s="843" t="n">
        <v>170000</v>
      </c>
      <c r="Q169" s="843">
        <f>P169</f>
        <v/>
      </c>
      <c r="S169" s="843" t="n">
        <v>146900</v>
      </c>
      <c r="T169" s="843">
        <f>S169</f>
        <v/>
      </c>
      <c r="U169" s="843" t="n">
        <v>152100</v>
      </c>
      <c r="V169" s="843">
        <f>U169</f>
        <v/>
      </c>
      <c r="W169" s="846">
        <f>U169/G169</f>
        <v/>
      </c>
      <c r="X169" s="847">
        <f>SUM(U169-S169)/S169</f>
        <v/>
      </c>
      <c r="Y169" s="843" t="inlineStr">
        <is>
          <t>B</t>
        </is>
      </c>
      <c r="Z169" s="590" t="n"/>
      <c r="AA169" s="591" t="n"/>
      <c r="AB169" s="842" t="inlineStr">
        <is>
          <t>No</t>
        </is>
      </c>
      <c r="AC169" s="841" t="inlineStr">
        <is>
          <t>Rent review not yet activated due to level of passing rent.</t>
        </is>
      </c>
      <c r="AF169" s="312" t="n"/>
    </row>
    <row r="170">
      <c r="A170" s="839" t="inlineStr">
        <is>
          <t>CD</t>
        </is>
      </c>
      <c r="B170" s="839" t="inlineStr">
        <is>
          <t>MEL</t>
        </is>
      </c>
      <c r="C170" s="840" t="n">
        <v>550310</v>
      </c>
      <c r="D170" s="841" t="inlineStr">
        <is>
          <t>Alexandra House, 6 Little Portland Street</t>
        </is>
      </c>
      <c r="E170" s="841" t="inlineStr">
        <is>
          <t>First to Fourth Floors</t>
        </is>
      </c>
      <c r="F170" s="842" t="inlineStr">
        <is>
          <t>Office</t>
        </is>
      </c>
      <c r="G170" s="849" t="n">
        <v>10421</v>
      </c>
      <c r="H170" s="843">
        <f>G170</f>
        <v/>
      </c>
      <c r="I170" s="843" t="n">
        <v>10500</v>
      </c>
      <c r="J170" s="841" t="inlineStr">
        <is>
          <t>Exposure Promotions Ltd.</t>
        </is>
      </c>
      <c r="K170" s="844" t="n">
        <v>44552</v>
      </c>
      <c r="L170" s="845" t="n">
        <v>46377</v>
      </c>
      <c r="P170" s="843" t="n">
        <v>573565</v>
      </c>
      <c r="Q170" s="843">
        <f>P170</f>
        <v/>
      </c>
      <c r="S170" s="843" t="n">
        <v>572700</v>
      </c>
      <c r="T170" s="843">
        <f>S170</f>
        <v/>
      </c>
      <c r="U170" s="843" t="n">
        <v>589700</v>
      </c>
      <c r="V170" s="843">
        <f>U170</f>
        <v/>
      </c>
      <c r="W170" s="846">
        <f>U170/G170</f>
        <v/>
      </c>
      <c r="X170" s="847">
        <f>SUM(U170-S170)/S170</f>
        <v/>
      </c>
      <c r="Y170" s="843" t="inlineStr">
        <is>
          <t>C</t>
        </is>
      </c>
      <c r="Z170" s="590" t="n"/>
      <c r="AA170" s="591" t="n"/>
      <c r="AB170" s="842" t="inlineStr">
        <is>
          <t>No</t>
        </is>
      </c>
      <c r="AC170" s="841" t="inlineStr">
        <is>
          <t>Tenant break on 6 months notice. 3 months rent free if not exercised.</t>
        </is>
      </c>
      <c r="AF170" s="312" t="n"/>
    </row>
    <row r="171">
      <c r="A171" s="839" t="inlineStr">
        <is>
          <t>CD</t>
        </is>
      </c>
      <c r="B171" s="839" t="inlineStr">
        <is>
          <t>MEL</t>
        </is>
      </c>
      <c r="C171" s="840" t="n">
        <v>551010</v>
      </c>
      <c r="D171" s="857" t="inlineStr">
        <is>
          <t>9 Little Portland Street</t>
        </is>
      </c>
      <c r="E171" s="841" t="inlineStr">
        <is>
          <t>Lower Ground and Ground Floors</t>
        </is>
      </c>
      <c r="F171" s="842" t="inlineStr">
        <is>
          <t>Showroom / Office</t>
        </is>
      </c>
      <c r="G171" s="849" t="n">
        <v>747</v>
      </c>
      <c r="H171" s="843">
        <f>G171</f>
        <v/>
      </c>
      <c r="I171" s="843" t="n">
        <v>750</v>
      </c>
      <c r="J171" s="841" t="inlineStr">
        <is>
          <t>Order Line Ltd</t>
        </is>
      </c>
      <c r="K171" s="844" t="n">
        <v>44724</v>
      </c>
      <c r="P171" s="843" t="n">
        <v>45000</v>
      </c>
      <c r="Q171" s="843">
        <f>P171</f>
        <v/>
      </c>
      <c r="S171" s="843" t="n">
        <v>41700</v>
      </c>
      <c r="T171" s="843">
        <f>S171</f>
        <v/>
      </c>
      <c r="U171" s="843" t="n">
        <v>45000</v>
      </c>
      <c r="V171" s="843">
        <f>U171</f>
        <v/>
      </c>
      <c r="W171" s="846">
        <f>U171/G171</f>
        <v/>
      </c>
      <c r="X171" s="847">
        <f>SUM(U171-S171)/S171</f>
        <v/>
      </c>
      <c r="Y171" s="843" t="inlineStr">
        <is>
          <t>E</t>
        </is>
      </c>
      <c r="Z171" s="590" t="n"/>
      <c r="AA171" s="848" t="n"/>
      <c r="AB171" s="842" t="inlineStr">
        <is>
          <t>No</t>
        </is>
      </c>
      <c r="AC171" s="841" t="inlineStr">
        <is>
          <t>Tenancy at will granted based at existing rent.</t>
        </is>
      </c>
      <c r="AF171" s="312" t="n"/>
    </row>
    <row r="172">
      <c r="A172" s="839" t="inlineStr">
        <is>
          <t>CD</t>
        </is>
      </c>
      <c r="B172" s="839" t="inlineStr">
        <is>
          <t>MEL</t>
        </is>
      </c>
      <c r="C172" s="840" t="n">
        <v>551010</v>
      </c>
      <c r="D172" s="857" t="inlineStr">
        <is>
          <t>9 Little Portland Street</t>
        </is>
      </c>
      <c r="E172" s="841" t="inlineStr">
        <is>
          <t>First Floor</t>
        </is>
      </c>
      <c r="F172" s="842" t="inlineStr">
        <is>
          <t>Office</t>
        </is>
      </c>
      <c r="G172" s="849" t="n">
        <v>452</v>
      </c>
      <c r="H172" s="843">
        <f>G172</f>
        <v/>
      </c>
      <c r="I172" s="843" t="n">
        <v>500</v>
      </c>
      <c r="J172" s="841" t="inlineStr">
        <is>
          <t>Vacant</t>
        </is>
      </c>
      <c r="M172" s="845" t="n">
        <v>43466</v>
      </c>
      <c r="P172" s="843" t="n">
        <v>0</v>
      </c>
      <c r="Q172" s="843">
        <f>P172</f>
        <v/>
      </c>
      <c r="S172" s="843" t="n">
        <v>24900</v>
      </c>
      <c r="T172" s="843">
        <f>S172</f>
        <v/>
      </c>
      <c r="U172" s="843" t="n">
        <v>24900</v>
      </c>
      <c r="V172" s="843">
        <f>U172</f>
        <v/>
      </c>
      <c r="W172" s="846">
        <f>U172/G172</f>
        <v/>
      </c>
      <c r="X172" s="847">
        <f>SUM(U172-S172)/S172</f>
        <v/>
      </c>
      <c r="Y172" s="843" t="inlineStr">
        <is>
          <t>E</t>
        </is>
      </c>
      <c r="Z172" s="590" t="n"/>
      <c r="AA172" s="848" t="n"/>
      <c r="AB172" s="842" t="inlineStr">
        <is>
          <t>No</t>
        </is>
      </c>
      <c r="AC172" s="841" t="inlineStr">
        <is>
          <t>To be refurbished.</t>
        </is>
      </c>
      <c r="AF172" s="312" t="n"/>
    </row>
    <row r="173">
      <c r="A173" s="839" t="inlineStr">
        <is>
          <t>CD</t>
        </is>
      </c>
      <c r="B173" s="839" t="inlineStr">
        <is>
          <t>MEL</t>
        </is>
      </c>
      <c r="C173" s="840" t="n">
        <v>551010</v>
      </c>
      <c r="D173" s="857" t="inlineStr">
        <is>
          <t>9 Little Portland Street</t>
        </is>
      </c>
      <c r="E173" s="841" t="inlineStr">
        <is>
          <t xml:space="preserve">Second Floor </t>
        </is>
      </c>
      <c r="F173" s="842" t="inlineStr">
        <is>
          <t>Office</t>
        </is>
      </c>
      <c r="G173" s="849" t="n">
        <v>437</v>
      </c>
      <c r="H173" s="843">
        <f>G173</f>
        <v/>
      </c>
      <c r="I173" s="843" t="n">
        <v>500</v>
      </c>
      <c r="J173" s="841" t="inlineStr">
        <is>
          <t>Vacant</t>
        </is>
      </c>
      <c r="M173" s="845" t="n">
        <v>43466</v>
      </c>
      <c r="P173" s="843" t="n">
        <v>0</v>
      </c>
      <c r="Q173" s="843">
        <f>P173</f>
        <v/>
      </c>
      <c r="S173" s="843" t="n">
        <v>24000</v>
      </c>
      <c r="T173" s="843">
        <f>S173</f>
        <v/>
      </c>
      <c r="U173" s="843" t="n">
        <v>24000</v>
      </c>
      <c r="V173" s="843">
        <f>U173</f>
        <v/>
      </c>
      <c r="W173" s="846">
        <f>U173/G173</f>
        <v/>
      </c>
      <c r="X173" s="847">
        <f>SUM(U173-S173)/S173</f>
        <v/>
      </c>
      <c r="Y173" s="843" t="inlineStr">
        <is>
          <t>E</t>
        </is>
      </c>
      <c r="Z173" s="590" t="n"/>
      <c r="AA173" s="848" t="n"/>
      <c r="AB173" s="842" t="inlineStr">
        <is>
          <t>No</t>
        </is>
      </c>
      <c r="AC173" s="841" t="inlineStr">
        <is>
          <t>To be refurbished.</t>
        </is>
      </c>
      <c r="AF173" s="312" t="n"/>
    </row>
    <row r="174">
      <c r="A174" s="839" t="inlineStr">
        <is>
          <t>CD</t>
        </is>
      </c>
      <c r="B174" s="839" t="inlineStr">
        <is>
          <t>MEL</t>
        </is>
      </c>
      <c r="C174" s="840" t="n">
        <v>551010</v>
      </c>
      <c r="D174" s="857" t="inlineStr">
        <is>
          <t>9 Little Portland Street</t>
        </is>
      </c>
      <c r="E174" s="841" t="inlineStr">
        <is>
          <t>Third Floor</t>
        </is>
      </c>
      <c r="F174" s="842" t="inlineStr">
        <is>
          <t>Office</t>
        </is>
      </c>
      <c r="G174" s="849" t="n">
        <v>350</v>
      </c>
      <c r="H174" s="843">
        <f>G174</f>
        <v/>
      </c>
      <c r="I174" s="843" t="n">
        <v>500</v>
      </c>
      <c r="J174" s="841" t="inlineStr">
        <is>
          <t>Skynet Ltd</t>
        </is>
      </c>
      <c r="K174" s="844" t="n">
        <v>44724</v>
      </c>
      <c r="P174" s="843" t="n">
        <v>21060</v>
      </c>
      <c r="Q174" s="843">
        <f>P174</f>
        <v/>
      </c>
      <c r="S174" s="843" t="n">
        <v>19300</v>
      </c>
      <c r="T174" s="843">
        <f>S174</f>
        <v/>
      </c>
      <c r="U174" s="843" t="n">
        <v>19300</v>
      </c>
      <c r="V174" s="843">
        <f>U174</f>
        <v/>
      </c>
      <c r="W174" s="846">
        <f>U174/G174</f>
        <v/>
      </c>
      <c r="X174" s="847">
        <f>SUM(U174-S174)/S174</f>
        <v/>
      </c>
      <c r="Y174" s="843" t="inlineStr">
        <is>
          <t>E</t>
        </is>
      </c>
      <c r="Z174" s="590" t="n"/>
      <c r="AA174" s="848" t="n"/>
      <c r="AB174" s="842" t="inlineStr">
        <is>
          <t>No</t>
        </is>
      </c>
      <c r="AC174" s="841" t="inlineStr">
        <is>
          <t>Tenancy at will granted based at existing rent.</t>
        </is>
      </c>
      <c r="AF174" s="312" t="n"/>
    </row>
    <row r="175">
      <c r="A175" s="839" t="inlineStr">
        <is>
          <t>WS</t>
        </is>
      </c>
      <c r="B175" s="839" t="inlineStr">
        <is>
          <t>MEL</t>
        </is>
      </c>
      <c r="C175" s="840" t="n">
        <v>550960</v>
      </c>
      <c r="D175" s="841" t="inlineStr">
        <is>
          <t>21 Little Portland Street</t>
        </is>
      </c>
      <c r="E175" s="841" t="inlineStr">
        <is>
          <t>Lower Ground and Ground Floors</t>
        </is>
      </c>
      <c r="F175" s="842" t="inlineStr">
        <is>
          <t>Office</t>
        </is>
      </c>
      <c r="G175" s="849" t="n">
        <v>2820</v>
      </c>
      <c r="H175" s="843">
        <f>G175</f>
        <v/>
      </c>
      <c r="I175" s="843" t="n">
        <v>3000</v>
      </c>
      <c r="J175" s="841" t="inlineStr">
        <is>
          <t>FRIBA Limited</t>
        </is>
      </c>
      <c r="K175" s="844" t="n">
        <v>43794</v>
      </c>
      <c r="L175" s="845" t="n">
        <v>47446</v>
      </c>
      <c r="N175" s="845" t="n">
        <v>45621</v>
      </c>
      <c r="P175" s="843" t="n">
        <v>124773</v>
      </c>
      <c r="Q175" s="843">
        <f>P175</f>
        <v/>
      </c>
      <c r="S175" s="843" t="n">
        <v>126900</v>
      </c>
      <c r="T175" s="843">
        <f>S175</f>
        <v/>
      </c>
      <c r="U175" s="843" t="n">
        <v>141000</v>
      </c>
      <c r="V175" s="843">
        <f>U175</f>
        <v/>
      </c>
      <c r="W175" s="846">
        <f>U175/G175</f>
        <v/>
      </c>
      <c r="X175" s="847">
        <f>SUM(U175-S175)/S175</f>
        <v/>
      </c>
      <c r="Y175" s="843" t="inlineStr">
        <is>
          <t>D</t>
        </is>
      </c>
      <c r="Z175" s="590" t="n"/>
      <c r="AA175" s="18" t="n"/>
      <c r="AB175" s="842" t="inlineStr">
        <is>
          <t>No</t>
        </is>
      </c>
      <c r="AC175" s="841" t="inlineStr">
        <is>
          <t>Premises inter connected with 19 Margaret Street and let under a single lease. The floor area is shown for this building only. Rent shown pro rata.</t>
        </is>
      </c>
      <c r="AF175" s="312" t="n"/>
    </row>
    <row r="176">
      <c r="A176" s="839" t="inlineStr">
        <is>
          <t>WS</t>
        </is>
      </c>
      <c r="B176" s="839" t="inlineStr">
        <is>
          <t>MEL</t>
        </is>
      </c>
      <c r="C176" s="840" t="n">
        <v>550960</v>
      </c>
      <c r="D176" s="841" t="inlineStr">
        <is>
          <t>21 Little Portland Street</t>
        </is>
      </c>
      <c r="E176" s="841" t="inlineStr">
        <is>
          <t>First Floor</t>
        </is>
      </c>
      <c r="F176" s="849" t="inlineStr">
        <is>
          <t>Office</t>
        </is>
      </c>
      <c r="G176" s="849" t="n">
        <v>1282</v>
      </c>
      <c r="H176" s="843">
        <f>G176</f>
        <v/>
      </c>
      <c r="I176" s="843" t="n">
        <v>1250</v>
      </c>
      <c r="J176" s="841" t="inlineStr">
        <is>
          <t>Vacant</t>
        </is>
      </c>
      <c r="M176" s="845" t="n">
        <v>44747</v>
      </c>
      <c r="P176" s="843" t="n">
        <v>0</v>
      </c>
      <c r="Q176" s="843">
        <f>P176</f>
        <v/>
      </c>
      <c r="S176" s="843" t="n">
        <v>70500</v>
      </c>
      <c r="T176" s="843">
        <f>S176</f>
        <v/>
      </c>
      <c r="U176" s="843" t="n">
        <v>70500</v>
      </c>
      <c r="V176" s="843">
        <f>U176</f>
        <v/>
      </c>
      <c r="W176" s="846">
        <f>U176/G176</f>
        <v/>
      </c>
      <c r="X176" s="847">
        <f>SUM(U176-S176)/S176</f>
        <v/>
      </c>
      <c r="Y176" s="843" t="inlineStr">
        <is>
          <t>D</t>
        </is>
      </c>
      <c r="Z176" s="590" t="n"/>
      <c r="AA176" s="18" t="n"/>
      <c r="AB176" s="842" t="inlineStr">
        <is>
          <t>No</t>
        </is>
      </c>
      <c r="AC176" s="841" t="inlineStr">
        <is>
          <t>To be refurbished.</t>
        </is>
      </c>
      <c r="AD176" s="850" t="n">
        <v>67.5</v>
      </c>
      <c r="AE176" s="841" t="n">
        <v>6</v>
      </c>
      <c r="AF176" s="312" t="n">
        <v>7</v>
      </c>
      <c r="AG176" s="841" t="inlineStr">
        <is>
          <t>LEM</t>
        </is>
      </c>
    </row>
    <row r="177">
      <c r="A177" s="839" t="inlineStr">
        <is>
          <t>WS</t>
        </is>
      </c>
      <c r="B177" s="839" t="inlineStr">
        <is>
          <t>MEL</t>
        </is>
      </c>
      <c r="C177" s="840" t="n">
        <v>550960</v>
      </c>
      <c r="D177" s="841" t="inlineStr">
        <is>
          <t>21 Little Portland Street</t>
        </is>
      </c>
      <c r="E177" s="841" t="inlineStr">
        <is>
          <t>Second Floor</t>
        </is>
      </c>
      <c r="F177" s="842" t="inlineStr">
        <is>
          <t>Office</t>
        </is>
      </c>
      <c r="G177" s="849" t="n">
        <v>1214</v>
      </c>
      <c r="H177" s="843">
        <f>G177</f>
        <v/>
      </c>
      <c r="I177" s="843" t="n">
        <v>1250</v>
      </c>
      <c r="J177" s="841" t="inlineStr">
        <is>
          <t>Spanx UK Ltd</t>
        </is>
      </c>
      <c r="K177" s="844" t="n">
        <v>44733</v>
      </c>
      <c r="L177" s="620" t="n">
        <v>46558</v>
      </c>
      <c r="O177" s="845" t="n">
        <v>45828</v>
      </c>
      <c r="P177" s="843" t="n">
        <v>71000</v>
      </c>
      <c r="Q177" s="843">
        <f>P177</f>
        <v/>
      </c>
      <c r="S177" s="843" t="n">
        <v>71000</v>
      </c>
      <c r="T177" s="843">
        <f>S177</f>
        <v/>
      </c>
      <c r="U177" s="843" t="n">
        <v>71000</v>
      </c>
      <c r="V177" s="843">
        <f>U177</f>
        <v/>
      </c>
      <c r="W177" s="846">
        <f>U177/G177</f>
        <v/>
      </c>
      <c r="X177" s="847">
        <f>SUM(U177-S177)/S177</f>
        <v/>
      </c>
      <c r="Y177" s="843" t="inlineStr">
        <is>
          <t>D</t>
        </is>
      </c>
      <c r="Z177" s="590" t="n"/>
      <c r="AA177" s="18" t="n"/>
      <c r="AB177" s="842" t="inlineStr">
        <is>
          <t>No</t>
        </is>
      </c>
      <c r="AC177" s="841" t="inlineStr">
        <is>
          <t>Mutual break @ 20/06/25 on 6 months notice. Tenant break exercised. Break conditions not met. Lease to continue.</t>
        </is>
      </c>
      <c r="AF177" s="312" t="n"/>
    </row>
    <row r="178">
      <c r="A178" s="839" t="inlineStr">
        <is>
          <t>WS</t>
        </is>
      </c>
      <c r="B178" s="839" t="inlineStr">
        <is>
          <t>MEL</t>
        </is>
      </c>
      <c r="C178" s="840" t="n">
        <v>550960</v>
      </c>
      <c r="D178" s="841" t="inlineStr">
        <is>
          <t>21 Little Portland Street</t>
        </is>
      </c>
      <c r="E178" s="841" t="inlineStr">
        <is>
          <t>Third Floor</t>
        </is>
      </c>
      <c r="F178" s="842" t="inlineStr">
        <is>
          <t>Office</t>
        </is>
      </c>
      <c r="G178" s="849" t="n">
        <v>1226</v>
      </c>
      <c r="H178" s="843">
        <f>G178</f>
        <v/>
      </c>
      <c r="I178" s="843" t="n">
        <v>1250</v>
      </c>
      <c r="J178" s="841" t="inlineStr">
        <is>
          <t>Caneparo Associates Ltd</t>
        </is>
      </c>
      <c r="K178" s="844" t="n">
        <v>44605</v>
      </c>
      <c r="L178" s="845" t="n">
        <v>46430</v>
      </c>
      <c r="P178" s="843" t="n">
        <v>63000</v>
      </c>
      <c r="Q178" s="843">
        <f>P178</f>
        <v/>
      </c>
      <c r="S178" s="843" t="n">
        <v>63100</v>
      </c>
      <c r="T178" s="843">
        <f>S178</f>
        <v/>
      </c>
      <c r="U178" s="843" t="n">
        <v>63100</v>
      </c>
      <c r="V178" s="843">
        <f>U178</f>
        <v/>
      </c>
      <c r="W178" s="846">
        <f>U178/G178</f>
        <v/>
      </c>
      <c r="X178" s="847">
        <f>SUM(U178-S178)/S178</f>
        <v/>
      </c>
      <c r="Y178" s="843" t="inlineStr">
        <is>
          <t>D</t>
        </is>
      </c>
      <c r="Z178" s="590" t="n"/>
      <c r="AA178" s="18" t="n"/>
      <c r="AB178" s="842" t="inlineStr">
        <is>
          <t>No</t>
        </is>
      </c>
      <c r="AF178" s="312" t="n"/>
    </row>
    <row r="179">
      <c r="A179" s="839" t="inlineStr">
        <is>
          <t>WS</t>
        </is>
      </c>
      <c r="B179" s="839" t="inlineStr">
        <is>
          <t>MEL</t>
        </is>
      </c>
      <c r="C179" s="840" t="n">
        <v>550320</v>
      </c>
      <c r="D179" s="841" t="inlineStr">
        <is>
          <t>22-23 Little Portland Street</t>
        </is>
      </c>
      <c r="E179" s="841" t="inlineStr">
        <is>
          <t>Whole Building</t>
        </is>
      </c>
      <c r="F179" s="842" t="inlineStr">
        <is>
          <t>Office/ Showroom/ Storage</t>
        </is>
      </c>
      <c r="G179" s="18" t="n">
        <v>9776</v>
      </c>
      <c r="H179" s="843">
        <f>G179</f>
        <v/>
      </c>
      <c r="I179" s="843" t="n">
        <v>10000</v>
      </c>
      <c r="J179" s="841" t="inlineStr">
        <is>
          <t>David Chipperfield Architects Ltd</t>
        </is>
      </c>
      <c r="K179" s="844" t="n">
        <v>45463</v>
      </c>
      <c r="L179" s="845" t="n">
        <v>49114</v>
      </c>
      <c r="N179" s="845" t="n">
        <v>47289</v>
      </c>
      <c r="O179" s="845" t="n">
        <v>47288</v>
      </c>
      <c r="P179" s="591" t="n">
        <v>715000</v>
      </c>
      <c r="Q179" s="591">
        <f>P179</f>
        <v/>
      </c>
      <c r="R179" s="591">
        <f>Q179</f>
        <v/>
      </c>
      <c r="S179" s="591" t="n">
        <v>715000</v>
      </c>
      <c r="T179" s="843">
        <f>S179</f>
        <v/>
      </c>
      <c r="U179" s="591" t="n">
        <v>715000</v>
      </c>
      <c r="V179" s="843">
        <f>U179</f>
        <v/>
      </c>
      <c r="W179" s="846">
        <f>U179/G179</f>
        <v/>
      </c>
      <c r="X179" s="847">
        <f>SUM(U179-S179)/S179</f>
        <v/>
      </c>
      <c r="Y179" s="843" t="inlineStr">
        <is>
          <t>A</t>
        </is>
      </c>
      <c r="Z179" s="590" t="n"/>
      <c r="AA179" s="18" t="n">
        <v>12325000</v>
      </c>
      <c r="AB179" s="842" t="inlineStr">
        <is>
          <t>No</t>
        </is>
      </c>
      <c r="AC179" s="841" t="inlineStr">
        <is>
          <t>Tenant break on 6 months notice.</t>
        </is>
      </c>
      <c r="AF179" s="312" t="n"/>
    </row>
    <row r="180">
      <c r="A180" s="839" t="inlineStr">
        <is>
          <t>WS</t>
        </is>
      </c>
      <c r="B180" s="839" t="inlineStr">
        <is>
          <t>MEL</t>
        </is>
      </c>
      <c r="C180" s="840" t="n">
        <v>550330</v>
      </c>
      <c r="D180" s="841" t="inlineStr">
        <is>
          <t>9 Margaret Street</t>
        </is>
      </c>
      <c r="E180" s="841" t="inlineStr">
        <is>
          <t>Whole</t>
        </is>
      </c>
      <c r="F180" s="842" t="inlineStr">
        <is>
          <t>Office</t>
        </is>
      </c>
      <c r="G180" s="18" t="n">
        <v>4969</v>
      </c>
      <c r="H180" s="843">
        <f>G180</f>
        <v/>
      </c>
      <c r="I180" s="843" t="n">
        <v>5000</v>
      </c>
      <c r="J180" s="841" t="inlineStr">
        <is>
          <t>Racoon Media Services Limited</t>
        </is>
      </c>
      <c r="K180" s="844" t="n">
        <v>45198</v>
      </c>
      <c r="L180" s="845" t="n">
        <v>48850</v>
      </c>
      <c r="N180" s="845" t="n">
        <v>47025</v>
      </c>
      <c r="O180" s="845" t="n">
        <v>46293</v>
      </c>
      <c r="P180" s="591" t="n">
        <v>315000</v>
      </c>
      <c r="Q180" s="843">
        <f>P180</f>
        <v/>
      </c>
      <c r="R180" s="591">
        <f>Q180</f>
        <v/>
      </c>
      <c r="S180" s="591" t="n">
        <v>266600</v>
      </c>
      <c r="T180" s="843">
        <f>S180</f>
        <v/>
      </c>
      <c r="U180" s="591" t="n">
        <v>315000</v>
      </c>
      <c r="V180" s="843">
        <f>U180</f>
        <v/>
      </c>
      <c r="W180" s="846">
        <f>U180/G180</f>
        <v/>
      </c>
      <c r="X180" s="847">
        <f>SUM(U180-S180)/S180</f>
        <v/>
      </c>
      <c r="Y180" s="843" t="inlineStr">
        <is>
          <t>C</t>
        </is>
      </c>
      <c r="Z180" s="590" t="n"/>
      <c r="AA180" s="18" t="n">
        <v>5575000</v>
      </c>
      <c r="AB180" s="842" t="inlineStr">
        <is>
          <t>No</t>
        </is>
      </c>
      <c r="AC180" s="841" t="inlineStr">
        <is>
          <t>Tenant break on 6 months notice, if not exercised then a further 3 months rent free.</t>
        </is>
      </c>
      <c r="AF180" s="312" t="n"/>
    </row>
    <row r="181">
      <c r="A181" s="839" t="inlineStr">
        <is>
          <t>CM</t>
        </is>
      </c>
      <c r="B181" s="839" t="inlineStr">
        <is>
          <t>MEL</t>
        </is>
      </c>
      <c r="C181" s="840" t="n">
        <v>550340</v>
      </c>
      <c r="D181" s="841" t="inlineStr">
        <is>
          <t>London House, 9a Margaret Street</t>
        </is>
      </c>
      <c r="E181" s="841" t="inlineStr">
        <is>
          <t>Basement (Vaults)</t>
        </is>
      </c>
      <c r="F181" s="842" t="inlineStr">
        <is>
          <t>Storage</t>
        </is>
      </c>
      <c r="G181" s="849" t="n">
        <v>400</v>
      </c>
      <c r="H181" s="849">
        <f>G181</f>
        <v/>
      </c>
      <c r="J181" s="841" t="inlineStr">
        <is>
          <t>Langham Estate Management Ltd</t>
        </is>
      </c>
      <c r="K181" s="845" t="n">
        <v>43184</v>
      </c>
      <c r="L181" s="845" t="n">
        <v>46836</v>
      </c>
      <c r="N181" s="845" t="n">
        <v>45010</v>
      </c>
      <c r="P181" s="843" t="n">
        <v>2400</v>
      </c>
      <c r="Q181" s="843">
        <f>P181</f>
        <v/>
      </c>
      <c r="S181" s="843" t="n">
        <v>2000</v>
      </c>
      <c r="T181" s="843">
        <f>S181</f>
        <v/>
      </c>
      <c r="U181" s="843" t="n">
        <v>2000</v>
      </c>
      <c r="V181" s="843">
        <f>U181</f>
        <v/>
      </c>
      <c r="W181" s="846">
        <f>U181/G181</f>
        <v/>
      </c>
      <c r="X181" s="847">
        <f>SUM(U181-S181)/S181</f>
        <v/>
      </c>
      <c r="Y181" s="843" t="n"/>
      <c r="Z181" s="590" t="n"/>
      <c r="AA181" s="848" t="n"/>
      <c r="AB181" s="842" t="inlineStr">
        <is>
          <t>No</t>
        </is>
      </c>
      <c r="AC181" s="841" t="inlineStr">
        <is>
          <t>Mutual rolling break on 6 months notice. Internal Lease to another Lee Family Group Company.</t>
        </is>
      </c>
      <c r="AF181" s="312" t="n"/>
    </row>
    <row r="182">
      <c r="A182" s="839" t="inlineStr">
        <is>
          <t>CM</t>
        </is>
      </c>
      <c r="B182" s="839" t="inlineStr">
        <is>
          <t>MEL</t>
        </is>
      </c>
      <c r="C182" s="840" t="n">
        <v>550340</v>
      </c>
      <c r="D182" s="841" t="inlineStr">
        <is>
          <t>London House, 9a Margaret Street</t>
        </is>
      </c>
      <c r="E182" s="841" t="inlineStr">
        <is>
          <t>Basement (South)</t>
        </is>
      </c>
      <c r="F182" s="842" t="inlineStr">
        <is>
          <t>Office/ Storage</t>
        </is>
      </c>
      <c r="G182" s="849" t="n">
        <v>873</v>
      </c>
      <c r="H182" s="849">
        <f>G182</f>
        <v/>
      </c>
      <c r="J182" s="841" t="inlineStr">
        <is>
          <t>Langham Estate Management Ltd</t>
        </is>
      </c>
      <c r="K182" s="845" t="n">
        <v>43184</v>
      </c>
      <c r="L182" s="845" t="n">
        <v>46836</v>
      </c>
      <c r="N182" s="845" t="n">
        <v>45010</v>
      </c>
      <c r="P182" s="843" t="n">
        <v>24500</v>
      </c>
      <c r="Q182" s="843">
        <f>P182</f>
        <v/>
      </c>
      <c r="S182" s="843" t="n">
        <v>17500</v>
      </c>
      <c r="T182" s="843">
        <f>S182</f>
        <v/>
      </c>
      <c r="U182" s="843" t="n">
        <v>26200</v>
      </c>
      <c r="V182" s="843">
        <f>U182</f>
        <v/>
      </c>
      <c r="W182" s="846">
        <f>U182/G182</f>
        <v/>
      </c>
      <c r="X182" s="847">
        <f>SUM(U182-S182)/S182</f>
        <v/>
      </c>
      <c r="Y182" s="843" t="inlineStr">
        <is>
          <t>D</t>
        </is>
      </c>
      <c r="Z182" s="590" t="n"/>
      <c r="AA182" s="848" t="n"/>
      <c r="AB182" s="842" t="inlineStr">
        <is>
          <t>No</t>
        </is>
      </c>
      <c r="AC182" s="841" t="inlineStr">
        <is>
          <t>Mutual rolling break on 6 months notice. Internal Lease to another Lee Family Group Company.</t>
        </is>
      </c>
      <c r="AF182" s="312" t="n"/>
    </row>
    <row r="183">
      <c r="A183" s="839" t="inlineStr">
        <is>
          <t>CM</t>
        </is>
      </c>
      <c r="B183" s="839" t="inlineStr">
        <is>
          <t>MEL</t>
        </is>
      </c>
      <c r="C183" s="840" t="n">
        <v>550340</v>
      </c>
      <c r="D183" s="841" t="inlineStr">
        <is>
          <t>London House, 9a Margaret Street</t>
        </is>
      </c>
      <c r="E183" s="841" t="inlineStr">
        <is>
          <t>Basement (North)</t>
        </is>
      </c>
      <c r="F183" s="842" t="inlineStr">
        <is>
          <t>Office</t>
        </is>
      </c>
      <c r="G183" s="849" t="n">
        <v>624</v>
      </c>
      <c r="H183" s="849">
        <f>G183</f>
        <v/>
      </c>
      <c r="J183" s="841" t="inlineStr">
        <is>
          <t>Langham Estate Management Ltd</t>
        </is>
      </c>
      <c r="K183" s="845" t="n">
        <v>43184</v>
      </c>
      <c r="L183" s="845" t="n">
        <v>46836</v>
      </c>
      <c r="N183" s="845" t="n">
        <v>45010</v>
      </c>
      <c r="P183" s="843" t="n">
        <v>15600</v>
      </c>
      <c r="Q183" s="843">
        <f>P183</f>
        <v/>
      </c>
      <c r="S183" s="843" t="n">
        <v>12500</v>
      </c>
      <c r="T183" s="843">
        <f>S183</f>
        <v/>
      </c>
      <c r="U183" s="843" t="n">
        <v>18700</v>
      </c>
      <c r="V183" s="843">
        <f>U183</f>
        <v/>
      </c>
      <c r="W183" s="846">
        <f>U183/G183</f>
        <v/>
      </c>
      <c r="X183" s="847">
        <f>SUM(U183-S183)/S183</f>
        <v/>
      </c>
      <c r="Y183" s="843" t="inlineStr">
        <is>
          <t>D</t>
        </is>
      </c>
      <c r="Z183" s="590" t="n"/>
      <c r="AA183" s="848" t="n"/>
      <c r="AB183" s="842" t="inlineStr">
        <is>
          <t>No</t>
        </is>
      </c>
      <c r="AC183" s="841" t="inlineStr">
        <is>
          <t>Mutual rolling break on 6 months notice. Internal Lease to another Lee Family Group Company.</t>
        </is>
      </c>
      <c r="AF183" s="312" t="n"/>
    </row>
    <row r="184">
      <c r="A184" s="839" t="inlineStr">
        <is>
          <t>CM</t>
        </is>
      </c>
      <c r="B184" s="839" t="inlineStr">
        <is>
          <t>MEL</t>
        </is>
      </c>
      <c r="C184" s="840" t="n">
        <v>550340</v>
      </c>
      <c r="D184" s="841" t="inlineStr">
        <is>
          <t>London House, 9a Margaret Street</t>
        </is>
      </c>
      <c r="E184" s="841" t="inlineStr">
        <is>
          <t>Ground Floor (East)</t>
        </is>
      </c>
      <c r="F184" s="842" t="inlineStr">
        <is>
          <t>Office</t>
        </is>
      </c>
      <c r="G184" s="849" t="n">
        <v>1497</v>
      </c>
      <c r="H184" s="849">
        <f>G184</f>
        <v/>
      </c>
      <c r="J184" s="841" t="inlineStr">
        <is>
          <t>Langham Estate Management Ltd</t>
        </is>
      </c>
      <c r="K184" s="845" t="n">
        <v>45010</v>
      </c>
      <c r="L184" s="845" t="n">
        <v>46836</v>
      </c>
      <c r="P184" s="843" t="n">
        <v>84600</v>
      </c>
      <c r="Q184" s="843">
        <f>P184</f>
        <v/>
      </c>
      <c r="S184" s="843" t="n">
        <v>86100</v>
      </c>
      <c r="T184" s="843">
        <f>S184</f>
        <v/>
      </c>
      <c r="U184" s="843" t="n">
        <v>89800</v>
      </c>
      <c r="V184" s="843">
        <f>U184</f>
        <v/>
      </c>
      <c r="W184" s="846">
        <f>U184/G184</f>
        <v/>
      </c>
      <c r="X184" s="847">
        <f>SUM(U184-S184)/S184</f>
        <v/>
      </c>
      <c r="Y184" s="843" t="inlineStr">
        <is>
          <t>C</t>
        </is>
      </c>
      <c r="Z184" s="590" t="n"/>
      <c r="AA184" s="848" t="n"/>
      <c r="AB184" s="842" t="inlineStr">
        <is>
          <t>No</t>
        </is>
      </c>
      <c r="AC184" s="841" t="inlineStr">
        <is>
          <t>Mutual rolling break on 6 months notice. Internal Lease to another Lee Family Group Company.</t>
        </is>
      </c>
      <c r="AF184" s="312" t="n"/>
    </row>
    <row r="185">
      <c r="A185" s="839" t="inlineStr">
        <is>
          <t>CM</t>
        </is>
      </c>
      <c r="B185" s="839" t="inlineStr">
        <is>
          <t>MEL</t>
        </is>
      </c>
      <c r="C185" s="840" t="n">
        <v>550340</v>
      </c>
      <c r="D185" s="841" t="inlineStr">
        <is>
          <t>London House, 9a Margaret Street</t>
        </is>
      </c>
      <c r="E185" s="841" t="inlineStr">
        <is>
          <t>Ground Floor (West)</t>
        </is>
      </c>
      <c r="F185" s="842" t="inlineStr">
        <is>
          <t>Office</t>
        </is>
      </c>
      <c r="G185" s="849" t="n">
        <v>1553</v>
      </c>
      <c r="H185" s="849">
        <f>G185</f>
        <v/>
      </c>
      <c r="J185" s="841" t="inlineStr">
        <is>
          <t>Langham Estate Management Ltd</t>
        </is>
      </c>
      <c r="K185" s="844" t="n">
        <v>45269</v>
      </c>
      <c r="L185" s="845" t="n">
        <v>46836</v>
      </c>
      <c r="P185" s="843" t="n">
        <v>87750</v>
      </c>
      <c r="Q185" s="843">
        <f>P185</f>
        <v/>
      </c>
      <c r="S185" s="843" t="n">
        <v>89300</v>
      </c>
      <c r="T185" s="843">
        <f>S185</f>
        <v/>
      </c>
      <c r="U185" s="843" t="n">
        <v>93200</v>
      </c>
      <c r="V185" s="843">
        <f>U185</f>
        <v/>
      </c>
      <c r="W185" s="846">
        <f>U185/G185</f>
        <v/>
      </c>
      <c r="X185" s="847">
        <f>SUM(U185-S185)/S185</f>
        <v/>
      </c>
      <c r="Y185" s="843" t="inlineStr">
        <is>
          <t>D</t>
        </is>
      </c>
      <c r="Z185" s="590" t="n"/>
      <c r="AA185" s="848" t="n"/>
      <c r="AB185" s="842" t="inlineStr">
        <is>
          <t>No</t>
        </is>
      </c>
      <c r="AC185" s="841" t="inlineStr">
        <is>
          <t>Mutual rolling break on 6 months notice. Internal Lease to another Lee Family Group Company.</t>
        </is>
      </c>
      <c r="AF185" s="312" t="n"/>
    </row>
    <row r="186">
      <c r="A186" s="839" t="inlineStr">
        <is>
          <t>CM</t>
        </is>
      </c>
      <c r="B186" s="839" t="inlineStr">
        <is>
          <t>MEL</t>
        </is>
      </c>
      <c r="C186" s="840" t="n">
        <v>550340</v>
      </c>
      <c r="D186" s="841" t="inlineStr">
        <is>
          <t>London House, 9a Margaret Street</t>
        </is>
      </c>
      <c r="E186" s="841" t="inlineStr">
        <is>
          <t>First Floor (East)</t>
        </is>
      </c>
      <c r="F186" s="842" t="inlineStr">
        <is>
          <t>Office</t>
        </is>
      </c>
      <c r="G186" s="849" t="n">
        <v>1445</v>
      </c>
      <c r="H186" s="849">
        <f>G186</f>
        <v/>
      </c>
      <c r="J186" s="841" t="inlineStr">
        <is>
          <t>Langham Estate Management Ltd</t>
        </is>
      </c>
      <c r="K186" s="845" t="n">
        <v>43184</v>
      </c>
      <c r="L186" s="845" t="n">
        <v>46836</v>
      </c>
      <c r="N186" s="845" t="n">
        <v>45010</v>
      </c>
      <c r="P186" s="843" t="n">
        <v>79500</v>
      </c>
      <c r="Q186" s="843">
        <f>P186</f>
        <v/>
      </c>
      <c r="S186" s="843" t="n">
        <v>86700</v>
      </c>
      <c r="T186" s="843">
        <f>S186</f>
        <v/>
      </c>
      <c r="U186" s="843" t="n">
        <v>90300</v>
      </c>
      <c r="V186" s="843">
        <f>U186</f>
        <v/>
      </c>
      <c r="W186" s="846">
        <f>U186/G186</f>
        <v/>
      </c>
      <c r="X186" s="847">
        <f>SUM(U186-S186)/S186</f>
        <v/>
      </c>
      <c r="Y186" s="843" t="inlineStr">
        <is>
          <t>D</t>
        </is>
      </c>
      <c r="Z186" s="590" t="n"/>
      <c r="AA186" s="848" t="n"/>
      <c r="AB186" s="842" t="inlineStr">
        <is>
          <t>No</t>
        </is>
      </c>
      <c r="AC186" s="841" t="inlineStr">
        <is>
          <t>Mutual rolling break on 6 months notice. Internal Lease to another Lee Family Group Company.</t>
        </is>
      </c>
      <c r="AF186" s="312" t="n"/>
    </row>
    <row r="187">
      <c r="A187" s="839" t="inlineStr">
        <is>
          <t>CM</t>
        </is>
      </c>
      <c r="B187" s="839" t="inlineStr">
        <is>
          <t>MEL</t>
        </is>
      </c>
      <c r="C187" s="840" t="n">
        <v>550340</v>
      </c>
      <c r="D187" s="841" t="inlineStr">
        <is>
          <t>London House, 9a Margaret Street</t>
        </is>
      </c>
      <c r="E187" s="841" t="inlineStr">
        <is>
          <t>First Floor (West)</t>
        </is>
      </c>
      <c r="F187" s="842" t="inlineStr">
        <is>
          <t>Office</t>
        </is>
      </c>
      <c r="G187" s="849" t="n">
        <v>1200</v>
      </c>
      <c r="H187" s="849">
        <f>G187</f>
        <v/>
      </c>
      <c r="J187" s="841" t="inlineStr">
        <is>
          <t>Langham Estate Management Ltd</t>
        </is>
      </c>
      <c r="K187" s="845" t="n">
        <v>43184</v>
      </c>
      <c r="L187" s="845" t="n">
        <v>46836</v>
      </c>
      <c r="N187" s="845" t="n">
        <v>45010</v>
      </c>
      <c r="P187" s="843" t="n">
        <v>66000</v>
      </c>
      <c r="Q187" s="843">
        <f>P187</f>
        <v/>
      </c>
      <c r="S187" s="843" t="n">
        <v>72000</v>
      </c>
      <c r="T187" s="843">
        <f>S187</f>
        <v/>
      </c>
      <c r="U187" s="843" t="n">
        <v>75000</v>
      </c>
      <c r="V187" s="843">
        <f>U187</f>
        <v/>
      </c>
      <c r="W187" s="846">
        <f>U187/G187</f>
        <v/>
      </c>
      <c r="X187" s="847">
        <f>SUM(U187-S187)/S187</f>
        <v/>
      </c>
      <c r="Y187" s="843" t="inlineStr">
        <is>
          <t>C</t>
        </is>
      </c>
      <c r="Z187" s="590" t="n"/>
      <c r="AA187" s="848" t="n"/>
      <c r="AB187" s="842" t="inlineStr">
        <is>
          <t>No</t>
        </is>
      </c>
      <c r="AC187" s="841" t="inlineStr">
        <is>
          <t>Mutual rolling break on 6 months notice. Internal Lease to another Lee Family Group Company.</t>
        </is>
      </c>
      <c r="AF187" s="312" t="n"/>
    </row>
    <row r="188">
      <c r="A188" s="839" t="inlineStr">
        <is>
          <t>CM</t>
        </is>
      </c>
      <c r="B188" s="839" t="inlineStr">
        <is>
          <t>MEL</t>
        </is>
      </c>
      <c r="C188" s="840" t="n">
        <v>550340</v>
      </c>
      <c r="D188" s="841" t="inlineStr">
        <is>
          <t>London House, 9a Margaret Street</t>
        </is>
      </c>
      <c r="E188" s="841" t="inlineStr">
        <is>
          <t>Second Floor (East)</t>
        </is>
      </c>
      <c r="F188" s="842" t="inlineStr">
        <is>
          <t>Office</t>
        </is>
      </c>
      <c r="G188" s="849" t="n">
        <v>373</v>
      </c>
      <c r="H188" s="849">
        <f>G188</f>
        <v/>
      </c>
      <c r="J188" s="841" t="inlineStr">
        <is>
          <t>Langham Estate Management Ltd</t>
        </is>
      </c>
      <c r="K188" s="845" t="n">
        <v>43184</v>
      </c>
      <c r="L188" s="845" t="n">
        <v>46836</v>
      </c>
      <c r="N188" s="845" t="n">
        <v>45010</v>
      </c>
      <c r="P188" s="843" t="n">
        <v>18650</v>
      </c>
      <c r="Q188" s="843">
        <f>P188</f>
        <v/>
      </c>
      <c r="S188" s="843" t="n">
        <v>22400</v>
      </c>
      <c r="T188" s="843">
        <f>S188</f>
        <v/>
      </c>
      <c r="U188" s="843" t="n">
        <v>23300</v>
      </c>
      <c r="V188" s="843">
        <f>U188</f>
        <v/>
      </c>
      <c r="W188" s="846">
        <f>U188/G188</f>
        <v/>
      </c>
      <c r="X188" s="847">
        <f>SUM(U188-S188)/S188</f>
        <v/>
      </c>
      <c r="Y188" s="843" t="inlineStr">
        <is>
          <t>D</t>
        </is>
      </c>
      <c r="Z188" s="590" t="n"/>
      <c r="AA188" s="848" t="n"/>
      <c r="AB188" s="842" t="inlineStr">
        <is>
          <t>No</t>
        </is>
      </c>
      <c r="AC188" s="841" t="inlineStr">
        <is>
          <t>Mutual rolling break on 6 months notice. Internal Lease to another Lee Family Group Company.</t>
        </is>
      </c>
      <c r="AF188" s="312" t="n"/>
    </row>
    <row r="189">
      <c r="A189" s="839" t="inlineStr">
        <is>
          <t>CM</t>
        </is>
      </c>
      <c r="B189" s="839" t="inlineStr">
        <is>
          <t>MEL</t>
        </is>
      </c>
      <c r="C189" s="840" t="n">
        <v>550340</v>
      </c>
      <c r="D189" s="841" t="inlineStr">
        <is>
          <t>London House, 9a Margaret Street</t>
        </is>
      </c>
      <c r="E189" s="841" t="inlineStr">
        <is>
          <t>Second Floor (West)</t>
        </is>
      </c>
      <c r="F189" s="842" t="inlineStr">
        <is>
          <t>Office</t>
        </is>
      </c>
      <c r="G189" s="849" t="n">
        <v>346</v>
      </c>
      <c r="H189" s="849">
        <f>G189</f>
        <v/>
      </c>
      <c r="J189" s="841" t="inlineStr">
        <is>
          <t>Langham Estate Management Ltd</t>
        </is>
      </c>
      <c r="K189" s="845" t="n">
        <v>43184</v>
      </c>
      <c r="L189" s="845" t="n">
        <v>46836</v>
      </c>
      <c r="N189" s="845" t="n">
        <v>45010</v>
      </c>
      <c r="P189" s="843" t="n">
        <v>18150</v>
      </c>
      <c r="Q189" s="843">
        <f>P189</f>
        <v/>
      </c>
      <c r="S189" s="843" t="n">
        <v>20800</v>
      </c>
      <c r="T189" s="843">
        <f>S189</f>
        <v/>
      </c>
      <c r="U189" s="843" t="n">
        <v>21600</v>
      </c>
      <c r="V189" s="843">
        <f>U189</f>
        <v/>
      </c>
      <c r="W189" s="846">
        <f>U189/G189</f>
        <v/>
      </c>
      <c r="X189" s="847">
        <f>SUM(U189-S189)/S189</f>
        <v/>
      </c>
      <c r="Y189" s="843" t="inlineStr">
        <is>
          <t>D</t>
        </is>
      </c>
      <c r="Z189" s="590" t="n"/>
      <c r="AA189" s="848" t="n"/>
      <c r="AB189" s="842" t="inlineStr">
        <is>
          <t>No</t>
        </is>
      </c>
      <c r="AC189" s="841" t="inlineStr">
        <is>
          <t>Mutual rolling break on 6 months notice. Internal Lease to another Lee Family Group Company.</t>
        </is>
      </c>
      <c r="AF189" s="312" t="n"/>
    </row>
    <row r="190">
      <c r="A190" s="839" t="inlineStr">
        <is>
          <t>SH</t>
        </is>
      </c>
      <c r="B190" s="839" t="inlineStr">
        <is>
          <t>MEL</t>
        </is>
      </c>
      <c r="C190" s="840" t="n">
        <v>550900</v>
      </c>
      <c r="D190" s="841" t="inlineStr">
        <is>
          <t>10 Margaret Street</t>
        </is>
      </c>
      <c r="E190" s="841" t="inlineStr">
        <is>
          <t>Whole</t>
        </is>
      </c>
      <c r="F190" s="842" t="inlineStr">
        <is>
          <t>Office</t>
        </is>
      </c>
      <c r="G190" s="849" t="n">
        <v>8445</v>
      </c>
      <c r="H190" s="843">
        <f>G190</f>
        <v/>
      </c>
      <c r="I190" s="843" t="n">
        <v>8500</v>
      </c>
      <c r="J190" s="841" t="inlineStr">
        <is>
          <t>DMR Film Ventures (Facilities) Ltd.</t>
        </is>
      </c>
      <c r="K190" s="844" t="n">
        <v>44390</v>
      </c>
      <c r="L190" s="845" t="n">
        <v>48041</v>
      </c>
      <c r="N190" s="845" t="n">
        <v>46216</v>
      </c>
      <c r="O190" s="845" t="n">
        <v>46215</v>
      </c>
      <c r="P190" s="843" t="n">
        <v>450500</v>
      </c>
      <c r="Q190" s="843">
        <f>P190</f>
        <v/>
      </c>
      <c r="S190" s="843" t="n">
        <v>450500</v>
      </c>
      <c r="T190" s="843">
        <f>S190</f>
        <v/>
      </c>
      <c r="U190" s="843" t="n">
        <v>495300</v>
      </c>
      <c r="V190" s="843">
        <f>U190</f>
        <v/>
      </c>
      <c r="W190" s="846">
        <f>U190/G190</f>
        <v/>
      </c>
      <c r="X190" s="847">
        <f>SUM(U190-S190)/S190</f>
        <v/>
      </c>
      <c r="Y190" s="843" t="inlineStr">
        <is>
          <t>C</t>
        </is>
      </c>
      <c r="Z190" s="590" t="n"/>
      <c r="AA190" s="591" t="n"/>
      <c r="AB190" s="842" t="inlineStr">
        <is>
          <t>No</t>
        </is>
      </c>
      <c r="AC190" s="841" t="inlineStr">
        <is>
          <t>Tenant break on 6 months notice. 6 months rent free if break not exercised.</t>
        </is>
      </c>
      <c r="AF190" s="312" t="n"/>
    </row>
    <row r="191">
      <c r="A191" s="839" t="inlineStr">
        <is>
          <t>SH</t>
        </is>
      </c>
      <c r="B191" s="839" t="inlineStr">
        <is>
          <t>MEL</t>
        </is>
      </c>
      <c r="C191" s="840" t="n">
        <v>550900</v>
      </c>
      <c r="D191" s="841" t="inlineStr">
        <is>
          <t>10 Margaret Street</t>
        </is>
      </c>
      <c r="E191" s="841" t="inlineStr">
        <is>
          <t>Pavement Vaults</t>
        </is>
      </c>
      <c r="F191" s="842" t="inlineStr">
        <is>
          <t>Sub-Station</t>
        </is>
      </c>
      <c r="G191" s="849" t="n">
        <v>0</v>
      </c>
      <c r="H191" s="843">
        <f>G191</f>
        <v/>
      </c>
      <c r="I191" s="843" t="n"/>
      <c r="J191" s="841" t="inlineStr">
        <is>
          <t>London Power Networks Plc</t>
        </is>
      </c>
      <c r="K191" s="844" t="n">
        <v>38840</v>
      </c>
      <c r="L191" s="845" t="n">
        <v>46144</v>
      </c>
      <c r="P191" s="843" t="n">
        <v>1100</v>
      </c>
      <c r="Q191" s="843">
        <f>P191</f>
        <v/>
      </c>
      <c r="S191" s="843" t="n">
        <v>1100</v>
      </c>
      <c r="T191" s="843">
        <f>S191</f>
        <v/>
      </c>
      <c r="U191" s="843" t="n">
        <v>1100</v>
      </c>
      <c r="V191" s="843">
        <f>U191</f>
        <v/>
      </c>
      <c r="W191" s="843" t="n"/>
      <c r="X191" s="847" t="n"/>
      <c r="Y191" s="843" t="n"/>
      <c r="Z191" s="590" t="n"/>
      <c r="AA191" s="591" t="n"/>
      <c r="AB191" s="842" t="inlineStr">
        <is>
          <t>No</t>
        </is>
      </c>
      <c r="AC191" s="841" t="inlineStr">
        <is>
          <t>Landlords rolling redevelopment option on 6 months notice.</t>
        </is>
      </c>
      <c r="AF191" s="312" t="n"/>
    </row>
    <row r="192">
      <c r="A192" s="839" t="inlineStr">
        <is>
          <t>SH</t>
        </is>
      </c>
      <c r="B192" s="839" t="inlineStr">
        <is>
          <t>MEL</t>
        </is>
      </c>
      <c r="C192" s="840" t="n">
        <v>550350</v>
      </c>
      <c r="D192" s="841" t="inlineStr">
        <is>
          <t>Audley House,  12 Margaret Street</t>
        </is>
      </c>
      <c r="E192" s="841" t="inlineStr">
        <is>
          <t>Whole</t>
        </is>
      </c>
      <c r="F192" s="842" t="inlineStr">
        <is>
          <t>Office</t>
        </is>
      </c>
      <c r="G192" s="18" t="n">
        <v>6563</v>
      </c>
      <c r="H192" s="843">
        <f>G192</f>
        <v/>
      </c>
      <c r="I192" s="843" t="n">
        <v>6500</v>
      </c>
      <c r="J192" s="841" t="inlineStr">
        <is>
          <t>Wimbledon Business Centre Ltd.</t>
        </is>
      </c>
      <c r="K192" s="844" t="n">
        <v>45062</v>
      </c>
      <c r="L192" s="845" t="n">
        <v>48714</v>
      </c>
      <c r="N192" s="845" t="n">
        <v>46889</v>
      </c>
      <c r="P192" s="591" t="n">
        <v>350000</v>
      </c>
      <c r="Q192" s="843">
        <f>P192</f>
        <v/>
      </c>
      <c r="R192" s="591">
        <f>Q192</f>
        <v/>
      </c>
      <c r="S192" s="591" t="n">
        <v>350000</v>
      </c>
      <c r="T192" s="843">
        <f>S192</f>
        <v/>
      </c>
      <c r="U192" s="591" t="n">
        <v>350000</v>
      </c>
      <c r="V192" s="843">
        <f>U192</f>
        <v/>
      </c>
      <c r="W192" s="846">
        <f>U192/G192</f>
        <v/>
      </c>
      <c r="X192" s="847">
        <f>SUM(U192-S192)/S192</f>
        <v/>
      </c>
      <c r="Y192" s="843" t="inlineStr">
        <is>
          <t>D</t>
        </is>
      </c>
      <c r="Z192" s="590" t="n"/>
      <c r="AA192" s="47" t="n">
        <v>6575000</v>
      </c>
      <c r="AB192" s="842" t="inlineStr">
        <is>
          <t>No</t>
        </is>
      </c>
      <c r="AF192" s="312" t="n"/>
    </row>
    <row r="193">
      <c r="A193" s="839" t="inlineStr">
        <is>
          <t>WS</t>
        </is>
      </c>
      <c r="B193" s="839" t="inlineStr">
        <is>
          <t>MEL</t>
        </is>
      </c>
      <c r="C193" s="840" t="n">
        <v>550360</v>
      </c>
      <c r="D193" s="841" t="inlineStr">
        <is>
          <t>13-14 Margaret Street</t>
        </is>
      </c>
      <c r="E193" s="841" t="inlineStr">
        <is>
          <t>Basement &amp; Ground</t>
        </is>
      </c>
      <c r="F193" s="842" t="inlineStr">
        <is>
          <t>Retail</t>
        </is>
      </c>
      <c r="G193" s="849" t="n">
        <v>5735</v>
      </c>
      <c r="H193" s="843">
        <f>G193</f>
        <v/>
      </c>
      <c r="I193" s="843" t="n">
        <v>5750</v>
      </c>
      <c r="J193" s="841" t="inlineStr">
        <is>
          <t>Arlettie London Ltd.</t>
        </is>
      </c>
      <c r="K193" s="844" t="n">
        <v>45240</v>
      </c>
      <c r="L193" s="845" t="n">
        <v>48892</v>
      </c>
      <c r="N193" s="845" t="n">
        <v>47067</v>
      </c>
      <c r="O193" s="845" t="n">
        <v>47066</v>
      </c>
      <c r="P193" s="843" t="n">
        <v>282288</v>
      </c>
      <c r="Q193" s="843">
        <f>P193</f>
        <v/>
      </c>
      <c r="R193" s="591" t="n"/>
      <c r="S193" s="843" t="n">
        <v>258600</v>
      </c>
      <c r="T193" s="843">
        <f>S193</f>
        <v/>
      </c>
      <c r="U193" s="843" t="n">
        <v>282288</v>
      </c>
      <c r="V193" s="843">
        <f>U193</f>
        <v/>
      </c>
      <c r="W193" s="846">
        <f>U193/G193</f>
        <v/>
      </c>
      <c r="X193" s="847">
        <f>SUM(U193-S193)/S193</f>
        <v/>
      </c>
      <c r="Y193" s="843" t="inlineStr">
        <is>
          <t>C</t>
        </is>
      </c>
      <c r="Z193" s="590" t="n"/>
      <c r="AA193" s="47" t="n"/>
      <c r="AB193" s="842" t="inlineStr">
        <is>
          <t>No</t>
        </is>
      </c>
      <c r="AC193" s="841" t="inlineStr">
        <is>
          <t>Tenant break on 6 months notice and penalty clause of £48,345.</t>
        </is>
      </c>
      <c r="AF193" s="312" t="n"/>
    </row>
    <row r="194">
      <c r="A194" s="839" t="inlineStr">
        <is>
          <t>WS</t>
        </is>
      </c>
      <c r="B194" s="839" t="inlineStr">
        <is>
          <t>MEL</t>
        </is>
      </c>
      <c r="C194" s="840" t="n">
        <v>550360</v>
      </c>
      <c r="D194" s="841" t="inlineStr">
        <is>
          <t>13-14 Margaret Street</t>
        </is>
      </c>
      <c r="E194" s="841" t="inlineStr">
        <is>
          <t>First Floor</t>
        </is>
      </c>
      <c r="F194" s="842" t="inlineStr">
        <is>
          <t>Office</t>
        </is>
      </c>
      <c r="G194" s="849" t="n">
        <v>2400</v>
      </c>
      <c r="H194" s="843">
        <f>G194</f>
        <v/>
      </c>
      <c r="I194" s="843" t="n">
        <v>2500</v>
      </c>
      <c r="J194" s="841" t="inlineStr">
        <is>
          <t>Final Cut Ltd.</t>
        </is>
      </c>
      <c r="K194" s="844" t="n">
        <v>44665</v>
      </c>
      <c r="L194" s="845" t="n">
        <v>48852</v>
      </c>
      <c r="N194" s="845" t="n">
        <v>46491</v>
      </c>
      <c r="O194" s="845" t="n">
        <v>47026</v>
      </c>
      <c r="P194" s="843" t="n">
        <v>152500</v>
      </c>
      <c r="Q194" s="843">
        <f>P194</f>
        <v/>
      </c>
      <c r="R194" s="591" t="n"/>
      <c r="S194" s="843" t="n">
        <v>152400</v>
      </c>
      <c r="T194" s="843">
        <f>S194</f>
        <v/>
      </c>
      <c r="U194" s="843" t="n">
        <v>152400</v>
      </c>
      <c r="V194" s="843">
        <f>U194</f>
        <v/>
      </c>
      <c r="W194" s="846">
        <f>U194/G194</f>
        <v/>
      </c>
      <c r="X194" s="847">
        <f>SUM(U194-S194)/S194</f>
        <v/>
      </c>
      <c r="Y194" s="843" t="inlineStr">
        <is>
          <t>E</t>
        </is>
      </c>
      <c r="Z194" s="590" t="n"/>
      <c r="AA194" s="47" t="n"/>
      <c r="AB194" s="842" t="inlineStr">
        <is>
          <t>No</t>
        </is>
      </c>
      <c r="AC194" s="841" t="inlineStr">
        <is>
          <t xml:space="preserve">Tenant break on 6 months notice. </t>
        </is>
      </c>
      <c r="AF194" s="312" t="n"/>
    </row>
    <row r="195">
      <c r="A195" s="839" t="inlineStr">
        <is>
          <t>WS</t>
        </is>
      </c>
      <c r="B195" s="839" t="inlineStr">
        <is>
          <t>MEL</t>
        </is>
      </c>
      <c r="C195" s="840" t="n">
        <v>550360</v>
      </c>
      <c r="D195" s="841" t="inlineStr">
        <is>
          <t>13-14 Margaret Street</t>
        </is>
      </c>
      <c r="E195" s="841" t="inlineStr">
        <is>
          <t>Second Floor</t>
        </is>
      </c>
      <c r="F195" s="842" t="inlineStr">
        <is>
          <t>Office</t>
        </is>
      </c>
      <c r="G195" s="849" t="n">
        <v>2516</v>
      </c>
      <c r="H195" s="843">
        <f>G195</f>
        <v/>
      </c>
      <c r="I195" s="843" t="n">
        <v>2500</v>
      </c>
      <c r="J195" s="841" t="inlineStr">
        <is>
          <t>Final Cut Ltd.</t>
        </is>
      </c>
      <c r="K195" s="844" t="n">
        <v>44445</v>
      </c>
      <c r="L195" s="845" t="n">
        <v>47026</v>
      </c>
      <c r="N195" s="845" t="n">
        <v>46271</v>
      </c>
      <c r="P195" s="843" t="n">
        <v>150000</v>
      </c>
      <c r="Q195" s="843">
        <f>P195</f>
        <v/>
      </c>
      <c r="R195" s="591" t="n"/>
      <c r="S195" s="843" t="n">
        <v>158800</v>
      </c>
      <c r="T195" s="843">
        <f>S195</f>
        <v/>
      </c>
      <c r="U195" s="843" t="n">
        <v>159800</v>
      </c>
      <c r="V195" s="843">
        <f>U195</f>
        <v/>
      </c>
      <c r="W195" s="846">
        <f>U195/G195</f>
        <v/>
      </c>
      <c r="X195" s="847">
        <f>SUM(U195-S195)/S195</f>
        <v/>
      </c>
      <c r="Y195" s="843" t="inlineStr">
        <is>
          <t>E</t>
        </is>
      </c>
      <c r="Z195" s="590" t="n"/>
      <c r="AA195" s="47" t="n"/>
      <c r="AB195" s="842" t="inlineStr">
        <is>
          <t>No</t>
        </is>
      </c>
      <c r="AF195" s="312" t="n"/>
    </row>
    <row r="196">
      <c r="A196" s="839" t="inlineStr">
        <is>
          <t>WS</t>
        </is>
      </c>
      <c r="B196" s="839" t="inlineStr">
        <is>
          <t>MEL</t>
        </is>
      </c>
      <c r="C196" s="840" t="n">
        <v>550360</v>
      </c>
      <c r="D196" s="841" t="inlineStr">
        <is>
          <t>13-14 Margaret Street</t>
        </is>
      </c>
      <c r="E196" s="841" t="inlineStr">
        <is>
          <t>Third &amp; Fourth Floor</t>
        </is>
      </c>
      <c r="F196" s="842" t="inlineStr">
        <is>
          <t>Office</t>
        </is>
      </c>
      <c r="G196" s="849" t="n">
        <v>4902</v>
      </c>
      <c r="H196" s="843">
        <f>G196</f>
        <v/>
      </c>
      <c r="I196" s="843" t="n">
        <v>5000</v>
      </c>
      <c r="J196" s="841" t="inlineStr">
        <is>
          <t>Final Cut Ltd.</t>
        </is>
      </c>
      <c r="K196" s="844" t="n">
        <v>45259</v>
      </c>
      <c r="L196" s="845" t="n">
        <v>47026</v>
      </c>
      <c r="P196" s="843" t="n">
        <v>307687</v>
      </c>
      <c r="Q196" s="843">
        <f>P196</f>
        <v/>
      </c>
      <c r="R196" s="591" t="n"/>
      <c r="S196" s="843" t="n">
        <v>314300</v>
      </c>
      <c r="T196" s="843">
        <f>S196</f>
        <v/>
      </c>
      <c r="U196" s="843" t="n">
        <v>311300</v>
      </c>
      <c r="V196" s="843">
        <f>U196</f>
        <v/>
      </c>
      <c r="W196" s="846">
        <f>U196/G196</f>
        <v/>
      </c>
      <c r="X196" s="847">
        <f>SUM(U196-S196)/S196</f>
        <v/>
      </c>
      <c r="Y196" s="843" t="inlineStr">
        <is>
          <t>E</t>
        </is>
      </c>
      <c r="Z196" s="590" t="n"/>
      <c r="AA196" s="47" t="n"/>
      <c r="AB196" s="842" t="inlineStr">
        <is>
          <t>No</t>
        </is>
      </c>
      <c r="AF196" s="312" t="n"/>
    </row>
    <row r="197">
      <c r="A197" s="839" t="inlineStr">
        <is>
          <t>WS</t>
        </is>
      </c>
      <c r="B197" s="839" t="inlineStr">
        <is>
          <t>MEL</t>
        </is>
      </c>
      <c r="C197" s="840" t="n">
        <v>550360</v>
      </c>
      <c r="D197" s="841" t="inlineStr">
        <is>
          <t>13-14 Margaret Street</t>
        </is>
      </c>
      <c r="E197" s="841" t="inlineStr">
        <is>
          <t>Fifth Floor</t>
        </is>
      </c>
      <c r="F197" s="842" t="inlineStr">
        <is>
          <t>Office</t>
        </is>
      </c>
      <c r="G197" s="849" t="n">
        <v>2251</v>
      </c>
      <c r="H197" s="843">
        <f>G197</f>
        <v/>
      </c>
      <c r="I197" s="843" t="n">
        <v>2250</v>
      </c>
      <c r="J197" s="841" t="inlineStr">
        <is>
          <t>Final Cut Ltd.</t>
        </is>
      </c>
      <c r="K197" s="844" t="n">
        <v>45259</v>
      </c>
      <c r="L197" s="845" t="n">
        <v>47026</v>
      </c>
      <c r="P197" s="843" t="n">
        <v>138500</v>
      </c>
      <c r="Q197" s="843">
        <f>P197</f>
        <v/>
      </c>
      <c r="R197" s="591" t="n"/>
      <c r="S197" s="843" t="n">
        <v>138500</v>
      </c>
      <c r="T197" s="843">
        <f>S197</f>
        <v/>
      </c>
      <c r="U197" s="843" t="n">
        <v>140700</v>
      </c>
      <c r="V197" s="843">
        <f>U197</f>
        <v/>
      </c>
      <c r="W197" s="846">
        <f>U197/G197</f>
        <v/>
      </c>
      <c r="X197" s="847">
        <f>SUM(U197-S197)/S197</f>
        <v/>
      </c>
      <c r="Y197" s="843" t="inlineStr">
        <is>
          <t>E</t>
        </is>
      </c>
      <c r="Z197" s="590" t="n"/>
      <c r="AA197" s="47" t="n"/>
      <c r="AB197" s="842" t="inlineStr">
        <is>
          <t>No</t>
        </is>
      </c>
      <c r="AF197" s="312" t="n"/>
    </row>
    <row r="198">
      <c r="A198" s="839" t="inlineStr">
        <is>
          <t>WS</t>
        </is>
      </c>
      <c r="B198" s="839" t="inlineStr">
        <is>
          <t>MEL</t>
        </is>
      </c>
      <c r="C198" s="840" t="n">
        <v>550370</v>
      </c>
      <c r="D198" s="841" t="inlineStr">
        <is>
          <t>15-16 Margaret Street</t>
        </is>
      </c>
      <c r="E198" s="841" t="inlineStr">
        <is>
          <t>Lower Ground</t>
        </is>
      </c>
      <c r="F198" s="842" t="inlineStr">
        <is>
          <t>Office</t>
        </is>
      </c>
      <c r="G198" s="849" t="n">
        <v>2161</v>
      </c>
      <c r="H198" s="849">
        <f>G198</f>
        <v/>
      </c>
      <c r="I198" s="849" t="n">
        <v>2000</v>
      </c>
      <c r="J198" s="841" t="inlineStr">
        <is>
          <t>Vacant</t>
        </is>
      </c>
      <c r="M198" s="845" t="n">
        <v>44063</v>
      </c>
      <c r="P198" s="843" t="n">
        <v>0</v>
      </c>
      <c r="Q198" s="843">
        <f>P198</f>
        <v/>
      </c>
      <c r="S198" s="843" t="n">
        <v>53800</v>
      </c>
      <c r="T198" s="843">
        <f>S198</f>
        <v/>
      </c>
      <c r="U198" s="843" t="n">
        <v>54000</v>
      </c>
      <c r="V198" s="843">
        <f>U198</f>
        <v/>
      </c>
      <c r="W198" s="846">
        <f>U198/G198</f>
        <v/>
      </c>
      <c r="X198" s="847">
        <f>SUM(U198-S198)/S198</f>
        <v/>
      </c>
      <c r="Y198" s="843" t="inlineStr">
        <is>
          <t>E</t>
        </is>
      </c>
      <c r="Z198" s="590" t="n"/>
      <c r="AA198" s="47" t="n"/>
      <c r="AB198" s="842" t="inlineStr">
        <is>
          <t>No</t>
        </is>
      </c>
      <c r="AC198" s="841" t="inlineStr">
        <is>
          <t>Under offer</t>
        </is>
      </c>
      <c r="AE198" s="841" t="n">
        <v>3</v>
      </c>
      <c r="AF198" s="312" t="n">
        <v>9</v>
      </c>
      <c r="AG198" s="841" t="inlineStr">
        <is>
          <t>LEM</t>
        </is>
      </c>
    </row>
    <row r="199">
      <c r="A199" s="839" t="inlineStr">
        <is>
          <t>WS</t>
        </is>
      </c>
      <c r="B199" s="839" t="inlineStr">
        <is>
          <t>MEL</t>
        </is>
      </c>
      <c r="C199" s="840" t="n">
        <v>550370</v>
      </c>
      <c r="D199" s="841" t="inlineStr">
        <is>
          <t>15-16 Margaret Street</t>
        </is>
      </c>
      <c r="E199" s="841" t="inlineStr">
        <is>
          <t>Ground Floor</t>
        </is>
      </c>
      <c r="F199" s="842" t="inlineStr">
        <is>
          <t>Office</t>
        </is>
      </c>
      <c r="G199" s="849" t="n">
        <v>2185</v>
      </c>
      <c r="H199" s="849">
        <f>G199</f>
        <v/>
      </c>
      <c r="I199" s="849" t="n">
        <v>2000</v>
      </c>
      <c r="J199" s="841" t="inlineStr">
        <is>
          <t>Arlettie London Ltd.</t>
        </is>
      </c>
      <c r="K199" s="844" t="n">
        <v>45240</v>
      </c>
      <c r="L199" s="845" t="n">
        <v>48892</v>
      </c>
      <c r="N199" s="845" t="n">
        <v>47067</v>
      </c>
      <c r="O199" s="845" t="n">
        <v>47066</v>
      </c>
      <c r="P199" s="843" t="n">
        <v>132000</v>
      </c>
      <c r="Q199" s="843">
        <f>P199</f>
        <v/>
      </c>
      <c r="S199" s="843" t="n">
        <v>130000</v>
      </c>
      <c r="T199" s="843">
        <f>S199</f>
        <v/>
      </c>
      <c r="U199" s="843" t="n">
        <v>132000</v>
      </c>
      <c r="V199" s="843">
        <f>U199</f>
        <v/>
      </c>
      <c r="W199" s="846">
        <f>U199/G199</f>
        <v/>
      </c>
      <c r="X199" s="847">
        <f>SUM(U199-S199)/S199</f>
        <v/>
      </c>
      <c r="Y199" s="843" t="inlineStr">
        <is>
          <t>C</t>
        </is>
      </c>
      <c r="Z199" s="590" t="n"/>
      <c r="AA199" s="47" t="n"/>
      <c r="AB199" s="842" t="inlineStr">
        <is>
          <t>No</t>
        </is>
      </c>
      <c r="AC199" s="841" t="inlineStr">
        <is>
          <t>Tenant break on 6 months notice</t>
        </is>
      </c>
      <c r="AF199" s="312" t="n"/>
    </row>
    <row r="200">
      <c r="A200" s="839" t="inlineStr">
        <is>
          <t>WS</t>
        </is>
      </c>
      <c r="B200" s="839" t="inlineStr">
        <is>
          <t>MEL</t>
        </is>
      </c>
      <c r="C200" s="840" t="n">
        <v>550370</v>
      </c>
      <c r="D200" s="841" t="inlineStr">
        <is>
          <t>15-16 Margaret Street</t>
        </is>
      </c>
      <c r="E200" s="841" t="inlineStr">
        <is>
          <t>First Floor</t>
        </is>
      </c>
      <c r="F200" s="842" t="inlineStr">
        <is>
          <t>Office</t>
        </is>
      </c>
      <c r="G200" s="849" t="n">
        <v>1606</v>
      </c>
      <c r="H200" s="849">
        <f>G200</f>
        <v/>
      </c>
      <c r="I200" s="849" t="n">
        <v>1500</v>
      </c>
      <c r="J200" s="841" t="inlineStr">
        <is>
          <t>Vacant</t>
        </is>
      </c>
      <c r="M200" s="845" t="n">
        <v>44403</v>
      </c>
      <c r="P200" s="843" t="n">
        <v>0</v>
      </c>
      <c r="Q200" s="843">
        <f>P200</f>
        <v/>
      </c>
      <c r="S200" s="843" t="n">
        <v>85800</v>
      </c>
      <c r="T200" s="843">
        <f>S200</f>
        <v/>
      </c>
      <c r="U200" s="843" t="n">
        <v>100400</v>
      </c>
      <c r="V200" s="843">
        <f>U200</f>
        <v/>
      </c>
      <c r="W200" s="846">
        <f>U200/G200</f>
        <v/>
      </c>
      <c r="X200" s="847">
        <f>SUM(U200-S200)/S200</f>
        <v/>
      </c>
      <c r="Y200" s="843" t="inlineStr">
        <is>
          <t>D</t>
        </is>
      </c>
      <c r="Z200" s="590" t="n"/>
      <c r="AA200" s="47" t="n"/>
      <c r="AB200" s="842" t="inlineStr">
        <is>
          <t>No</t>
        </is>
      </c>
      <c r="AC200" s="841" t="inlineStr">
        <is>
          <t>To be refurbished.</t>
        </is>
      </c>
      <c r="AD200" s="850" t="n">
        <v>65</v>
      </c>
      <c r="AE200" s="841" t="n">
        <v>5</v>
      </c>
      <c r="AF200" s="312" t="n">
        <v>6</v>
      </c>
      <c r="AG200" s="841" t="inlineStr">
        <is>
          <t>LEM</t>
        </is>
      </c>
    </row>
    <row r="201">
      <c r="A201" s="839" t="inlineStr">
        <is>
          <t>WS</t>
        </is>
      </c>
      <c r="B201" s="839" t="inlineStr">
        <is>
          <t>MEL</t>
        </is>
      </c>
      <c r="C201" s="840" t="n">
        <v>550370</v>
      </c>
      <c r="D201" s="841" t="inlineStr">
        <is>
          <t>15-16 Margaret Street</t>
        </is>
      </c>
      <c r="E201" s="841" t="inlineStr">
        <is>
          <t>Second Floor</t>
        </is>
      </c>
      <c r="F201" s="842" t="inlineStr">
        <is>
          <t>Office</t>
        </is>
      </c>
      <c r="G201" s="849" t="n">
        <v>1296</v>
      </c>
      <c r="H201" s="849">
        <f>G201</f>
        <v/>
      </c>
      <c r="I201" s="849" t="n">
        <v>1250</v>
      </c>
      <c r="J201" s="841" t="inlineStr">
        <is>
          <t>Marson Property Ltd</t>
        </is>
      </c>
      <c r="K201" s="844" t="n">
        <v>44798</v>
      </c>
      <c r="L201" s="845" t="n">
        <v>46623</v>
      </c>
      <c r="P201" s="843" t="n">
        <v>73700</v>
      </c>
      <c r="Q201" s="843">
        <f>P201</f>
        <v/>
      </c>
      <c r="S201" s="843" t="n">
        <v>73500</v>
      </c>
      <c r="T201" s="843">
        <f>S201</f>
        <v/>
      </c>
      <c r="U201" s="843" t="n">
        <v>81000</v>
      </c>
      <c r="V201" s="843">
        <f>U201</f>
        <v/>
      </c>
      <c r="W201" s="846">
        <f>U201/G201</f>
        <v/>
      </c>
      <c r="X201" s="847">
        <f>SUM(U201-S201)/S201</f>
        <v/>
      </c>
      <c r="Y201" s="843" t="inlineStr">
        <is>
          <t>D</t>
        </is>
      </c>
      <c r="Z201" s="590" t="n"/>
      <c r="AA201" s="47" t="n"/>
      <c r="AB201" s="842" t="inlineStr">
        <is>
          <t>No</t>
        </is>
      </c>
      <c r="AF201" s="312" t="n"/>
    </row>
    <row r="202">
      <c r="A202" s="839" t="inlineStr">
        <is>
          <t>WS</t>
        </is>
      </c>
      <c r="B202" s="839" t="inlineStr">
        <is>
          <t>MEL</t>
        </is>
      </c>
      <c r="C202" s="840" t="n">
        <v>550370</v>
      </c>
      <c r="D202" s="841" t="inlineStr">
        <is>
          <t>15-16 Margaret Street</t>
        </is>
      </c>
      <c r="E202" s="841" t="inlineStr">
        <is>
          <t>Third Floor</t>
        </is>
      </c>
      <c r="F202" s="842" t="inlineStr">
        <is>
          <t>Office</t>
        </is>
      </c>
      <c r="G202" s="849" t="n">
        <v>1129</v>
      </c>
      <c r="H202" s="849">
        <f>G202</f>
        <v/>
      </c>
      <c r="I202" s="849" t="n">
        <v>1000</v>
      </c>
      <c r="J202" s="841" t="inlineStr">
        <is>
          <t>Vacant</t>
        </is>
      </c>
      <c r="M202" s="845" t="n">
        <v>44097</v>
      </c>
      <c r="P202" s="843" t="n">
        <v>0</v>
      </c>
      <c r="Q202" s="843">
        <f>P202</f>
        <v/>
      </c>
      <c r="S202" s="843" t="n">
        <v>65600</v>
      </c>
      <c r="T202" s="843">
        <f>S202</f>
        <v/>
      </c>
      <c r="U202" s="843" t="n">
        <v>70600</v>
      </c>
      <c r="V202" s="843">
        <f>U202</f>
        <v/>
      </c>
      <c r="W202" s="846">
        <f>U202/G202</f>
        <v/>
      </c>
      <c r="X202" s="847">
        <f>SUM(U202-S202)/S202</f>
        <v/>
      </c>
      <c r="Y202" s="843" t="inlineStr">
        <is>
          <t>D</t>
        </is>
      </c>
      <c r="Z202" s="590" t="n"/>
      <c r="AA202" s="47" t="n"/>
      <c r="AB202" s="842" t="inlineStr">
        <is>
          <t>No</t>
        </is>
      </c>
      <c r="AC202" s="841" t="inlineStr">
        <is>
          <t>To be refurbished.</t>
        </is>
      </c>
      <c r="AD202" s="850" t="n">
        <v>65</v>
      </c>
      <c r="AE202" s="841" t="n">
        <v>8</v>
      </c>
      <c r="AF202" s="312" t="n">
        <v>10</v>
      </c>
    </row>
    <row r="203">
      <c r="A203" s="839" t="inlineStr">
        <is>
          <t>WS</t>
        </is>
      </c>
      <c r="B203" s="839" t="inlineStr">
        <is>
          <t>MEL</t>
        </is>
      </c>
      <c r="C203" s="840" t="n">
        <v>550370</v>
      </c>
      <c r="D203" s="841" t="inlineStr">
        <is>
          <t>15-16 Margaret Street</t>
        </is>
      </c>
      <c r="E203" s="841" t="inlineStr">
        <is>
          <t>Fourth Floor</t>
        </is>
      </c>
      <c r="F203" s="842" t="inlineStr">
        <is>
          <t>Office</t>
        </is>
      </c>
      <c r="G203" s="849" t="n">
        <v>856</v>
      </c>
      <c r="H203" s="849">
        <f>G203</f>
        <v/>
      </c>
      <c r="I203" s="849" t="n">
        <v>1000</v>
      </c>
      <c r="J203" s="841" t="inlineStr">
        <is>
          <t>Vacant</t>
        </is>
      </c>
      <c r="M203" s="845" t="n">
        <v>44814</v>
      </c>
      <c r="P203" s="843" t="n">
        <v>0</v>
      </c>
      <c r="Q203" s="843">
        <f>P203</f>
        <v/>
      </c>
      <c r="S203" s="843" t="n">
        <v>45000</v>
      </c>
      <c r="T203" s="843">
        <f>S203</f>
        <v/>
      </c>
      <c r="U203" s="843" t="n">
        <v>53500</v>
      </c>
      <c r="V203" s="843">
        <f>U203</f>
        <v/>
      </c>
      <c r="W203" s="846">
        <f>U203/G203</f>
        <v/>
      </c>
      <c r="X203" s="847">
        <f>SUM(U203-S203)/S203</f>
        <v/>
      </c>
      <c r="Y203" s="843" t="inlineStr">
        <is>
          <t>E</t>
        </is>
      </c>
      <c r="Z203" s="590" t="n"/>
      <c r="AA203" s="47" t="n"/>
      <c r="AB203" s="842" t="inlineStr">
        <is>
          <t>No</t>
        </is>
      </c>
      <c r="AC203" s="841" t="inlineStr">
        <is>
          <t>To be refurbished.</t>
        </is>
      </c>
      <c r="AD203" s="850" t="n">
        <v>65</v>
      </c>
      <c r="AE203" s="841" t="n">
        <v>4</v>
      </c>
      <c r="AF203" s="312" t="n">
        <v>4</v>
      </c>
    </row>
    <row r="204">
      <c r="A204" s="839" t="inlineStr">
        <is>
          <t>WS</t>
        </is>
      </c>
      <c r="B204" s="839" t="inlineStr">
        <is>
          <t>MEL</t>
        </is>
      </c>
      <c r="C204" s="840" t="n">
        <v>550370</v>
      </c>
      <c r="D204" s="841" t="inlineStr">
        <is>
          <t>15-16 Margaret Street</t>
        </is>
      </c>
      <c r="E204" s="841" t="inlineStr">
        <is>
          <t>Fifth Floor</t>
        </is>
      </c>
      <c r="F204" s="842" t="inlineStr">
        <is>
          <t>Office</t>
        </is>
      </c>
      <c r="G204" s="849" t="n">
        <v>766</v>
      </c>
      <c r="H204" s="849">
        <f>G204</f>
        <v/>
      </c>
      <c r="I204" s="849" t="n">
        <v>750</v>
      </c>
      <c r="J204" s="841" t="inlineStr">
        <is>
          <t>Vacant</t>
        </is>
      </c>
      <c r="M204" s="845" t="n">
        <v>44063</v>
      </c>
      <c r="P204" s="843" t="n">
        <v>0</v>
      </c>
      <c r="Q204" s="843">
        <f>P204</f>
        <v/>
      </c>
      <c r="S204" s="843" t="n">
        <v>39300</v>
      </c>
      <c r="T204" s="843">
        <f>S204</f>
        <v/>
      </c>
      <c r="U204" s="843" t="n">
        <v>43100</v>
      </c>
      <c r="V204" s="843">
        <f>U204</f>
        <v/>
      </c>
      <c r="W204" s="846">
        <f>U204/G204</f>
        <v/>
      </c>
      <c r="X204" s="847">
        <f>SUM(U204-S204)/S204</f>
        <v/>
      </c>
      <c r="Y204" s="843" t="inlineStr">
        <is>
          <t>E</t>
        </is>
      </c>
      <c r="Z204" s="590" t="n"/>
      <c r="AA204" s="47" t="n"/>
      <c r="AB204" s="842" t="inlineStr">
        <is>
          <t>No</t>
        </is>
      </c>
      <c r="AC204" s="841" t="inlineStr">
        <is>
          <t>To be refurbished.</t>
        </is>
      </c>
      <c r="AD204" s="850" t="n">
        <v>65</v>
      </c>
      <c r="AE204" s="841" t="n">
        <v>3</v>
      </c>
      <c r="AF204" s="312" t="n">
        <v>5</v>
      </c>
    </row>
    <row r="205">
      <c r="A205" s="839" t="inlineStr">
        <is>
          <t>WS</t>
        </is>
      </c>
      <c r="B205" s="839" t="inlineStr">
        <is>
          <t>MEL</t>
        </is>
      </c>
      <c r="C205" s="840" t="n">
        <v>550380</v>
      </c>
      <c r="D205" s="841" t="inlineStr">
        <is>
          <t>17-18 Margaret Street</t>
        </is>
      </c>
      <c r="E205" s="841" t="inlineStr">
        <is>
          <t>Basement</t>
        </is>
      </c>
      <c r="F205" s="842" t="inlineStr">
        <is>
          <t>Office/ Showroom</t>
        </is>
      </c>
      <c r="G205" s="849" t="n">
        <v>2481</v>
      </c>
      <c r="H205" s="849">
        <f>G205</f>
        <v/>
      </c>
      <c r="I205" s="849" t="n">
        <v>2500</v>
      </c>
      <c r="J205" s="860" t="inlineStr">
        <is>
          <t>Arrow International Media Ltd.</t>
        </is>
      </c>
      <c r="K205" s="844" t="n">
        <v>44758</v>
      </c>
      <c r="L205" s="845" t="n">
        <v>46583</v>
      </c>
      <c r="P205" s="843" t="n">
        <v>69440</v>
      </c>
      <c r="Q205" s="843">
        <f>P205</f>
        <v/>
      </c>
      <c r="S205" s="843" t="n">
        <v>69500</v>
      </c>
      <c r="T205" s="843">
        <f>S205</f>
        <v/>
      </c>
      <c r="U205" s="843" t="n">
        <v>69500</v>
      </c>
      <c r="V205" s="843">
        <f>U205</f>
        <v/>
      </c>
      <c r="W205" s="846">
        <f>U205/G205</f>
        <v/>
      </c>
      <c r="X205" s="847">
        <f>SUM(U205-S205)/S205</f>
        <v/>
      </c>
      <c r="Y205" s="843" t="inlineStr">
        <is>
          <t>E</t>
        </is>
      </c>
      <c r="Z205" s="590" t="n"/>
      <c r="AA205" s="848" t="n"/>
      <c r="AB205" s="842" t="inlineStr">
        <is>
          <t>No</t>
        </is>
      </c>
      <c r="AF205" s="312" t="n"/>
    </row>
    <row r="206">
      <c r="A206" s="839" t="inlineStr">
        <is>
          <t>WS</t>
        </is>
      </c>
      <c r="B206" s="839" t="inlineStr">
        <is>
          <t>MEL</t>
        </is>
      </c>
      <c r="C206" s="840" t="n">
        <v>550380</v>
      </c>
      <c r="D206" s="841" t="inlineStr">
        <is>
          <t>17-18 Margaret Street</t>
        </is>
      </c>
      <c r="E206" s="841" t="inlineStr">
        <is>
          <t xml:space="preserve">Ground Floor (E) </t>
        </is>
      </c>
      <c r="F206" s="842" t="inlineStr">
        <is>
          <t>Showroom</t>
        </is>
      </c>
      <c r="G206" s="849" t="n">
        <v>1616</v>
      </c>
      <c r="H206" s="849">
        <f>G206</f>
        <v/>
      </c>
      <c r="I206" s="849" t="n">
        <v>1500</v>
      </c>
      <c r="J206" s="841" t="inlineStr">
        <is>
          <t>Arlettie London Ltd.</t>
        </is>
      </c>
      <c r="K206" s="844" t="n">
        <v>45240</v>
      </c>
      <c r="L206" s="845" t="n">
        <v>48892</v>
      </c>
      <c r="N206" s="845" t="n">
        <v>47067</v>
      </c>
      <c r="O206" s="845" t="n">
        <v>47066</v>
      </c>
      <c r="P206" s="843" t="n">
        <v>85500</v>
      </c>
      <c r="Q206" s="843">
        <f>P206</f>
        <v/>
      </c>
      <c r="S206" s="843" t="n">
        <v>84800</v>
      </c>
      <c r="T206" s="843">
        <f>S206</f>
        <v/>
      </c>
      <c r="U206" s="843" t="n">
        <v>85000</v>
      </c>
      <c r="V206" s="843">
        <f>U206</f>
        <v/>
      </c>
      <c r="W206" s="846">
        <f>U206/G206</f>
        <v/>
      </c>
      <c r="X206" s="847">
        <f>SUM(U206-S206)/S206</f>
        <v/>
      </c>
      <c r="Y206" s="843" t="inlineStr">
        <is>
          <t>D</t>
        </is>
      </c>
      <c r="Z206" s="590" t="n"/>
      <c r="AA206" s="848" t="n"/>
      <c r="AB206" s="842" t="inlineStr">
        <is>
          <t>No</t>
        </is>
      </c>
      <c r="AC206" s="841" t="inlineStr">
        <is>
          <t>Tenant break on 6 months notice</t>
        </is>
      </c>
      <c r="AF206" s="312" t="n"/>
    </row>
    <row r="207">
      <c r="A207" s="839" t="inlineStr">
        <is>
          <t>WS</t>
        </is>
      </c>
      <c r="B207" s="839" t="inlineStr">
        <is>
          <t>MEL</t>
        </is>
      </c>
      <c r="C207" s="840" t="n">
        <v>550380</v>
      </c>
      <c r="D207" s="841" t="inlineStr">
        <is>
          <t>17-18 Margaret Street</t>
        </is>
      </c>
      <c r="E207" s="841" t="inlineStr">
        <is>
          <t>Ground Floor (W)</t>
        </is>
      </c>
      <c r="F207" s="842" t="inlineStr">
        <is>
          <t>Office/ Showroom</t>
        </is>
      </c>
      <c r="G207" s="849" t="n">
        <v>1485</v>
      </c>
      <c r="H207" s="849">
        <f>G207</f>
        <v/>
      </c>
      <c r="I207" s="849" t="n">
        <v>1500</v>
      </c>
      <c r="J207" s="841" t="inlineStr">
        <is>
          <t>Yamaha Music Europe GMBH.</t>
        </is>
      </c>
      <c r="K207" s="844" t="n">
        <v>45525</v>
      </c>
      <c r="L207" s="845" t="n">
        <v>47350</v>
      </c>
      <c r="O207" s="845" t="n">
        <v>46620</v>
      </c>
      <c r="P207" s="843" t="n">
        <v>90000</v>
      </c>
      <c r="Q207" s="843">
        <f>P207</f>
        <v/>
      </c>
      <c r="S207" s="843" t="n">
        <v>78000</v>
      </c>
      <c r="T207" s="843">
        <f>S207</f>
        <v/>
      </c>
      <c r="U207" s="843" t="n">
        <v>90000</v>
      </c>
      <c r="V207" s="843">
        <f>U207</f>
        <v/>
      </c>
      <c r="W207" s="846">
        <f>U207/G207</f>
        <v/>
      </c>
      <c r="X207" s="847">
        <f>SUM(U207-S207)/S207</f>
        <v/>
      </c>
      <c r="Y207" s="843" t="inlineStr">
        <is>
          <t>E</t>
        </is>
      </c>
      <c r="Z207" s="590" t="n"/>
      <c r="AA207" s="848" t="n"/>
      <c r="AB207" s="842" t="inlineStr">
        <is>
          <t>No</t>
        </is>
      </c>
      <c r="AC207" s="841" t="inlineStr">
        <is>
          <t xml:space="preserve">Tenant break on 6 months notice. </t>
        </is>
      </c>
      <c r="AF207" s="312" t="n"/>
    </row>
    <row r="208">
      <c r="A208" s="839" t="inlineStr">
        <is>
          <t>WS</t>
        </is>
      </c>
      <c r="B208" s="839" t="inlineStr">
        <is>
          <t>MEL</t>
        </is>
      </c>
      <c r="C208" s="840" t="n">
        <v>550380</v>
      </c>
      <c r="D208" s="841" t="inlineStr">
        <is>
          <t>17-18 Margaret Street</t>
        </is>
      </c>
      <c r="E208" s="841" t="inlineStr">
        <is>
          <t>First Floor</t>
        </is>
      </c>
      <c r="F208" s="842" t="inlineStr">
        <is>
          <t>Office</t>
        </is>
      </c>
      <c r="G208" s="849" t="n">
        <v>1855</v>
      </c>
      <c r="H208" s="849">
        <f>G208</f>
        <v/>
      </c>
      <c r="I208" s="849" t="n">
        <v>2000</v>
      </c>
      <c r="J208" s="841" t="inlineStr">
        <is>
          <t>Arrow International Media Ltd.</t>
        </is>
      </c>
      <c r="K208" s="844" t="n">
        <v>44758</v>
      </c>
      <c r="L208" s="845" t="n">
        <v>46583</v>
      </c>
      <c r="P208" s="843" t="n">
        <v>106663</v>
      </c>
      <c r="Q208" s="843">
        <f>P208</f>
        <v/>
      </c>
      <c r="S208" s="843" t="n">
        <v>106700</v>
      </c>
      <c r="T208" s="843">
        <f>S208</f>
        <v/>
      </c>
      <c r="U208" s="843" t="n">
        <v>106700</v>
      </c>
      <c r="V208" s="843">
        <f>U208</f>
        <v/>
      </c>
      <c r="W208" s="846">
        <f>U208/G208</f>
        <v/>
      </c>
      <c r="X208" s="847">
        <f>SUM(U208-S208)/S208</f>
        <v/>
      </c>
      <c r="Y208" s="843" t="inlineStr">
        <is>
          <t>E</t>
        </is>
      </c>
      <c r="Z208" s="590" t="n"/>
      <c r="AA208" s="848" t="n"/>
      <c r="AB208" s="842" t="inlineStr">
        <is>
          <t>No</t>
        </is>
      </c>
      <c r="AF208" s="312" t="n"/>
    </row>
    <row r="209">
      <c r="A209" s="839" t="inlineStr">
        <is>
          <t>WS</t>
        </is>
      </c>
      <c r="B209" s="839" t="inlineStr">
        <is>
          <t>MEL</t>
        </is>
      </c>
      <c r="C209" s="840" t="n">
        <v>550380</v>
      </c>
      <c r="D209" s="841" t="inlineStr">
        <is>
          <t>17-18 Margaret Street</t>
        </is>
      </c>
      <c r="E209" s="841" t="inlineStr">
        <is>
          <t>Second Floor (E)</t>
        </is>
      </c>
      <c r="F209" s="842" t="inlineStr">
        <is>
          <t>Office</t>
        </is>
      </c>
      <c r="G209" s="849" t="n">
        <v>726</v>
      </c>
      <c r="H209" s="849">
        <f>G209</f>
        <v/>
      </c>
      <c r="I209" s="849" t="n">
        <v>750</v>
      </c>
      <c r="J209" s="841" t="inlineStr">
        <is>
          <t>Arrow International Media Ltd.</t>
        </is>
      </c>
      <c r="K209" s="844" t="n">
        <v>44758</v>
      </c>
      <c r="L209" s="845" t="n">
        <v>46583</v>
      </c>
      <c r="P209" s="843" t="n">
        <v>41975</v>
      </c>
      <c r="Q209" s="843">
        <f>P209</f>
        <v/>
      </c>
      <c r="S209" s="843" t="n">
        <v>41700</v>
      </c>
      <c r="T209" s="843">
        <f>S209</f>
        <v/>
      </c>
      <c r="U209" s="843" t="n">
        <v>41700</v>
      </c>
      <c r="V209" s="843">
        <f>U209</f>
        <v/>
      </c>
      <c r="W209" s="846">
        <f>U209/G209</f>
        <v/>
      </c>
      <c r="X209" s="847">
        <f>SUM(U209-S209)/S209</f>
        <v/>
      </c>
      <c r="Y209" s="843" t="inlineStr">
        <is>
          <t>E</t>
        </is>
      </c>
      <c r="Z209" s="590" t="n"/>
      <c r="AA209" s="848" t="n"/>
      <c r="AB209" s="842" t="inlineStr">
        <is>
          <t>No</t>
        </is>
      </c>
      <c r="AF209" s="312" t="n"/>
    </row>
    <row r="210">
      <c r="A210" s="839" t="inlineStr">
        <is>
          <t>WS</t>
        </is>
      </c>
      <c r="B210" s="839" t="inlineStr">
        <is>
          <t>MEL</t>
        </is>
      </c>
      <c r="C210" s="840" t="n">
        <v>550380</v>
      </c>
      <c r="D210" s="841" t="inlineStr">
        <is>
          <t>17-18 Margaret Street</t>
        </is>
      </c>
      <c r="E210" s="841" t="inlineStr">
        <is>
          <t>Second Floor (W &amp; N)</t>
        </is>
      </c>
      <c r="F210" s="839" t="inlineStr">
        <is>
          <t>Office</t>
        </is>
      </c>
      <c r="G210" s="849" t="n">
        <v>1220</v>
      </c>
      <c r="H210" s="849">
        <f>G210</f>
        <v/>
      </c>
      <c r="I210" s="849" t="n">
        <v>1250</v>
      </c>
      <c r="J210" s="841" t="inlineStr">
        <is>
          <t>Smiggle UK Limited</t>
        </is>
      </c>
      <c r="K210" s="844" t="n">
        <v>45438</v>
      </c>
      <c r="L210" s="845" t="n">
        <v>47263</v>
      </c>
      <c r="O210" s="845" t="n">
        <v>46532</v>
      </c>
      <c r="P210" s="843" t="n">
        <v>70200</v>
      </c>
      <c r="Q210" s="843">
        <f>P210</f>
        <v/>
      </c>
      <c r="S210" s="843" t="n">
        <v>70200</v>
      </c>
      <c r="T210" s="843">
        <f>S210</f>
        <v/>
      </c>
      <c r="U210" s="843" t="n">
        <v>70200</v>
      </c>
      <c r="V210" s="843">
        <f>U210</f>
        <v/>
      </c>
      <c r="W210" s="846">
        <f>U210/G210</f>
        <v/>
      </c>
      <c r="X210" s="847">
        <f>SUM(U210-S210)/S210</f>
        <v/>
      </c>
      <c r="Y210" s="843" t="inlineStr">
        <is>
          <t>D</t>
        </is>
      </c>
      <c r="Z210" s="590" t="n"/>
      <c r="AA210" s="848" t="n"/>
      <c r="AB210" s="842" t="inlineStr">
        <is>
          <t>No</t>
        </is>
      </c>
      <c r="AC210" s="841" t="inlineStr">
        <is>
          <t>Tenant break on 3 months notice. Two months rent free if not exercised.</t>
        </is>
      </c>
      <c r="AF210" s="312" t="n"/>
    </row>
    <row r="211">
      <c r="A211" s="839" t="inlineStr">
        <is>
          <t>WS</t>
        </is>
      </c>
      <c r="B211" s="839" t="inlineStr">
        <is>
          <t>MEL</t>
        </is>
      </c>
      <c r="C211" s="840" t="n">
        <v>550380</v>
      </c>
      <c r="D211" s="841" t="inlineStr">
        <is>
          <t>17-18 Margaret Street</t>
        </is>
      </c>
      <c r="E211" s="841" t="inlineStr">
        <is>
          <t>Third Floor</t>
        </is>
      </c>
      <c r="F211" s="842" t="inlineStr">
        <is>
          <t>Office</t>
        </is>
      </c>
      <c r="G211" s="849" t="n">
        <v>1963</v>
      </c>
      <c r="H211" s="849">
        <f>G211</f>
        <v/>
      </c>
      <c r="I211" s="849" t="n">
        <v>2000</v>
      </c>
      <c r="J211" s="841" t="inlineStr">
        <is>
          <t>Arrow International Media Ltd.</t>
        </is>
      </c>
      <c r="K211" s="844" t="n">
        <v>44758</v>
      </c>
      <c r="L211" s="845" t="n">
        <v>46583</v>
      </c>
      <c r="P211" s="843" t="n">
        <v>107965</v>
      </c>
      <c r="Q211" s="843">
        <f>P211</f>
        <v/>
      </c>
      <c r="S211" s="843" t="n">
        <v>108000</v>
      </c>
      <c r="T211" s="843">
        <f>S211</f>
        <v/>
      </c>
      <c r="U211" s="843" t="n">
        <v>108000</v>
      </c>
      <c r="V211" s="843">
        <f>U211</f>
        <v/>
      </c>
      <c r="W211" s="846">
        <f>U211/G211</f>
        <v/>
      </c>
      <c r="X211" s="847">
        <f>SUM(U211-S211)/S211</f>
        <v/>
      </c>
      <c r="Y211" s="843" t="inlineStr">
        <is>
          <t>E</t>
        </is>
      </c>
      <c r="Z211" s="590" t="n"/>
      <c r="AA211" s="848" t="n"/>
      <c r="AB211" s="842" t="inlineStr">
        <is>
          <t>No</t>
        </is>
      </c>
      <c r="AF211" s="312" t="n"/>
    </row>
    <row r="212">
      <c r="A212" s="839" t="inlineStr">
        <is>
          <t>WS</t>
        </is>
      </c>
      <c r="B212" s="839" t="inlineStr">
        <is>
          <t>MEL</t>
        </is>
      </c>
      <c r="C212" s="840" t="n">
        <v>550380</v>
      </c>
      <c r="D212" s="841" t="inlineStr">
        <is>
          <t>17-18 Margaret Street</t>
        </is>
      </c>
      <c r="E212" s="841" t="inlineStr">
        <is>
          <t xml:space="preserve">Fourth Floor (R) </t>
        </is>
      </c>
      <c r="F212" s="842" t="inlineStr">
        <is>
          <t>Office</t>
        </is>
      </c>
      <c r="G212" s="849" t="n">
        <v>94</v>
      </c>
      <c r="H212" s="849">
        <f>G212</f>
        <v/>
      </c>
      <c r="I212" s="849" t="n">
        <v>100</v>
      </c>
      <c r="J212" s="841" t="inlineStr">
        <is>
          <t>The London Child &amp; Family Therapy Centre Ltd.</t>
        </is>
      </c>
      <c r="K212" s="844" t="n">
        <v>45735</v>
      </c>
      <c r="L212" s="845" t="n">
        <v>47560</v>
      </c>
      <c r="P212" s="843" t="n">
        <v>7200</v>
      </c>
      <c r="Q212" s="843">
        <f>P212</f>
        <v/>
      </c>
      <c r="S212" s="843" t="n">
        <v>5410</v>
      </c>
      <c r="T212" s="843">
        <f>S212</f>
        <v/>
      </c>
      <c r="U212" s="843" t="n">
        <v>5410</v>
      </c>
      <c r="V212" s="843">
        <f>U212</f>
        <v/>
      </c>
      <c r="W212" s="846">
        <f>U212/G212</f>
        <v/>
      </c>
      <c r="X212" s="847">
        <f>SUM(U212-S212)/S212</f>
        <v/>
      </c>
      <c r="Y212" s="843" t="inlineStr">
        <is>
          <t>E</t>
        </is>
      </c>
      <c r="Z212" s="590" t="inlineStr">
        <is>
          <t>*</t>
        </is>
      </c>
      <c r="AA212" s="848" t="n"/>
      <c r="AB212" s="842" t="inlineStr">
        <is>
          <t>No</t>
        </is>
      </c>
      <c r="AC212" s="841" t="inlineStr">
        <is>
          <t xml:space="preserve">All inclusive rent (excl rates). </t>
        </is>
      </c>
      <c r="AF212" s="312" t="n"/>
    </row>
    <row r="213">
      <c r="A213" s="839" t="inlineStr">
        <is>
          <t>WS</t>
        </is>
      </c>
      <c r="B213" s="839" t="inlineStr">
        <is>
          <t>MEL</t>
        </is>
      </c>
      <c r="C213" s="840" t="n">
        <v>550380</v>
      </c>
      <c r="D213" s="841" t="inlineStr">
        <is>
          <t>17-18 Margaret Street</t>
        </is>
      </c>
      <c r="E213" s="841" t="inlineStr">
        <is>
          <t>Fourth Floor (RW)</t>
        </is>
      </c>
      <c r="F213" s="842" t="inlineStr">
        <is>
          <t>Office</t>
        </is>
      </c>
      <c r="G213" s="849" t="n">
        <v>284</v>
      </c>
      <c r="H213" s="849">
        <f>G213</f>
        <v/>
      </c>
      <c r="I213" s="849" t="n">
        <v>250</v>
      </c>
      <c r="J213" s="841" t="inlineStr">
        <is>
          <t>Vacant</t>
        </is>
      </c>
      <c r="M213" s="845" t="n">
        <v>43909</v>
      </c>
      <c r="P213" s="843" t="n">
        <v>0</v>
      </c>
      <c r="Q213" s="843">
        <f>P213</f>
        <v/>
      </c>
      <c r="S213" s="843" t="n">
        <v>16300</v>
      </c>
      <c r="T213" s="843">
        <f>S213</f>
        <v/>
      </c>
      <c r="U213" s="843" t="n">
        <v>16300</v>
      </c>
      <c r="V213" s="843">
        <f>U213</f>
        <v/>
      </c>
      <c r="W213" s="846">
        <f>U213/G213</f>
        <v/>
      </c>
      <c r="X213" s="847">
        <f>SUM(U213-S213)/S213</f>
        <v/>
      </c>
      <c r="Y213" s="843" t="inlineStr">
        <is>
          <t>E</t>
        </is>
      </c>
      <c r="Z213" s="590" t="inlineStr">
        <is>
          <t>*</t>
        </is>
      </c>
      <c r="AA213" s="848" t="n"/>
      <c r="AB213" s="842" t="n"/>
      <c r="AC213" s="841" t="inlineStr">
        <is>
          <t>To be refurbished.</t>
        </is>
      </c>
      <c r="AE213" s="841" t="n">
        <v>1</v>
      </c>
      <c r="AF213" s="312" t="n">
        <v>2</v>
      </c>
    </row>
    <row r="214">
      <c r="A214" s="839" t="inlineStr">
        <is>
          <t>WS</t>
        </is>
      </c>
      <c r="B214" s="839" t="inlineStr">
        <is>
          <t>MEL</t>
        </is>
      </c>
      <c r="C214" s="840" t="n">
        <v>550380</v>
      </c>
      <c r="D214" s="841" t="inlineStr">
        <is>
          <t>17-18 Margaret Street</t>
        </is>
      </c>
      <c r="E214" s="841" t="inlineStr">
        <is>
          <t>Fourth Floor (E)</t>
        </is>
      </c>
      <c r="F214" s="842" t="inlineStr">
        <is>
          <t>Office</t>
        </is>
      </c>
      <c r="G214" s="849" t="n">
        <v>619</v>
      </c>
      <c r="H214" s="849">
        <f>G214</f>
        <v/>
      </c>
      <c r="I214" s="849" t="n">
        <v>500</v>
      </c>
      <c r="J214" s="841" t="inlineStr">
        <is>
          <t>Vacant</t>
        </is>
      </c>
      <c r="M214" s="845" t="n">
        <v>45678</v>
      </c>
      <c r="P214" s="843" t="n">
        <v>0</v>
      </c>
      <c r="Q214" s="843">
        <f>P214</f>
        <v/>
      </c>
      <c r="S214" s="843" t="n">
        <v>35600</v>
      </c>
      <c r="T214" s="843">
        <f>S214</f>
        <v/>
      </c>
      <c r="U214" s="843" t="n">
        <v>35600</v>
      </c>
      <c r="V214" s="843">
        <f>U214</f>
        <v/>
      </c>
      <c r="W214" s="846">
        <f>U214/G214</f>
        <v/>
      </c>
      <c r="X214" s="847">
        <f>SUM(U214-S214)/S214</f>
        <v/>
      </c>
      <c r="Y214" s="843" t="inlineStr">
        <is>
          <t>E</t>
        </is>
      </c>
      <c r="Z214" s="590" t="n"/>
      <c r="AA214" s="848" t="n"/>
      <c r="AB214" s="842" t="inlineStr">
        <is>
          <t>No</t>
        </is>
      </c>
      <c r="AC214" s="841" t="inlineStr">
        <is>
          <t>LEM marketing.</t>
        </is>
      </c>
      <c r="AF214" s="312" t="n"/>
    </row>
    <row r="215">
      <c r="A215" s="839" t="inlineStr">
        <is>
          <t>WS</t>
        </is>
      </c>
      <c r="B215" s="839" t="inlineStr">
        <is>
          <t>MEL</t>
        </is>
      </c>
      <c r="C215" s="840" t="n">
        <v>550380</v>
      </c>
      <c r="D215" s="841" t="inlineStr">
        <is>
          <t>17-18 Margaret Street</t>
        </is>
      </c>
      <c r="E215" s="841" t="inlineStr">
        <is>
          <t>Fourth Floor (W)</t>
        </is>
      </c>
      <c r="F215" s="842" t="inlineStr">
        <is>
          <t>Office</t>
        </is>
      </c>
      <c r="G215" s="849" t="n">
        <v>653</v>
      </c>
      <c r="H215" s="849">
        <f>G215</f>
        <v/>
      </c>
      <c r="I215" s="849" t="n">
        <v>750</v>
      </c>
      <c r="J215" s="841" t="inlineStr">
        <is>
          <t>Vacant</t>
        </is>
      </c>
      <c r="M215" s="845" t="n">
        <v>44555</v>
      </c>
      <c r="P215" s="843" t="n">
        <v>0</v>
      </c>
      <c r="Q215" s="843">
        <f>P215</f>
        <v/>
      </c>
      <c r="S215" s="843" t="n">
        <v>37500</v>
      </c>
      <c r="T215" s="843">
        <f>S215</f>
        <v/>
      </c>
      <c r="U215" s="843" t="n">
        <v>37500</v>
      </c>
      <c r="V215" s="843">
        <f>U215</f>
        <v/>
      </c>
      <c r="W215" s="846">
        <f>U215/G215</f>
        <v/>
      </c>
      <c r="X215" s="847">
        <f>SUM(U215-S215)/S215</f>
        <v/>
      </c>
      <c r="Y215" s="843" t="inlineStr">
        <is>
          <t>E</t>
        </is>
      </c>
      <c r="Z215" s="590" t="n"/>
      <c r="AA215" s="848" t="n"/>
      <c r="AB215" s="842" t="inlineStr">
        <is>
          <t>No</t>
        </is>
      </c>
      <c r="AC215" s="841" t="inlineStr">
        <is>
          <t>To be refurbished.</t>
        </is>
      </c>
      <c r="AD215" s="850" t="n">
        <v>62.5</v>
      </c>
      <c r="AE215" s="841" t="n">
        <v>2</v>
      </c>
      <c r="AF215" s="312" t="n">
        <v>3</v>
      </c>
      <c r="AG215" s="841" t="inlineStr">
        <is>
          <t>LEM</t>
        </is>
      </c>
    </row>
    <row r="216">
      <c r="A216" s="839" t="inlineStr">
        <is>
          <t>WS</t>
        </is>
      </c>
      <c r="B216" s="839" t="inlineStr">
        <is>
          <t>MEL</t>
        </is>
      </c>
      <c r="C216" s="840" t="n">
        <v>550950</v>
      </c>
      <c r="D216" s="841" t="inlineStr">
        <is>
          <t>19 Margaret Street</t>
        </is>
      </c>
      <c r="E216" s="841" t="inlineStr">
        <is>
          <t>Lower Ground and Ground Floors</t>
        </is>
      </c>
      <c r="F216" s="842" t="inlineStr">
        <is>
          <t>Office</t>
        </is>
      </c>
      <c r="G216" s="849" t="n">
        <v>2370</v>
      </c>
      <c r="H216" s="849">
        <f>G216</f>
        <v/>
      </c>
      <c r="J216" s="841" t="inlineStr">
        <is>
          <t>FRIBA Limited</t>
        </is>
      </c>
      <c r="K216" s="844" t="n">
        <v>43794</v>
      </c>
      <c r="L216" s="845" t="n">
        <v>47446</v>
      </c>
      <c r="N216" s="845" t="n">
        <v>45621</v>
      </c>
      <c r="P216" s="843" t="n">
        <v>104885</v>
      </c>
      <c r="Q216" s="843">
        <f>P216</f>
        <v/>
      </c>
      <c r="S216" s="843" t="n">
        <v>100700</v>
      </c>
      <c r="T216" s="843">
        <f>S216</f>
        <v/>
      </c>
      <c r="U216" s="843" t="n">
        <v>100700</v>
      </c>
      <c r="V216" s="843">
        <f>U216</f>
        <v/>
      </c>
      <c r="W216" s="846">
        <f>U216/G216</f>
        <v/>
      </c>
      <c r="X216" s="847">
        <f>SUM(U216-S216)/S216</f>
        <v/>
      </c>
      <c r="Y216" s="843" t="inlineStr">
        <is>
          <t>D</t>
        </is>
      </c>
      <c r="Z216" s="590" t="n"/>
      <c r="AA216" s="591" t="n"/>
      <c r="AB216" s="842" t="inlineStr">
        <is>
          <t>No</t>
        </is>
      </c>
      <c r="AC216" s="841" t="inlineStr">
        <is>
          <t>This unit interconnects with G &amp; B, 21 Lt Portland St. The floor area shown is only for this unit. Rent shown pro rata. Tenant break on 6 months notice. Rent review @ 25/11/24.</t>
        </is>
      </c>
      <c r="AF216" s="312" t="n"/>
    </row>
    <row r="217">
      <c r="A217" s="839" t="inlineStr">
        <is>
          <t>WS</t>
        </is>
      </c>
      <c r="B217" s="839" t="inlineStr">
        <is>
          <t>MEL</t>
        </is>
      </c>
      <c r="C217" s="840" t="n">
        <v>550950</v>
      </c>
      <c r="D217" s="841" t="inlineStr">
        <is>
          <t>19 Margaret Street</t>
        </is>
      </c>
      <c r="E217" s="841" t="inlineStr">
        <is>
          <t>First Floor</t>
        </is>
      </c>
      <c r="F217" s="842" t="inlineStr">
        <is>
          <t>Office</t>
        </is>
      </c>
      <c r="G217" s="849" t="n">
        <v>980</v>
      </c>
      <c r="H217" s="849">
        <f>G217</f>
        <v/>
      </c>
      <c r="I217" s="849" t="n">
        <v>1000</v>
      </c>
      <c r="J217" s="841" t="inlineStr">
        <is>
          <t>Vacant</t>
        </is>
      </c>
      <c r="M217" s="845" t="n">
        <v>43323</v>
      </c>
      <c r="P217" s="843" t="n">
        <v>0</v>
      </c>
      <c r="Q217" s="843">
        <f>P217</f>
        <v/>
      </c>
      <c r="S217" s="843" t="n">
        <v>53900</v>
      </c>
      <c r="T217" s="843">
        <f>S217</f>
        <v/>
      </c>
      <c r="U217" s="843" t="n">
        <v>56400</v>
      </c>
      <c r="V217" s="843">
        <f>U217</f>
        <v/>
      </c>
      <c r="W217" s="846">
        <f>U217/G217</f>
        <v/>
      </c>
      <c r="X217" s="847">
        <f>SUM(U217-S217)/S217</f>
        <v/>
      </c>
      <c r="Y217" s="843" t="inlineStr">
        <is>
          <t>D</t>
        </is>
      </c>
      <c r="Z217" s="590" t="n"/>
      <c r="AA217" s="591" t="n"/>
      <c r="AB217" s="842" t="inlineStr">
        <is>
          <t>No</t>
        </is>
      </c>
      <c r="AC217" s="841" t="inlineStr">
        <is>
          <t>LEM Marketing.</t>
        </is>
      </c>
      <c r="AD217" s="850" t="n">
        <v>61.5</v>
      </c>
      <c r="AE217" s="841" t="n">
        <v>4</v>
      </c>
      <c r="AF217" s="312" t="n">
        <v>6</v>
      </c>
    </row>
    <row r="218">
      <c r="A218" s="839" t="inlineStr">
        <is>
          <t>WS</t>
        </is>
      </c>
      <c r="B218" s="839" t="inlineStr">
        <is>
          <t>MEL</t>
        </is>
      </c>
      <c r="C218" s="840" t="n">
        <v>550950</v>
      </c>
      <c r="D218" s="841" t="inlineStr">
        <is>
          <t>19 Margaret Street</t>
        </is>
      </c>
      <c r="E218" s="841" t="inlineStr">
        <is>
          <t>Second Floor</t>
        </is>
      </c>
      <c r="F218" s="842" t="inlineStr">
        <is>
          <t>Office</t>
        </is>
      </c>
      <c r="G218" s="849" t="n">
        <v>980</v>
      </c>
      <c r="H218" s="849">
        <f>G218</f>
        <v/>
      </c>
      <c r="I218" s="849" t="n">
        <v>1000</v>
      </c>
      <c r="J218" s="841" t="inlineStr">
        <is>
          <t>Effigest UK Ltd.</t>
        </is>
      </c>
      <c r="K218" s="844" t="n">
        <v>45210</v>
      </c>
      <c r="L218" s="845" t="n">
        <v>46305</v>
      </c>
      <c r="P218" s="843" t="n">
        <v>52800</v>
      </c>
      <c r="Q218" s="843">
        <f>P218</f>
        <v/>
      </c>
      <c r="S218" s="843" t="n">
        <v>53900</v>
      </c>
      <c r="T218" s="843">
        <f>S218</f>
        <v/>
      </c>
      <c r="U218" s="843" t="n">
        <v>56400</v>
      </c>
      <c r="V218" s="843">
        <f>U218</f>
        <v/>
      </c>
      <c r="W218" s="846">
        <f>U218/G218</f>
        <v/>
      </c>
      <c r="X218" s="847">
        <f>SUM(U218-S218)/S218</f>
        <v/>
      </c>
      <c r="Y218" s="843" t="inlineStr">
        <is>
          <t>E</t>
        </is>
      </c>
      <c r="Z218" s="590" t="n"/>
      <c r="AA218" s="591" t="n"/>
      <c r="AB218" s="842" t="inlineStr">
        <is>
          <t>No</t>
        </is>
      </c>
      <c r="AF218" s="312" t="n"/>
    </row>
    <row r="219">
      <c r="A219" s="839" t="inlineStr">
        <is>
          <t>WS</t>
        </is>
      </c>
      <c r="B219" s="839" t="inlineStr">
        <is>
          <t>MEL</t>
        </is>
      </c>
      <c r="C219" s="840" t="n">
        <v>550950</v>
      </c>
      <c r="D219" s="841" t="inlineStr">
        <is>
          <t>19 Margaret Street</t>
        </is>
      </c>
      <c r="E219" s="841" t="inlineStr">
        <is>
          <t>Third Floor</t>
        </is>
      </c>
      <c r="F219" s="842" t="inlineStr">
        <is>
          <t>Office</t>
        </is>
      </c>
      <c r="G219" s="849" t="n">
        <v>836</v>
      </c>
      <c r="H219" s="849">
        <f>G219</f>
        <v/>
      </c>
      <c r="I219" s="849" t="n">
        <v>1000</v>
      </c>
      <c r="J219" s="841" t="inlineStr">
        <is>
          <t>Theatrical Rights Worldwide Limited</t>
        </is>
      </c>
      <c r="K219" s="844" t="n">
        <v>44869</v>
      </c>
      <c r="L219" s="845" t="n">
        <v>46694</v>
      </c>
      <c r="O219" s="845" t="n">
        <v>45964</v>
      </c>
      <c r="P219" s="843" t="n">
        <v>48300</v>
      </c>
      <c r="Q219" s="843">
        <f>P219</f>
        <v/>
      </c>
      <c r="S219" s="843" t="n">
        <v>46000</v>
      </c>
      <c r="T219" s="843">
        <f>S219</f>
        <v/>
      </c>
      <c r="U219" s="843" t="n">
        <v>48100</v>
      </c>
      <c r="V219" s="843">
        <f>U219</f>
        <v/>
      </c>
      <c r="W219" s="846">
        <f>U219/G219</f>
        <v/>
      </c>
      <c r="X219" s="847">
        <f>SUM(U219-S219)/S219</f>
        <v/>
      </c>
      <c r="Y219" s="843" t="inlineStr">
        <is>
          <t>E</t>
        </is>
      </c>
      <c r="Z219" s="590" t="n"/>
      <c r="AA219" s="591" t="n"/>
      <c r="AB219" s="842" t="inlineStr">
        <is>
          <t>No</t>
        </is>
      </c>
      <c r="AC219" s="841" t="inlineStr">
        <is>
          <t>Tenant break on 6 months notice.</t>
        </is>
      </c>
      <c r="AF219" s="312" t="n"/>
    </row>
    <row r="220">
      <c r="A220" s="839" t="inlineStr">
        <is>
          <t>WS</t>
        </is>
      </c>
      <c r="B220" s="839" t="inlineStr">
        <is>
          <t>MEL</t>
        </is>
      </c>
      <c r="C220" s="840" t="n">
        <v>550950</v>
      </c>
      <c r="D220" s="841" t="inlineStr">
        <is>
          <t>19 Margaret Street</t>
        </is>
      </c>
      <c r="E220" s="841" t="inlineStr">
        <is>
          <t>Fourth Floor</t>
        </is>
      </c>
      <c r="F220" s="842" t="inlineStr">
        <is>
          <t>Office</t>
        </is>
      </c>
      <c r="G220" s="849" t="n">
        <v>830</v>
      </c>
      <c r="H220" s="849">
        <f>G220</f>
        <v/>
      </c>
      <c r="I220" s="849" t="n">
        <v>1000</v>
      </c>
      <c r="J220" s="841" t="inlineStr">
        <is>
          <t>Theatrical Rights Worldwide Limited</t>
        </is>
      </c>
      <c r="K220" s="844" t="n">
        <v>45436</v>
      </c>
      <c r="L220" s="845" t="n">
        <v>46694</v>
      </c>
      <c r="O220" s="845" t="n">
        <v>45964</v>
      </c>
      <c r="P220" s="843" t="n">
        <v>47725</v>
      </c>
      <c r="Q220" s="843">
        <f>P220</f>
        <v/>
      </c>
      <c r="S220" s="843" t="n">
        <v>45700</v>
      </c>
      <c r="T220" s="843">
        <f>S220</f>
        <v/>
      </c>
      <c r="U220" s="843" t="n">
        <v>47700</v>
      </c>
      <c r="V220" s="843">
        <f>U220</f>
        <v/>
      </c>
      <c r="W220" s="846">
        <f>U220/G220</f>
        <v/>
      </c>
      <c r="X220" s="847">
        <f>SUM(U220-S220)/S220</f>
        <v/>
      </c>
      <c r="Y220" s="843" t="inlineStr">
        <is>
          <t>D</t>
        </is>
      </c>
      <c r="Z220" s="590" t="n"/>
      <c r="AA220" s="591" t="n"/>
      <c r="AB220" s="842" t="inlineStr">
        <is>
          <t>No</t>
        </is>
      </c>
      <c r="AC220" s="841" t="inlineStr">
        <is>
          <t>Tenant break on 6 months notice.</t>
        </is>
      </c>
      <c r="AF220" s="312" t="n"/>
    </row>
    <row r="221">
      <c r="A221" s="839" t="inlineStr">
        <is>
          <t>WS</t>
        </is>
      </c>
      <c r="B221" s="839" t="inlineStr">
        <is>
          <t>MEL</t>
        </is>
      </c>
      <c r="C221" s="840" t="n">
        <v>550950</v>
      </c>
      <c r="D221" s="841" t="inlineStr">
        <is>
          <t>19 Margaret Street</t>
        </is>
      </c>
      <c r="E221" s="841" t="inlineStr">
        <is>
          <t>Fifth Floor</t>
        </is>
      </c>
      <c r="F221" s="842" t="inlineStr">
        <is>
          <t>Office</t>
        </is>
      </c>
      <c r="G221" s="849" t="n">
        <v>685</v>
      </c>
      <c r="H221" s="849">
        <f>G221</f>
        <v/>
      </c>
      <c r="I221" s="849" t="n">
        <v>750</v>
      </c>
      <c r="J221" s="841" t="inlineStr">
        <is>
          <t>Vacant</t>
        </is>
      </c>
      <c r="M221" s="845" t="n">
        <v>45627</v>
      </c>
      <c r="P221" s="843" t="n">
        <v>0</v>
      </c>
      <c r="Q221" s="843">
        <f>P221</f>
        <v/>
      </c>
      <c r="S221" s="843" t="n">
        <v>37700</v>
      </c>
      <c r="T221" s="843">
        <f>S221</f>
        <v/>
      </c>
      <c r="U221" s="843" t="n">
        <v>39400</v>
      </c>
      <c r="V221" s="843">
        <f>U221</f>
        <v/>
      </c>
      <c r="W221" s="846">
        <f>U221/G221</f>
        <v/>
      </c>
      <c r="X221" s="847">
        <f>SUM(U221-S221)/S221</f>
        <v/>
      </c>
      <c r="Y221" s="843" t="inlineStr">
        <is>
          <t>E</t>
        </is>
      </c>
      <c r="Z221" s="590" t="n"/>
      <c r="AA221" s="591" t="n"/>
      <c r="AB221" s="842" t="inlineStr">
        <is>
          <t>No</t>
        </is>
      </c>
      <c r="AC221" s="841" t="inlineStr">
        <is>
          <t>LEM marketing.</t>
        </is>
      </c>
      <c r="AF221" s="312" t="n"/>
    </row>
    <row r="222">
      <c r="A222" s="839" t="inlineStr">
        <is>
          <t>WS</t>
        </is>
      </c>
      <c r="B222" s="839" t="inlineStr">
        <is>
          <t>MEL</t>
        </is>
      </c>
      <c r="C222" s="840" t="n">
        <v>550730</v>
      </c>
      <c r="D222" s="841" t="inlineStr">
        <is>
          <t>20 Margaret Street</t>
        </is>
      </c>
      <c r="E222" s="841" t="inlineStr">
        <is>
          <t>Basement &amp; Ground Floor</t>
        </is>
      </c>
      <c r="F222" s="842" t="inlineStr">
        <is>
          <t>Showroom</t>
        </is>
      </c>
      <c r="G222" s="849" t="n">
        <v>1946</v>
      </c>
      <c r="H222" s="849">
        <f>G222</f>
        <v/>
      </c>
      <c r="I222" s="849" t="n">
        <v>2000</v>
      </c>
      <c r="J222" s="841" t="inlineStr">
        <is>
          <t>Outform Group UK Ltd.</t>
        </is>
      </c>
      <c r="K222" s="844" t="n">
        <v>45457</v>
      </c>
      <c r="L222" s="845" t="n">
        <v>47282</v>
      </c>
      <c r="O222" s="845" t="n">
        <v>46186</v>
      </c>
      <c r="P222" s="843" t="n">
        <v>94417</v>
      </c>
      <c r="Q222" s="843">
        <f>P222</f>
        <v/>
      </c>
      <c r="S222" s="843" t="n">
        <v>86800</v>
      </c>
      <c r="T222" s="843">
        <f>S222</f>
        <v/>
      </c>
      <c r="U222" s="843" t="n">
        <v>94417</v>
      </c>
      <c r="V222" s="843">
        <f>U222</f>
        <v/>
      </c>
      <c r="W222" s="846">
        <f>U222/G222</f>
        <v/>
      </c>
      <c r="X222" s="847">
        <f>SUM(U222-S222)/S222</f>
        <v/>
      </c>
      <c r="Y222" s="843" t="inlineStr">
        <is>
          <t>E</t>
        </is>
      </c>
      <c r="Z222" s="590" t="n"/>
      <c r="AA222" s="848" t="n"/>
      <c r="AB222" s="842" t="inlineStr">
        <is>
          <t>No</t>
        </is>
      </c>
      <c r="AC222" s="841" t="inlineStr">
        <is>
          <t>Rent increasing to £103,000 wef 14/06/27. Tenant break on 6 months notice. Penalty payment due if exercised. Further tenant break 13/06/27 on 6 months notice.</t>
        </is>
      </c>
      <c r="AF222" s="312" t="n"/>
    </row>
    <row r="223">
      <c r="A223" s="839" t="inlineStr">
        <is>
          <t>WS</t>
        </is>
      </c>
      <c r="B223" s="839" t="inlineStr">
        <is>
          <t>MEL</t>
        </is>
      </c>
      <c r="C223" s="840" t="n">
        <v>550730</v>
      </c>
      <c r="D223" s="841" t="inlineStr">
        <is>
          <t>20 Margaret Street</t>
        </is>
      </c>
      <c r="E223" s="841" t="inlineStr">
        <is>
          <t>First Floor</t>
        </is>
      </c>
      <c r="F223" s="842" t="inlineStr">
        <is>
          <t>Office</t>
        </is>
      </c>
      <c r="G223" s="849" t="n">
        <v>804</v>
      </c>
      <c r="H223" s="849">
        <f>G223</f>
        <v/>
      </c>
      <c r="I223" s="849" t="n">
        <v>750</v>
      </c>
      <c r="J223" s="841" t="inlineStr">
        <is>
          <t>Vacant</t>
        </is>
      </c>
      <c r="M223" s="845" t="n">
        <v>43132</v>
      </c>
      <c r="P223" s="843" t="n">
        <v>0</v>
      </c>
      <c r="Q223" s="843">
        <f>P223</f>
        <v/>
      </c>
      <c r="S223" s="843" t="n">
        <v>44200</v>
      </c>
      <c r="T223" s="843">
        <f>S223</f>
        <v/>
      </c>
      <c r="U223" s="843" t="n">
        <v>46200</v>
      </c>
      <c r="V223" s="843">
        <f>U223</f>
        <v/>
      </c>
      <c r="W223" s="846">
        <f>U223/G223</f>
        <v/>
      </c>
      <c r="X223" s="847">
        <f>SUM(U223-S223)/S223</f>
        <v/>
      </c>
      <c r="Y223" s="843" t="inlineStr">
        <is>
          <t>E</t>
        </is>
      </c>
      <c r="Z223" s="590" t="n"/>
      <c r="AA223" s="848" t="n"/>
      <c r="AB223" s="842" t="inlineStr">
        <is>
          <t>No</t>
        </is>
      </c>
      <c r="AC223" s="841" t="inlineStr">
        <is>
          <t>To be refurbished.</t>
        </is>
      </c>
      <c r="AD223" s="850" t="n">
        <v>62.5</v>
      </c>
      <c r="AE223" s="841" t="n">
        <v>1</v>
      </c>
      <c r="AF223" s="312" t="n">
        <v>3</v>
      </c>
      <c r="AG223" s="841" t="inlineStr">
        <is>
          <t>LEM</t>
        </is>
      </c>
    </row>
    <row r="224">
      <c r="A224" s="839" t="inlineStr">
        <is>
          <t>WS</t>
        </is>
      </c>
      <c r="B224" s="839" t="inlineStr">
        <is>
          <t>MEL</t>
        </is>
      </c>
      <c r="C224" s="840" t="n">
        <v>550730</v>
      </c>
      <c r="D224" s="841" t="inlineStr">
        <is>
          <t>20 Margaret Street</t>
        </is>
      </c>
      <c r="E224" s="841" t="inlineStr">
        <is>
          <t>Second Floor</t>
        </is>
      </c>
      <c r="F224" s="842" t="inlineStr">
        <is>
          <t>Office</t>
        </is>
      </c>
      <c r="G224" s="849" t="n">
        <v>813</v>
      </c>
      <c r="H224" s="849">
        <f>G224</f>
        <v/>
      </c>
      <c r="I224" s="849" t="n">
        <v>750</v>
      </c>
      <c r="J224" s="841" t="inlineStr">
        <is>
          <t>Vacant</t>
        </is>
      </c>
      <c r="M224" s="845" t="n">
        <v>42819</v>
      </c>
      <c r="P224" s="843" t="n">
        <v>0</v>
      </c>
      <c r="Q224" s="843">
        <f>P224</f>
        <v/>
      </c>
      <c r="R224" s="857" t="n"/>
      <c r="S224" s="843" t="n">
        <v>44700</v>
      </c>
      <c r="T224" s="843">
        <f>S224</f>
        <v/>
      </c>
      <c r="U224" s="843" t="n">
        <v>46700</v>
      </c>
      <c r="V224" s="843">
        <f>U224</f>
        <v/>
      </c>
      <c r="W224" s="846">
        <f>U224/G224</f>
        <v/>
      </c>
      <c r="X224" s="847">
        <f>SUM(U224-S224)/S224</f>
        <v/>
      </c>
      <c r="Y224" s="843" t="inlineStr">
        <is>
          <t>E</t>
        </is>
      </c>
      <c r="Z224" s="590" t="n"/>
      <c r="AA224" s="848" t="n"/>
      <c r="AB224" s="842" t="inlineStr">
        <is>
          <t>No</t>
        </is>
      </c>
      <c r="AC224" s="841" t="inlineStr">
        <is>
          <t>To be refurbished.</t>
        </is>
      </c>
      <c r="AD224" s="850" t="n">
        <v>62.5</v>
      </c>
      <c r="AF224" s="312" t="n">
        <v>2</v>
      </c>
      <c r="AG224" s="841" t="inlineStr">
        <is>
          <t>LEM</t>
        </is>
      </c>
    </row>
    <row r="225">
      <c r="A225" s="839" t="inlineStr">
        <is>
          <t>WS</t>
        </is>
      </c>
      <c r="B225" s="839" t="inlineStr">
        <is>
          <t>MEL</t>
        </is>
      </c>
      <c r="C225" s="840" t="n">
        <v>550730</v>
      </c>
      <c r="D225" s="841" t="inlineStr">
        <is>
          <t>20 Margaret Street</t>
        </is>
      </c>
      <c r="E225" s="841" t="inlineStr">
        <is>
          <t>Third Floor</t>
        </is>
      </c>
      <c r="F225" s="842" t="inlineStr">
        <is>
          <t>Office</t>
        </is>
      </c>
      <c r="G225" s="849" t="n">
        <v>791</v>
      </c>
      <c r="H225" s="849">
        <f>G225</f>
        <v/>
      </c>
      <c r="I225" s="849" t="n">
        <v>750</v>
      </c>
      <c r="J225" s="841" t="inlineStr">
        <is>
          <t>Vesper Investments Ltd</t>
        </is>
      </c>
      <c r="K225" s="844" t="n">
        <v>45533</v>
      </c>
      <c r="L225" s="845" t="n">
        <v>47358</v>
      </c>
      <c r="P225" s="843" t="n">
        <v>46273</v>
      </c>
      <c r="Q225" s="843">
        <f>P225</f>
        <v/>
      </c>
      <c r="S225" s="843" t="n">
        <v>43500</v>
      </c>
      <c r="T225" s="843">
        <f>S225</f>
        <v/>
      </c>
      <c r="U225" s="843" t="n">
        <v>45500</v>
      </c>
      <c r="V225" s="843">
        <f>U225</f>
        <v/>
      </c>
      <c r="W225" s="846">
        <f>U225/G225</f>
        <v/>
      </c>
      <c r="X225" s="847">
        <f>SUM(U225-S225)/S225</f>
        <v/>
      </c>
      <c r="Y225" s="843" t="inlineStr">
        <is>
          <t>E</t>
        </is>
      </c>
      <c r="Z225" s="590" t="n"/>
      <c r="AA225" s="848" t="n"/>
      <c r="AB225" s="842" t="inlineStr">
        <is>
          <t>No</t>
        </is>
      </c>
      <c r="AE225" s="29" t="n"/>
      <c r="AF225" s="313" t="n"/>
      <c r="AG225" s="29" t="n"/>
    </row>
    <row r="226">
      <c r="A226" s="839" t="inlineStr">
        <is>
          <t>WS</t>
        </is>
      </c>
      <c r="B226" s="839" t="inlineStr">
        <is>
          <t>MEL</t>
        </is>
      </c>
      <c r="C226" s="840" t="n">
        <v>550730</v>
      </c>
      <c r="D226" s="841" t="inlineStr">
        <is>
          <t>20 Margaret Street</t>
        </is>
      </c>
      <c r="E226" s="841" t="inlineStr">
        <is>
          <t>Fourth Floor</t>
        </is>
      </c>
      <c r="F226" s="842" t="inlineStr">
        <is>
          <t>Office</t>
        </is>
      </c>
      <c r="G226" s="849" t="n">
        <v>797</v>
      </c>
      <c r="H226" s="849">
        <f>G226</f>
        <v/>
      </c>
      <c r="I226" s="849" t="n">
        <v>750</v>
      </c>
      <c r="J226" s="841" t="inlineStr">
        <is>
          <t>Vacant</t>
        </is>
      </c>
      <c r="M226" s="845" t="n">
        <v>44439</v>
      </c>
      <c r="P226" s="843" t="n">
        <v>0</v>
      </c>
      <c r="Q226" s="843">
        <f>P226</f>
        <v/>
      </c>
      <c r="S226" s="843" t="n">
        <v>43800</v>
      </c>
      <c r="T226" s="843">
        <f>S226</f>
        <v/>
      </c>
      <c r="U226" s="843" t="n">
        <v>45800</v>
      </c>
      <c r="V226" s="843">
        <f>U226</f>
        <v/>
      </c>
      <c r="W226" s="846">
        <f>U226/G226</f>
        <v/>
      </c>
      <c r="X226" s="847">
        <f>SUM(U226-S226)/S226</f>
        <v/>
      </c>
      <c r="Y226" s="843" t="inlineStr">
        <is>
          <t>E</t>
        </is>
      </c>
      <c r="Z226" s="590" t="n"/>
      <c r="AA226" s="848" t="n"/>
      <c r="AB226" s="842" t="inlineStr">
        <is>
          <t>No</t>
        </is>
      </c>
      <c r="AC226" s="841" t="inlineStr">
        <is>
          <t>To be refurbished.</t>
        </is>
      </c>
      <c r="AD226" s="850" t="n">
        <v>62.5</v>
      </c>
      <c r="AF226" s="312" t="n">
        <v>2</v>
      </c>
      <c r="AG226" s="841" t="inlineStr">
        <is>
          <t>LEM</t>
        </is>
      </c>
    </row>
    <row r="227">
      <c r="A227" s="839" t="inlineStr">
        <is>
          <t>WS</t>
        </is>
      </c>
      <c r="B227" s="839" t="inlineStr">
        <is>
          <t>MEL</t>
        </is>
      </c>
      <c r="C227" s="840" t="n">
        <v>550730</v>
      </c>
      <c r="D227" s="841" t="inlineStr">
        <is>
          <t>20 Margaret Street</t>
        </is>
      </c>
      <c r="E227" s="841" t="inlineStr">
        <is>
          <t>Fifth Floor</t>
        </is>
      </c>
      <c r="F227" s="842" t="inlineStr">
        <is>
          <t>Office</t>
        </is>
      </c>
      <c r="G227" s="849" t="n">
        <v>747</v>
      </c>
      <c r="H227" s="849">
        <f>G227</f>
        <v/>
      </c>
      <c r="I227" s="849" t="n">
        <v>750</v>
      </c>
      <c r="J227" s="841" t="inlineStr">
        <is>
          <t>Moods Beauty Ltd</t>
        </is>
      </c>
      <c r="K227" s="844" t="n">
        <v>45553</v>
      </c>
      <c r="L227" s="845" t="n">
        <v>46282</v>
      </c>
      <c r="P227" s="843" t="n">
        <v>41250</v>
      </c>
      <c r="Q227" s="843">
        <f>P227</f>
        <v/>
      </c>
      <c r="S227" s="843" t="n">
        <v>39200</v>
      </c>
      <c r="T227" s="843">
        <f>S227</f>
        <v/>
      </c>
      <c r="U227" s="843" t="n">
        <v>41100</v>
      </c>
      <c r="V227" s="843">
        <f>U227</f>
        <v/>
      </c>
      <c r="W227" s="846">
        <f>U227/G227</f>
        <v/>
      </c>
      <c r="X227" s="847">
        <f>SUM(U227-S227)/S227</f>
        <v/>
      </c>
      <c r="Y227" s="843" t="inlineStr">
        <is>
          <t>E</t>
        </is>
      </c>
      <c r="Z227" s="590" t="n"/>
      <c r="AA227" s="848" t="n"/>
      <c r="AB227" s="842" t="inlineStr">
        <is>
          <t>No</t>
        </is>
      </c>
      <c r="AF227" s="312" t="n"/>
    </row>
    <row r="228">
      <c r="A228" s="839" t="inlineStr">
        <is>
          <t>CM</t>
        </is>
      </c>
      <c r="B228" s="839" t="inlineStr">
        <is>
          <t>MEL</t>
        </is>
      </c>
      <c r="C228" s="840" t="n">
        <v>550800</v>
      </c>
      <c r="D228" s="841" t="inlineStr">
        <is>
          <t>25 Margaret Street</t>
        </is>
      </c>
      <c r="E228" s="841" t="inlineStr">
        <is>
          <t>Basement</t>
        </is>
      </c>
      <c r="F228" s="842" t="inlineStr">
        <is>
          <t>Showroom</t>
        </is>
      </c>
      <c r="G228" s="849" t="n">
        <v>424</v>
      </c>
      <c r="H228" s="849">
        <f>G228</f>
        <v/>
      </c>
      <c r="I228" s="849" t="n">
        <v>500</v>
      </c>
      <c r="J228" s="841" t="inlineStr">
        <is>
          <t>Mr K Saraj</t>
        </is>
      </c>
      <c r="K228" s="844" t="n">
        <v>45262</v>
      </c>
      <c r="L228" s="845" t="n">
        <v>47088</v>
      </c>
      <c r="P228" s="843" t="n">
        <v>11872</v>
      </c>
      <c r="Q228" s="843">
        <f>P228</f>
        <v/>
      </c>
      <c r="S228" s="843" t="n">
        <v>11660</v>
      </c>
      <c r="T228" s="843">
        <f>S228</f>
        <v/>
      </c>
      <c r="U228" s="843" t="n">
        <v>11660</v>
      </c>
      <c r="V228" s="843">
        <f>U228</f>
        <v/>
      </c>
      <c r="W228" s="846">
        <f>U228/G228</f>
        <v/>
      </c>
      <c r="X228" s="847">
        <f>SUM(U228-S228)/S228</f>
        <v/>
      </c>
      <c r="Y228" s="843" t="inlineStr">
        <is>
          <t>E</t>
        </is>
      </c>
      <c r="Z228" s="590" t="n"/>
      <c r="AA228" s="591" t="n"/>
      <c r="AB228" s="842" t="inlineStr">
        <is>
          <t>No</t>
        </is>
      </c>
      <c r="AD228" s="599" t="n"/>
      <c r="AF228" s="312" t="n"/>
    </row>
    <row r="229">
      <c r="A229" s="839" t="inlineStr">
        <is>
          <t>CM</t>
        </is>
      </c>
      <c r="B229" s="839" t="inlineStr">
        <is>
          <t>MEL</t>
        </is>
      </c>
      <c r="C229" s="840" t="n">
        <v>550800</v>
      </c>
      <c r="D229" s="841" t="inlineStr">
        <is>
          <t>25 Margaret Street</t>
        </is>
      </c>
      <c r="E229" s="841" t="inlineStr">
        <is>
          <t xml:space="preserve">Ground Floor </t>
        </is>
      </c>
      <c r="F229" s="842" t="inlineStr">
        <is>
          <t>Retail</t>
        </is>
      </c>
      <c r="G229" s="849" t="n">
        <v>515</v>
      </c>
      <c r="H229" s="849">
        <f>G229</f>
        <v/>
      </c>
      <c r="I229" s="849" t="n">
        <v>500</v>
      </c>
      <c r="J229" s="841" t="inlineStr">
        <is>
          <t>Camran Naseri &amp; Rehana Miah</t>
        </is>
      </c>
      <c r="K229" s="844" t="n">
        <v>44756</v>
      </c>
      <c r="L229" s="845" t="n">
        <v>47154</v>
      </c>
      <c r="N229" s="845" t="n">
        <v>45328</v>
      </c>
      <c r="P229" s="843" t="n">
        <v>37500</v>
      </c>
      <c r="Q229" s="843">
        <f>P229</f>
        <v/>
      </c>
      <c r="S229" s="843" t="n">
        <v>37502</v>
      </c>
      <c r="T229" s="843">
        <f>S229</f>
        <v/>
      </c>
      <c r="U229" s="843" t="n">
        <v>37500</v>
      </c>
      <c r="V229" s="843">
        <f>U229</f>
        <v/>
      </c>
      <c r="W229" s="846">
        <f>U229/G229</f>
        <v/>
      </c>
      <c r="X229" s="847">
        <f>SUM(U229-S229)/S229</f>
        <v/>
      </c>
      <c r="Y229" s="843" t="inlineStr">
        <is>
          <t>B</t>
        </is>
      </c>
      <c r="Z229" s="590" t="n"/>
      <c r="AA229" s="591" t="n"/>
      <c r="AB229" s="842" t="inlineStr">
        <is>
          <t>No</t>
        </is>
      </c>
      <c r="AF229" s="312" t="n"/>
    </row>
    <row r="230">
      <c r="A230" s="839" t="inlineStr">
        <is>
          <t>CM</t>
        </is>
      </c>
      <c r="B230" s="839" t="inlineStr">
        <is>
          <t>MEL</t>
        </is>
      </c>
      <c r="C230" s="840" t="n">
        <v>550800</v>
      </c>
      <c r="D230" s="841" t="inlineStr">
        <is>
          <t>25 Margaret Street</t>
        </is>
      </c>
      <c r="E230" s="841" t="inlineStr">
        <is>
          <t>First Floor (F)</t>
        </is>
      </c>
      <c r="F230" s="842" t="inlineStr">
        <is>
          <t>Office</t>
        </is>
      </c>
      <c r="G230" s="849" t="n">
        <v>172</v>
      </c>
      <c r="H230" s="849">
        <f>G230</f>
        <v/>
      </c>
      <c r="I230" s="849" t="n">
        <v>250</v>
      </c>
      <c r="J230" s="841" t="inlineStr">
        <is>
          <t>Mr Christos Tombras</t>
        </is>
      </c>
      <c r="K230" s="844" t="n">
        <v>44750</v>
      </c>
      <c r="L230" s="845" t="n">
        <v>46575</v>
      </c>
      <c r="P230" s="843" t="n">
        <v>9400</v>
      </c>
      <c r="Q230" s="843">
        <f>P230</f>
        <v/>
      </c>
      <c r="S230" s="843" t="n">
        <v>9460</v>
      </c>
      <c r="T230" s="843">
        <f>S230</f>
        <v/>
      </c>
      <c r="U230" s="843" t="n">
        <v>11180</v>
      </c>
      <c r="V230" s="843">
        <f>U230</f>
        <v/>
      </c>
      <c r="W230" s="846">
        <f>U230/G230</f>
        <v/>
      </c>
      <c r="X230" s="847">
        <f>SUM(U230-S230)/S230</f>
        <v/>
      </c>
      <c r="Y230" s="843" t="inlineStr">
        <is>
          <t>E</t>
        </is>
      </c>
      <c r="Z230" s="590" t="n"/>
      <c r="AA230" s="591" t="n"/>
      <c r="AB230" s="842" t="inlineStr">
        <is>
          <t>No</t>
        </is>
      </c>
      <c r="AF230" s="312" t="n"/>
    </row>
    <row r="231">
      <c r="A231" s="839" t="inlineStr">
        <is>
          <t>CM</t>
        </is>
      </c>
      <c r="B231" s="839" t="inlineStr">
        <is>
          <t>MEL</t>
        </is>
      </c>
      <c r="C231" s="840" t="n">
        <v>550800</v>
      </c>
      <c r="D231" s="841" t="inlineStr">
        <is>
          <t>25 Margaret Street</t>
        </is>
      </c>
      <c r="E231" s="841" t="inlineStr">
        <is>
          <t>First Floor (R)</t>
        </is>
      </c>
      <c r="F231" s="842" t="inlineStr">
        <is>
          <t>Office</t>
        </is>
      </c>
      <c r="G231" s="849" t="n">
        <v>117</v>
      </c>
      <c r="H231" s="849">
        <f>G231</f>
        <v/>
      </c>
      <c r="I231" s="849" t="n">
        <v>250</v>
      </c>
      <c r="J231" s="841" t="inlineStr">
        <is>
          <t>Ms J. Hogan</t>
        </is>
      </c>
      <c r="K231" s="844" t="n">
        <v>45194</v>
      </c>
      <c r="L231" s="845" t="n">
        <v>47020</v>
      </c>
      <c r="O231" s="845" t="n">
        <v>46289</v>
      </c>
      <c r="P231" s="843" t="n">
        <v>7100</v>
      </c>
      <c r="Q231" s="843">
        <f>P231</f>
        <v/>
      </c>
      <c r="S231" s="843" t="n">
        <v>7000</v>
      </c>
      <c r="T231" s="843">
        <f>S231</f>
        <v/>
      </c>
      <c r="U231" s="843" t="n">
        <v>7605</v>
      </c>
      <c r="V231" s="843">
        <f>U231</f>
        <v/>
      </c>
      <c r="W231" s="846">
        <f>U231/G231</f>
        <v/>
      </c>
      <c r="X231" s="847">
        <f>SUM(U231-S231)/S231</f>
        <v/>
      </c>
      <c r="Y231" s="843" t="inlineStr">
        <is>
          <t>E</t>
        </is>
      </c>
      <c r="Z231" s="590" t="n"/>
      <c r="AA231" s="591" t="n"/>
      <c r="AB231" s="842" t="inlineStr">
        <is>
          <t>No</t>
        </is>
      </c>
      <c r="AC231" s="841" t="inlineStr">
        <is>
          <t>Tenant break on 6 months notice.</t>
        </is>
      </c>
      <c r="AF231" s="312" t="n"/>
    </row>
    <row r="232">
      <c r="A232" s="839" t="inlineStr">
        <is>
          <t>CM</t>
        </is>
      </c>
      <c r="B232" s="839" t="inlineStr">
        <is>
          <t>MEL</t>
        </is>
      </c>
      <c r="C232" s="840" t="n">
        <v>550800</v>
      </c>
      <c r="D232" s="841" t="inlineStr">
        <is>
          <t>25 Margaret Street</t>
        </is>
      </c>
      <c r="E232" s="841" t="inlineStr">
        <is>
          <t>Second Floor (F)</t>
        </is>
      </c>
      <c r="F232" s="842" t="inlineStr">
        <is>
          <t>Office</t>
        </is>
      </c>
      <c r="G232" s="849" t="n">
        <v>170</v>
      </c>
      <c r="H232" s="849">
        <f>G232</f>
        <v/>
      </c>
      <c r="I232" s="849" t="n">
        <v>250</v>
      </c>
      <c r="J232" s="841" t="inlineStr">
        <is>
          <t>Ms Tara Harrison</t>
        </is>
      </c>
      <c r="K232" s="844" t="n">
        <v>45632</v>
      </c>
      <c r="L232" s="845" t="n">
        <v>47457</v>
      </c>
      <c r="O232" s="845" t="n">
        <v>46519</v>
      </c>
      <c r="P232" s="843" t="n">
        <v>9400</v>
      </c>
      <c r="Q232" s="843">
        <f>P232</f>
        <v/>
      </c>
      <c r="S232" s="843" t="n">
        <v>8925</v>
      </c>
      <c r="T232" s="843">
        <f>S232</f>
        <v/>
      </c>
      <c r="U232" s="843" t="n">
        <v>11050</v>
      </c>
      <c r="V232" s="843">
        <f>U232</f>
        <v/>
      </c>
      <c r="W232" s="846">
        <f>U232/G232</f>
        <v/>
      </c>
      <c r="X232" s="847">
        <f>SUM(U232-S232)/S232</f>
        <v/>
      </c>
      <c r="Y232" s="843" t="inlineStr">
        <is>
          <t>E</t>
        </is>
      </c>
      <c r="Z232" s="590" t="n"/>
      <c r="AA232" s="591" t="n"/>
      <c r="AB232" s="842" t="inlineStr">
        <is>
          <t>No</t>
        </is>
      </c>
      <c r="AC232" s="841" t="inlineStr">
        <is>
          <t>Tenant break 12/05/27 on 6 months notice.</t>
        </is>
      </c>
      <c r="AF232" s="312" t="n"/>
    </row>
    <row r="233">
      <c r="A233" s="839" t="inlineStr">
        <is>
          <t>CM</t>
        </is>
      </c>
      <c r="B233" s="839" t="inlineStr">
        <is>
          <t>MEL</t>
        </is>
      </c>
      <c r="C233" s="840" t="n">
        <v>550800</v>
      </c>
      <c r="D233" s="841" t="inlineStr">
        <is>
          <t>25 Margaret Street</t>
        </is>
      </c>
      <c r="E233" s="841" t="inlineStr">
        <is>
          <t>Second Floor (R)</t>
        </is>
      </c>
      <c r="F233" s="842" t="inlineStr">
        <is>
          <t>Office</t>
        </is>
      </c>
      <c r="G233" s="849" t="n">
        <v>130</v>
      </c>
      <c r="H233" s="849">
        <f>G233</f>
        <v/>
      </c>
      <c r="I233" s="849" t="n">
        <v>250</v>
      </c>
      <c r="J233" s="841" t="inlineStr">
        <is>
          <t>Mr R Backes</t>
        </is>
      </c>
      <c r="K233" s="844" t="n">
        <v>44762</v>
      </c>
      <c r="L233" s="845" t="n">
        <v>46587</v>
      </c>
      <c r="O233" s="845" t="n">
        <v>45857</v>
      </c>
      <c r="P233" s="843" t="n">
        <v>7605</v>
      </c>
      <c r="Q233" s="843">
        <f>P233</f>
        <v/>
      </c>
      <c r="S233" s="843" t="n">
        <v>7605</v>
      </c>
      <c r="T233" s="843">
        <f>S233</f>
        <v/>
      </c>
      <c r="U233" s="843" t="n">
        <v>8450</v>
      </c>
      <c r="V233" s="843">
        <f>U233</f>
        <v/>
      </c>
      <c r="W233" s="846">
        <f>U233/G233</f>
        <v/>
      </c>
      <c r="X233" s="847">
        <f>SUM(U233-S233)/S233</f>
        <v/>
      </c>
      <c r="Y233" s="843" t="inlineStr">
        <is>
          <t>E</t>
        </is>
      </c>
      <c r="Z233" s="590" t="n"/>
      <c r="AA233" s="591" t="n"/>
      <c r="AB233" s="842" t="inlineStr">
        <is>
          <t>No</t>
        </is>
      </c>
      <c r="AF233" s="312" t="n"/>
    </row>
    <row r="234">
      <c r="A234" s="839" t="inlineStr">
        <is>
          <t>CM</t>
        </is>
      </c>
      <c r="B234" s="839" t="inlineStr">
        <is>
          <t>MEL</t>
        </is>
      </c>
      <c r="C234" s="840" t="n">
        <v>550800</v>
      </c>
      <c r="D234" s="841" t="inlineStr">
        <is>
          <t>25 Margaret Street</t>
        </is>
      </c>
      <c r="E234" s="841" t="inlineStr">
        <is>
          <t>Third &amp; Fourth Floors</t>
        </is>
      </c>
      <c r="F234" s="842" t="inlineStr">
        <is>
          <t>Residential</t>
        </is>
      </c>
      <c r="G234" s="849" t="n">
        <v>600</v>
      </c>
      <c r="H234" s="849">
        <f>G234</f>
        <v/>
      </c>
      <c r="I234" s="849" t="n">
        <v>500</v>
      </c>
      <c r="J234" s="841" t="inlineStr">
        <is>
          <t>Mr Bick Ole &amp; Miss Ana Roomas Ledo</t>
        </is>
      </c>
      <c r="K234" s="844" t="n">
        <v>45135</v>
      </c>
      <c r="L234" s="845" t="n">
        <v>45865</v>
      </c>
      <c r="P234" s="617" t="n">
        <v>40950</v>
      </c>
      <c r="Q234" s="843">
        <f>P234</f>
        <v/>
      </c>
      <c r="S234" s="843" t="n">
        <v>36140</v>
      </c>
      <c r="T234" s="843">
        <f>S234</f>
        <v/>
      </c>
      <c r="U234" s="843" t="n">
        <v>39000</v>
      </c>
      <c r="V234" s="843">
        <f>U234</f>
        <v/>
      </c>
      <c r="W234" s="846">
        <f>U234/G234</f>
        <v/>
      </c>
      <c r="X234" s="847">
        <f>SUM(U234-S234)/S234</f>
        <v/>
      </c>
      <c r="Y234" s="843" t="inlineStr">
        <is>
          <t>E</t>
        </is>
      </c>
      <c r="Z234" s="590" t="n"/>
      <c r="AA234" s="591" t="n"/>
      <c r="AB234" s="842" t="inlineStr">
        <is>
          <t>No</t>
        </is>
      </c>
      <c r="AC234" s="29" t="inlineStr">
        <is>
          <t>1 year lease renewal completed @ £41,600 from 28/07/25</t>
        </is>
      </c>
      <c r="AF234" s="312" t="n"/>
    </row>
    <row r="235">
      <c r="A235" s="839" t="inlineStr">
        <is>
          <t>SH</t>
        </is>
      </c>
      <c r="B235" s="839" t="inlineStr">
        <is>
          <t>MEL</t>
        </is>
      </c>
      <c r="C235" s="840" t="n">
        <v>550550</v>
      </c>
      <c r="D235" s="841" t="inlineStr">
        <is>
          <t>47,48 &amp; 50 Margaret Street</t>
        </is>
      </c>
      <c r="E235" s="841" t="inlineStr">
        <is>
          <t>Basement (48-50)</t>
        </is>
      </c>
      <c r="F235" s="842" t="inlineStr">
        <is>
          <t>Nightclub</t>
        </is>
      </c>
      <c r="G235" s="849" t="n">
        <v>3664</v>
      </c>
      <c r="H235" s="849">
        <f>G235</f>
        <v/>
      </c>
      <c r="I235" s="849" t="n">
        <v>3500</v>
      </c>
      <c r="J235" s="841" t="inlineStr">
        <is>
          <t>Masterbet Ltd.</t>
        </is>
      </c>
      <c r="K235" s="844" t="n">
        <v>40946</v>
      </c>
      <c r="L235" s="844" t="n">
        <v>46424</v>
      </c>
      <c r="M235" s="844" t="n"/>
      <c r="P235" s="843" t="n">
        <v>230000</v>
      </c>
      <c r="Q235" s="843">
        <f>P235</f>
        <v/>
      </c>
      <c r="S235" s="843" t="n">
        <v>225000</v>
      </c>
      <c r="T235" s="843">
        <f>S235</f>
        <v/>
      </c>
      <c r="U235" s="843" t="n">
        <v>200000</v>
      </c>
      <c r="V235" s="843">
        <f>U235</f>
        <v/>
      </c>
      <c r="W235" s="846">
        <f>U235/G235</f>
        <v/>
      </c>
      <c r="X235" s="847">
        <f>SUM(U235-S235)/S235</f>
        <v/>
      </c>
      <c r="Y235" s="843" t="inlineStr">
        <is>
          <t>B</t>
        </is>
      </c>
      <c r="Z235" s="590" t="n"/>
      <c r="AA235" s="848" t="n"/>
      <c r="AB235" s="842" t="inlineStr">
        <is>
          <t>No</t>
        </is>
      </c>
      <c r="AC235" s="841" t="inlineStr">
        <is>
          <t>Rent rises to £232,500 @ 07/02/26.</t>
        </is>
      </c>
      <c r="AF235" s="312" t="n"/>
    </row>
    <row r="236">
      <c r="A236" s="839" t="inlineStr">
        <is>
          <t>SH</t>
        </is>
      </c>
      <c r="B236" s="839" t="inlineStr">
        <is>
          <t>MEL</t>
        </is>
      </c>
      <c r="C236" s="840" t="n">
        <v>550550</v>
      </c>
      <c r="D236" s="841" t="inlineStr">
        <is>
          <t>47,48 &amp; 50 Margaret Street</t>
        </is>
      </c>
      <c r="E236" s="841" t="inlineStr">
        <is>
          <t>Ground Floor &amp; Basement (47)</t>
        </is>
      </c>
      <c r="F236" s="842" t="inlineStr">
        <is>
          <t>Retail</t>
        </is>
      </c>
      <c r="G236" s="849" t="n">
        <v>1496</v>
      </c>
      <c r="H236" s="849">
        <f>G236</f>
        <v/>
      </c>
      <c r="I236" s="849" t="n">
        <v>1500</v>
      </c>
      <c r="J236" s="841" t="inlineStr">
        <is>
          <t>MSBB Ltd.</t>
        </is>
      </c>
      <c r="K236" s="844" t="n">
        <v>45178</v>
      </c>
      <c r="L236" s="845" t="n">
        <v>47004</v>
      </c>
      <c r="M236" s="845" t="n"/>
      <c r="P236" s="843" t="n">
        <v>53200</v>
      </c>
      <c r="Q236" s="843">
        <f>P236</f>
        <v/>
      </c>
      <c r="S236" s="843" t="n">
        <v>53200</v>
      </c>
      <c r="T236" s="843">
        <f>S236</f>
        <v/>
      </c>
      <c r="U236" s="843" t="n">
        <v>58000</v>
      </c>
      <c r="V236" s="843">
        <f>U236</f>
        <v/>
      </c>
      <c r="W236" s="846">
        <f>U236/G236</f>
        <v/>
      </c>
      <c r="X236" s="847">
        <f>SUM(U236-S236)/S236</f>
        <v/>
      </c>
      <c r="Y236" s="843" t="inlineStr">
        <is>
          <t>B</t>
        </is>
      </c>
      <c r="Z236" s="590" t="n"/>
      <c r="AA236" s="848" t="n"/>
      <c r="AB236" s="842" t="inlineStr">
        <is>
          <t>No</t>
        </is>
      </c>
      <c r="AC236" s="841" t="inlineStr">
        <is>
          <t>Landlord break @ 08/09/26 on 6 months notice</t>
        </is>
      </c>
      <c r="AF236" s="312" t="n"/>
    </row>
    <row r="237">
      <c r="A237" s="839" t="inlineStr">
        <is>
          <t>SH</t>
        </is>
      </c>
      <c r="B237" s="839" t="inlineStr">
        <is>
          <t>MEL</t>
        </is>
      </c>
      <c r="C237" s="840" t="n">
        <v>550550</v>
      </c>
      <c r="D237" s="841" t="inlineStr">
        <is>
          <t>47,48 &amp; 50 Margaret Street</t>
        </is>
      </c>
      <c r="E237" s="841" t="inlineStr">
        <is>
          <t>Ground Floor (50)</t>
        </is>
      </c>
      <c r="F237" s="842" t="inlineStr">
        <is>
          <t>Restaurant</t>
        </is>
      </c>
      <c r="G237" s="849" t="n">
        <v>1592</v>
      </c>
      <c r="H237" s="849">
        <f>G237</f>
        <v/>
      </c>
      <c r="I237" s="849" t="n">
        <v>1500</v>
      </c>
      <c r="J237" s="841" t="inlineStr">
        <is>
          <t>Oreno Ramen Limited</t>
        </is>
      </c>
      <c r="K237" s="844" t="n">
        <v>44663</v>
      </c>
      <c r="L237" s="845" t="n">
        <v>50141</v>
      </c>
      <c r="N237" s="845" t="n">
        <v>46489</v>
      </c>
      <c r="O237" s="845" t="n">
        <v>48315</v>
      </c>
      <c r="P237" s="843" t="n">
        <v>95000</v>
      </c>
      <c r="Q237" s="843">
        <f>P237</f>
        <v/>
      </c>
      <c r="S237" s="843" t="n">
        <v>100500</v>
      </c>
      <c r="T237" s="843">
        <f>S237</f>
        <v/>
      </c>
      <c r="U237" s="843" t="n">
        <v>100000</v>
      </c>
      <c r="V237" s="843">
        <f>U237</f>
        <v/>
      </c>
      <c r="W237" s="846">
        <f>U237/G237</f>
        <v/>
      </c>
      <c r="X237" s="847">
        <f>SUM(U237-S237)/S237</f>
        <v/>
      </c>
      <c r="Y237" s="617" t="inlineStr">
        <is>
          <t>B</t>
        </is>
      </c>
      <c r="Z237" s="590" t="n"/>
      <c r="AA237" s="848" t="n"/>
      <c r="AB237" s="842" t="inlineStr">
        <is>
          <t>No</t>
        </is>
      </c>
      <c r="AC237" s="841" t="inlineStr">
        <is>
          <t>Stepped rent. £100,000 wef 12/04/26. Mutual break on 9 months notice.</t>
        </is>
      </c>
      <c r="AF237" s="312" t="n"/>
    </row>
    <row r="238">
      <c r="A238" s="839" t="inlineStr">
        <is>
          <t>SH</t>
        </is>
      </c>
      <c r="B238" s="839" t="inlineStr">
        <is>
          <t>MEL</t>
        </is>
      </c>
      <c r="C238" s="840" t="n">
        <v>550550</v>
      </c>
      <c r="D238" s="841" t="inlineStr">
        <is>
          <t>47,48 &amp; 50 Margaret Street</t>
        </is>
      </c>
      <c r="E238" s="841" t="inlineStr">
        <is>
          <t xml:space="preserve">Ground Floor (48) </t>
        </is>
      </c>
      <c r="F238" s="842" t="inlineStr">
        <is>
          <t>Retail</t>
        </is>
      </c>
      <c r="G238" s="849" t="n">
        <v>1704</v>
      </c>
      <c r="H238" s="849">
        <f>G238</f>
        <v/>
      </c>
      <c r="I238" s="849" t="n">
        <v>1750</v>
      </c>
      <c r="J238" s="841" t="inlineStr">
        <is>
          <t>48 Margaret Street Trading Ltd</t>
        </is>
      </c>
      <c r="K238" s="844" t="n">
        <v>45111</v>
      </c>
      <c r="L238" s="845" t="n">
        <v>48763</v>
      </c>
      <c r="N238" s="845" t="n">
        <v>46938</v>
      </c>
      <c r="P238" s="843" t="n">
        <v>105000</v>
      </c>
      <c r="Q238" s="843">
        <f>P238</f>
        <v/>
      </c>
      <c r="S238" s="843" t="n">
        <v>96300</v>
      </c>
      <c r="T238" s="843">
        <f>S238</f>
        <v/>
      </c>
      <c r="U238" s="843" t="n">
        <v>105000</v>
      </c>
      <c r="V238" s="843">
        <f>U238</f>
        <v/>
      </c>
      <c r="W238" s="846">
        <f>U238/G238</f>
        <v/>
      </c>
      <c r="X238" s="847">
        <f>SUM(U238-S238)/S238</f>
        <v/>
      </c>
      <c r="Y238" s="843" t="inlineStr">
        <is>
          <t>B</t>
        </is>
      </c>
      <c r="Z238" s="590" t="n"/>
      <c r="AA238" s="848" t="n"/>
      <c r="AB238" s="842" t="inlineStr">
        <is>
          <t>No</t>
        </is>
      </c>
      <c r="AF238" s="312" t="n"/>
    </row>
    <row r="239">
      <c r="A239" s="839" t="inlineStr">
        <is>
          <t>SH</t>
        </is>
      </c>
      <c r="B239" s="839" t="inlineStr">
        <is>
          <t>MEL</t>
        </is>
      </c>
      <c r="C239" s="840" t="n">
        <v>550550</v>
      </c>
      <c r="D239" s="841" t="inlineStr">
        <is>
          <t>47,48 &amp; 50 Margaret Street</t>
        </is>
      </c>
      <c r="E239" s="841" t="inlineStr">
        <is>
          <t>First Floor (East)</t>
        </is>
      </c>
      <c r="F239" s="842" t="inlineStr">
        <is>
          <t>D1</t>
        </is>
      </c>
      <c r="G239" s="849" t="n">
        <v>2955</v>
      </c>
      <c r="H239" s="849">
        <f>G239</f>
        <v/>
      </c>
      <c r="I239" s="849" t="n">
        <v>3000</v>
      </c>
      <c r="J239" s="841" t="inlineStr">
        <is>
          <t>Sun Kyeong Qi</t>
        </is>
      </c>
      <c r="K239" s="844" t="n">
        <v>45329</v>
      </c>
      <c r="L239" s="845" t="n">
        <v>46059</v>
      </c>
      <c r="P239" s="843" t="n">
        <v>150000</v>
      </c>
      <c r="Q239" s="843">
        <f>P239</f>
        <v/>
      </c>
      <c r="S239" s="843" t="n">
        <v>180000</v>
      </c>
      <c r="T239" s="843">
        <f>S239</f>
        <v/>
      </c>
      <c r="U239" s="843" t="n">
        <v>177300</v>
      </c>
      <c r="V239" s="843">
        <f>U239</f>
        <v/>
      </c>
      <c r="W239" s="846">
        <f>U239/G239</f>
        <v/>
      </c>
      <c r="X239" s="847">
        <f>SUM(U239-S239)/S239</f>
        <v/>
      </c>
      <c r="Y239" s="843" t="inlineStr">
        <is>
          <t>C</t>
        </is>
      </c>
      <c r="Z239" s="590" t="n"/>
      <c r="AA239" s="848" t="n"/>
      <c r="AB239" s="842" t="inlineStr">
        <is>
          <t>No</t>
        </is>
      </c>
      <c r="AF239" s="312" t="n"/>
    </row>
    <row r="240">
      <c r="A240" s="839" t="inlineStr">
        <is>
          <t>SH</t>
        </is>
      </c>
      <c r="B240" s="839" t="inlineStr">
        <is>
          <t>MEL</t>
        </is>
      </c>
      <c r="C240" s="840" t="n">
        <v>550550</v>
      </c>
      <c r="D240" s="841" t="inlineStr">
        <is>
          <t>47,48 &amp; 50 Margaret Street</t>
        </is>
      </c>
      <c r="E240" s="841" t="inlineStr">
        <is>
          <t>First Floor (West)</t>
        </is>
      </c>
      <c r="F240" s="842" t="inlineStr">
        <is>
          <t>Office</t>
        </is>
      </c>
      <c r="G240" s="849" t="n">
        <v>388</v>
      </c>
      <c r="H240" s="849">
        <f>G240</f>
        <v/>
      </c>
      <c r="I240" s="849" t="n">
        <v>500</v>
      </c>
      <c r="J240" s="841" t="inlineStr">
        <is>
          <t>Hypecore Limited</t>
        </is>
      </c>
      <c r="K240" s="844" t="n">
        <v>45429</v>
      </c>
      <c r="L240" s="845" t="n">
        <v>47254</v>
      </c>
      <c r="O240" s="845" t="n">
        <v>46158</v>
      </c>
      <c r="P240" s="843" t="n">
        <v>20520</v>
      </c>
      <c r="Q240" s="843">
        <f>P240</f>
        <v/>
      </c>
      <c r="S240" s="843" t="n">
        <v>19000</v>
      </c>
      <c r="T240" s="843">
        <f>S240</f>
        <v/>
      </c>
      <c r="U240" s="843" t="n">
        <v>21000</v>
      </c>
      <c r="V240" s="843">
        <f>U240</f>
        <v/>
      </c>
      <c r="W240" s="846">
        <f>U240/G240</f>
        <v/>
      </c>
      <c r="X240" s="847">
        <f>SUM(U240-S240)/S240</f>
        <v/>
      </c>
      <c r="Y240" s="843" t="inlineStr">
        <is>
          <t>C</t>
        </is>
      </c>
      <c r="Z240" s="590" t="n"/>
      <c r="AA240" s="848" t="n"/>
      <c r="AB240" s="842" t="inlineStr">
        <is>
          <t>No</t>
        </is>
      </c>
      <c r="AC240" s="841" t="inlineStr">
        <is>
          <t>Tenant break on 6 months notice.</t>
        </is>
      </c>
      <c r="AF240" s="312" t="n"/>
    </row>
    <row r="241">
      <c r="A241" s="839" t="inlineStr">
        <is>
          <t>SH</t>
        </is>
      </c>
      <c r="B241" s="839" t="inlineStr">
        <is>
          <t>MEL</t>
        </is>
      </c>
      <c r="C241" s="840" t="n">
        <v>550550</v>
      </c>
      <c r="D241" s="841" t="inlineStr">
        <is>
          <t>47,48 &amp; 50 Margaret Street</t>
        </is>
      </c>
      <c r="E241" s="841" t="inlineStr">
        <is>
          <t xml:space="preserve">Second Floor (West) </t>
        </is>
      </c>
      <c r="F241" s="842" t="inlineStr">
        <is>
          <t>Office</t>
        </is>
      </c>
      <c r="G241" s="849" t="n">
        <v>395</v>
      </c>
      <c r="H241" s="849">
        <f>G241</f>
        <v/>
      </c>
      <c r="I241" s="849" t="n">
        <v>500</v>
      </c>
      <c r="J241" s="841" t="inlineStr">
        <is>
          <t>Gnosco Ltd &amp; Fortis Block Management Ltd</t>
        </is>
      </c>
      <c r="K241" s="844" t="n">
        <v>45450</v>
      </c>
      <c r="L241" s="845" t="n">
        <v>47275</v>
      </c>
      <c r="O241" s="845" t="n">
        <v>46574</v>
      </c>
      <c r="P241" s="843" t="n">
        <v>21850</v>
      </c>
      <c r="Q241" s="843">
        <f>P241</f>
        <v/>
      </c>
      <c r="S241" s="843" t="n">
        <v>18900</v>
      </c>
      <c r="T241" s="843">
        <f>S241</f>
        <v/>
      </c>
      <c r="U241" s="843" t="n">
        <v>21850</v>
      </c>
      <c r="V241" s="843">
        <f>U241</f>
        <v/>
      </c>
      <c r="W241" s="846">
        <f>U241/G241</f>
        <v/>
      </c>
      <c r="X241" s="847">
        <f>SUM(U241-S241)/S241</f>
        <v/>
      </c>
      <c r="Y241" s="843" t="inlineStr">
        <is>
          <t>C</t>
        </is>
      </c>
      <c r="Z241" s="590" t="n"/>
      <c r="AA241" s="848" t="n"/>
      <c r="AB241" s="842" t="inlineStr">
        <is>
          <t>No</t>
        </is>
      </c>
      <c r="AC241" s="841" t="inlineStr">
        <is>
          <t>Tenant break on 6 months notice. One mnth rent free from 07/06/27 if break not exercised.</t>
        </is>
      </c>
      <c r="AF241" s="312" t="n"/>
    </row>
    <row r="242">
      <c r="A242" s="839" t="inlineStr">
        <is>
          <t>SH</t>
        </is>
      </c>
      <c r="B242" s="839" t="inlineStr">
        <is>
          <t>MEL</t>
        </is>
      </c>
      <c r="C242" s="840" t="n">
        <v>550550</v>
      </c>
      <c r="D242" s="841" t="inlineStr">
        <is>
          <t>47,48 &amp; 50 Margaret Street</t>
        </is>
      </c>
      <c r="E242" s="841" t="inlineStr">
        <is>
          <t>Second Floor (East)</t>
        </is>
      </c>
      <c r="F242" s="842" t="inlineStr">
        <is>
          <t>Office</t>
        </is>
      </c>
      <c r="G242" s="849" t="n">
        <v>2610</v>
      </c>
      <c r="H242" s="849">
        <f>G242</f>
        <v/>
      </c>
      <c r="I242" s="849" t="n">
        <v>2500</v>
      </c>
      <c r="J242" s="841" t="inlineStr">
        <is>
          <t>Vacant</t>
        </is>
      </c>
      <c r="M242" s="845" t="n">
        <v>43783</v>
      </c>
      <c r="P242" s="843" t="n">
        <v>0</v>
      </c>
      <c r="Q242" s="843">
        <f>P242</f>
        <v/>
      </c>
      <c r="S242" s="843" t="n">
        <v>182500</v>
      </c>
      <c r="T242" s="843">
        <f>S242</f>
        <v/>
      </c>
      <c r="U242" s="843" t="n">
        <v>169700</v>
      </c>
      <c r="V242" s="843">
        <f>U242</f>
        <v/>
      </c>
      <c r="W242" s="846">
        <f>U242/G242</f>
        <v/>
      </c>
      <c r="X242" s="847">
        <f>SUM(U242-S242)/S242</f>
        <v/>
      </c>
      <c r="Y242" s="843" t="inlineStr">
        <is>
          <t>C</t>
        </is>
      </c>
      <c r="Z242" s="590" t="n"/>
      <c r="AA242" s="848" t="n"/>
      <c r="AB242" s="842" t="inlineStr">
        <is>
          <t>No</t>
        </is>
      </c>
      <c r="AC242" s="841" t="inlineStr">
        <is>
          <t>Under offer</t>
        </is>
      </c>
      <c r="AD242" s="850" t="n">
        <v>72.5</v>
      </c>
      <c r="AE242" s="841" t="n">
        <v>3</v>
      </c>
      <c r="AF242" s="312" t="n">
        <v>6</v>
      </c>
    </row>
    <row r="243">
      <c r="A243" s="839" t="inlineStr">
        <is>
          <t>SH</t>
        </is>
      </c>
      <c r="B243" s="839" t="inlineStr">
        <is>
          <t>MEL</t>
        </is>
      </c>
      <c r="C243" s="840" t="n">
        <v>550550</v>
      </c>
      <c r="D243" s="841" t="inlineStr">
        <is>
          <t>47,48 &amp; 50 Margaret Street</t>
        </is>
      </c>
      <c r="E243" s="841" t="inlineStr">
        <is>
          <t>Third Floor (East)</t>
        </is>
      </c>
      <c r="F243" s="842" t="inlineStr">
        <is>
          <t>Office</t>
        </is>
      </c>
      <c r="G243" s="849" t="n">
        <v>2508</v>
      </c>
      <c r="H243" s="849">
        <f>G243</f>
        <v/>
      </c>
      <c r="I243" s="849" t="n">
        <v>2500</v>
      </c>
      <c r="J243" s="841" t="inlineStr">
        <is>
          <t>Vacant</t>
        </is>
      </c>
      <c r="M243" s="845" t="n">
        <v>45504</v>
      </c>
      <c r="P243" s="843" t="n">
        <v>0</v>
      </c>
      <c r="Q243" s="843">
        <f>P243</f>
        <v/>
      </c>
      <c r="S243" s="843" t="n">
        <v>138800</v>
      </c>
      <c r="T243" s="843">
        <f>S243</f>
        <v/>
      </c>
      <c r="U243" s="843" t="n">
        <v>141700</v>
      </c>
      <c r="V243" s="843">
        <f>U243</f>
        <v/>
      </c>
      <c r="W243" s="846">
        <f>U243/G243</f>
        <v/>
      </c>
      <c r="X243" s="847">
        <f>SUM(U243-S243)/S243</f>
        <v/>
      </c>
      <c r="Y243" s="843" t="inlineStr">
        <is>
          <t>C</t>
        </is>
      </c>
      <c r="Z243" s="590" t="n"/>
      <c r="AA243" s="848" t="n"/>
      <c r="AB243" s="842" t="inlineStr">
        <is>
          <t>No</t>
        </is>
      </c>
      <c r="AC243" s="841" t="inlineStr">
        <is>
          <t>To be refurbished.</t>
        </is>
      </c>
      <c r="AD243" s="850" t="n">
        <v>72.5</v>
      </c>
      <c r="AE243" s="841" t="n">
        <v>3</v>
      </c>
      <c r="AF243" s="312" t="n">
        <v>7</v>
      </c>
      <c r="AG243" s="29" t="inlineStr">
        <is>
          <t>LDG</t>
        </is>
      </c>
    </row>
    <row r="244">
      <c r="A244" s="839" t="inlineStr">
        <is>
          <t>SH</t>
        </is>
      </c>
      <c r="B244" s="839" t="inlineStr">
        <is>
          <t>MEL</t>
        </is>
      </c>
      <c r="C244" s="840" t="n">
        <v>550550</v>
      </c>
      <c r="D244" s="841" t="inlineStr">
        <is>
          <t>47,48 &amp; 50 Margaret Street</t>
        </is>
      </c>
      <c r="E244" s="841" t="inlineStr">
        <is>
          <t>Third Floor (West)</t>
        </is>
      </c>
      <c r="F244" s="842" t="inlineStr">
        <is>
          <t>Office</t>
        </is>
      </c>
      <c r="G244" s="849" t="n">
        <v>389</v>
      </c>
      <c r="H244" s="849">
        <f>G244</f>
        <v/>
      </c>
      <c r="I244" s="849" t="n">
        <v>500</v>
      </c>
      <c r="J244" s="841" t="inlineStr">
        <is>
          <t>Vacant</t>
        </is>
      </c>
      <c r="M244" s="845" t="n">
        <v>45635</v>
      </c>
      <c r="P244" s="843" t="n">
        <v>0</v>
      </c>
      <c r="Q244" s="843">
        <f>P244</f>
        <v/>
      </c>
      <c r="S244" s="843" t="n">
        <v>19500</v>
      </c>
      <c r="T244" s="843">
        <f>S244</f>
        <v/>
      </c>
      <c r="U244" s="843" t="n">
        <v>19500</v>
      </c>
      <c r="V244" s="843">
        <f>U244</f>
        <v/>
      </c>
      <c r="W244" s="846">
        <f>U244/G244</f>
        <v/>
      </c>
      <c r="X244" s="847">
        <f>SUM(U244-S244)/S244</f>
        <v/>
      </c>
      <c r="Y244" s="843" t="inlineStr">
        <is>
          <t>C</t>
        </is>
      </c>
      <c r="Z244" s="590" t="n"/>
      <c r="AA244" s="848" t="n"/>
      <c r="AB244" s="842" t="inlineStr">
        <is>
          <t>No</t>
        </is>
      </c>
      <c r="AC244" s="841" t="inlineStr">
        <is>
          <t>LEM marketing.</t>
        </is>
      </c>
      <c r="AD244" s="599" t="n"/>
      <c r="AF244" s="312" t="n"/>
    </row>
    <row r="245">
      <c r="A245" s="839" t="inlineStr">
        <is>
          <t>SH</t>
        </is>
      </c>
      <c r="B245" s="839" t="inlineStr">
        <is>
          <t>MEL</t>
        </is>
      </c>
      <c r="C245" s="840" t="n">
        <v>550550</v>
      </c>
      <c r="D245" s="841" t="inlineStr">
        <is>
          <t>47,48 &amp; 50 Margaret Street</t>
        </is>
      </c>
      <c r="E245" s="841" t="inlineStr">
        <is>
          <t>Fourth Floor (West)</t>
        </is>
      </c>
      <c r="F245" s="842" t="inlineStr">
        <is>
          <t>Office</t>
        </is>
      </c>
      <c r="G245" s="849" t="n">
        <v>390</v>
      </c>
      <c r="H245" s="849">
        <f>G245</f>
        <v/>
      </c>
      <c r="I245" s="849" t="n">
        <v>500</v>
      </c>
      <c r="J245" s="841" t="inlineStr">
        <is>
          <t>Sen Yoga Limited</t>
        </is>
      </c>
      <c r="K245" s="844" t="n">
        <v>45680</v>
      </c>
      <c r="L245" s="845" t="n">
        <v>47505</v>
      </c>
      <c r="M245" s="845" t="n"/>
      <c r="N245" s="845" t="n"/>
      <c r="O245" s="845" t="n">
        <v>46774</v>
      </c>
      <c r="P245" s="843" t="n">
        <v>21060</v>
      </c>
      <c r="Q245" s="843">
        <f>P245</f>
        <v/>
      </c>
      <c r="R245" s="843" t="n"/>
      <c r="S245" s="843" t="n">
        <v>0</v>
      </c>
      <c r="T245" s="843">
        <f>S245</f>
        <v/>
      </c>
      <c r="U245" s="843" t="n">
        <v>19500</v>
      </c>
      <c r="V245" s="843">
        <f>U245</f>
        <v/>
      </c>
      <c r="W245" s="846">
        <f>U245/G245</f>
        <v/>
      </c>
      <c r="X245" s="847" t="n"/>
      <c r="Y245" s="843" t="inlineStr">
        <is>
          <t>C</t>
        </is>
      </c>
      <c r="Z245" s="590" t="n"/>
      <c r="AA245" s="848" t="n"/>
      <c r="AB245" s="842" t="inlineStr">
        <is>
          <t>No</t>
        </is>
      </c>
      <c r="AC245" s="841" t="inlineStr">
        <is>
          <t>Tenant break on 6 months notice.</t>
        </is>
      </c>
      <c r="AD245" s="850" t="n"/>
      <c r="AE245" s="841" t="n"/>
      <c r="AF245" s="312" t="n"/>
      <c r="AG245" s="841" t="n"/>
    </row>
    <row r="246">
      <c r="A246" s="839" t="inlineStr">
        <is>
          <t>SH</t>
        </is>
      </c>
      <c r="B246" s="839" t="inlineStr">
        <is>
          <t>MEL</t>
        </is>
      </c>
      <c r="C246" s="840" t="n">
        <v>550550</v>
      </c>
      <c r="D246" s="841" t="inlineStr">
        <is>
          <t>47,48 &amp; 50 Margaret Street</t>
        </is>
      </c>
      <c r="E246" s="841" t="inlineStr">
        <is>
          <t>Fourth Floor (East)</t>
        </is>
      </c>
      <c r="F246" s="842" t="inlineStr">
        <is>
          <t>D1</t>
        </is>
      </c>
      <c r="G246" s="849" t="n">
        <v>691</v>
      </c>
      <c r="H246" s="849">
        <f>G246</f>
        <v/>
      </c>
      <c r="I246" s="849" t="n">
        <v>750</v>
      </c>
      <c r="J246" s="841" t="inlineStr">
        <is>
          <t>Vacant</t>
        </is>
      </c>
      <c r="K246" s="844" t="n"/>
      <c r="L246" s="845" t="n"/>
      <c r="M246" s="845" t="n">
        <v>45434</v>
      </c>
      <c r="N246" s="845" t="n"/>
      <c r="O246" s="845" t="n"/>
      <c r="P246" s="843" t="n">
        <v>0</v>
      </c>
      <c r="Q246" s="843">
        <f>P246</f>
        <v/>
      </c>
      <c r="R246" s="843" t="n"/>
      <c r="S246" s="843" t="n">
        <v>42000</v>
      </c>
      <c r="T246" s="843">
        <f>S246</f>
        <v/>
      </c>
      <c r="U246" s="843" t="n">
        <v>41500</v>
      </c>
      <c r="V246" s="843">
        <f>U246</f>
        <v/>
      </c>
      <c r="W246" s="846">
        <f>U246/G246</f>
        <v/>
      </c>
      <c r="X246" s="847">
        <f>SUM(U246-S246)/S246</f>
        <v/>
      </c>
      <c r="Y246" s="843" t="inlineStr">
        <is>
          <t>C</t>
        </is>
      </c>
      <c r="Z246" s="590" t="n"/>
      <c r="AA246" s="848" t="n"/>
      <c r="AB246" s="842" t="inlineStr">
        <is>
          <t>No</t>
        </is>
      </c>
      <c r="AC246" s="841" t="inlineStr">
        <is>
          <t>Under offer</t>
        </is>
      </c>
      <c r="AD246" s="850" t="n">
        <v>62.5</v>
      </c>
      <c r="AE246" s="841" t="n">
        <v>1</v>
      </c>
      <c r="AF246" s="312" t="n">
        <v>5</v>
      </c>
      <c r="AG246" s="841" t="n"/>
    </row>
    <row r="247">
      <c r="A247" s="839" t="inlineStr">
        <is>
          <t>SH</t>
        </is>
      </c>
      <c r="B247" s="839" t="inlineStr">
        <is>
          <t>MEL</t>
        </is>
      </c>
      <c r="C247" s="840" t="n">
        <v>550510</v>
      </c>
      <c r="D247" s="841" t="inlineStr">
        <is>
          <t>51-53 Margaret Street</t>
        </is>
      </c>
      <c r="E247" s="841" t="inlineStr">
        <is>
          <t>Basement Vault</t>
        </is>
      </c>
      <c r="F247" s="842" t="inlineStr">
        <is>
          <t>Storage</t>
        </is>
      </c>
      <c r="G247" s="849" t="n">
        <v>120</v>
      </c>
      <c r="H247" s="849">
        <f>G247</f>
        <v/>
      </c>
      <c r="I247" s="849" t="n">
        <v>250</v>
      </c>
      <c r="J247" s="841" t="inlineStr">
        <is>
          <t>Kiss The Hippo Fritzrovia Ltd.</t>
        </is>
      </c>
      <c r="K247" s="844" t="n">
        <v>43881</v>
      </c>
      <c r="L247" s="844" t="n">
        <v>47240</v>
      </c>
      <c r="M247" s="844" t="n"/>
      <c r="P247" s="843" t="n">
        <v>0</v>
      </c>
      <c r="Q247" s="843">
        <f>P247</f>
        <v/>
      </c>
      <c r="S247" s="843" t="n">
        <v>0</v>
      </c>
      <c r="T247" s="843">
        <f>S247</f>
        <v/>
      </c>
      <c r="U247" s="843" t="n">
        <v>0</v>
      </c>
      <c r="V247" s="843">
        <f>U247</f>
        <v/>
      </c>
      <c r="W247" s="846">
        <f>U247/G247</f>
        <v/>
      </c>
      <c r="X247" s="847" t="n"/>
      <c r="Y247" s="843" t="n"/>
      <c r="Z247" s="590" t="inlineStr">
        <is>
          <t>*</t>
        </is>
      </c>
      <c r="AA247" s="848" t="n"/>
      <c r="AB247" s="842" t="inlineStr">
        <is>
          <t>No</t>
        </is>
      </c>
      <c r="AC247" s="841" t="inlineStr">
        <is>
          <t>The rent is a peppercorn.</t>
        </is>
      </c>
      <c r="AF247" s="312" t="n"/>
    </row>
    <row r="248">
      <c r="A248" s="839" t="inlineStr">
        <is>
          <t>SH</t>
        </is>
      </c>
      <c r="B248" s="839" t="inlineStr">
        <is>
          <t>MEL</t>
        </is>
      </c>
      <c r="C248" s="840" t="n">
        <v>550510</v>
      </c>
      <c r="D248" s="841" t="inlineStr">
        <is>
          <t>51-53 Margaret Street</t>
        </is>
      </c>
      <c r="E248" s="841" t="inlineStr">
        <is>
          <t>Basement &amp; Ground Floor (West)</t>
        </is>
      </c>
      <c r="F248" s="842" t="inlineStr">
        <is>
          <t>Shop</t>
        </is>
      </c>
      <c r="G248" s="849" t="n">
        <v>1032</v>
      </c>
      <c r="H248" s="849">
        <f>G248</f>
        <v/>
      </c>
      <c r="I248" s="849" t="n">
        <v>1000</v>
      </c>
      <c r="J248" s="841" t="inlineStr">
        <is>
          <t>Kiss The Hippo Fritzrovia Ltd.</t>
        </is>
      </c>
      <c r="K248" s="844" t="n">
        <v>43588</v>
      </c>
      <c r="L248" s="844" t="n">
        <v>47240</v>
      </c>
      <c r="M248" s="844" t="n"/>
      <c r="P248" s="617" t="n">
        <v>70000</v>
      </c>
      <c r="Q248" s="843">
        <f>P248</f>
        <v/>
      </c>
      <c r="S248" s="843" t="n">
        <v>57500</v>
      </c>
      <c r="T248" s="843">
        <f>S248</f>
        <v/>
      </c>
      <c r="U248" s="843" t="n">
        <v>57500</v>
      </c>
      <c r="V248" s="843">
        <f>U248</f>
        <v/>
      </c>
      <c r="W248" s="846">
        <f>U248/G248</f>
        <v/>
      </c>
      <c r="X248" s="847">
        <f>SUM(U248-S248)/S248</f>
        <v/>
      </c>
      <c r="Y248" s="843" t="inlineStr">
        <is>
          <t>A</t>
        </is>
      </c>
      <c r="Z248" s="590" t="n"/>
      <c r="AA248" s="848" t="n"/>
      <c r="AB248" s="842" t="inlineStr">
        <is>
          <t>No</t>
        </is>
      </c>
      <c r="AC248" s="29" t="inlineStr">
        <is>
          <t>Rent review completed wef 03/05/24. Rent increase from £67,500 to £70,000</t>
        </is>
      </c>
      <c r="AF248" s="312" t="n"/>
    </row>
    <row r="249">
      <c r="A249" s="839" t="inlineStr">
        <is>
          <t>SH</t>
        </is>
      </c>
      <c r="B249" s="839" t="inlineStr">
        <is>
          <t>MEL</t>
        </is>
      </c>
      <c r="C249" s="840" t="n">
        <v>550510</v>
      </c>
      <c r="D249" s="841" t="inlineStr">
        <is>
          <t>51-53 Margaret Street</t>
        </is>
      </c>
      <c r="E249" s="841" t="inlineStr">
        <is>
          <t>Basement (East)</t>
        </is>
      </c>
      <c r="F249" s="842" t="inlineStr">
        <is>
          <t>Showroom</t>
        </is>
      </c>
      <c r="G249" s="849" t="n">
        <v>1028</v>
      </c>
      <c r="H249" s="849">
        <f>G249</f>
        <v/>
      </c>
      <c r="I249" s="849" t="n">
        <v>1000</v>
      </c>
      <c r="J249" s="841" t="inlineStr">
        <is>
          <t>Shtager &amp; Schch Limited</t>
        </is>
      </c>
      <c r="K249" s="844" t="n">
        <v>44966</v>
      </c>
      <c r="L249" s="845" t="n">
        <v>46791</v>
      </c>
      <c r="M249" s="845" t="n"/>
      <c r="P249" s="843" t="n">
        <v>35000</v>
      </c>
      <c r="Q249" s="843">
        <f>P249</f>
        <v/>
      </c>
      <c r="S249" s="843" t="n">
        <v>36000</v>
      </c>
      <c r="T249" s="843">
        <f>S249</f>
        <v/>
      </c>
      <c r="U249" s="843" t="n">
        <v>35000</v>
      </c>
      <c r="V249" s="843">
        <f>U249</f>
        <v/>
      </c>
      <c r="W249" s="846">
        <f>U249/G249</f>
        <v/>
      </c>
      <c r="X249" s="847">
        <f>SUM(U249-S249)/S249</f>
        <v/>
      </c>
      <c r="Y249" s="843" t="inlineStr">
        <is>
          <t>D</t>
        </is>
      </c>
      <c r="Z249" s="590" t="n"/>
      <c r="AA249" s="848" t="n"/>
      <c r="AB249" s="842" t="inlineStr">
        <is>
          <t>No</t>
        </is>
      </c>
      <c r="AC249" s="841" t="inlineStr">
        <is>
          <t>Struggling tenant. Unit Under offer.</t>
        </is>
      </c>
      <c r="AF249" s="312" t="n">
        <v>2</v>
      </c>
      <c r="AG249" s="841" t="inlineStr">
        <is>
          <t>LEM</t>
        </is>
      </c>
    </row>
    <row r="250">
      <c r="A250" s="839" t="inlineStr">
        <is>
          <t>SH</t>
        </is>
      </c>
      <c r="B250" s="839" t="inlineStr">
        <is>
          <t>MEL</t>
        </is>
      </c>
      <c r="C250" s="840" t="n">
        <v>550510</v>
      </c>
      <c r="D250" s="841" t="inlineStr">
        <is>
          <t>51-53 Margaret Street</t>
        </is>
      </c>
      <c r="E250" s="841" t="inlineStr">
        <is>
          <t>Basement Vault</t>
        </is>
      </c>
      <c r="F250" s="842" t="inlineStr">
        <is>
          <t>Storage</t>
        </is>
      </c>
      <c r="G250" s="849" t="n">
        <v>90</v>
      </c>
      <c r="H250" s="849">
        <f>G250</f>
        <v/>
      </c>
      <c r="J250" s="841" t="inlineStr">
        <is>
          <t>Vacant / Landlord</t>
        </is>
      </c>
      <c r="L250" s="845" t="n"/>
      <c r="M250" s="845" t="n">
        <v>44681</v>
      </c>
      <c r="P250" s="843" t="n">
        <v>0</v>
      </c>
      <c r="Q250" s="843">
        <f>P250</f>
        <v/>
      </c>
      <c r="S250" s="843" t="n">
        <v>5665</v>
      </c>
      <c r="T250" s="843">
        <f>S250</f>
        <v/>
      </c>
      <c r="U250" s="843" t="n">
        <v>900</v>
      </c>
      <c r="V250" s="843">
        <f>U250</f>
        <v/>
      </c>
      <c r="W250" s="846">
        <f>U250/G250</f>
        <v/>
      </c>
      <c r="X250" s="847">
        <f>SUM(U250-S250)/S250</f>
        <v/>
      </c>
      <c r="Y250" s="843" t="n"/>
      <c r="Z250" s="590" t="n"/>
      <c r="AA250" s="848" t="n"/>
      <c r="AB250" s="842" t="inlineStr">
        <is>
          <t>No</t>
        </is>
      </c>
      <c r="AF250" s="312" t="n"/>
    </row>
    <row r="251">
      <c r="A251" s="839" t="inlineStr">
        <is>
          <t>SH</t>
        </is>
      </c>
      <c r="B251" s="839" t="inlineStr">
        <is>
          <t>MEL</t>
        </is>
      </c>
      <c r="C251" s="840" t="n">
        <v>550510</v>
      </c>
      <c r="D251" s="841" t="inlineStr">
        <is>
          <t>51-53 Margaret Street</t>
        </is>
      </c>
      <c r="E251" s="841" t="inlineStr">
        <is>
          <t>Ground Floor (East)</t>
        </is>
      </c>
      <c r="F251" s="861" t="inlineStr">
        <is>
          <t>Shop</t>
        </is>
      </c>
      <c r="G251" s="849" t="n">
        <v>894</v>
      </c>
      <c r="H251" s="849">
        <f>G251</f>
        <v/>
      </c>
      <c r="I251" s="849" t="n">
        <v>1000</v>
      </c>
      <c r="J251" s="841" t="inlineStr">
        <is>
          <t>Phyto Nourishment Limited</t>
        </is>
      </c>
      <c r="K251" s="844" t="n">
        <v>45413</v>
      </c>
      <c r="L251" s="845" t="n">
        <v>49064</v>
      </c>
      <c r="N251" s="845" t="n">
        <v>47239</v>
      </c>
      <c r="O251" s="845" t="n">
        <v>46507</v>
      </c>
      <c r="P251" s="843" t="n">
        <v>100000</v>
      </c>
      <c r="Q251" s="843">
        <f>P251</f>
        <v/>
      </c>
      <c r="S251" s="843" t="n">
        <v>90000</v>
      </c>
      <c r="T251" s="843">
        <f>S251</f>
        <v/>
      </c>
      <c r="U251" s="843" t="n">
        <v>100000</v>
      </c>
      <c r="V251" s="843">
        <f>U251</f>
        <v/>
      </c>
      <c r="W251" s="846">
        <f>U251/G251</f>
        <v/>
      </c>
      <c r="X251" s="847">
        <f>SUM(U251-S251)/S251</f>
        <v/>
      </c>
      <c r="Y251" s="843" t="inlineStr">
        <is>
          <t>D</t>
        </is>
      </c>
      <c r="Z251" s="590" t="n"/>
      <c r="AA251" s="848" t="n"/>
      <c r="AB251" s="842" t="inlineStr">
        <is>
          <t>No</t>
        </is>
      </c>
      <c r="AC251" s="841" t="inlineStr">
        <is>
          <t>Tenant break on 6 months notice with a penalty clause if exercised. Tenant in Administration. Under offer</t>
        </is>
      </c>
      <c r="AF251" s="312" t="n"/>
    </row>
    <row r="252">
      <c r="A252" s="839" t="inlineStr">
        <is>
          <t>SH</t>
        </is>
      </c>
      <c r="B252" s="839" t="inlineStr">
        <is>
          <t>MEL</t>
        </is>
      </c>
      <c r="C252" s="840" t="n">
        <v>550510</v>
      </c>
      <c r="D252" s="841" t="inlineStr">
        <is>
          <t>51-53 Margaret Street</t>
        </is>
      </c>
      <c r="E252" s="841" t="inlineStr">
        <is>
          <t>First Floor (East)</t>
        </is>
      </c>
      <c r="F252" s="861" t="inlineStr">
        <is>
          <t>Office</t>
        </is>
      </c>
      <c r="G252" s="849" t="n">
        <v>635</v>
      </c>
      <c r="H252" s="849">
        <f>G252</f>
        <v/>
      </c>
      <c r="I252" s="849" t="n">
        <v>750</v>
      </c>
      <c r="J252" s="841" t="inlineStr">
        <is>
          <t>More &amp; More Studio Limited</t>
        </is>
      </c>
      <c r="K252" s="844" t="n">
        <v>45431</v>
      </c>
      <c r="L252" s="845" t="n">
        <v>46525</v>
      </c>
      <c r="P252" s="843" t="n">
        <v>36500</v>
      </c>
      <c r="Q252" s="843">
        <f>P252</f>
        <v/>
      </c>
      <c r="S252" s="843" t="n">
        <v>36500</v>
      </c>
      <c r="T252" s="843">
        <f>S252</f>
        <v/>
      </c>
      <c r="U252" s="843" t="n">
        <v>36500</v>
      </c>
      <c r="V252" s="843">
        <f>U252</f>
        <v/>
      </c>
      <c r="W252" s="846">
        <f>U252/G252</f>
        <v/>
      </c>
      <c r="X252" s="847">
        <f>SUM(U252-S252)/S252</f>
        <v/>
      </c>
      <c r="Y252" s="843" t="inlineStr">
        <is>
          <t>E</t>
        </is>
      </c>
      <c r="Z252" s="590" t="n"/>
      <c r="AA252" s="848" t="n"/>
      <c r="AB252" s="842" t="inlineStr">
        <is>
          <t>No</t>
        </is>
      </c>
      <c r="AC252" s="29" t="inlineStr">
        <is>
          <t>Tenant break passed.</t>
        </is>
      </c>
      <c r="AF252" s="312" t="n"/>
    </row>
    <row r="253">
      <c r="A253" s="839" t="inlineStr">
        <is>
          <t>SH</t>
        </is>
      </c>
      <c r="B253" s="839" t="inlineStr">
        <is>
          <t>MEL</t>
        </is>
      </c>
      <c r="C253" s="840" t="n">
        <v>550510</v>
      </c>
      <c r="D253" s="841" t="inlineStr">
        <is>
          <t>51-53 Margaret Street</t>
        </is>
      </c>
      <c r="E253" s="841" t="inlineStr">
        <is>
          <t>First Floor (West)</t>
        </is>
      </c>
      <c r="F253" s="842" t="inlineStr">
        <is>
          <t>Office</t>
        </is>
      </c>
      <c r="G253" s="856" t="n">
        <v>450</v>
      </c>
      <c r="H253" s="849">
        <f>G253</f>
        <v/>
      </c>
      <c r="I253" s="849" t="n">
        <v>500</v>
      </c>
      <c r="J253" s="841" t="inlineStr">
        <is>
          <t>Vacant</t>
        </is>
      </c>
      <c r="M253" s="845" t="n">
        <v>42943</v>
      </c>
      <c r="P253" s="843" t="n">
        <v>0</v>
      </c>
      <c r="Q253" s="843">
        <f>P253</f>
        <v/>
      </c>
      <c r="S253" s="843" t="n">
        <v>23600</v>
      </c>
      <c r="T253" s="843">
        <f>S253</f>
        <v/>
      </c>
      <c r="U253" s="843" t="n">
        <v>24800</v>
      </c>
      <c r="V253" s="843">
        <f>U253</f>
        <v/>
      </c>
      <c r="W253" s="846">
        <f>U253/G253</f>
        <v/>
      </c>
      <c r="X253" s="847">
        <f>SUM(U253-S253)/S253</f>
        <v/>
      </c>
      <c r="Y253" s="843" t="inlineStr">
        <is>
          <t>B</t>
        </is>
      </c>
      <c r="Z253" s="590" t="n"/>
      <c r="AA253" s="848" t="n"/>
      <c r="AB253" s="842" t="inlineStr">
        <is>
          <t>No</t>
        </is>
      </c>
      <c r="AC253" s="841" t="inlineStr">
        <is>
          <t>To be refurbished.</t>
        </is>
      </c>
      <c r="AE253" s="841" t="n">
        <v>1</v>
      </c>
      <c r="AF253" s="312" t="n">
        <v>3</v>
      </c>
      <c r="AG253" s="841" t="inlineStr">
        <is>
          <t>LEM / RIB</t>
        </is>
      </c>
    </row>
    <row r="254">
      <c r="A254" s="839" t="inlineStr">
        <is>
          <t>SH</t>
        </is>
      </c>
      <c r="B254" s="839" t="inlineStr">
        <is>
          <t>MEL</t>
        </is>
      </c>
      <c r="C254" s="840" t="n">
        <v>550510</v>
      </c>
      <c r="D254" s="841" t="inlineStr">
        <is>
          <t>51-53 Margaret Street</t>
        </is>
      </c>
      <c r="E254" s="841" t="inlineStr">
        <is>
          <t>Second Floor (East)</t>
        </is>
      </c>
      <c r="F254" s="842" t="inlineStr">
        <is>
          <t>Office</t>
        </is>
      </c>
      <c r="G254" s="849" t="n">
        <v>615</v>
      </c>
      <c r="H254" s="849">
        <f>G254</f>
        <v/>
      </c>
      <c r="I254" s="849" t="n">
        <v>500</v>
      </c>
      <c r="J254" s="841" t="inlineStr">
        <is>
          <t>G. McGonagle &amp; I. Robertson</t>
        </is>
      </c>
      <c r="K254" s="844" t="n">
        <v>45092</v>
      </c>
      <c r="L254" s="845" t="n">
        <v>46918</v>
      </c>
      <c r="O254" s="845" t="n">
        <v>46187</v>
      </c>
      <c r="P254" s="843" t="n">
        <v>35363</v>
      </c>
      <c r="Q254" s="843">
        <f>P254</f>
        <v/>
      </c>
      <c r="S254" s="843" t="n">
        <v>32300</v>
      </c>
      <c r="T254" s="843">
        <f>S254</f>
        <v/>
      </c>
      <c r="U254" s="843" t="n">
        <v>35363</v>
      </c>
      <c r="V254" s="843">
        <f>U254</f>
        <v/>
      </c>
      <c r="W254" s="846">
        <f>U254/G254</f>
        <v/>
      </c>
      <c r="X254" s="847">
        <f>SUM(U254-S254)/S254</f>
        <v/>
      </c>
      <c r="Y254" s="843" t="n"/>
      <c r="Z254" s="590" t="n"/>
      <c r="AA254" s="848" t="n"/>
      <c r="AB254" s="842" t="inlineStr">
        <is>
          <t>No</t>
        </is>
      </c>
      <c r="AC254" s="841" t="inlineStr">
        <is>
          <t>Tenant break on 6 months notice. 2 months rent free if not exercised.</t>
        </is>
      </c>
      <c r="AF254" s="312" t="n"/>
    </row>
    <row r="255">
      <c r="A255" s="839" t="inlineStr">
        <is>
          <t>SH</t>
        </is>
      </c>
      <c r="B255" s="839" t="inlineStr">
        <is>
          <t>MEL</t>
        </is>
      </c>
      <c r="C255" s="840" t="n">
        <v>550510</v>
      </c>
      <c r="D255" s="841" t="inlineStr">
        <is>
          <t>51-53 Margaret Street</t>
        </is>
      </c>
      <c r="E255" s="841" t="inlineStr">
        <is>
          <t>Second Floor (West)</t>
        </is>
      </c>
      <c r="F255" s="842" t="inlineStr">
        <is>
          <t>Office</t>
        </is>
      </c>
      <c r="G255" s="849" t="n">
        <v>500</v>
      </c>
      <c r="H255" s="849">
        <f>G255</f>
        <v/>
      </c>
      <c r="I255" s="849" t="n">
        <v>500</v>
      </c>
      <c r="J255" s="841" t="inlineStr">
        <is>
          <t>Vacant</t>
        </is>
      </c>
      <c r="M255" s="845" t="n">
        <v>43820</v>
      </c>
      <c r="P255" s="843" t="n">
        <v>0</v>
      </c>
      <c r="Q255" s="843">
        <f>P255</f>
        <v/>
      </c>
      <c r="S255" s="843" t="n">
        <v>26300</v>
      </c>
      <c r="T255" s="843">
        <f>S255</f>
        <v/>
      </c>
      <c r="U255" s="843" t="n">
        <v>27500</v>
      </c>
      <c r="V255" s="843">
        <f>U255</f>
        <v/>
      </c>
      <c r="W255" s="846">
        <f>U255/G255</f>
        <v/>
      </c>
      <c r="X255" s="847">
        <f>SUM(U255-S255)/S255</f>
        <v/>
      </c>
      <c r="Y255" s="843" t="inlineStr">
        <is>
          <t>E</t>
        </is>
      </c>
      <c r="Z255" s="590" t="n"/>
      <c r="AA255" s="848" t="n"/>
      <c r="AB255" s="842" t="inlineStr">
        <is>
          <t>No</t>
        </is>
      </c>
      <c r="AC255" s="841" t="inlineStr">
        <is>
          <t>LEM marketing.</t>
        </is>
      </c>
      <c r="AD255" s="850" t="n">
        <v>58.5</v>
      </c>
      <c r="AE255" s="841" t="n">
        <v>1</v>
      </c>
      <c r="AF255" s="312" t="n">
        <v>4</v>
      </c>
      <c r="AG255" s="841" t="inlineStr">
        <is>
          <t>LEM / RIB</t>
        </is>
      </c>
    </row>
    <row r="256">
      <c r="A256" s="839" t="inlineStr">
        <is>
          <t>SH</t>
        </is>
      </c>
      <c r="B256" s="839" t="inlineStr">
        <is>
          <t>MEL</t>
        </is>
      </c>
      <c r="C256" s="840" t="n">
        <v>550510</v>
      </c>
      <c r="D256" s="841" t="inlineStr">
        <is>
          <t>51-53 Margaret Street</t>
        </is>
      </c>
      <c r="E256" s="841" t="inlineStr">
        <is>
          <t>Third Floor (West)</t>
        </is>
      </c>
      <c r="F256" s="842" t="inlineStr">
        <is>
          <t>Office</t>
        </is>
      </c>
      <c r="G256" s="849" t="n">
        <v>504</v>
      </c>
      <c r="H256" s="849">
        <f>G256</f>
        <v/>
      </c>
      <c r="I256" s="849" t="n">
        <v>500</v>
      </c>
      <c r="J256" s="841" t="inlineStr">
        <is>
          <t>Reishi Clinic Ltd</t>
        </is>
      </c>
      <c r="K256" s="844" t="n">
        <v>45601</v>
      </c>
      <c r="L256" s="845" t="n">
        <v>47426</v>
      </c>
      <c r="O256" s="845" t="n">
        <v>46330</v>
      </c>
      <c r="P256" s="843" t="n">
        <v>28050</v>
      </c>
      <c r="Q256" s="843">
        <f>P256</f>
        <v/>
      </c>
      <c r="S256" s="843" t="n">
        <v>26500</v>
      </c>
      <c r="T256" s="843">
        <f>S256</f>
        <v/>
      </c>
      <c r="U256" s="843" t="n">
        <v>27700</v>
      </c>
      <c r="V256" s="843">
        <f>U256</f>
        <v/>
      </c>
      <c r="W256" s="846">
        <f>U256/G256</f>
        <v/>
      </c>
      <c r="X256" s="847">
        <f>SUM(U256-S256)/S256</f>
        <v/>
      </c>
      <c r="Y256" s="843" t="inlineStr">
        <is>
          <t>E</t>
        </is>
      </c>
      <c r="Z256" s="590" t="n"/>
      <c r="AA256" s="848" t="n"/>
      <c r="AB256" s="842" t="inlineStr">
        <is>
          <t>No</t>
        </is>
      </c>
      <c r="AC256" s="841" t="inlineStr">
        <is>
          <t>Tenant break on 6 months notice.</t>
        </is>
      </c>
      <c r="AD256" s="599" t="n"/>
      <c r="AF256" s="312" t="n"/>
    </row>
    <row r="257">
      <c r="A257" s="839" t="inlineStr">
        <is>
          <t>SH</t>
        </is>
      </c>
      <c r="B257" s="839" t="inlineStr">
        <is>
          <t>MEL</t>
        </is>
      </c>
      <c r="C257" s="840" t="n">
        <v>550510</v>
      </c>
      <c r="D257" s="841" t="inlineStr">
        <is>
          <t>51-53 Margaret Street</t>
        </is>
      </c>
      <c r="E257" s="841" t="inlineStr">
        <is>
          <t>Third Floor (East)</t>
        </is>
      </c>
      <c r="F257" s="842" t="inlineStr">
        <is>
          <t>Office</t>
        </is>
      </c>
      <c r="G257" s="849" t="n">
        <v>591</v>
      </c>
      <c r="H257" s="849">
        <f>G257</f>
        <v/>
      </c>
      <c r="I257" s="849" t="n">
        <v>500</v>
      </c>
      <c r="J257" s="841" t="inlineStr">
        <is>
          <t>Vacant</t>
        </is>
      </c>
      <c r="M257" s="845" t="n">
        <v>44119</v>
      </c>
      <c r="P257" s="843" t="n">
        <v>0</v>
      </c>
      <c r="Q257" s="843">
        <f>P257</f>
        <v/>
      </c>
      <c r="S257" s="843" t="n">
        <v>31000</v>
      </c>
      <c r="T257" s="843">
        <f>S257</f>
        <v/>
      </c>
      <c r="U257" s="843" t="n">
        <v>32500</v>
      </c>
      <c r="V257" s="843">
        <f>U257</f>
        <v/>
      </c>
      <c r="W257" s="846">
        <f>U257/G257</f>
        <v/>
      </c>
      <c r="X257" s="847">
        <f>SUM(U257-S257)/S257</f>
        <v/>
      </c>
      <c r="Y257" s="843" t="inlineStr">
        <is>
          <t>E</t>
        </is>
      </c>
      <c r="Z257" s="590" t="n"/>
      <c r="AA257" s="848" t="n"/>
      <c r="AB257" s="842" t="inlineStr">
        <is>
          <t>No</t>
        </is>
      </c>
      <c r="AC257" s="841" t="inlineStr">
        <is>
          <t>LEM marketing.</t>
        </is>
      </c>
      <c r="AD257" s="850" t="n">
        <v>58.5</v>
      </c>
      <c r="AE257" s="841" t="n">
        <v>2</v>
      </c>
      <c r="AF257" s="312" t="n">
        <v>2</v>
      </c>
      <c r="AG257" s="841" t="inlineStr">
        <is>
          <t>LEM/LDG</t>
        </is>
      </c>
    </row>
    <row r="258">
      <c r="A258" s="839" t="inlineStr">
        <is>
          <t>SH</t>
        </is>
      </c>
      <c r="B258" s="839" t="inlineStr">
        <is>
          <t>MEL</t>
        </is>
      </c>
      <c r="C258" s="840" t="n">
        <v>550510</v>
      </c>
      <c r="D258" s="841" t="inlineStr">
        <is>
          <t>51-53 Margaret Street</t>
        </is>
      </c>
      <c r="E258" s="841" t="inlineStr">
        <is>
          <t>Fourth Floor (West)</t>
        </is>
      </c>
      <c r="F258" s="842" t="inlineStr">
        <is>
          <t>Office</t>
        </is>
      </c>
      <c r="G258" s="849" t="n">
        <v>450</v>
      </c>
      <c r="H258" s="849">
        <f>G258</f>
        <v/>
      </c>
      <c r="I258" s="849" t="n">
        <v>500</v>
      </c>
      <c r="J258" s="841" t="inlineStr">
        <is>
          <t>Vacant</t>
        </is>
      </c>
      <c r="M258" s="845" t="n">
        <v>43389</v>
      </c>
      <c r="P258" s="843" t="n">
        <v>0</v>
      </c>
      <c r="Q258" s="843">
        <f>P258</f>
        <v/>
      </c>
      <c r="S258" s="843" t="n">
        <v>23600</v>
      </c>
      <c r="T258" s="843">
        <f>S258</f>
        <v/>
      </c>
      <c r="U258" s="843" t="n">
        <v>24800</v>
      </c>
      <c r="V258" s="843">
        <f>U258</f>
        <v/>
      </c>
      <c r="W258" s="846">
        <f>U258/G258</f>
        <v/>
      </c>
      <c r="X258" s="847">
        <f>SUM(U258-S258)/S258</f>
        <v/>
      </c>
      <c r="Y258" s="843" t="inlineStr">
        <is>
          <t>E</t>
        </is>
      </c>
      <c r="Z258" s="590" t="n"/>
      <c r="AA258" s="848" t="n"/>
      <c r="AB258" s="842" t="inlineStr">
        <is>
          <t>No</t>
        </is>
      </c>
      <c r="AC258" s="841" t="inlineStr">
        <is>
          <t>LEM marketing.</t>
        </is>
      </c>
      <c r="AD258" s="850" t="n">
        <v>58.5</v>
      </c>
      <c r="AE258" s="841" t="n">
        <v>1</v>
      </c>
      <c r="AF258" s="312" t="n">
        <v>1</v>
      </c>
    </row>
    <row r="259">
      <c r="A259" s="839" t="inlineStr">
        <is>
          <t>SH</t>
        </is>
      </c>
      <c r="B259" s="839" t="inlineStr">
        <is>
          <t>MEL</t>
        </is>
      </c>
      <c r="C259" s="840" t="n">
        <v>550510</v>
      </c>
      <c r="D259" s="841" t="inlineStr">
        <is>
          <t>51-53 Margaret Street</t>
        </is>
      </c>
      <c r="E259" s="841" t="inlineStr">
        <is>
          <t>Fourth Floor (East)</t>
        </is>
      </c>
      <c r="F259" s="842" t="inlineStr">
        <is>
          <t>Office</t>
        </is>
      </c>
      <c r="G259" s="849" t="n">
        <v>582</v>
      </c>
      <c r="H259" s="849">
        <f>G259</f>
        <v/>
      </c>
      <c r="I259" s="849" t="n">
        <v>500</v>
      </c>
      <c r="J259" s="841" t="inlineStr">
        <is>
          <t>MDB Sarl</t>
        </is>
      </c>
      <c r="K259" s="844" t="n">
        <v>45614</v>
      </c>
      <c r="L259" s="845" t="n">
        <v>46343</v>
      </c>
      <c r="P259" s="843" t="n">
        <v>42282</v>
      </c>
      <c r="Q259" s="843">
        <f>P259</f>
        <v/>
      </c>
      <c r="S259" s="843" t="n">
        <v>34000</v>
      </c>
      <c r="T259" s="843">
        <f>S259</f>
        <v/>
      </c>
      <c r="U259" s="843" t="n">
        <v>34000</v>
      </c>
      <c r="V259" s="843">
        <f>U259</f>
        <v/>
      </c>
      <c r="W259" s="846">
        <f>U259/G259</f>
        <v/>
      </c>
      <c r="X259" s="847">
        <f>SUM(U259-S259)/S259</f>
        <v/>
      </c>
      <c r="Y259" s="843" t="inlineStr">
        <is>
          <t>E</t>
        </is>
      </c>
      <c r="Z259" s="590" t="n"/>
      <c r="AA259" s="848" t="n"/>
      <c r="AB259" s="842" t="inlineStr">
        <is>
          <t>No</t>
        </is>
      </c>
      <c r="AC259" s="841" t="inlineStr">
        <is>
          <t>All inclusive Service charge &amp; Insurance.</t>
        </is>
      </c>
      <c r="AD259" s="599" t="n"/>
      <c r="AF259" s="312" t="n"/>
    </row>
    <row r="260">
      <c r="A260" s="839" t="inlineStr">
        <is>
          <t>CM</t>
        </is>
      </c>
      <c r="B260" s="839" t="inlineStr">
        <is>
          <t>MEL</t>
        </is>
      </c>
      <c r="C260" s="840" t="n">
        <v>550610</v>
      </c>
      <c r="D260" s="841" t="inlineStr">
        <is>
          <t>63-64 Margaret Street</t>
        </is>
      </c>
      <c r="E260" s="841" t="inlineStr">
        <is>
          <t>Ground Floor &amp; Basement (East)</t>
        </is>
      </c>
      <c r="F260" s="842" t="inlineStr">
        <is>
          <t>Showroom/ Educational</t>
        </is>
      </c>
      <c r="G260" s="849" t="n">
        <v>2047</v>
      </c>
      <c r="H260" s="849">
        <f>G260</f>
        <v/>
      </c>
      <c r="I260" s="849" t="n">
        <v>2000</v>
      </c>
      <c r="J260" s="841" t="inlineStr">
        <is>
          <t>Apollo Galleries Limited</t>
        </is>
      </c>
      <c r="K260" s="844" t="n">
        <v>45100</v>
      </c>
      <c r="L260" s="845" t="n">
        <v>48752</v>
      </c>
      <c r="N260" s="845" t="n">
        <v>46926</v>
      </c>
      <c r="O260" s="845" t="n">
        <v>46195</v>
      </c>
      <c r="P260" s="843" t="n">
        <v>105000</v>
      </c>
      <c r="Q260" s="843">
        <f>P260</f>
        <v/>
      </c>
      <c r="S260" s="843" t="n">
        <v>100000</v>
      </c>
      <c r="T260" s="843">
        <f>S260</f>
        <v/>
      </c>
      <c r="U260" s="843" t="n">
        <v>105000</v>
      </c>
      <c r="V260" s="843">
        <f>U260</f>
        <v/>
      </c>
      <c r="W260" s="846">
        <f>U260/G260</f>
        <v/>
      </c>
      <c r="X260" s="847">
        <f>SUM(U260-S260)/S260</f>
        <v/>
      </c>
      <c r="Y260" s="843" t="inlineStr">
        <is>
          <t>E</t>
        </is>
      </c>
      <c r="Z260" s="590" t="n"/>
      <c r="AA260" s="848" t="n"/>
      <c r="AB260" s="842" t="inlineStr">
        <is>
          <t>No</t>
        </is>
      </c>
      <c r="AC260" s="841" t="inlineStr">
        <is>
          <t>Tenant break on 6 months notice.</t>
        </is>
      </c>
      <c r="AF260" s="312" t="n"/>
    </row>
    <row r="261">
      <c r="A261" s="839" t="inlineStr">
        <is>
          <t>CM</t>
        </is>
      </c>
      <c r="B261" s="839" t="inlineStr">
        <is>
          <t>MEL</t>
        </is>
      </c>
      <c r="C261" s="840" t="n">
        <v>550610</v>
      </c>
      <c r="D261" s="841" t="inlineStr">
        <is>
          <t>63-64 Margaret Street</t>
        </is>
      </c>
      <c r="E261" s="841" t="inlineStr">
        <is>
          <t>Ground  &amp; Basement (West) &amp; Rear Block</t>
        </is>
      </c>
      <c r="F261" s="842" t="inlineStr">
        <is>
          <t>Retail</t>
        </is>
      </c>
      <c r="G261" s="849" t="n">
        <v>2185</v>
      </c>
      <c r="H261" s="849">
        <f>G261</f>
        <v/>
      </c>
      <c r="I261" s="849" t="n">
        <v>2000</v>
      </c>
      <c r="J261" s="841" t="inlineStr">
        <is>
          <t>Margaret Howell Ltd</t>
        </is>
      </c>
      <c r="K261" s="844" t="n">
        <v>42655</v>
      </c>
      <c r="L261" s="845" t="n">
        <v>46306</v>
      </c>
      <c r="P261" s="843" t="n">
        <v>100000</v>
      </c>
      <c r="Q261" s="843">
        <f>P261</f>
        <v/>
      </c>
      <c r="S261" s="843" t="n">
        <v>90000</v>
      </c>
      <c r="T261" s="843">
        <f>S261</f>
        <v/>
      </c>
      <c r="U261" s="843" t="n">
        <v>100000</v>
      </c>
      <c r="V261" s="843">
        <f>U261</f>
        <v/>
      </c>
      <c r="W261" s="846">
        <f>U261/G261</f>
        <v/>
      </c>
      <c r="X261" s="847">
        <f>SUM(U261-S261)/S261</f>
        <v/>
      </c>
      <c r="Y261" s="843" t="inlineStr">
        <is>
          <t>C</t>
        </is>
      </c>
      <c r="Z261" s="590" t="n"/>
      <c r="AA261" s="848" t="n"/>
      <c r="AB261" s="842" t="inlineStr">
        <is>
          <t>No</t>
        </is>
      </c>
      <c r="AC261" s="841" t="inlineStr">
        <is>
          <t xml:space="preserve">Tenant break on 6 months notice and a Landlord Redevelopment Break @ 01/09/22 on 6 months notice. Break not exercised. </t>
        </is>
      </c>
      <c r="AF261" s="312" t="n"/>
    </row>
    <row r="262">
      <c r="A262" s="839" t="inlineStr">
        <is>
          <t>CM</t>
        </is>
      </c>
      <c r="B262" s="839" t="inlineStr">
        <is>
          <t>MEL</t>
        </is>
      </c>
      <c r="C262" s="840" t="n">
        <v>550610</v>
      </c>
      <c r="D262" s="841" t="inlineStr">
        <is>
          <t>63-64 Margaret Street</t>
        </is>
      </c>
      <c r="E262" s="841" t="inlineStr">
        <is>
          <t>First Floor (East)</t>
        </is>
      </c>
      <c r="F262" s="842" t="inlineStr">
        <is>
          <t>Office</t>
        </is>
      </c>
      <c r="G262" s="849" t="n">
        <v>727</v>
      </c>
      <c r="H262" s="849">
        <f>G262</f>
        <v/>
      </c>
      <c r="I262" s="849" t="n">
        <v>250</v>
      </c>
      <c r="J262" s="841" t="inlineStr">
        <is>
          <t>Kipas London Ltd</t>
        </is>
      </c>
      <c r="K262" s="844" t="n">
        <v>44703</v>
      </c>
      <c r="L262" s="845" t="n">
        <v>46528</v>
      </c>
      <c r="P262" s="843" t="n">
        <v>42350</v>
      </c>
      <c r="Q262" s="843">
        <f>P262</f>
        <v/>
      </c>
      <c r="S262" s="843" t="n">
        <v>40000</v>
      </c>
      <c r="T262" s="843">
        <f>S262</f>
        <v/>
      </c>
      <c r="U262" s="843" t="n">
        <v>41800</v>
      </c>
      <c r="V262" s="843">
        <f>U262</f>
        <v/>
      </c>
      <c r="W262" s="846">
        <f>U262/G262</f>
        <v/>
      </c>
      <c r="X262" s="847">
        <f>SUM(U262-S262)/S262</f>
        <v/>
      </c>
      <c r="Y262" s="843" t="inlineStr">
        <is>
          <t>D</t>
        </is>
      </c>
      <c r="Z262" s="590" t="n"/>
      <c r="AA262" s="848" t="n"/>
      <c r="AB262" s="842" t="inlineStr">
        <is>
          <t>No</t>
        </is>
      </c>
      <c r="AC262" s="29" t="inlineStr">
        <is>
          <t>Tenant break passed.</t>
        </is>
      </c>
      <c r="AF262" s="312" t="n"/>
    </row>
    <row r="263">
      <c r="A263" s="839" t="inlineStr">
        <is>
          <t>CM</t>
        </is>
      </c>
      <c r="B263" s="839" t="inlineStr">
        <is>
          <t>MEL</t>
        </is>
      </c>
      <c r="C263" s="840" t="n">
        <v>550610</v>
      </c>
      <c r="D263" s="841" t="inlineStr">
        <is>
          <t>63-64 Margaret Street</t>
        </is>
      </c>
      <c r="E263" s="841" t="inlineStr">
        <is>
          <t>First Floor (West) (Front)</t>
        </is>
      </c>
      <c r="F263" s="842" t="inlineStr">
        <is>
          <t>Office</t>
        </is>
      </c>
      <c r="G263" s="849" t="n">
        <v>710</v>
      </c>
      <c r="H263" s="849">
        <f>G263</f>
        <v/>
      </c>
      <c r="I263" s="849" t="n">
        <v>750</v>
      </c>
      <c r="J263" s="841" t="inlineStr">
        <is>
          <t>Staybrook Asset Management Ltd</t>
        </is>
      </c>
      <c r="K263" s="844" t="n">
        <v>45551</v>
      </c>
      <c r="L263" s="845" t="n">
        <v>46645</v>
      </c>
      <c r="O263" s="845" t="n">
        <v>46280</v>
      </c>
      <c r="P263" s="843" t="n">
        <v>47250</v>
      </c>
      <c r="Q263" s="843">
        <f>P263</f>
        <v/>
      </c>
      <c r="S263" s="843" t="n">
        <v>35000</v>
      </c>
      <c r="T263" s="843">
        <f>S263</f>
        <v/>
      </c>
      <c r="U263" s="843" t="n">
        <v>40800</v>
      </c>
      <c r="V263" s="843">
        <f>U263</f>
        <v/>
      </c>
      <c r="W263" s="846">
        <f>U263/G263</f>
        <v/>
      </c>
      <c r="X263" s="847">
        <f>SUM(U263-S263)/S263</f>
        <v/>
      </c>
      <c r="Y263" s="843" t="inlineStr">
        <is>
          <t>D</t>
        </is>
      </c>
      <c r="Z263" s="590" t="n"/>
      <c r="AA263" s="848" t="n"/>
      <c r="AB263" s="842" t="inlineStr">
        <is>
          <t>No</t>
        </is>
      </c>
      <c r="AC263" s="841" t="inlineStr">
        <is>
          <t>Tenant break on 6 months notice. 1 month rent free if not exercised.</t>
        </is>
      </c>
      <c r="AE263" s="29" t="n"/>
      <c r="AF263" s="313" t="n"/>
      <c r="AG263" s="29" t="n"/>
    </row>
    <row r="264">
      <c r="A264" s="839" t="inlineStr">
        <is>
          <t>CM</t>
        </is>
      </c>
      <c r="B264" s="839" t="inlineStr">
        <is>
          <t>MEL</t>
        </is>
      </c>
      <c r="C264" s="840" t="n">
        <v>550610</v>
      </c>
      <c r="D264" s="841" t="inlineStr">
        <is>
          <t>63-64 Margaret Street</t>
        </is>
      </c>
      <c r="E264" s="841" t="inlineStr">
        <is>
          <t>First Floor (West) (Rear)</t>
        </is>
      </c>
      <c r="F264" s="842" t="inlineStr">
        <is>
          <t>Office</t>
        </is>
      </c>
      <c r="G264" s="849" t="n">
        <v>130</v>
      </c>
      <c r="H264" s="849">
        <f>G264</f>
        <v/>
      </c>
      <c r="I264" s="849" t="n">
        <v>250</v>
      </c>
      <c r="J264" s="841" t="inlineStr">
        <is>
          <t>Face2Face Counselling Services Ltd</t>
        </is>
      </c>
      <c r="K264" s="844" t="n">
        <v>45456</v>
      </c>
      <c r="L264" s="845" t="n">
        <v>47085</v>
      </c>
      <c r="O264" s="845" t="n">
        <v>46354</v>
      </c>
      <c r="P264" s="843" t="n">
        <v>7320</v>
      </c>
      <c r="Q264" s="843">
        <f>P264</f>
        <v/>
      </c>
      <c r="S264" s="843" t="n">
        <v>7000</v>
      </c>
      <c r="T264" s="843">
        <f>S264</f>
        <v/>
      </c>
      <c r="U264" s="843" t="n">
        <v>7360</v>
      </c>
      <c r="V264" s="843">
        <f>U264</f>
        <v/>
      </c>
      <c r="W264" s="846">
        <f>U264/G264</f>
        <v/>
      </c>
      <c r="X264" s="847">
        <f>SUM(U264-S264)/S264</f>
        <v/>
      </c>
      <c r="Y264" s="843" t="inlineStr">
        <is>
          <t>D</t>
        </is>
      </c>
      <c r="Z264" s="590" t="n"/>
      <c r="AA264" s="848" t="n"/>
      <c r="AB264" s="842" t="inlineStr">
        <is>
          <t>No</t>
        </is>
      </c>
      <c r="AC264" s="841" t="inlineStr">
        <is>
          <t>Tenant break on 6 months notice.</t>
        </is>
      </c>
      <c r="AF264" s="312" t="n"/>
    </row>
    <row r="265">
      <c r="A265" s="839" t="inlineStr">
        <is>
          <t>CM</t>
        </is>
      </c>
      <c r="B265" s="839" t="inlineStr">
        <is>
          <t>MEL</t>
        </is>
      </c>
      <c r="C265" s="840" t="n">
        <v>550610</v>
      </c>
      <c r="D265" s="841" t="inlineStr">
        <is>
          <t>63-64 Margaret Street</t>
        </is>
      </c>
      <c r="E265" s="841" t="inlineStr">
        <is>
          <t>Second Floor (East)</t>
        </is>
      </c>
      <c r="F265" s="41" t="inlineStr">
        <is>
          <t>Office</t>
        </is>
      </c>
      <c r="G265" s="849" t="n">
        <v>710</v>
      </c>
      <c r="H265" s="849">
        <f>G265</f>
        <v/>
      </c>
      <c r="I265" s="849" t="n">
        <v>750</v>
      </c>
      <c r="J265" s="841" t="inlineStr">
        <is>
          <t>Cihangir Group Limited.</t>
        </is>
      </c>
      <c r="K265" s="844" t="n">
        <v>45253</v>
      </c>
      <c r="L265" s="845" t="n">
        <v>46348</v>
      </c>
      <c r="P265" s="843" t="n">
        <v>42350</v>
      </c>
      <c r="Q265" s="843">
        <f>P265</f>
        <v/>
      </c>
      <c r="S265" s="843" t="n">
        <v>38700</v>
      </c>
      <c r="T265" s="843">
        <f>S265</f>
        <v/>
      </c>
      <c r="U265" s="843" t="n">
        <v>40800</v>
      </c>
      <c r="V265" s="843">
        <f>U265</f>
        <v/>
      </c>
      <c r="W265" s="846">
        <f>U265/G265</f>
        <v/>
      </c>
      <c r="X265" s="847">
        <f>SUM(U265-S265)/S265</f>
        <v/>
      </c>
      <c r="Y265" s="843" t="inlineStr">
        <is>
          <t>D</t>
        </is>
      </c>
      <c r="Z265" s="590" t="n"/>
      <c r="AA265" s="848" t="n"/>
      <c r="AB265" s="842" t="inlineStr">
        <is>
          <t>No</t>
        </is>
      </c>
      <c r="AE265" s="841" t="n">
        <v>1</v>
      </c>
      <c r="AF265" s="312" t="n">
        <v>1</v>
      </c>
    </row>
    <row r="266">
      <c r="A266" s="839" t="inlineStr">
        <is>
          <t>CM</t>
        </is>
      </c>
      <c r="B266" s="839" t="inlineStr">
        <is>
          <t>MEL</t>
        </is>
      </c>
      <c r="C266" s="840" t="n">
        <v>550610</v>
      </c>
      <c r="D266" s="841" t="inlineStr">
        <is>
          <t>63-64 Margaret Street</t>
        </is>
      </c>
      <c r="E266" s="841" t="inlineStr">
        <is>
          <t>Second Floor (Rear)</t>
        </is>
      </c>
      <c r="F266" s="41" t="inlineStr">
        <is>
          <t>Office</t>
        </is>
      </c>
      <c r="G266" s="849" t="n">
        <v>130</v>
      </c>
      <c r="H266" s="849">
        <f>G266</f>
        <v/>
      </c>
      <c r="I266" s="849" t="n">
        <v>250</v>
      </c>
      <c r="J266" s="841" t="inlineStr">
        <is>
          <t>Face2Face Counselling Services Ltd</t>
        </is>
      </c>
      <c r="K266" s="844" t="n">
        <v>45259</v>
      </c>
      <c r="L266" s="845" t="n">
        <v>47085</v>
      </c>
      <c r="O266" s="845" t="n">
        <v>46354</v>
      </c>
      <c r="P266" s="843" t="n">
        <v>7320</v>
      </c>
      <c r="Q266" s="843">
        <f>P266</f>
        <v/>
      </c>
      <c r="S266" s="843" t="n">
        <v>6300</v>
      </c>
      <c r="T266" s="843">
        <f>S266</f>
        <v/>
      </c>
      <c r="U266" s="843" t="n">
        <v>7500</v>
      </c>
      <c r="V266" s="843">
        <f>U266</f>
        <v/>
      </c>
      <c r="W266" s="846">
        <f>U266/G266</f>
        <v/>
      </c>
      <c r="X266" s="847">
        <f>SUM(U266-S266)/S266</f>
        <v/>
      </c>
      <c r="Y266" s="843" t="inlineStr">
        <is>
          <t>D</t>
        </is>
      </c>
      <c r="Z266" s="590" t="n"/>
      <c r="AA266" s="848" t="n"/>
      <c r="AB266" s="842" t="inlineStr">
        <is>
          <t>No</t>
        </is>
      </c>
      <c r="AC266" s="841" t="inlineStr">
        <is>
          <t>Tenant break on 6 months notice.</t>
        </is>
      </c>
      <c r="AF266" s="312" t="n"/>
    </row>
    <row r="267">
      <c r="A267" s="839" t="inlineStr">
        <is>
          <t>CM</t>
        </is>
      </c>
      <c r="B267" s="839" t="inlineStr">
        <is>
          <t>MEL</t>
        </is>
      </c>
      <c r="C267" s="840" t="n">
        <v>550610</v>
      </c>
      <c r="D267" s="841" t="inlineStr">
        <is>
          <t>63-64 Margaret Street</t>
        </is>
      </c>
      <c r="E267" s="841" t="inlineStr">
        <is>
          <t>Second Floor (West)</t>
        </is>
      </c>
      <c r="F267" s="842" t="inlineStr">
        <is>
          <t>Office</t>
        </is>
      </c>
      <c r="G267" s="849" t="n">
        <v>727</v>
      </c>
      <c r="H267" s="849">
        <f>G267</f>
        <v/>
      </c>
      <c r="I267" s="849" t="n">
        <v>750</v>
      </c>
      <c r="J267" s="841" t="inlineStr">
        <is>
          <t>Vacant</t>
        </is>
      </c>
      <c r="M267" s="845" t="n">
        <v>43080</v>
      </c>
      <c r="P267" s="843" t="n">
        <v>0</v>
      </c>
      <c r="Q267" s="843">
        <f>P267</f>
        <v/>
      </c>
      <c r="S267" s="843" t="n">
        <v>35000</v>
      </c>
      <c r="T267" s="843">
        <f>S267</f>
        <v/>
      </c>
      <c r="U267" s="843" t="n">
        <v>41800</v>
      </c>
      <c r="V267" s="843">
        <f>U267</f>
        <v/>
      </c>
      <c r="W267" s="846">
        <f>U267/G267</f>
        <v/>
      </c>
      <c r="X267" s="847">
        <f>SUM(U267-S267)/S267</f>
        <v/>
      </c>
      <c r="Y267" s="843" t="inlineStr">
        <is>
          <t>D</t>
        </is>
      </c>
      <c r="Z267" s="590" t="n"/>
      <c r="AA267" s="848" t="n"/>
      <c r="AB267" s="842" t="inlineStr">
        <is>
          <t>No</t>
        </is>
      </c>
      <c r="AC267" s="841" t="inlineStr">
        <is>
          <t>To be refurbished.</t>
        </is>
      </c>
      <c r="AD267" s="850" t="n">
        <v>62.5</v>
      </c>
      <c r="AE267" s="841" t="n">
        <v>1</v>
      </c>
      <c r="AF267" s="312" t="n">
        <v>1</v>
      </c>
    </row>
    <row r="268">
      <c r="A268" s="839" t="inlineStr">
        <is>
          <t>CM</t>
        </is>
      </c>
      <c r="B268" s="839" t="inlineStr">
        <is>
          <t>MEL</t>
        </is>
      </c>
      <c r="C268" s="840" t="n">
        <v>550610</v>
      </c>
      <c r="D268" s="841" t="inlineStr">
        <is>
          <t>63-64 Margaret Street</t>
        </is>
      </c>
      <c r="E268" s="841" t="inlineStr">
        <is>
          <t>Third Floor (East)</t>
        </is>
      </c>
      <c r="F268" s="842" t="inlineStr">
        <is>
          <t>Office</t>
        </is>
      </c>
      <c r="G268" s="849" t="n">
        <v>760</v>
      </c>
      <c r="H268" s="849">
        <f>G268</f>
        <v/>
      </c>
      <c r="I268" s="849" t="n">
        <v>750</v>
      </c>
      <c r="J268" s="841" t="inlineStr">
        <is>
          <t>Vacant</t>
        </is>
      </c>
      <c r="M268" s="845" t="n">
        <v>43593</v>
      </c>
      <c r="P268" s="843" t="n">
        <v>0</v>
      </c>
      <c r="Q268" s="843">
        <f>P268</f>
        <v/>
      </c>
      <c r="S268" s="843" t="n">
        <v>40000</v>
      </c>
      <c r="T268" s="843">
        <f>S268</f>
        <v/>
      </c>
      <c r="U268" s="843" t="n">
        <v>43700</v>
      </c>
      <c r="V268" s="843">
        <f>U268</f>
        <v/>
      </c>
      <c r="W268" s="846">
        <f>U268/G268</f>
        <v/>
      </c>
      <c r="X268" s="847">
        <f>SUM(U268-S268)/S268</f>
        <v/>
      </c>
      <c r="Y268" s="843" t="inlineStr">
        <is>
          <t>D</t>
        </is>
      </c>
      <c r="Z268" s="590" t="n"/>
      <c r="AA268" s="848" t="n"/>
      <c r="AB268" s="842" t="inlineStr">
        <is>
          <t>No</t>
        </is>
      </c>
      <c r="AC268" s="841" t="inlineStr">
        <is>
          <t>To be refurbished.</t>
        </is>
      </c>
      <c r="AD268" s="850" t="n">
        <v>62.5</v>
      </c>
      <c r="AE268" s="841" t="n">
        <v>4</v>
      </c>
      <c r="AF268" s="312" t="n">
        <v>5</v>
      </c>
      <c r="AG268" s="841" t="inlineStr">
        <is>
          <t>LEM</t>
        </is>
      </c>
    </row>
    <row r="269">
      <c r="A269" s="839" t="inlineStr">
        <is>
          <t>CM</t>
        </is>
      </c>
      <c r="B269" s="839" t="inlineStr">
        <is>
          <t>MEL</t>
        </is>
      </c>
      <c r="C269" s="840" t="n">
        <v>550610</v>
      </c>
      <c r="D269" s="841" t="inlineStr">
        <is>
          <t>63-64 Margaret Street</t>
        </is>
      </c>
      <c r="E269" s="841" t="inlineStr">
        <is>
          <t>Third Floor (West)</t>
        </is>
      </c>
      <c r="F269" s="842" t="inlineStr">
        <is>
          <t>Office</t>
        </is>
      </c>
      <c r="G269" s="849" t="n">
        <v>666</v>
      </c>
      <c r="H269" s="849">
        <f>G269</f>
        <v/>
      </c>
      <c r="I269" s="849" t="n">
        <v>750</v>
      </c>
      <c r="J269" s="841" t="inlineStr">
        <is>
          <t>Vacant</t>
        </is>
      </c>
      <c r="M269" s="845" t="n">
        <v>42905</v>
      </c>
      <c r="P269" s="843" t="n">
        <v>0</v>
      </c>
      <c r="Q269" s="843">
        <f>P269</f>
        <v/>
      </c>
      <c r="S269" s="843" t="n">
        <v>35000</v>
      </c>
      <c r="T269" s="843">
        <f>S269</f>
        <v/>
      </c>
      <c r="U269" s="843" t="n">
        <v>38300</v>
      </c>
      <c r="V269" s="843">
        <f>U269</f>
        <v/>
      </c>
      <c r="W269" s="846">
        <f>U269/G269</f>
        <v/>
      </c>
      <c r="X269" s="847">
        <f>SUM(U269-S269)/S269</f>
        <v/>
      </c>
      <c r="Y269" s="843" t="inlineStr">
        <is>
          <t>D</t>
        </is>
      </c>
      <c r="Z269" s="590" t="n"/>
      <c r="AA269" s="848" t="n"/>
      <c r="AB269" s="842" t="inlineStr">
        <is>
          <t>No</t>
        </is>
      </c>
      <c r="AC269" s="841" t="inlineStr">
        <is>
          <t>To be refurbished.</t>
        </is>
      </c>
      <c r="AD269" s="850" t="n">
        <v>62.5</v>
      </c>
      <c r="AE269" s="841" t="n">
        <v>0</v>
      </c>
      <c r="AF269" s="312" t="n">
        <v>1</v>
      </c>
      <c r="AG269" s="841" t="inlineStr">
        <is>
          <t>LEM</t>
        </is>
      </c>
    </row>
    <row r="270">
      <c r="A270" s="839" t="inlineStr">
        <is>
          <t>CM</t>
        </is>
      </c>
      <c r="B270" s="839" t="inlineStr">
        <is>
          <t>MEL</t>
        </is>
      </c>
      <c r="C270" s="840" t="n">
        <v>550610</v>
      </c>
      <c r="D270" s="841" t="inlineStr">
        <is>
          <t>63-64 Margaret Street</t>
        </is>
      </c>
      <c r="E270" s="841" t="inlineStr">
        <is>
          <t>Fourth Floor (East)</t>
        </is>
      </c>
      <c r="F270" s="842" t="inlineStr">
        <is>
          <t>Office</t>
        </is>
      </c>
      <c r="G270" s="849" t="n">
        <v>767</v>
      </c>
      <c r="H270" s="849">
        <f>G270</f>
        <v/>
      </c>
      <c r="I270" s="849" t="n">
        <v>750</v>
      </c>
      <c r="J270" s="841" t="inlineStr">
        <is>
          <t>Vacant</t>
        </is>
      </c>
      <c r="M270" s="845" t="n">
        <v>45719</v>
      </c>
      <c r="P270" s="843" t="n">
        <v>0</v>
      </c>
      <c r="Q270" s="843">
        <f>P270</f>
        <v/>
      </c>
      <c r="S270" s="843" t="n">
        <v>40000</v>
      </c>
      <c r="T270" s="843">
        <f>S270</f>
        <v/>
      </c>
      <c r="U270" s="843" t="n">
        <v>44100</v>
      </c>
      <c r="V270" s="843">
        <f>U270</f>
        <v/>
      </c>
      <c r="W270" s="846">
        <f>U270/G270</f>
        <v/>
      </c>
      <c r="X270" s="847">
        <f>SUM(U270-S270)/S270</f>
        <v/>
      </c>
      <c r="Y270" s="843" t="inlineStr">
        <is>
          <t>D</t>
        </is>
      </c>
      <c r="Z270" s="590" t="n"/>
      <c r="AA270" s="848" t="n"/>
      <c r="AB270" s="842" t="inlineStr">
        <is>
          <t>No</t>
        </is>
      </c>
      <c r="AC270" s="841" t="inlineStr">
        <is>
          <t>To be refurbished.</t>
        </is>
      </c>
      <c r="AE270" s="29" t="n"/>
      <c r="AF270" s="313" t="n">
        <v>1</v>
      </c>
      <c r="AG270" s="29" t="n"/>
    </row>
    <row r="271">
      <c r="A271" s="839" t="inlineStr">
        <is>
          <t>CM</t>
        </is>
      </c>
      <c r="B271" s="839" t="inlineStr">
        <is>
          <t>MEL</t>
        </is>
      </c>
      <c r="C271" s="840" t="n">
        <v>550610</v>
      </c>
      <c r="D271" s="841" t="inlineStr">
        <is>
          <t>63-64 Margaret Street</t>
        </is>
      </c>
      <c r="E271" s="841" t="inlineStr">
        <is>
          <t>Fourth Floor (West)</t>
        </is>
      </c>
      <c r="F271" s="842" t="inlineStr">
        <is>
          <t>Office</t>
        </is>
      </c>
      <c r="G271" s="849" t="n">
        <v>645</v>
      </c>
      <c r="H271" s="849">
        <f>G271</f>
        <v/>
      </c>
      <c r="I271" s="849" t="n">
        <v>750</v>
      </c>
      <c r="J271" s="841" t="inlineStr">
        <is>
          <t>Vacant</t>
        </is>
      </c>
      <c r="M271" s="845" t="n">
        <v>44263</v>
      </c>
      <c r="P271" s="843" t="n">
        <v>0</v>
      </c>
      <c r="Q271" s="843">
        <f>P271</f>
        <v/>
      </c>
      <c r="S271" s="843" t="n">
        <v>35000</v>
      </c>
      <c r="T271" s="843">
        <f>S271</f>
        <v/>
      </c>
      <c r="U271" s="843" t="n">
        <v>37100</v>
      </c>
      <c r="V271" s="843">
        <f>U271</f>
        <v/>
      </c>
      <c r="W271" s="846">
        <f>U271/G271</f>
        <v/>
      </c>
      <c r="X271" s="847">
        <f>SUM(U271-S271)/S271</f>
        <v/>
      </c>
      <c r="Y271" s="843" t="inlineStr">
        <is>
          <t>D</t>
        </is>
      </c>
      <c r="Z271" s="590" t="n"/>
      <c r="AA271" s="848" t="n"/>
      <c r="AB271" s="842" t="inlineStr">
        <is>
          <t>No</t>
        </is>
      </c>
      <c r="AC271" s="841" t="inlineStr">
        <is>
          <t>To be refurbished.</t>
        </is>
      </c>
      <c r="AD271" s="850" t="n">
        <v>60</v>
      </c>
      <c r="AF271" s="312" t="n"/>
    </row>
    <row r="272">
      <c r="A272" s="839" t="inlineStr">
        <is>
          <t>CM</t>
        </is>
      </c>
      <c r="B272" s="839" t="inlineStr">
        <is>
          <t>MEL</t>
        </is>
      </c>
      <c r="C272" s="840" t="n">
        <v>550610</v>
      </c>
      <c r="D272" s="841" t="inlineStr">
        <is>
          <t>63-64 Margaret Street</t>
        </is>
      </c>
      <c r="E272" s="841" t="inlineStr">
        <is>
          <t>Fifth Floor (East)</t>
        </is>
      </c>
      <c r="F272" s="842" t="inlineStr">
        <is>
          <t>Office</t>
        </is>
      </c>
      <c r="G272" s="849" t="n">
        <v>767</v>
      </c>
      <c r="H272" s="849">
        <f>G272</f>
        <v/>
      </c>
      <c r="I272" s="849" t="n">
        <v>750</v>
      </c>
      <c r="J272" s="841" t="inlineStr">
        <is>
          <t>Vacant</t>
        </is>
      </c>
      <c r="M272" s="845" t="n">
        <v>44263</v>
      </c>
      <c r="P272" s="843" t="n">
        <v>0</v>
      </c>
      <c r="Q272" s="843">
        <f>P272</f>
        <v/>
      </c>
      <c r="S272" s="843" t="n">
        <v>40000</v>
      </c>
      <c r="T272" s="843">
        <f>S272</f>
        <v/>
      </c>
      <c r="U272" s="843" t="n">
        <v>44100</v>
      </c>
      <c r="V272" s="843">
        <f>U272</f>
        <v/>
      </c>
      <c r="W272" s="846">
        <f>U272/G272</f>
        <v/>
      </c>
      <c r="X272" s="847">
        <f>SUM(U272-S272)/S272</f>
        <v/>
      </c>
      <c r="Y272" s="843" t="inlineStr">
        <is>
          <t>D</t>
        </is>
      </c>
      <c r="Z272" s="590" t="n"/>
      <c r="AA272" s="848" t="n"/>
      <c r="AB272" s="842" t="inlineStr">
        <is>
          <t>No</t>
        </is>
      </c>
      <c r="AC272" s="841" t="inlineStr">
        <is>
          <t>To be refurbished.</t>
        </is>
      </c>
      <c r="AD272" s="850" t="n">
        <v>60</v>
      </c>
      <c r="AF272" s="312" t="n"/>
    </row>
    <row r="273">
      <c r="A273" s="839" t="inlineStr">
        <is>
          <t>CM</t>
        </is>
      </c>
      <c r="B273" s="839" t="inlineStr">
        <is>
          <t>MEL</t>
        </is>
      </c>
      <c r="C273" s="840" t="n">
        <v>550610</v>
      </c>
      <c r="D273" s="841" t="inlineStr">
        <is>
          <t>63-64 Margaret Street</t>
        </is>
      </c>
      <c r="E273" s="841" t="inlineStr">
        <is>
          <t>Fifth Floor (West)</t>
        </is>
      </c>
      <c r="F273" s="842" t="inlineStr">
        <is>
          <t>Office</t>
        </is>
      </c>
      <c r="G273" s="849" t="n">
        <v>534</v>
      </c>
      <c r="H273" s="849">
        <f>G273</f>
        <v/>
      </c>
      <c r="I273" s="849" t="n">
        <v>500</v>
      </c>
      <c r="J273" s="841" t="inlineStr">
        <is>
          <t>Vacant</t>
        </is>
      </c>
      <c r="M273" s="845" t="n">
        <v>43061</v>
      </c>
      <c r="P273" s="843" t="n">
        <v>0</v>
      </c>
      <c r="Q273" s="843">
        <f>P273</f>
        <v/>
      </c>
      <c r="S273" s="843" t="n">
        <v>30500</v>
      </c>
      <c r="T273" s="843">
        <f>S273</f>
        <v/>
      </c>
      <c r="U273" s="843" t="n">
        <v>30700</v>
      </c>
      <c r="V273" s="843">
        <f>U273</f>
        <v/>
      </c>
      <c r="W273" s="846">
        <f>U273/G273</f>
        <v/>
      </c>
      <c r="X273" s="847">
        <f>SUM(U273-S273)/S273</f>
        <v/>
      </c>
      <c r="Y273" s="843" t="inlineStr">
        <is>
          <t>D</t>
        </is>
      </c>
      <c r="Z273" s="590" t="n"/>
      <c r="AA273" s="848" t="n"/>
      <c r="AB273" s="842" t="inlineStr">
        <is>
          <t>No</t>
        </is>
      </c>
      <c r="AC273" s="841" t="inlineStr">
        <is>
          <t>To be refurbished.</t>
        </is>
      </c>
      <c r="AD273" s="850" t="n">
        <v>60</v>
      </c>
      <c r="AF273" s="312" t="n"/>
    </row>
    <row r="274">
      <c r="A274" s="839" t="inlineStr">
        <is>
          <t>CM</t>
        </is>
      </c>
      <c r="B274" s="839" t="inlineStr">
        <is>
          <t>MEL</t>
        </is>
      </c>
      <c r="C274" s="840" t="n">
        <v>550620</v>
      </c>
      <c r="D274" s="841" t="inlineStr">
        <is>
          <t>65 Margaret Street</t>
        </is>
      </c>
      <c r="E274" s="841" t="inlineStr">
        <is>
          <t>Ground Floor &amp; Basement</t>
        </is>
      </c>
      <c r="F274" s="842" t="inlineStr">
        <is>
          <t>A1/D1</t>
        </is>
      </c>
      <c r="G274" s="849" t="n">
        <v>930</v>
      </c>
      <c r="H274" s="849">
        <f>G274</f>
        <v/>
      </c>
      <c r="I274" s="849" t="n">
        <v>1000</v>
      </c>
      <c r="J274" s="841" t="inlineStr">
        <is>
          <t>Advanced Beauty Medical Clinics Ltd</t>
        </is>
      </c>
      <c r="K274" s="844" t="n">
        <v>45588</v>
      </c>
      <c r="L274" s="845" t="n">
        <v>46132</v>
      </c>
      <c r="P274" s="843" t="n">
        <v>46500</v>
      </c>
      <c r="Q274" s="843">
        <f>P274</f>
        <v/>
      </c>
      <c r="S274" s="843" t="n">
        <v>45350</v>
      </c>
      <c r="T274" s="843">
        <f>S274</f>
        <v/>
      </c>
      <c r="U274" s="843" t="n">
        <v>45350</v>
      </c>
      <c r="V274" s="843">
        <f>U274</f>
        <v/>
      </c>
      <c r="W274" s="846">
        <f>U274/G274</f>
        <v/>
      </c>
      <c r="X274" s="847">
        <f>SUM(U274-S274)/S274</f>
        <v/>
      </c>
      <c r="Y274" s="617" t="inlineStr">
        <is>
          <t>B</t>
        </is>
      </c>
      <c r="Z274" s="590" t="n"/>
      <c r="AA274" s="591" t="n"/>
      <c r="AB274" s="842" t="inlineStr">
        <is>
          <t>No</t>
        </is>
      </c>
      <c r="AF274" s="312" t="n"/>
    </row>
    <row r="275">
      <c r="A275" s="839" t="inlineStr">
        <is>
          <t>CM</t>
        </is>
      </c>
      <c r="B275" s="839" t="inlineStr">
        <is>
          <t>MEL</t>
        </is>
      </c>
      <c r="C275" s="840" t="n">
        <v>550620</v>
      </c>
      <c r="D275" s="841" t="inlineStr">
        <is>
          <t>65 Margaret Street</t>
        </is>
      </c>
      <c r="E275" s="841" t="inlineStr">
        <is>
          <t>First Floor</t>
        </is>
      </c>
      <c r="F275" s="842" t="inlineStr">
        <is>
          <t>Office</t>
        </is>
      </c>
      <c r="G275" s="849" t="n">
        <v>360</v>
      </c>
      <c r="H275" s="849">
        <f>G275</f>
        <v/>
      </c>
      <c r="I275" s="849" t="n">
        <v>250</v>
      </c>
      <c r="J275" s="841" t="inlineStr">
        <is>
          <t>Advanced Beauty Medical Clinics Ltd</t>
        </is>
      </c>
      <c r="K275" s="844" t="n">
        <v>44307</v>
      </c>
      <c r="L275" s="845" t="n">
        <v>46132</v>
      </c>
      <c r="P275" s="843" t="n">
        <v>18500</v>
      </c>
      <c r="Q275" s="843">
        <f>P275</f>
        <v/>
      </c>
      <c r="S275" s="843" t="n">
        <v>20200</v>
      </c>
      <c r="T275" s="843">
        <f>S275</f>
        <v/>
      </c>
      <c r="U275" s="843" t="n">
        <v>20700</v>
      </c>
      <c r="V275" s="843">
        <f>U275</f>
        <v/>
      </c>
      <c r="W275" s="846">
        <f>U275/G275</f>
        <v/>
      </c>
      <c r="X275" s="847">
        <f>SUM(U275-S275)/S275</f>
        <v/>
      </c>
      <c r="Y275" s="843" t="inlineStr">
        <is>
          <t>D</t>
        </is>
      </c>
      <c r="Z275" s="590" t="n"/>
      <c r="AA275" s="591" t="n"/>
      <c r="AB275" s="842" t="inlineStr">
        <is>
          <t>No</t>
        </is>
      </c>
      <c r="AF275" s="312" t="n"/>
    </row>
    <row r="276">
      <c r="A276" s="839" t="inlineStr">
        <is>
          <t>CM</t>
        </is>
      </c>
      <c r="B276" s="839" t="inlineStr">
        <is>
          <t>MEL</t>
        </is>
      </c>
      <c r="C276" s="840" t="n">
        <v>550620</v>
      </c>
      <c r="D276" s="841" t="inlineStr">
        <is>
          <t>65 Margaret Street</t>
        </is>
      </c>
      <c r="E276" s="841" t="inlineStr">
        <is>
          <t>Second Floor</t>
        </is>
      </c>
      <c r="F276" s="842" t="inlineStr">
        <is>
          <t>Office</t>
        </is>
      </c>
      <c r="G276" s="849" t="n">
        <v>375</v>
      </c>
      <c r="H276" s="849">
        <f>G276</f>
        <v/>
      </c>
      <c r="I276" s="849" t="n">
        <v>500</v>
      </c>
      <c r="J276" s="841" t="inlineStr">
        <is>
          <t>Vacant</t>
        </is>
      </c>
      <c r="M276" s="845" t="n">
        <v>45407</v>
      </c>
      <c r="P276" s="843" t="n">
        <v>0</v>
      </c>
      <c r="Q276" s="843">
        <f>P276</f>
        <v/>
      </c>
      <c r="S276" s="843" t="n">
        <v>21000</v>
      </c>
      <c r="T276" s="843">
        <f>S276</f>
        <v/>
      </c>
      <c r="U276" s="843" t="n">
        <v>21600</v>
      </c>
      <c r="V276" s="843">
        <f>U276</f>
        <v/>
      </c>
      <c r="W276" s="846">
        <f>U276/G276</f>
        <v/>
      </c>
      <c r="X276" s="847">
        <f>SUM(U276-S276)/S276</f>
        <v/>
      </c>
      <c r="Y276" s="843" t="inlineStr">
        <is>
          <t>D</t>
        </is>
      </c>
      <c r="Z276" s="590" t="n"/>
      <c r="AA276" s="591" t="n"/>
      <c r="AB276" s="842" t="inlineStr">
        <is>
          <t>No</t>
        </is>
      </c>
      <c r="AC276" s="841" t="inlineStr">
        <is>
          <t>To be refurbished.</t>
        </is>
      </c>
      <c r="AE276" s="841" t="n">
        <v>4</v>
      </c>
      <c r="AF276" s="312" t="n">
        <v>8</v>
      </c>
    </row>
    <row r="277">
      <c r="A277" s="839" t="inlineStr">
        <is>
          <t>CM</t>
        </is>
      </c>
      <c r="B277" s="839" t="inlineStr">
        <is>
          <t>MEL</t>
        </is>
      </c>
      <c r="C277" s="840" t="n">
        <v>550620</v>
      </c>
      <c r="D277" s="841" t="inlineStr">
        <is>
          <t>65 Margaret Street</t>
        </is>
      </c>
      <c r="E277" s="841" t="inlineStr">
        <is>
          <t>Third Floor</t>
        </is>
      </c>
      <c r="F277" s="842" t="inlineStr">
        <is>
          <t>Office</t>
        </is>
      </c>
      <c r="G277" s="849" t="n">
        <v>350</v>
      </c>
      <c r="H277" s="849">
        <f>G277</f>
        <v/>
      </c>
      <c r="I277" s="849" t="n">
        <v>500</v>
      </c>
      <c r="J277" s="841" t="inlineStr">
        <is>
          <t>Leap Productions Limited</t>
        </is>
      </c>
      <c r="K277" s="844" t="n">
        <v>44974</v>
      </c>
      <c r="L277" s="845" t="n">
        <v>46799</v>
      </c>
      <c r="O277" s="845" t="n">
        <v>46069</v>
      </c>
      <c r="P277" s="843" t="n">
        <v>19600</v>
      </c>
      <c r="Q277" s="843">
        <f>P277</f>
        <v/>
      </c>
      <c r="S277" s="843" t="n">
        <v>19600</v>
      </c>
      <c r="T277" s="843">
        <f>S277</f>
        <v/>
      </c>
      <c r="U277" s="843" t="n">
        <v>20100</v>
      </c>
      <c r="V277" s="843">
        <f>U277</f>
        <v/>
      </c>
      <c r="W277" s="846">
        <f>U277/G277</f>
        <v/>
      </c>
      <c r="X277" s="847">
        <f>SUM(U277-S277)/S277</f>
        <v/>
      </c>
      <c r="Y277" s="843" t="inlineStr">
        <is>
          <t>D</t>
        </is>
      </c>
      <c r="Z277" s="590" t="n"/>
      <c r="AA277" s="591" t="n"/>
      <c r="AB277" s="842" t="inlineStr">
        <is>
          <t>No</t>
        </is>
      </c>
      <c r="AC277" s="841" t="inlineStr">
        <is>
          <t>Tenant break on 6 months notice.</t>
        </is>
      </c>
      <c r="AF277" s="312" t="n"/>
    </row>
    <row r="278">
      <c r="A278" s="839" t="inlineStr">
        <is>
          <t>CM</t>
        </is>
      </c>
      <c r="B278" s="839" t="inlineStr">
        <is>
          <t>MEL</t>
        </is>
      </c>
      <c r="C278" s="840" t="n">
        <v>550620</v>
      </c>
      <c r="D278" s="841" t="inlineStr">
        <is>
          <t>65 Margaret Street</t>
        </is>
      </c>
      <c r="E278" s="841" t="inlineStr">
        <is>
          <t>Fourth Floor</t>
        </is>
      </c>
      <c r="F278" s="842" t="inlineStr">
        <is>
          <t>Office</t>
        </is>
      </c>
      <c r="G278" s="849" t="n">
        <v>350</v>
      </c>
      <c r="H278" s="849">
        <f>G278</f>
        <v/>
      </c>
      <c r="I278" s="849" t="n">
        <v>500</v>
      </c>
      <c r="J278" s="841" t="inlineStr">
        <is>
          <t>Philips Lockhart Ltd.</t>
        </is>
      </c>
      <c r="K278" s="844" t="n">
        <v>45359</v>
      </c>
      <c r="L278" s="845" t="n">
        <v>46453</v>
      </c>
      <c r="O278" s="845" t="n">
        <v>45907</v>
      </c>
      <c r="P278" s="843" t="n">
        <v>19600</v>
      </c>
      <c r="Q278" s="843">
        <f>P278</f>
        <v/>
      </c>
      <c r="S278" s="843" t="n">
        <v>17500</v>
      </c>
      <c r="T278" s="843">
        <f>S278</f>
        <v/>
      </c>
      <c r="U278" s="843" t="n">
        <v>19600</v>
      </c>
      <c r="V278" s="843">
        <f>U278</f>
        <v/>
      </c>
      <c r="W278" s="846">
        <f>U278/G278</f>
        <v/>
      </c>
      <c r="X278" s="847">
        <f>SUM(U278-S278)/S278</f>
        <v/>
      </c>
      <c r="Y278" s="843" t="inlineStr">
        <is>
          <t>D</t>
        </is>
      </c>
      <c r="Z278" s="590" t="n"/>
      <c r="AA278" s="591" t="n"/>
      <c r="AB278" s="842" t="inlineStr">
        <is>
          <t>No</t>
        </is>
      </c>
      <c r="AC278" s="841" t="inlineStr">
        <is>
          <t>Tenant break on 6 months notice. 2 months rent free at 08/09/25 if break not exercised.</t>
        </is>
      </c>
      <c r="AF278" s="312" t="n"/>
    </row>
    <row r="279">
      <c r="A279" s="839" t="inlineStr">
        <is>
          <t>CM</t>
        </is>
      </c>
      <c r="B279" s="839" t="inlineStr">
        <is>
          <t>MEL</t>
        </is>
      </c>
      <c r="C279" s="840" t="n">
        <v>550620</v>
      </c>
      <c r="D279" s="841" t="inlineStr">
        <is>
          <t>65 Margaret Street</t>
        </is>
      </c>
      <c r="E279" s="841" t="inlineStr">
        <is>
          <t>Fifth Floor</t>
        </is>
      </c>
      <c r="F279" s="842" t="inlineStr">
        <is>
          <t>Office</t>
        </is>
      </c>
      <c r="G279" s="849" t="n">
        <v>350</v>
      </c>
      <c r="H279" s="849">
        <f>G279</f>
        <v/>
      </c>
      <c r="I279" s="849" t="n">
        <v>500</v>
      </c>
      <c r="J279" s="841" t="inlineStr">
        <is>
          <t>Mercury Creations Limited</t>
        </is>
      </c>
      <c r="K279" s="844" t="n">
        <v>45744</v>
      </c>
      <c r="L279" s="845" t="n">
        <v>47569</v>
      </c>
      <c r="O279" s="845" t="n">
        <v>46839</v>
      </c>
      <c r="P279" s="843" t="n">
        <v>0</v>
      </c>
      <c r="Q279" s="843">
        <f>P279</f>
        <v/>
      </c>
      <c r="S279" s="843" t="n">
        <v>17500</v>
      </c>
      <c r="T279" s="843">
        <f>S279</f>
        <v/>
      </c>
      <c r="U279" s="843" t="n">
        <v>19600</v>
      </c>
      <c r="V279" s="843">
        <f>U279</f>
        <v/>
      </c>
      <c r="W279" s="846">
        <f>U279/G279</f>
        <v/>
      </c>
      <c r="X279" s="847">
        <f>SUM(U279-S279)/S279</f>
        <v/>
      </c>
      <c r="Y279" s="843" t="inlineStr">
        <is>
          <t>D</t>
        </is>
      </c>
      <c r="Z279" s="590" t="n"/>
      <c r="AA279" s="591" t="n"/>
      <c r="AB279" s="842" t="inlineStr">
        <is>
          <t>No</t>
        </is>
      </c>
      <c r="AC279" s="841" t="inlineStr">
        <is>
          <t>Rent £19,950 wef 28/07/25. Tenant break on 6 months notice. 2 months rent free if not exercised. Tenant name corrected.</t>
        </is>
      </c>
      <c r="AE279" s="841" t="n">
        <v>1</v>
      </c>
      <c r="AF279" s="312" t="n">
        <v>3</v>
      </c>
      <c r="AG279" s="841" t="inlineStr">
        <is>
          <t>LEM</t>
        </is>
      </c>
    </row>
    <row r="280">
      <c r="A280" s="839" t="inlineStr">
        <is>
          <t>CD</t>
        </is>
      </c>
      <c r="B280" s="839" t="inlineStr">
        <is>
          <t>MEL</t>
        </is>
      </c>
      <c r="C280" s="840" t="n">
        <v>550640</v>
      </c>
      <c r="D280" s="841" t="inlineStr">
        <is>
          <t>75-77 Margaret Street</t>
        </is>
      </c>
      <c r="E280" s="841" t="inlineStr">
        <is>
          <t>Sub-Basement</t>
        </is>
      </c>
      <c r="F280" s="842" t="inlineStr">
        <is>
          <t>Office</t>
        </is>
      </c>
      <c r="G280" s="849" t="n">
        <v>3760</v>
      </c>
      <c r="H280" s="849">
        <f>G280</f>
        <v/>
      </c>
      <c r="I280" s="849" t="n">
        <v>2750</v>
      </c>
      <c r="J280" s="841" t="inlineStr">
        <is>
          <t>M&amp;C Saatchi World Services Ltd.</t>
        </is>
      </c>
      <c r="K280" s="844" t="n">
        <v>44769</v>
      </c>
      <c r="L280" s="845" t="n">
        <v>46594</v>
      </c>
      <c r="O280" s="845" t="n">
        <v>45864</v>
      </c>
      <c r="P280" s="843" t="n">
        <v>95000</v>
      </c>
      <c r="Q280" s="843">
        <f>P280</f>
        <v/>
      </c>
      <c r="S280" s="843" t="n">
        <v>95000</v>
      </c>
      <c r="T280" s="843">
        <f>S280</f>
        <v/>
      </c>
      <c r="U280" s="843" t="n">
        <v>95000</v>
      </c>
      <c r="V280" s="843">
        <f>U280</f>
        <v/>
      </c>
      <c r="W280" s="846">
        <f>U280/G280</f>
        <v/>
      </c>
      <c r="X280" s="847">
        <f>SUM(U280-S280)/S280</f>
        <v/>
      </c>
      <c r="Y280" s="843" t="inlineStr">
        <is>
          <t>E</t>
        </is>
      </c>
      <c r="Z280" s="590" t="n"/>
      <c r="AA280" s="848" t="n"/>
      <c r="AB280" s="842" t="inlineStr">
        <is>
          <t>No</t>
        </is>
      </c>
      <c r="AC280" s="841" t="inlineStr">
        <is>
          <t>Tenant break on 6 months notice.</t>
        </is>
      </c>
      <c r="AF280" s="312" t="n"/>
    </row>
    <row r="281">
      <c r="A281" s="839" t="inlineStr">
        <is>
          <t>CD</t>
        </is>
      </c>
      <c r="B281" s="839" t="inlineStr">
        <is>
          <t>MEL</t>
        </is>
      </c>
      <c r="C281" s="840" t="n">
        <v>550640</v>
      </c>
      <c r="D281" s="841" t="inlineStr">
        <is>
          <t>75-77 Margaret Street</t>
        </is>
      </c>
      <c r="E281" s="841" t="inlineStr">
        <is>
          <t>Lower Ground Floor</t>
        </is>
      </c>
      <c r="F281" s="842" t="inlineStr">
        <is>
          <t>Retail / Showroom</t>
        </is>
      </c>
      <c r="G281" s="849" t="n">
        <v>7994</v>
      </c>
      <c r="H281" s="849">
        <f>G281</f>
        <v/>
      </c>
      <c r="I281" s="849" t="n">
        <v>8000</v>
      </c>
      <c r="J281" s="841" t="inlineStr">
        <is>
          <t>EDC2 Ltd.</t>
        </is>
      </c>
      <c r="K281" s="844" t="n">
        <v>45417</v>
      </c>
      <c r="L281" s="845" t="n">
        <v>49068</v>
      </c>
      <c r="N281" s="845" t="n">
        <v>47243</v>
      </c>
      <c r="O281" s="845" t="n">
        <v>47242</v>
      </c>
      <c r="P281" s="843" t="n">
        <v>424275</v>
      </c>
      <c r="Q281" s="843">
        <f>P281</f>
        <v/>
      </c>
      <c r="S281" s="843" t="n">
        <v>379100</v>
      </c>
      <c r="T281" s="843">
        <f>S281</f>
        <v/>
      </c>
      <c r="U281" s="843" t="n">
        <v>424275</v>
      </c>
      <c r="V281" s="843">
        <f>U281</f>
        <v/>
      </c>
      <c r="W281" s="846">
        <f>U281/G281</f>
        <v/>
      </c>
      <c r="X281" s="847">
        <f>SUM(U281-S281)/S281</f>
        <v/>
      </c>
      <c r="Y281" s="843" t="inlineStr">
        <is>
          <t>B</t>
        </is>
      </c>
      <c r="Z281" s="590" t="n"/>
      <c r="AA281" s="848" t="n"/>
      <c r="AB281" s="842" t="inlineStr">
        <is>
          <t>No</t>
        </is>
      </c>
      <c r="AC281" s="841" t="inlineStr">
        <is>
          <t>Tenant break on 6 months notice. Half rent for 1year from 05/05/29 if break not exercised. Penalty clause of £106k if exercised.</t>
        </is>
      </c>
      <c r="AF281" s="312" t="n"/>
    </row>
    <row r="282">
      <c r="A282" s="839" t="inlineStr">
        <is>
          <t>CD</t>
        </is>
      </c>
      <c r="B282" s="839" t="inlineStr">
        <is>
          <t>MEL</t>
        </is>
      </c>
      <c r="C282" s="840" t="n">
        <v>550640</v>
      </c>
      <c r="D282" s="841" t="inlineStr">
        <is>
          <t>75-77 Margaret Street</t>
        </is>
      </c>
      <c r="E282" s="841" t="inlineStr">
        <is>
          <t>First Floor (Front)</t>
        </is>
      </c>
      <c r="F282" s="842" t="inlineStr">
        <is>
          <t>Office</t>
        </is>
      </c>
      <c r="G282" s="849" t="n">
        <v>2106</v>
      </c>
      <c r="H282" s="849">
        <f>G282</f>
        <v/>
      </c>
      <c r="I282" s="849" t="n">
        <v>2000</v>
      </c>
      <c r="J282" s="841" t="inlineStr">
        <is>
          <t>Maxguard Limited</t>
        </is>
      </c>
      <c r="K282" s="844" t="n">
        <v>44317</v>
      </c>
      <c r="L282" s="845" t="n">
        <v>46142</v>
      </c>
      <c r="P282" s="843" t="n">
        <v>115500</v>
      </c>
      <c r="Q282" s="843">
        <f>P282</f>
        <v/>
      </c>
      <c r="S282" s="843" t="n">
        <v>120700</v>
      </c>
      <c r="T282" s="843">
        <f>S282</f>
        <v/>
      </c>
      <c r="U282" s="843" t="n">
        <v>121100</v>
      </c>
      <c r="V282" s="843">
        <f>U282</f>
        <v/>
      </c>
      <c r="W282" s="846">
        <f>U282/G282</f>
        <v/>
      </c>
      <c r="X282" s="847">
        <f>SUM(U282-S282)/S282</f>
        <v/>
      </c>
      <c r="Y282" s="843" t="inlineStr">
        <is>
          <t>D</t>
        </is>
      </c>
      <c r="Z282" s="590" t="n"/>
      <c r="AA282" s="848" t="n"/>
      <c r="AB282" s="842" t="inlineStr">
        <is>
          <t>No</t>
        </is>
      </c>
      <c r="AF282" s="312" t="n"/>
    </row>
    <row r="283">
      <c r="A283" s="839" t="inlineStr">
        <is>
          <t>CD</t>
        </is>
      </c>
      <c r="B283" s="839" t="inlineStr">
        <is>
          <t>MEL</t>
        </is>
      </c>
      <c r="C283" s="840" t="n">
        <v>550640</v>
      </c>
      <c r="D283" s="841" t="inlineStr">
        <is>
          <t>75-77 Margaret Street</t>
        </is>
      </c>
      <c r="E283" s="841" t="inlineStr">
        <is>
          <t>First Floor (Rear)</t>
        </is>
      </c>
      <c r="F283" s="842" t="inlineStr">
        <is>
          <t>Office</t>
        </is>
      </c>
      <c r="G283" s="849" t="n">
        <v>1218</v>
      </c>
      <c r="H283" s="849">
        <f>G283</f>
        <v/>
      </c>
      <c r="I283" s="849" t="n">
        <v>1250</v>
      </c>
      <c r="J283" s="841" t="inlineStr">
        <is>
          <t>Vacant</t>
        </is>
      </c>
      <c r="M283" s="845" t="n">
        <v>42705</v>
      </c>
      <c r="P283" s="843" t="n">
        <v>0</v>
      </c>
      <c r="Q283" s="843">
        <f>P283</f>
        <v/>
      </c>
      <c r="S283" s="843" t="n">
        <v>61500</v>
      </c>
      <c r="T283" s="843">
        <f>S283</f>
        <v/>
      </c>
      <c r="U283" s="843" t="n">
        <v>63900</v>
      </c>
      <c r="V283" s="843">
        <f>U283</f>
        <v/>
      </c>
      <c r="W283" s="846">
        <f>U283/G283</f>
        <v/>
      </c>
      <c r="X283" s="847">
        <f>SUM(U283-S283)/S283</f>
        <v/>
      </c>
      <c r="Y283" s="843" t="inlineStr">
        <is>
          <t>D</t>
        </is>
      </c>
      <c r="Z283" s="590" t="n"/>
      <c r="AA283" s="848" t="n"/>
      <c r="AB283" s="842" t="inlineStr">
        <is>
          <t>No</t>
        </is>
      </c>
      <c r="AC283" s="841" t="inlineStr">
        <is>
          <t>To be refurbished.</t>
        </is>
      </c>
      <c r="AD283" s="850" t="n">
        <v>62.5</v>
      </c>
      <c r="AF283" s="312" t="n"/>
    </row>
    <row r="284">
      <c r="A284" s="839" t="inlineStr">
        <is>
          <t>CD</t>
        </is>
      </c>
      <c r="B284" s="839" t="inlineStr">
        <is>
          <t>MEL</t>
        </is>
      </c>
      <c r="C284" s="840" t="n">
        <v>550640</v>
      </c>
      <c r="D284" s="841" t="inlineStr">
        <is>
          <t>75-77 Margaret Street</t>
        </is>
      </c>
      <c r="E284" s="841" t="inlineStr">
        <is>
          <t>Second Floor (Front)</t>
        </is>
      </c>
      <c r="F284" s="842" t="inlineStr">
        <is>
          <t>Office</t>
        </is>
      </c>
      <c r="G284" s="849" t="n">
        <v>2256</v>
      </c>
      <c r="H284" s="849">
        <f>G284</f>
        <v/>
      </c>
      <c r="I284" s="849" t="n">
        <v>2250</v>
      </c>
      <c r="J284" s="841" t="inlineStr">
        <is>
          <t>Vacant</t>
        </is>
      </c>
      <c r="M284" s="845" t="n">
        <v>44782</v>
      </c>
      <c r="P284" s="843" t="n">
        <v>0</v>
      </c>
      <c r="Q284" s="843">
        <f>P284</f>
        <v/>
      </c>
      <c r="S284" s="843" t="n">
        <v>129200</v>
      </c>
      <c r="T284" s="843">
        <f>S284</f>
        <v/>
      </c>
      <c r="U284" s="843" t="n">
        <v>129700</v>
      </c>
      <c r="V284" s="843">
        <f>U284</f>
        <v/>
      </c>
      <c r="W284" s="846">
        <f>U284/G284</f>
        <v/>
      </c>
      <c r="X284" s="847">
        <f>SUM(U284-S284)/S284</f>
        <v/>
      </c>
      <c r="Y284" s="843" t="inlineStr">
        <is>
          <t>D</t>
        </is>
      </c>
      <c r="Z284" s="590" t="n"/>
      <c r="AA284" s="848" t="n"/>
      <c r="AB284" s="842" t="inlineStr">
        <is>
          <t>No</t>
        </is>
      </c>
      <c r="AC284" s="841" t="inlineStr">
        <is>
          <t>To be refurbished.</t>
        </is>
      </c>
      <c r="AD284" s="850" t="n">
        <v>62.5</v>
      </c>
      <c r="AE284" s="841" t="n">
        <v>1</v>
      </c>
      <c r="AF284" s="312" t="n">
        <v>1</v>
      </c>
    </row>
    <row r="285">
      <c r="A285" s="839" t="inlineStr">
        <is>
          <t>CD</t>
        </is>
      </c>
      <c r="B285" s="839" t="inlineStr">
        <is>
          <t>MEL</t>
        </is>
      </c>
      <c r="C285" s="840" t="n">
        <v>550640</v>
      </c>
      <c r="D285" s="841" t="inlineStr">
        <is>
          <t>75-77 Margaret Street</t>
        </is>
      </c>
      <c r="E285" s="841" t="inlineStr">
        <is>
          <t>Second Floor (Rear)</t>
        </is>
      </c>
      <c r="F285" s="842" t="inlineStr">
        <is>
          <t>Office</t>
        </is>
      </c>
      <c r="G285" s="849" t="n">
        <v>1218</v>
      </c>
      <c r="H285" s="849">
        <f>G285</f>
        <v/>
      </c>
      <c r="I285" s="849" t="n">
        <v>1250</v>
      </c>
      <c r="J285" s="841" t="inlineStr">
        <is>
          <t>Vacant</t>
        </is>
      </c>
      <c r="M285" s="845" t="n">
        <v>42513</v>
      </c>
      <c r="P285" s="843" t="n">
        <v>0</v>
      </c>
      <c r="Q285" s="843">
        <f>P285</f>
        <v/>
      </c>
      <c r="S285" s="843" t="n">
        <v>59700</v>
      </c>
      <c r="T285" s="843">
        <f>S285</f>
        <v/>
      </c>
      <c r="U285" s="843" t="n">
        <v>63900</v>
      </c>
      <c r="V285" s="843">
        <f>U285</f>
        <v/>
      </c>
      <c r="W285" s="846">
        <f>U285/G285</f>
        <v/>
      </c>
      <c r="X285" s="847">
        <f>SUM(U285-S285)/S285</f>
        <v/>
      </c>
      <c r="Y285" s="843" t="inlineStr">
        <is>
          <t>E</t>
        </is>
      </c>
      <c r="Z285" s="590" t="n"/>
      <c r="AA285" s="848" t="n"/>
      <c r="AB285" s="842" t="inlineStr">
        <is>
          <t>No</t>
        </is>
      </c>
      <c r="AC285" s="841" t="inlineStr">
        <is>
          <t>To be refurbished.</t>
        </is>
      </c>
      <c r="AD285" s="850" t="n">
        <v>62.5</v>
      </c>
      <c r="AF285" s="312" t="n"/>
    </row>
    <row r="286">
      <c r="A286" s="839" t="inlineStr">
        <is>
          <t>CD</t>
        </is>
      </c>
      <c r="B286" s="839" t="inlineStr">
        <is>
          <t>MEL</t>
        </is>
      </c>
      <c r="C286" s="840" t="n">
        <v>550640</v>
      </c>
      <c r="D286" s="841" t="inlineStr">
        <is>
          <t>75-77 Margaret Street</t>
        </is>
      </c>
      <c r="E286" s="841" t="inlineStr">
        <is>
          <t>Third Floor</t>
        </is>
      </c>
      <c r="F286" s="842" t="inlineStr">
        <is>
          <t>Office</t>
        </is>
      </c>
      <c r="G286" s="849" t="n">
        <v>2194</v>
      </c>
      <c r="H286" s="849">
        <f>G286</f>
        <v/>
      </c>
      <c r="I286" s="849" t="n">
        <v>2000</v>
      </c>
      <c r="J286" s="841" t="inlineStr">
        <is>
          <t>Major League Baseball Europe Ltd.</t>
        </is>
      </c>
      <c r="K286" s="844" t="n">
        <v>45082</v>
      </c>
      <c r="L286" s="845" t="n">
        <v>46908</v>
      </c>
      <c r="O286" s="845" t="n">
        <v>46177</v>
      </c>
      <c r="P286" s="843" t="n">
        <v>130980</v>
      </c>
      <c r="Q286" s="843">
        <f>P286</f>
        <v/>
      </c>
      <c r="S286" s="843" t="n">
        <v>122200</v>
      </c>
      <c r="T286" s="843">
        <f>S286</f>
        <v/>
      </c>
      <c r="U286" s="843" t="n">
        <v>126200</v>
      </c>
      <c r="V286" s="843">
        <f>U286</f>
        <v/>
      </c>
      <c r="W286" s="846">
        <f>U286/G286</f>
        <v/>
      </c>
      <c r="X286" s="847">
        <f>SUM(U286-S286)/S286</f>
        <v/>
      </c>
      <c r="Y286" s="843" t="inlineStr">
        <is>
          <t>C</t>
        </is>
      </c>
      <c r="Z286" s="590" t="n"/>
      <c r="AA286" s="848" t="n"/>
      <c r="AB286" s="842" t="inlineStr">
        <is>
          <t>No</t>
        </is>
      </c>
      <c r="AC286" s="841" t="inlineStr">
        <is>
          <t>Tenant break on 6 months notice.</t>
        </is>
      </c>
      <c r="AE286" s="29" t="n"/>
      <c r="AF286" s="313" t="n"/>
      <c r="AG286" s="29" t="n"/>
    </row>
    <row r="287">
      <c r="A287" s="839" t="inlineStr">
        <is>
          <t>CD</t>
        </is>
      </c>
      <c r="B287" s="839" t="inlineStr">
        <is>
          <t>MEL</t>
        </is>
      </c>
      <c r="C287" s="840" t="n">
        <v>550640</v>
      </c>
      <c r="D287" s="841" t="inlineStr">
        <is>
          <t>75-77 Margaret Street</t>
        </is>
      </c>
      <c r="E287" s="841" t="inlineStr">
        <is>
          <t>Fourth Floor</t>
        </is>
      </c>
      <c r="F287" s="842" t="inlineStr">
        <is>
          <t>Office</t>
        </is>
      </c>
      <c r="G287" s="849" t="n">
        <v>2080</v>
      </c>
      <c r="H287" s="849">
        <f>G287</f>
        <v/>
      </c>
      <c r="I287" s="849" t="n">
        <v>2000</v>
      </c>
      <c r="J287" s="841" t="inlineStr">
        <is>
          <t>Vacant</t>
        </is>
      </c>
      <c r="M287" s="845" t="n">
        <v>44647</v>
      </c>
      <c r="P287" s="843" t="n">
        <v>0</v>
      </c>
      <c r="Q287" s="843">
        <f>P287</f>
        <v/>
      </c>
      <c r="S287" s="843" t="n">
        <v>117900</v>
      </c>
      <c r="T287" s="843">
        <f>S287</f>
        <v/>
      </c>
      <c r="U287" s="843" t="n">
        <v>119600</v>
      </c>
      <c r="V287" s="843">
        <f>U287</f>
        <v/>
      </c>
      <c r="W287" s="846">
        <f>U287/G287</f>
        <v/>
      </c>
      <c r="X287" s="847">
        <f>SUM(U287-S287)/S287</f>
        <v/>
      </c>
      <c r="Y287" s="843" t="inlineStr">
        <is>
          <t>D</t>
        </is>
      </c>
      <c r="Z287" s="590" t="n"/>
      <c r="AA287" s="848" t="n"/>
      <c r="AB287" s="842" t="inlineStr">
        <is>
          <t>No</t>
        </is>
      </c>
      <c r="AC287" s="841" t="inlineStr">
        <is>
          <t>To be refurbished.</t>
        </is>
      </c>
      <c r="AD287" s="850" t="n">
        <v>63</v>
      </c>
      <c r="AE287" s="841" t="n">
        <v>1</v>
      </c>
      <c r="AF287" s="312" t="n">
        <v>4</v>
      </c>
      <c r="AG287" s="841" t="inlineStr">
        <is>
          <t>LEM / LDG</t>
        </is>
      </c>
    </row>
    <row r="288">
      <c r="A288" s="839" t="inlineStr">
        <is>
          <t>CD</t>
        </is>
      </c>
      <c r="B288" s="839" t="inlineStr">
        <is>
          <t>MEL</t>
        </is>
      </c>
      <c r="C288" s="840" t="n">
        <v>550640</v>
      </c>
      <c r="D288" s="841" t="inlineStr">
        <is>
          <t>75-77 Margaret Street</t>
        </is>
      </c>
      <c r="E288" s="841" t="inlineStr">
        <is>
          <t>Fifth Floor</t>
        </is>
      </c>
      <c r="F288" s="842" t="inlineStr">
        <is>
          <t>Office</t>
        </is>
      </c>
      <c r="G288" s="849" t="n">
        <v>1713</v>
      </c>
      <c r="H288" s="849">
        <f>G288</f>
        <v/>
      </c>
      <c r="I288" s="849" t="n">
        <v>1750</v>
      </c>
      <c r="J288" s="841" t="inlineStr">
        <is>
          <t>Vacant</t>
        </is>
      </c>
      <c r="M288" s="845" t="n">
        <v>45195</v>
      </c>
      <c r="P288" s="843" t="n">
        <v>0</v>
      </c>
      <c r="Q288" s="843">
        <f>P288</f>
        <v/>
      </c>
      <c r="S288" s="843" t="n">
        <v>94300</v>
      </c>
      <c r="T288" s="843">
        <f>S288</f>
        <v/>
      </c>
      <c r="U288" s="843" t="n">
        <v>98500</v>
      </c>
      <c r="V288" s="843">
        <f>U288</f>
        <v/>
      </c>
      <c r="W288" s="846">
        <f>U288/G288</f>
        <v/>
      </c>
      <c r="X288" s="847">
        <f>SUM(U288-S288)/S288</f>
        <v/>
      </c>
      <c r="Y288" s="843" t="inlineStr">
        <is>
          <t>E</t>
        </is>
      </c>
      <c r="Z288" s="590" t="n"/>
      <c r="AA288" s="848" t="n"/>
      <c r="AB288" s="842" t="inlineStr">
        <is>
          <t>No</t>
        </is>
      </c>
      <c r="AC288" s="841" t="inlineStr">
        <is>
          <t>To be refurbished.</t>
        </is>
      </c>
      <c r="AD288" s="850" t="n">
        <v>65</v>
      </c>
      <c r="AE288" s="841" t="n">
        <v>1</v>
      </c>
      <c r="AF288" s="312" t="n">
        <v>1</v>
      </c>
    </row>
    <row r="289">
      <c r="A289" s="839" t="inlineStr">
        <is>
          <t>JM</t>
        </is>
      </c>
      <c r="B289" s="839" t="inlineStr">
        <is>
          <t>MEL</t>
        </is>
      </c>
      <c r="C289" s="840" t="n">
        <v>550630</v>
      </c>
      <c r="D289" s="841" t="inlineStr">
        <is>
          <t>Sackville House - 78 Margaret Street</t>
        </is>
      </c>
      <c r="E289" s="841" t="inlineStr">
        <is>
          <t>Basement</t>
        </is>
      </c>
      <c r="F289" s="842" t="inlineStr">
        <is>
          <t>Storage</t>
        </is>
      </c>
      <c r="G289" s="849" t="n">
        <v>927</v>
      </c>
      <c r="H289" s="849">
        <f>G289</f>
        <v/>
      </c>
      <c r="I289" s="849" t="n">
        <v>1000</v>
      </c>
      <c r="J289" s="841" t="inlineStr">
        <is>
          <t>Langham Estate Management Ltd</t>
        </is>
      </c>
      <c r="K289" s="845" t="n">
        <v>43184</v>
      </c>
      <c r="L289" s="845" t="n">
        <v>46836</v>
      </c>
      <c r="N289" s="845" t="n">
        <v>45010</v>
      </c>
      <c r="P289" s="843" t="n">
        <v>13900</v>
      </c>
      <c r="Q289" s="843">
        <f>P289</f>
        <v/>
      </c>
      <c r="S289" s="843" t="n">
        <v>13900</v>
      </c>
      <c r="T289" s="843">
        <f>S289</f>
        <v/>
      </c>
      <c r="U289" s="843" t="n">
        <v>13900</v>
      </c>
      <c r="V289" s="843">
        <f>U289</f>
        <v/>
      </c>
      <c r="W289" s="846">
        <f>U289/G289</f>
        <v/>
      </c>
      <c r="X289" s="847">
        <f>SUM(U289-S289)/S289</f>
        <v/>
      </c>
      <c r="Y289" s="843" t="inlineStr">
        <is>
          <t>D</t>
        </is>
      </c>
      <c r="Z289" s="590" t="n"/>
      <c r="AA289" s="591" t="n"/>
      <c r="AB289" s="842" t="inlineStr">
        <is>
          <t>No</t>
        </is>
      </c>
      <c r="AC289" s="841" t="inlineStr">
        <is>
          <t>Mothballed.</t>
        </is>
      </c>
      <c r="AE289" s="29" t="n"/>
      <c r="AF289" s="313" t="n"/>
      <c r="AG289" s="29" t="n"/>
    </row>
    <row r="290">
      <c r="A290" s="839" t="inlineStr">
        <is>
          <t>JM</t>
        </is>
      </c>
      <c r="B290" s="839" t="inlineStr">
        <is>
          <t>MEL</t>
        </is>
      </c>
      <c r="C290" s="840" t="n">
        <v>550630</v>
      </c>
      <c r="D290" s="841" t="inlineStr">
        <is>
          <t>Sackville House - 78 Margaret Street</t>
        </is>
      </c>
      <c r="E290" s="841" t="inlineStr">
        <is>
          <t>Ground</t>
        </is>
      </c>
      <c r="F290" s="842" t="inlineStr">
        <is>
          <t>Office</t>
        </is>
      </c>
      <c r="G290" s="849" t="n">
        <v>1010</v>
      </c>
      <c r="H290" s="849">
        <f>G290</f>
        <v/>
      </c>
      <c r="I290" s="849" t="n">
        <v>1000</v>
      </c>
      <c r="J290" s="841" t="inlineStr">
        <is>
          <t>Vacant</t>
        </is>
      </c>
      <c r="M290" s="845" t="n">
        <v>42794</v>
      </c>
      <c r="P290" s="843" t="n">
        <v>0</v>
      </c>
      <c r="Q290" s="843">
        <f>P290</f>
        <v/>
      </c>
      <c r="S290" s="843" t="n">
        <v>55600</v>
      </c>
      <c r="T290" s="843">
        <f>S290</f>
        <v/>
      </c>
      <c r="U290" s="843" t="n">
        <v>58100</v>
      </c>
      <c r="V290" s="843">
        <f>U290</f>
        <v/>
      </c>
      <c r="W290" s="846">
        <f>U290/G290</f>
        <v/>
      </c>
      <c r="X290" s="847">
        <f>SUM(U290-S290)/S290</f>
        <v/>
      </c>
      <c r="Y290" s="843" t="inlineStr">
        <is>
          <t>D</t>
        </is>
      </c>
      <c r="Z290" s="590" t="n"/>
      <c r="AA290" s="591" t="n"/>
      <c r="AB290" s="842" t="inlineStr">
        <is>
          <t>No</t>
        </is>
      </c>
      <c r="AC290" s="841" t="inlineStr">
        <is>
          <t>Mothballed.</t>
        </is>
      </c>
      <c r="AE290" s="29" t="n"/>
      <c r="AF290" s="313" t="n"/>
      <c r="AG290" s="29" t="n"/>
    </row>
    <row r="291">
      <c r="A291" s="839" t="inlineStr">
        <is>
          <t>JM</t>
        </is>
      </c>
      <c r="B291" s="839" t="inlineStr">
        <is>
          <t>MEL</t>
        </is>
      </c>
      <c r="C291" s="840" t="n">
        <v>550630</v>
      </c>
      <c r="D291" s="841" t="inlineStr">
        <is>
          <t>Sackville House - 78 Margaret Street</t>
        </is>
      </c>
      <c r="E291" s="841" t="inlineStr">
        <is>
          <t>First Floor</t>
        </is>
      </c>
      <c r="F291" s="842" t="inlineStr">
        <is>
          <t>Office</t>
        </is>
      </c>
      <c r="G291" s="849" t="n">
        <v>971</v>
      </c>
      <c r="H291" s="849">
        <f>G291</f>
        <v/>
      </c>
      <c r="I291" s="849" t="n">
        <v>1000</v>
      </c>
      <c r="J291" s="841" t="inlineStr">
        <is>
          <t>Vacant</t>
        </is>
      </c>
      <c r="M291" s="845" t="n">
        <v>44071</v>
      </c>
      <c r="P291" s="843" t="n">
        <v>0</v>
      </c>
      <c r="Q291" s="843">
        <f>P291</f>
        <v/>
      </c>
      <c r="S291" s="843" t="n">
        <v>53400</v>
      </c>
      <c r="T291" s="843">
        <f>S291</f>
        <v/>
      </c>
      <c r="U291" s="843" t="n">
        <v>55800</v>
      </c>
      <c r="V291" s="843">
        <f>U291</f>
        <v/>
      </c>
      <c r="W291" s="846">
        <f>U291/G291</f>
        <v/>
      </c>
      <c r="X291" s="847">
        <f>SUM(U291-S291)/S291</f>
        <v/>
      </c>
      <c r="Y291" s="843" t="inlineStr">
        <is>
          <t>D</t>
        </is>
      </c>
      <c r="Z291" s="590" t="n"/>
      <c r="AA291" s="591" t="n"/>
      <c r="AB291" s="842" t="inlineStr">
        <is>
          <t>No</t>
        </is>
      </c>
      <c r="AC291" s="841" t="inlineStr">
        <is>
          <t>Mothballed.</t>
        </is>
      </c>
      <c r="AE291" s="29" t="n"/>
      <c r="AF291" s="313" t="n"/>
      <c r="AG291" s="29" t="n"/>
    </row>
    <row r="292">
      <c r="A292" s="839" t="inlineStr">
        <is>
          <t>JM</t>
        </is>
      </c>
      <c r="B292" s="839" t="inlineStr">
        <is>
          <t>MEL</t>
        </is>
      </c>
      <c r="C292" s="840" t="n">
        <v>550630</v>
      </c>
      <c r="D292" s="841" t="inlineStr">
        <is>
          <t>Sackville House - 78 Margaret Street</t>
        </is>
      </c>
      <c r="E292" s="841" t="inlineStr">
        <is>
          <t>Second Floor</t>
        </is>
      </c>
      <c r="F292" s="842" t="inlineStr">
        <is>
          <t>Office</t>
        </is>
      </c>
      <c r="G292" s="849" t="n">
        <v>1000</v>
      </c>
      <c r="H292" s="849">
        <f>G292</f>
        <v/>
      </c>
      <c r="I292" s="849" t="n">
        <v>1000</v>
      </c>
      <c r="J292" s="841" t="inlineStr">
        <is>
          <t>Vacant</t>
        </is>
      </c>
      <c r="M292" s="845" t="n">
        <v>43261</v>
      </c>
      <c r="P292" s="843" t="n">
        <v>0</v>
      </c>
      <c r="Q292" s="843">
        <f>P292</f>
        <v/>
      </c>
      <c r="S292" s="843" t="n">
        <v>52500</v>
      </c>
      <c r="T292" s="843">
        <f>S292</f>
        <v/>
      </c>
      <c r="U292" s="843" t="n">
        <v>55000</v>
      </c>
      <c r="V292" s="843">
        <f>U292</f>
        <v/>
      </c>
      <c r="W292" s="846">
        <f>U292/G292</f>
        <v/>
      </c>
      <c r="X292" s="847">
        <f>SUM(U292-S292)/S292</f>
        <v/>
      </c>
      <c r="Y292" s="843" t="inlineStr">
        <is>
          <t>D</t>
        </is>
      </c>
      <c r="Z292" s="590" t="n"/>
      <c r="AA292" s="591" t="n"/>
      <c r="AB292" s="842" t="inlineStr">
        <is>
          <t>No</t>
        </is>
      </c>
      <c r="AC292" s="841" t="inlineStr">
        <is>
          <t>Mothballed.</t>
        </is>
      </c>
      <c r="AE292" s="29" t="n"/>
      <c r="AF292" s="313" t="n"/>
      <c r="AG292" s="29" t="n"/>
    </row>
    <row r="293">
      <c r="A293" s="839" t="inlineStr">
        <is>
          <t>JM</t>
        </is>
      </c>
      <c r="B293" s="839" t="inlineStr">
        <is>
          <t>MEL</t>
        </is>
      </c>
      <c r="C293" s="840" t="n">
        <v>550690</v>
      </c>
      <c r="D293" s="841" t="inlineStr">
        <is>
          <t>Kenilworth House - 79-80 Margaret Street</t>
        </is>
      </c>
      <c r="E293" s="841" t="inlineStr">
        <is>
          <t>Basement (E)</t>
        </is>
      </c>
      <c r="F293" s="842" t="inlineStr">
        <is>
          <t>Educational</t>
        </is>
      </c>
      <c r="G293" s="849" t="n">
        <v>1519</v>
      </c>
      <c r="H293" s="849">
        <f>G293</f>
        <v/>
      </c>
      <c r="I293" s="849" t="n">
        <v>1500</v>
      </c>
      <c r="J293" s="29" t="inlineStr">
        <is>
          <t>Jewells Retail Ltd</t>
        </is>
      </c>
      <c r="K293" s="628" t="n">
        <v>45824</v>
      </c>
      <c r="L293" s="620" t="n">
        <v>46188</v>
      </c>
      <c r="P293" s="617" t="n">
        <v>61812</v>
      </c>
      <c r="Q293" s="843">
        <f>P293</f>
        <v/>
      </c>
      <c r="S293" s="843" t="n">
        <v>53600</v>
      </c>
      <c r="T293" s="843">
        <f>S293</f>
        <v/>
      </c>
      <c r="U293" s="843" t="n">
        <v>54700</v>
      </c>
      <c r="V293" s="843">
        <f>U293</f>
        <v/>
      </c>
      <c r="W293" s="846">
        <f>U293/G293</f>
        <v/>
      </c>
      <c r="X293" s="847">
        <f>SUM(U293-S293)/S293</f>
        <v/>
      </c>
      <c r="Y293" s="843" t="inlineStr">
        <is>
          <t>E</t>
        </is>
      </c>
      <c r="Z293" s="590" t="inlineStr">
        <is>
          <t>*</t>
        </is>
      </c>
      <c r="AA293" s="848" t="n"/>
      <c r="AB293" s="842" t="inlineStr">
        <is>
          <t>No</t>
        </is>
      </c>
      <c r="AC293" s="29" t="inlineStr">
        <is>
          <t>New letting completed. Rent all inclusive (excl rates).</t>
        </is>
      </c>
      <c r="AE293" s="841" t="n">
        <v>1</v>
      </c>
      <c r="AF293" s="312" t="n">
        <v>4</v>
      </c>
      <c r="AG293" s="841" t="inlineStr">
        <is>
          <t>LEM</t>
        </is>
      </c>
    </row>
    <row r="294">
      <c r="A294" s="839" t="inlineStr">
        <is>
          <t>JM</t>
        </is>
      </c>
      <c r="B294" s="839" t="inlineStr">
        <is>
          <t>MEL</t>
        </is>
      </c>
      <c r="C294" s="840" t="n">
        <v>550690</v>
      </c>
      <c r="D294" s="841" t="inlineStr">
        <is>
          <t>Kenilworth House - 79-80 Margaret Street</t>
        </is>
      </c>
      <c r="E294" s="841" t="inlineStr">
        <is>
          <t xml:space="preserve">Ground (East) </t>
        </is>
      </c>
      <c r="F294" s="842" t="inlineStr">
        <is>
          <t>Office</t>
        </is>
      </c>
      <c r="G294" s="849" t="n">
        <v>1525</v>
      </c>
      <c r="H294" s="849">
        <f>G294</f>
        <v/>
      </c>
      <c r="I294" s="849" t="n">
        <v>1500</v>
      </c>
      <c r="J294" s="29" t="inlineStr">
        <is>
          <t xml:space="preserve">Lualdi UK </t>
        </is>
      </c>
      <c r="K294" s="628" t="n">
        <v>45834</v>
      </c>
      <c r="L294" s="620" t="n">
        <v>47659</v>
      </c>
      <c r="P294" s="617" t="n">
        <v>0</v>
      </c>
      <c r="Q294" s="843">
        <f>P294</f>
        <v/>
      </c>
      <c r="S294" s="843" t="n">
        <v>90600</v>
      </c>
      <c r="T294" s="843">
        <f>S294</f>
        <v/>
      </c>
      <c r="U294" s="843" t="n">
        <v>91500</v>
      </c>
      <c r="V294" s="843">
        <f>U294</f>
        <v/>
      </c>
      <c r="W294" s="846">
        <f>U294/G294</f>
        <v/>
      </c>
      <c r="X294" s="847">
        <f>SUM(U294-S294)/S294</f>
        <v/>
      </c>
      <c r="Y294" s="843" t="inlineStr">
        <is>
          <t>E</t>
        </is>
      </c>
      <c r="Z294" s="590" t="n"/>
      <c r="AA294" s="848" t="n"/>
      <c r="AB294" s="842" t="inlineStr">
        <is>
          <t>No</t>
        </is>
      </c>
      <c r="AC294" s="29" t="inlineStr">
        <is>
          <t>New letting completed. Stepped rent. Rent £62,500 wef 26/09/25. Fixed increases to £72,500 wef 26/06/26, £82,000 wef 26/06/27, £90,000 wef 26/06/28 and £93,000 wef 26/06/29.</t>
        </is>
      </c>
      <c r="AF294" s="312" t="n">
        <v>3</v>
      </c>
    </row>
    <row r="295">
      <c r="A295" s="839" t="inlineStr">
        <is>
          <t>JM</t>
        </is>
      </c>
      <c r="B295" s="839" t="inlineStr">
        <is>
          <t>MEL</t>
        </is>
      </c>
      <c r="C295" s="840" t="n">
        <v>550690</v>
      </c>
      <c r="D295" s="841" t="inlineStr">
        <is>
          <t>Kenilworth House - 79-80 Margaret Street</t>
        </is>
      </c>
      <c r="E295" s="841" t="inlineStr">
        <is>
          <t>Ground (West) &amp; Part Basement</t>
        </is>
      </c>
      <c r="F295" s="842" t="inlineStr">
        <is>
          <t>Showroom</t>
        </is>
      </c>
      <c r="G295" s="849" t="n">
        <v>1989</v>
      </c>
      <c r="H295" s="849">
        <f>G295</f>
        <v/>
      </c>
      <c r="I295" s="849" t="n">
        <v>2000</v>
      </c>
      <c r="J295" s="841" t="inlineStr">
        <is>
          <t>Edwards Cheshire Company Ltd.</t>
        </is>
      </c>
      <c r="K295" s="844" t="n">
        <v>42874</v>
      </c>
      <c r="L295" s="845" t="n">
        <v>46525</v>
      </c>
      <c r="N295" s="845" t="n">
        <v>44700</v>
      </c>
      <c r="P295" s="843" t="n">
        <v>82575</v>
      </c>
      <c r="Q295" s="843">
        <f>P295</f>
        <v/>
      </c>
      <c r="S295" s="843" t="n">
        <v>75000</v>
      </c>
      <c r="T295" s="843">
        <f>S295</f>
        <v/>
      </c>
      <c r="U295" s="843" t="n">
        <v>87300</v>
      </c>
      <c r="V295" s="843">
        <f>U295</f>
        <v/>
      </c>
      <c r="W295" s="846">
        <f>U295/G295</f>
        <v/>
      </c>
      <c r="X295" s="847">
        <f>SUM(U295-S295)/S295</f>
        <v/>
      </c>
      <c r="Y295" s="843" t="inlineStr">
        <is>
          <t>C</t>
        </is>
      </c>
      <c r="Z295" s="590" t="n"/>
      <c r="AA295" s="848" t="n"/>
      <c r="AB295" s="842" t="inlineStr">
        <is>
          <t>No</t>
        </is>
      </c>
      <c r="AF295" s="312" t="n"/>
    </row>
    <row r="296">
      <c r="A296" s="839" t="inlineStr">
        <is>
          <t>JM</t>
        </is>
      </c>
      <c r="B296" s="839" t="inlineStr">
        <is>
          <t>MEL</t>
        </is>
      </c>
      <c r="C296" s="840" t="n">
        <v>550690</v>
      </c>
      <c r="D296" s="841" t="inlineStr">
        <is>
          <t>Kenilworth House - 79-80 Margaret Street</t>
        </is>
      </c>
      <c r="E296" s="841" t="inlineStr">
        <is>
          <t>First Floor (East)</t>
        </is>
      </c>
      <c r="F296" s="842" t="inlineStr">
        <is>
          <t>Showroom/ Office</t>
        </is>
      </c>
      <c r="G296" s="849" t="n">
        <v>1143</v>
      </c>
      <c r="H296" s="849">
        <f>G296</f>
        <v/>
      </c>
      <c r="I296" s="849" t="n">
        <v>1000</v>
      </c>
      <c r="J296" s="841" t="inlineStr">
        <is>
          <t>Vacant</t>
        </is>
      </c>
      <c r="M296" s="845" t="n">
        <v>44293</v>
      </c>
      <c r="P296" s="843" t="n">
        <v>0</v>
      </c>
      <c r="Q296" s="843">
        <f>P296</f>
        <v/>
      </c>
      <c r="S296" s="843" t="n">
        <v>73600</v>
      </c>
      <c r="T296" s="843">
        <f>S296</f>
        <v/>
      </c>
      <c r="U296" s="843" t="n">
        <v>74300</v>
      </c>
      <c r="V296" s="843">
        <f>U296</f>
        <v/>
      </c>
      <c r="W296" s="846">
        <f>U296/G296</f>
        <v/>
      </c>
      <c r="X296" s="847">
        <f>SUM(U296-S296)/S296</f>
        <v/>
      </c>
      <c r="Y296" s="843" t="inlineStr">
        <is>
          <t>D</t>
        </is>
      </c>
      <c r="Z296" s="590" t="n"/>
      <c r="AA296" s="848" t="n"/>
      <c r="AB296" s="842" t="inlineStr">
        <is>
          <t>No</t>
        </is>
      </c>
      <c r="AC296" s="841" t="inlineStr">
        <is>
          <t>Mothballed.</t>
        </is>
      </c>
      <c r="AE296" s="29" t="n"/>
      <c r="AF296" s="313" t="n">
        <v>3</v>
      </c>
      <c r="AG296" s="29" t="n"/>
    </row>
    <row r="297">
      <c r="A297" s="839" t="inlineStr">
        <is>
          <t>JM</t>
        </is>
      </c>
      <c r="B297" s="839" t="inlineStr">
        <is>
          <t>MEL</t>
        </is>
      </c>
      <c r="C297" s="840" t="n">
        <v>550690</v>
      </c>
      <c r="D297" s="841" t="inlineStr">
        <is>
          <t>Kenilworth House - 79-80 Margaret Street</t>
        </is>
      </c>
      <c r="E297" s="841" t="inlineStr">
        <is>
          <t>First Floor (West)</t>
        </is>
      </c>
      <c r="F297" s="842" t="inlineStr">
        <is>
          <t>Office</t>
        </is>
      </c>
      <c r="G297" s="849" t="n">
        <v>805</v>
      </c>
      <c r="H297" s="849">
        <f>G297</f>
        <v/>
      </c>
      <c r="I297" s="849" t="n">
        <v>1000</v>
      </c>
      <c r="J297" s="841" t="inlineStr">
        <is>
          <t>Vacant</t>
        </is>
      </c>
      <c r="M297" s="845" t="n">
        <v>44336</v>
      </c>
      <c r="P297" s="843" t="n">
        <v>0</v>
      </c>
      <c r="Q297" s="843">
        <f>P297</f>
        <v/>
      </c>
      <c r="S297" s="843" t="n">
        <v>45600</v>
      </c>
      <c r="T297" s="843">
        <f>S297</f>
        <v/>
      </c>
      <c r="U297" s="843" t="n">
        <v>52300</v>
      </c>
      <c r="V297" s="843">
        <f>U297</f>
        <v/>
      </c>
      <c r="W297" s="846">
        <f>U297/G297</f>
        <v/>
      </c>
      <c r="X297" s="847">
        <f>SUM(U297-S297)/S297</f>
        <v/>
      </c>
      <c r="Y297" s="843" t="inlineStr">
        <is>
          <t>D</t>
        </is>
      </c>
      <c r="Z297" s="590" t="n"/>
      <c r="AA297" s="848" t="n"/>
      <c r="AB297" s="842" t="inlineStr">
        <is>
          <t>No</t>
        </is>
      </c>
      <c r="AC297" s="841" t="inlineStr">
        <is>
          <t>Mothballed.</t>
        </is>
      </c>
      <c r="AE297" s="29" t="n"/>
      <c r="AF297" s="313" t="n"/>
      <c r="AG297" s="29" t="n"/>
    </row>
    <row r="298">
      <c r="A298" s="839" t="inlineStr">
        <is>
          <t>JM</t>
        </is>
      </c>
      <c r="B298" s="839" t="inlineStr">
        <is>
          <t>MEL</t>
        </is>
      </c>
      <c r="C298" s="840" t="n">
        <v>550690</v>
      </c>
      <c r="D298" s="841" t="inlineStr">
        <is>
          <t>Kenilworth House - 79-80 Margaret Street</t>
        </is>
      </c>
      <c r="E298" s="841" t="inlineStr">
        <is>
          <t>Second Floor (East)</t>
        </is>
      </c>
      <c r="F298" s="842" t="inlineStr">
        <is>
          <t>Office</t>
        </is>
      </c>
      <c r="G298" s="849" t="n">
        <v>1171</v>
      </c>
      <c r="H298" s="849">
        <f>G298</f>
        <v/>
      </c>
      <c r="I298" s="849" t="n">
        <v>1000</v>
      </c>
      <c r="J298" s="841" t="inlineStr">
        <is>
          <t>Vacant</t>
        </is>
      </c>
      <c r="L298" s="845" t="n"/>
      <c r="M298" s="845" t="n">
        <v>44049</v>
      </c>
      <c r="P298" s="843" t="n">
        <v>0</v>
      </c>
      <c r="Q298" s="843">
        <f>P298</f>
        <v/>
      </c>
      <c r="S298" s="843" t="n">
        <v>72300</v>
      </c>
      <c r="T298" s="843">
        <f>S298</f>
        <v/>
      </c>
      <c r="U298" s="843" t="n">
        <v>76100</v>
      </c>
      <c r="V298" s="843">
        <f>U298</f>
        <v/>
      </c>
      <c r="W298" s="846">
        <f>U298/G298</f>
        <v/>
      </c>
      <c r="X298" s="847">
        <f>SUM(U298-S298)/S298</f>
        <v/>
      </c>
      <c r="Y298" s="843" t="inlineStr">
        <is>
          <t>D</t>
        </is>
      </c>
      <c r="Z298" s="590" t="n"/>
      <c r="AA298" s="848" t="n"/>
      <c r="AB298" s="842" t="inlineStr">
        <is>
          <t>No</t>
        </is>
      </c>
      <c r="AC298" s="841" t="inlineStr">
        <is>
          <t>Mothballed.</t>
        </is>
      </c>
      <c r="AE298" s="29" t="n"/>
      <c r="AF298" s="313" t="n"/>
      <c r="AG298" s="29" t="n"/>
    </row>
    <row r="299">
      <c r="A299" s="839" t="inlineStr">
        <is>
          <t>JM</t>
        </is>
      </c>
      <c r="B299" s="839" t="inlineStr">
        <is>
          <t>MEL</t>
        </is>
      </c>
      <c r="C299" s="840" t="n">
        <v>550690</v>
      </c>
      <c r="D299" s="841" t="inlineStr">
        <is>
          <t>Kenilworth House - 79-80 Margaret Street</t>
        </is>
      </c>
      <c r="E299" s="841" t="inlineStr">
        <is>
          <t>Second Floor (West)</t>
        </is>
      </c>
      <c r="F299" s="842" t="inlineStr">
        <is>
          <t>Office</t>
        </is>
      </c>
      <c r="G299" s="849" t="n">
        <v>793</v>
      </c>
      <c r="H299" s="849">
        <f>G299</f>
        <v/>
      </c>
      <c r="I299" s="849" t="n">
        <v>750</v>
      </c>
      <c r="J299" s="841" t="inlineStr">
        <is>
          <t>Vacant</t>
        </is>
      </c>
      <c r="L299" s="845" t="n"/>
      <c r="M299" s="845" t="n">
        <v>44805</v>
      </c>
      <c r="P299" s="843" t="n">
        <v>0</v>
      </c>
      <c r="Q299" s="843">
        <f>P299</f>
        <v/>
      </c>
      <c r="S299" s="843" t="n">
        <v>46300</v>
      </c>
      <c r="T299" s="843">
        <f>S299</f>
        <v/>
      </c>
      <c r="U299" s="843" t="n">
        <v>51500</v>
      </c>
      <c r="V299" s="843">
        <f>U299</f>
        <v/>
      </c>
      <c r="W299" s="846">
        <f>U299/G299</f>
        <v/>
      </c>
      <c r="X299" s="847">
        <f>SUM(U299-S299)/S299</f>
        <v/>
      </c>
      <c r="Y299" s="843" t="inlineStr">
        <is>
          <t>D</t>
        </is>
      </c>
      <c r="Z299" s="590" t="n"/>
      <c r="AA299" s="848" t="n"/>
      <c r="AB299" s="842" t="inlineStr">
        <is>
          <t>No</t>
        </is>
      </c>
      <c r="AC299" s="841" t="inlineStr">
        <is>
          <t>Mothballed.</t>
        </is>
      </c>
      <c r="AE299" s="29" t="n"/>
      <c r="AF299" s="313" t="n"/>
      <c r="AG299" s="29" t="n"/>
    </row>
    <row r="300">
      <c r="A300" s="839" t="inlineStr">
        <is>
          <t>JM</t>
        </is>
      </c>
      <c r="B300" s="839" t="inlineStr">
        <is>
          <t>MEL</t>
        </is>
      </c>
      <c r="C300" s="840" t="n">
        <v>550690</v>
      </c>
      <c r="D300" s="841" t="inlineStr">
        <is>
          <t>Kenilworth House - 79-80 Margaret Street</t>
        </is>
      </c>
      <c r="E300" s="841" t="inlineStr">
        <is>
          <t>Third Floor (East)</t>
        </is>
      </c>
      <c r="F300" s="842" t="inlineStr">
        <is>
          <t>Office</t>
        </is>
      </c>
      <c r="G300" s="849" t="n">
        <v>1030</v>
      </c>
      <c r="H300" s="849">
        <f>G300</f>
        <v/>
      </c>
      <c r="I300" s="849" t="n">
        <v>1000</v>
      </c>
      <c r="J300" s="841" t="inlineStr">
        <is>
          <t>Vacant</t>
        </is>
      </c>
      <c r="M300" s="845" t="n">
        <v>43914</v>
      </c>
      <c r="P300" s="843" t="n">
        <v>0</v>
      </c>
      <c r="Q300" s="843">
        <f>P300</f>
        <v/>
      </c>
      <c r="S300" s="843" t="n">
        <v>63800</v>
      </c>
      <c r="T300" s="843">
        <f>S300</f>
        <v/>
      </c>
      <c r="U300" s="843" t="n">
        <v>67000</v>
      </c>
      <c r="V300" s="843">
        <f>U300</f>
        <v/>
      </c>
      <c r="W300" s="846">
        <f>U300/G300</f>
        <v/>
      </c>
      <c r="X300" s="847">
        <f>SUM(U300-S300)/S300</f>
        <v/>
      </c>
      <c r="Y300" s="843" t="inlineStr">
        <is>
          <t>D</t>
        </is>
      </c>
      <c r="Z300" s="590" t="n"/>
      <c r="AA300" s="848" t="n"/>
      <c r="AB300" s="842" t="inlineStr">
        <is>
          <t>No</t>
        </is>
      </c>
      <c r="AC300" s="841" t="inlineStr">
        <is>
          <t>Mothballed.</t>
        </is>
      </c>
      <c r="AE300" s="29" t="n"/>
      <c r="AF300" s="313" t="n"/>
      <c r="AG300" s="29" t="n"/>
    </row>
    <row r="301">
      <c r="A301" s="839" t="inlineStr">
        <is>
          <t>JM</t>
        </is>
      </c>
      <c r="B301" s="839" t="inlineStr">
        <is>
          <t>MEL</t>
        </is>
      </c>
      <c r="C301" s="840" t="n">
        <v>550690</v>
      </c>
      <c r="D301" s="841" t="inlineStr">
        <is>
          <t>Kenilworth House - 79-80 Margaret Street</t>
        </is>
      </c>
      <c r="E301" s="841" t="inlineStr">
        <is>
          <t>Third Floor (West)</t>
        </is>
      </c>
      <c r="F301" s="842" t="inlineStr">
        <is>
          <t>Office</t>
        </is>
      </c>
      <c r="G301" s="849" t="n">
        <v>731</v>
      </c>
      <c r="H301" s="849">
        <f>G301</f>
        <v/>
      </c>
      <c r="I301" s="849" t="n">
        <v>750</v>
      </c>
      <c r="J301" s="841" t="inlineStr">
        <is>
          <t>Vacant</t>
        </is>
      </c>
      <c r="M301" s="845" t="n">
        <v>44321</v>
      </c>
      <c r="P301" s="843" t="n">
        <v>0</v>
      </c>
      <c r="Q301" s="843">
        <f>P301</f>
        <v/>
      </c>
      <c r="S301" s="843" t="n">
        <v>46100</v>
      </c>
      <c r="T301" s="843">
        <f>S301</f>
        <v/>
      </c>
      <c r="U301" s="843" t="n">
        <v>47500</v>
      </c>
      <c r="V301" s="843">
        <f>U301</f>
        <v/>
      </c>
      <c r="W301" s="846">
        <f>U301/G301</f>
        <v/>
      </c>
      <c r="X301" s="847">
        <f>SUM(U301-S301)/S301</f>
        <v/>
      </c>
      <c r="Y301" s="843" t="inlineStr">
        <is>
          <t>D</t>
        </is>
      </c>
      <c r="Z301" s="590" t="n"/>
      <c r="AA301" s="848" t="n"/>
      <c r="AB301" s="842" t="inlineStr">
        <is>
          <t>No</t>
        </is>
      </c>
      <c r="AC301" s="841" t="inlineStr">
        <is>
          <t>Mothballed.</t>
        </is>
      </c>
      <c r="AE301" s="29" t="n"/>
      <c r="AF301" s="313" t="n"/>
      <c r="AG301" s="29" t="n"/>
    </row>
    <row r="302">
      <c r="A302" s="839" t="inlineStr">
        <is>
          <t>JM</t>
        </is>
      </c>
      <c r="B302" s="839" t="inlineStr">
        <is>
          <t>MEL</t>
        </is>
      </c>
      <c r="C302" s="840" t="n">
        <v>550690</v>
      </c>
      <c r="D302" s="841" t="inlineStr">
        <is>
          <t>Kenilworth House - 79-80 Margaret Street</t>
        </is>
      </c>
      <c r="E302" s="841" t="inlineStr">
        <is>
          <t>Fourth Floor (East)</t>
        </is>
      </c>
      <c r="F302" s="842" t="inlineStr">
        <is>
          <t>Office</t>
        </is>
      </c>
      <c r="G302" s="849" t="n">
        <v>949</v>
      </c>
      <c r="H302" s="849">
        <f>G302</f>
        <v/>
      </c>
      <c r="I302" s="849" t="n">
        <v>1000</v>
      </c>
      <c r="J302" s="841" t="inlineStr">
        <is>
          <t>Vacant</t>
        </is>
      </c>
      <c r="M302" s="845" t="n">
        <v>42550</v>
      </c>
      <c r="P302" s="843" t="n">
        <v>0</v>
      </c>
      <c r="Q302" s="843">
        <f>P302</f>
        <v/>
      </c>
      <c r="S302" s="843" t="n">
        <v>55600</v>
      </c>
      <c r="T302" s="843">
        <f>S302</f>
        <v/>
      </c>
      <c r="U302" s="843" t="n">
        <v>59300</v>
      </c>
      <c r="V302" s="843">
        <f>U302</f>
        <v/>
      </c>
      <c r="W302" s="846">
        <f>U302/G302</f>
        <v/>
      </c>
      <c r="X302" s="847">
        <f>SUM(U302-S302)/S302</f>
        <v/>
      </c>
      <c r="Y302" s="843" t="inlineStr">
        <is>
          <t>D</t>
        </is>
      </c>
      <c r="Z302" s="590" t="n"/>
      <c r="AA302" s="848" t="n"/>
      <c r="AB302" s="842" t="inlineStr">
        <is>
          <t>No</t>
        </is>
      </c>
      <c r="AC302" s="841" t="inlineStr">
        <is>
          <t>Mothballed.</t>
        </is>
      </c>
      <c r="AE302" s="29" t="n"/>
      <c r="AF302" s="313" t="n"/>
      <c r="AG302" s="29" t="n"/>
    </row>
    <row r="303">
      <c r="A303" s="839" t="inlineStr">
        <is>
          <t>JM</t>
        </is>
      </c>
      <c r="B303" s="839" t="inlineStr">
        <is>
          <t>MEL</t>
        </is>
      </c>
      <c r="C303" s="840" t="n">
        <v>550690</v>
      </c>
      <c r="D303" s="841" t="inlineStr">
        <is>
          <t>Kenilworth House - 79-80 Margaret Street</t>
        </is>
      </c>
      <c r="E303" s="841" t="inlineStr">
        <is>
          <t>Fourth Floor (West)</t>
        </is>
      </c>
      <c r="F303" s="842" t="inlineStr">
        <is>
          <t>Office</t>
        </is>
      </c>
      <c r="G303" s="849" t="n">
        <v>601</v>
      </c>
      <c r="H303" s="849">
        <f>G303</f>
        <v/>
      </c>
      <c r="I303" s="849" t="n">
        <v>500</v>
      </c>
      <c r="J303" s="841" t="inlineStr">
        <is>
          <t>Vacant</t>
        </is>
      </c>
      <c r="L303" s="845" t="n"/>
      <c r="M303" s="845" t="n">
        <v>44027</v>
      </c>
      <c r="P303" s="843" t="n">
        <v>0</v>
      </c>
      <c r="Q303" s="843">
        <f>P303</f>
        <v/>
      </c>
      <c r="S303" s="843" t="n">
        <v>36800</v>
      </c>
      <c r="T303" s="843">
        <f>S303</f>
        <v/>
      </c>
      <c r="U303" s="843" t="n">
        <v>37600</v>
      </c>
      <c r="V303" s="843">
        <f>U303</f>
        <v/>
      </c>
      <c r="W303" s="846">
        <f>U303/G303</f>
        <v/>
      </c>
      <c r="X303" s="847">
        <f>SUM(U303-S303)/S303</f>
        <v/>
      </c>
      <c r="Y303" s="843" t="inlineStr">
        <is>
          <t>D</t>
        </is>
      </c>
      <c r="Z303" s="590" t="n"/>
      <c r="AA303" s="848" t="n"/>
      <c r="AB303" s="842" t="inlineStr">
        <is>
          <t>No</t>
        </is>
      </c>
      <c r="AC303" s="841" t="inlineStr">
        <is>
          <t>Mothballed.</t>
        </is>
      </c>
      <c r="AE303" s="29" t="n"/>
      <c r="AF303" s="313" t="n"/>
      <c r="AG303" s="29" t="n"/>
    </row>
    <row r="304">
      <c r="A304" s="839" t="inlineStr">
        <is>
          <t>JM</t>
        </is>
      </c>
      <c r="B304" s="839" t="inlineStr">
        <is>
          <t>MEL</t>
        </is>
      </c>
      <c r="C304" s="840" t="n">
        <v>550690</v>
      </c>
      <c r="D304" s="841" t="inlineStr">
        <is>
          <t>Kenilworth House - 79-80 Margaret Street</t>
        </is>
      </c>
      <c r="E304" s="841" t="inlineStr">
        <is>
          <t>Fifth Floor (East)</t>
        </is>
      </c>
      <c r="F304" s="842" t="inlineStr">
        <is>
          <t>Office</t>
        </is>
      </c>
      <c r="G304" s="849" t="n">
        <v>730</v>
      </c>
      <c r="H304" s="849">
        <f>G304</f>
        <v/>
      </c>
      <c r="I304" s="849" t="n">
        <v>750</v>
      </c>
      <c r="J304" s="841" t="inlineStr">
        <is>
          <t>Vacant</t>
        </is>
      </c>
      <c r="M304" s="845" t="n">
        <v>42723</v>
      </c>
      <c r="P304" s="843" t="n">
        <v>0</v>
      </c>
      <c r="Q304" s="843">
        <f>P304</f>
        <v/>
      </c>
      <c r="S304" s="843" t="n">
        <v>44700</v>
      </c>
      <c r="T304" s="843">
        <f>S304</f>
        <v/>
      </c>
      <c r="U304" s="843" t="n">
        <v>45600</v>
      </c>
      <c r="V304" s="843">
        <f>U304</f>
        <v/>
      </c>
      <c r="W304" s="846">
        <f>U304/G304</f>
        <v/>
      </c>
      <c r="X304" s="847">
        <f>SUM(U304-S304)/S304</f>
        <v/>
      </c>
      <c r="Y304" s="843" t="inlineStr">
        <is>
          <t>D</t>
        </is>
      </c>
      <c r="Z304" s="590" t="n"/>
      <c r="AA304" s="848" t="n"/>
      <c r="AB304" s="842" t="inlineStr">
        <is>
          <t>No</t>
        </is>
      </c>
      <c r="AC304" s="841" t="inlineStr">
        <is>
          <t>Mothballed.</t>
        </is>
      </c>
      <c r="AE304" s="29" t="n"/>
      <c r="AF304" s="313" t="n"/>
      <c r="AG304" s="29" t="n"/>
    </row>
    <row r="305">
      <c r="A305" s="839" t="inlineStr">
        <is>
          <t>JM</t>
        </is>
      </c>
      <c r="B305" s="839" t="inlineStr">
        <is>
          <t>MEL</t>
        </is>
      </c>
      <c r="C305" s="840" t="n">
        <v>550690</v>
      </c>
      <c r="D305" s="841" t="inlineStr">
        <is>
          <t>Kenilworth House - 79-80 Margaret Street</t>
        </is>
      </c>
      <c r="E305" s="841" t="inlineStr">
        <is>
          <t>Fifth Floor (West)</t>
        </is>
      </c>
      <c r="F305" s="842" t="inlineStr">
        <is>
          <t>Office</t>
        </is>
      </c>
      <c r="G305" s="849" t="n">
        <v>462</v>
      </c>
      <c r="H305" s="849">
        <f>G305</f>
        <v/>
      </c>
      <c r="I305" s="849" t="n">
        <v>500</v>
      </c>
      <c r="J305" s="841" t="inlineStr">
        <is>
          <t>Vacant</t>
        </is>
      </c>
      <c r="M305" s="845" t="n">
        <v>43824</v>
      </c>
      <c r="P305" s="843" t="n">
        <v>0</v>
      </c>
      <c r="Q305" s="843">
        <f>P305</f>
        <v/>
      </c>
      <c r="S305" s="843" t="n">
        <v>27300</v>
      </c>
      <c r="T305" s="843">
        <f>S305</f>
        <v/>
      </c>
      <c r="U305" s="843" t="n">
        <v>28900</v>
      </c>
      <c r="V305" s="843">
        <f>U305</f>
        <v/>
      </c>
      <c r="W305" s="846">
        <f>U305/G305</f>
        <v/>
      </c>
      <c r="X305" s="847">
        <f>SUM(U305-S305)/S305</f>
        <v/>
      </c>
      <c r="Y305" s="843" t="inlineStr">
        <is>
          <t>D</t>
        </is>
      </c>
      <c r="Z305" s="590" t="n"/>
      <c r="AA305" s="848" t="n"/>
      <c r="AB305" s="842" t="inlineStr">
        <is>
          <t>No</t>
        </is>
      </c>
      <c r="AC305" s="841" t="inlineStr">
        <is>
          <t>Mothballed.</t>
        </is>
      </c>
      <c r="AE305" s="29" t="n"/>
      <c r="AF305" s="313" t="n"/>
      <c r="AG305" s="29" t="n"/>
    </row>
    <row r="306">
      <c r="A306" s="839" t="inlineStr">
        <is>
          <t>WS</t>
        </is>
      </c>
      <c r="B306" s="839" t="inlineStr">
        <is>
          <t>MEL</t>
        </is>
      </c>
      <c r="C306" s="840" t="n">
        <v>550810</v>
      </c>
      <c r="D306" s="841" t="inlineStr">
        <is>
          <t>4 Market Place</t>
        </is>
      </c>
      <c r="E306" s="841" t="inlineStr">
        <is>
          <t>Ground, Basement &amp; Vaults</t>
        </is>
      </c>
      <c r="F306" s="842" t="inlineStr">
        <is>
          <t>Restaurant</t>
        </is>
      </c>
      <c r="G306" s="849" t="n">
        <v>1190</v>
      </c>
      <c r="H306" s="849">
        <f>G306</f>
        <v/>
      </c>
      <c r="I306" s="849" t="n">
        <v>1000</v>
      </c>
      <c r="J306" s="841" t="inlineStr">
        <is>
          <t>Honest Burgers Ltd</t>
        </is>
      </c>
      <c r="K306" s="844" t="n">
        <v>41673</v>
      </c>
      <c r="L306" s="845" t="n">
        <v>47151</v>
      </c>
      <c r="P306" s="843" t="n">
        <v>115000</v>
      </c>
      <c r="Q306" s="843">
        <f>P306</f>
        <v/>
      </c>
      <c r="S306" s="843" t="n">
        <v>106000</v>
      </c>
      <c r="T306" s="843">
        <f>S306</f>
        <v/>
      </c>
      <c r="U306" s="843" t="n">
        <v>106000</v>
      </c>
      <c r="V306" s="843">
        <f>U306</f>
        <v/>
      </c>
      <c r="W306" s="846">
        <f>U306/G306</f>
        <v/>
      </c>
      <c r="X306" s="847">
        <f>SUM(U306-S306)/S306</f>
        <v/>
      </c>
      <c r="Y306" s="843" t="inlineStr">
        <is>
          <t>D</t>
        </is>
      </c>
      <c r="Z306" s="590" t="n"/>
      <c r="AA306" s="591" t="n"/>
      <c r="AB306" s="842" t="inlineStr">
        <is>
          <t>No</t>
        </is>
      </c>
      <c r="AC306" s="841" t="inlineStr">
        <is>
          <t xml:space="preserve">Landlords redevelopment break @ 02/02/24 on 6 months notice. </t>
        </is>
      </c>
      <c r="AF306" s="312" t="n"/>
    </row>
    <row r="307">
      <c r="A307" s="839" t="inlineStr">
        <is>
          <t>WS</t>
        </is>
      </c>
      <c r="B307" s="839" t="inlineStr">
        <is>
          <t>MEL</t>
        </is>
      </c>
      <c r="C307" s="840" t="n">
        <v>550810</v>
      </c>
      <c r="D307" s="841" t="inlineStr">
        <is>
          <t>4 Market Place</t>
        </is>
      </c>
      <c r="E307" s="841" t="inlineStr">
        <is>
          <t>First to Third Floors</t>
        </is>
      </c>
      <c r="F307" s="842" t="inlineStr">
        <is>
          <t>Office</t>
        </is>
      </c>
      <c r="G307" s="849" t="n">
        <v>1044</v>
      </c>
      <c r="H307" s="849">
        <f>G307</f>
        <v/>
      </c>
      <c r="I307" s="849" t="n">
        <v>1000</v>
      </c>
      <c r="J307" s="841" t="inlineStr">
        <is>
          <t>Feel Films Ltd.</t>
        </is>
      </c>
      <c r="K307" s="844" t="n">
        <v>45413</v>
      </c>
      <c r="L307" s="845" t="n">
        <v>47238</v>
      </c>
      <c r="O307" s="845" t="n">
        <v>46326</v>
      </c>
      <c r="P307" s="843" t="n">
        <v>52500</v>
      </c>
      <c r="Q307" s="843">
        <f>P307</f>
        <v/>
      </c>
      <c r="S307" s="843" t="n">
        <v>53800</v>
      </c>
      <c r="T307" s="843">
        <f>S307</f>
        <v/>
      </c>
      <c r="U307" s="843" t="n">
        <v>53800</v>
      </c>
      <c r="V307" s="843">
        <f>U307</f>
        <v/>
      </c>
      <c r="W307" s="846">
        <f>U307/G307</f>
        <v/>
      </c>
      <c r="X307" s="847">
        <f>SUM(U307-S307)/S307</f>
        <v/>
      </c>
      <c r="Y307" s="843" t="inlineStr">
        <is>
          <t>D</t>
        </is>
      </c>
      <c r="Z307" s="590" t="n"/>
      <c r="AA307" s="591" t="n"/>
      <c r="AB307" s="842" t="inlineStr">
        <is>
          <t>No</t>
        </is>
      </c>
      <c r="AC307" s="841" t="inlineStr">
        <is>
          <t>Tenant break on 6 months notice.</t>
        </is>
      </c>
      <c r="AF307" s="312" t="n"/>
    </row>
    <row r="308">
      <c r="A308" s="839" t="inlineStr">
        <is>
          <t>WS</t>
        </is>
      </c>
      <c r="B308" s="839" t="inlineStr">
        <is>
          <t>MEL</t>
        </is>
      </c>
      <c r="C308" s="840" t="n">
        <v>550490</v>
      </c>
      <c r="D308" s="841" t="inlineStr">
        <is>
          <t>11-13 Market Place</t>
        </is>
      </c>
      <c r="E308" s="841" t="inlineStr">
        <is>
          <t>Whole Building</t>
        </is>
      </c>
      <c r="F308" s="842" t="inlineStr">
        <is>
          <t>Bar &amp; Office</t>
        </is>
      </c>
      <c r="G308" s="18" t="n">
        <v>6979</v>
      </c>
      <c r="H308" s="843">
        <f>G308</f>
        <v/>
      </c>
      <c r="I308" s="843" t="n">
        <v>7000</v>
      </c>
      <c r="J308" s="841" t="inlineStr">
        <is>
          <t>Market Place (London) Holdings Ltd</t>
        </is>
      </c>
      <c r="K308" s="844" t="n">
        <v>44185</v>
      </c>
      <c r="L308" s="845" t="n">
        <v>47836</v>
      </c>
      <c r="N308" s="845" t="n">
        <v>46011</v>
      </c>
      <c r="P308" s="591" t="n">
        <v>420000</v>
      </c>
      <c r="Q308" s="843">
        <f>P308</f>
        <v/>
      </c>
      <c r="R308" s="591">
        <f>Q308</f>
        <v/>
      </c>
      <c r="S308" s="591" t="n">
        <v>364600</v>
      </c>
      <c r="T308" s="843">
        <f>S308</f>
        <v/>
      </c>
      <c r="U308" s="591" t="n">
        <v>414100</v>
      </c>
      <c r="V308" s="843">
        <f>U308</f>
        <v/>
      </c>
      <c r="W308" s="846">
        <f>U308/G308</f>
        <v/>
      </c>
      <c r="X308" s="847">
        <f>SUM(U308-S308)/S308</f>
        <v/>
      </c>
      <c r="Y308" s="843" t="inlineStr">
        <is>
          <t>E</t>
        </is>
      </c>
      <c r="Z308" s="590" t="n"/>
      <c r="AA308" s="591" t="n">
        <v>7475000</v>
      </c>
      <c r="AB308" s="842" t="inlineStr">
        <is>
          <t>No</t>
        </is>
      </c>
      <c r="AC308" s="841" t="inlineStr">
        <is>
          <t>Upper floors sublet.</t>
        </is>
      </c>
      <c r="AF308" s="312" t="n"/>
    </row>
    <row r="309">
      <c r="A309" s="839" t="inlineStr">
        <is>
          <t>JM</t>
        </is>
      </c>
      <c r="B309" s="839" t="inlineStr">
        <is>
          <t>MEL</t>
        </is>
      </c>
      <c r="C309" s="840" t="n">
        <v>550940</v>
      </c>
      <c r="D309" s="841" t="inlineStr">
        <is>
          <t>Radiant House, 34-38 Mortimer Street &amp; 3-4 Bywell Place</t>
        </is>
      </c>
      <c r="E309" s="841" t="inlineStr">
        <is>
          <t>Ground &amp; Basement (34)</t>
        </is>
      </c>
      <c r="F309" s="842" t="inlineStr">
        <is>
          <t>Showroom/Studio</t>
        </is>
      </c>
      <c r="G309" s="849" t="n">
        <v>2662</v>
      </c>
      <c r="H309" s="849">
        <f>G309</f>
        <v/>
      </c>
      <c r="I309" s="849" t="n">
        <v>2500</v>
      </c>
      <c r="J309" s="841" t="inlineStr">
        <is>
          <t>Ab-Anbar Limited</t>
        </is>
      </c>
      <c r="K309" s="844" t="n">
        <v>44942</v>
      </c>
      <c r="L309" s="845" t="n">
        <v>46767</v>
      </c>
      <c r="O309" s="845" t="n">
        <v>46037</v>
      </c>
      <c r="P309" s="843" t="n">
        <v>100000</v>
      </c>
      <c r="Q309" s="843">
        <f>P309</f>
        <v/>
      </c>
      <c r="S309" s="849" t="n">
        <v>100000</v>
      </c>
      <c r="T309" s="843">
        <f>S309</f>
        <v/>
      </c>
      <c r="U309" s="849" t="n">
        <v>100000</v>
      </c>
      <c r="V309" s="843">
        <f>U309</f>
        <v/>
      </c>
      <c r="W309" s="846">
        <f>U309/G309</f>
        <v/>
      </c>
      <c r="X309" s="847">
        <f>SUM(U309-S309)/S309</f>
        <v/>
      </c>
      <c r="Y309" s="843" t="inlineStr">
        <is>
          <t>E</t>
        </is>
      </c>
      <c r="Z309" s="590" t="n"/>
      <c r="AA309" s="848" t="n"/>
      <c r="AB309" s="842" t="inlineStr">
        <is>
          <t>No</t>
        </is>
      </c>
      <c r="AC309" s="841" t="inlineStr">
        <is>
          <t>Tenant break on 6 months notice. 3 months rent free if not exercised.</t>
        </is>
      </c>
      <c r="AF309" s="312" t="n"/>
    </row>
    <row r="310">
      <c r="A310" s="839" t="inlineStr">
        <is>
          <t>JM</t>
        </is>
      </c>
      <c r="B310" s="839" t="inlineStr">
        <is>
          <t>MEL</t>
        </is>
      </c>
      <c r="C310" s="840" t="n">
        <v>550940</v>
      </c>
      <c r="D310" s="841" t="inlineStr">
        <is>
          <t>Radiant House, 34-38 Mortimer Street &amp; 3-4 Bywell Place</t>
        </is>
      </c>
      <c r="E310" s="841" t="inlineStr">
        <is>
          <t>Ground &amp; Basement (36-38)</t>
        </is>
      </c>
      <c r="F310" s="842" t="inlineStr">
        <is>
          <t>Office</t>
        </is>
      </c>
      <c r="G310" s="849" t="n">
        <v>3452</v>
      </c>
      <c r="H310" s="849">
        <f>G310</f>
        <v/>
      </c>
      <c r="I310" s="849" t="n">
        <v>3500</v>
      </c>
      <c r="J310" s="841" t="inlineStr">
        <is>
          <t>Europride Ltd.</t>
        </is>
      </c>
      <c r="K310" s="844" t="n">
        <v>45707</v>
      </c>
      <c r="L310" s="845" t="n">
        <v>46071</v>
      </c>
      <c r="O310" s="845" t="n">
        <v>45887</v>
      </c>
      <c r="P310" s="849" t="n">
        <v>138440</v>
      </c>
      <c r="Q310" s="843">
        <f>P310</f>
        <v/>
      </c>
      <c r="S310" s="849" t="n">
        <v>109600</v>
      </c>
      <c r="T310" s="843">
        <f>S310</f>
        <v/>
      </c>
      <c r="U310" s="849" t="n">
        <v>112000</v>
      </c>
      <c r="V310" s="843">
        <f>U310</f>
        <v/>
      </c>
      <c r="W310" s="846">
        <f>U310/G310</f>
        <v/>
      </c>
      <c r="X310" s="847">
        <f>SUM(U310-S310)/S310</f>
        <v/>
      </c>
      <c r="Y310" s="843" t="inlineStr">
        <is>
          <t>E</t>
        </is>
      </c>
      <c r="Z310" s="590" t="n"/>
      <c r="AA310" s="848" t="n"/>
      <c r="AB310" s="842" t="inlineStr">
        <is>
          <t>No</t>
        </is>
      </c>
      <c r="AC310" s="841" t="inlineStr">
        <is>
          <t>Tenant break on 6 months notice.</t>
        </is>
      </c>
      <c r="AF310" s="312" t="n"/>
    </row>
    <row r="311">
      <c r="A311" s="839" t="inlineStr">
        <is>
          <t>JM</t>
        </is>
      </c>
      <c r="B311" s="839" t="inlineStr">
        <is>
          <t>MEL</t>
        </is>
      </c>
      <c r="C311" s="840" t="n">
        <v>550940</v>
      </c>
      <c r="D311" s="841" t="inlineStr">
        <is>
          <t>Radiant House, 34-38 Mortimer Street &amp; 3-4 Bywell Place</t>
        </is>
      </c>
      <c r="E311" s="841" t="inlineStr">
        <is>
          <t>Part Ground, First to Fourth Floor (34)</t>
        </is>
      </c>
      <c r="F311" s="842" t="inlineStr">
        <is>
          <t>Office</t>
        </is>
      </c>
      <c r="G311" s="849" t="n">
        <v>2274</v>
      </c>
      <c r="H311" s="849">
        <f>G311</f>
        <v/>
      </c>
      <c r="I311" s="849" t="n">
        <v>2250</v>
      </c>
      <c r="J311" s="841" t="inlineStr">
        <is>
          <t>Vacant</t>
        </is>
      </c>
      <c r="M311" s="845" t="n">
        <v>44280</v>
      </c>
      <c r="P311" s="843" t="n">
        <v>0</v>
      </c>
      <c r="Q311" s="843">
        <f>P311</f>
        <v/>
      </c>
      <c r="S311" s="849" t="n">
        <v>124700</v>
      </c>
      <c r="T311" s="843">
        <f>S311</f>
        <v/>
      </c>
      <c r="U311" s="849" t="n">
        <v>125100</v>
      </c>
      <c r="V311" s="843">
        <f>U311</f>
        <v/>
      </c>
      <c r="W311" s="846">
        <f>U311/G311</f>
        <v/>
      </c>
      <c r="X311" s="847">
        <f>SUM(U311-S311)/S311</f>
        <v/>
      </c>
      <c r="Y311" s="843" t="inlineStr">
        <is>
          <t>E</t>
        </is>
      </c>
      <c r="Z311" s="590" t="n"/>
      <c r="AA311" s="848" t="n"/>
      <c r="AB311" s="842" t="inlineStr">
        <is>
          <t>Yes</t>
        </is>
      </c>
      <c r="AC311" s="841" t="inlineStr">
        <is>
          <t>LEM marketing.</t>
        </is>
      </c>
      <c r="AD311" s="599" t="n"/>
      <c r="AF311" s="312" t="n"/>
    </row>
    <row r="312">
      <c r="A312" s="839" t="inlineStr">
        <is>
          <t>JM</t>
        </is>
      </c>
      <c r="B312" s="839" t="inlineStr">
        <is>
          <t>MEL</t>
        </is>
      </c>
      <c r="C312" s="840" t="n">
        <v>550940</v>
      </c>
      <c r="D312" s="841" t="inlineStr">
        <is>
          <t>Radiant House, 34-38 Mortimer Street &amp; 3-4 Bywell Place</t>
        </is>
      </c>
      <c r="E312" s="841" t="inlineStr">
        <is>
          <t>First (36-38)</t>
        </is>
      </c>
      <c r="F312" s="842" t="inlineStr">
        <is>
          <t>Office</t>
        </is>
      </c>
      <c r="G312" s="849" t="n">
        <v>1201</v>
      </c>
      <c r="H312" s="849">
        <f>G312</f>
        <v/>
      </c>
      <c r="I312" s="849" t="n">
        <v>1250</v>
      </c>
      <c r="J312" s="841" t="inlineStr">
        <is>
          <t>Vacant</t>
        </is>
      </c>
      <c r="M312" s="845" t="n">
        <v>45521</v>
      </c>
      <c r="P312" s="843" t="n">
        <v>0</v>
      </c>
      <c r="Q312" s="843">
        <f>P312</f>
        <v/>
      </c>
      <c r="S312" s="849" t="n">
        <v>64100</v>
      </c>
      <c r="T312" s="843">
        <f>S312</f>
        <v/>
      </c>
      <c r="U312" s="849" t="n">
        <v>63100</v>
      </c>
      <c r="V312" s="843">
        <f>U312</f>
        <v/>
      </c>
      <c r="W312" s="846">
        <f>U312/G312</f>
        <v/>
      </c>
      <c r="X312" s="847">
        <f>SUM(U312-S312)/S312</f>
        <v/>
      </c>
      <c r="Y312" s="843" t="inlineStr">
        <is>
          <t>D</t>
        </is>
      </c>
      <c r="Z312" s="590" t="n"/>
      <c r="AA312" s="848" t="n"/>
      <c r="AB312" s="842" t="inlineStr">
        <is>
          <t>No</t>
        </is>
      </c>
      <c r="AC312" s="841" t="inlineStr">
        <is>
          <t>LEM marketing.</t>
        </is>
      </c>
      <c r="AE312" s="29" t="n"/>
      <c r="AF312" s="313" t="n">
        <v>2</v>
      </c>
      <c r="AG312" s="29" t="n"/>
    </row>
    <row r="313">
      <c r="A313" s="839" t="inlineStr">
        <is>
          <t>JM</t>
        </is>
      </c>
      <c r="B313" s="839" t="inlineStr">
        <is>
          <t>MEL</t>
        </is>
      </c>
      <c r="C313" s="840" t="n">
        <v>550940</v>
      </c>
      <c r="D313" s="841" t="inlineStr">
        <is>
          <t>Radiant House, 34-38 Mortimer Street &amp; 3-4 Bywell Place</t>
        </is>
      </c>
      <c r="E313" s="841" t="inlineStr">
        <is>
          <t>Second (36-38)</t>
        </is>
      </c>
      <c r="F313" s="842" t="inlineStr">
        <is>
          <t>Office</t>
        </is>
      </c>
      <c r="G313" s="849" t="n">
        <v>1255</v>
      </c>
      <c r="H313" s="849">
        <f>G313</f>
        <v/>
      </c>
      <c r="I313" s="849" t="n">
        <v>1250</v>
      </c>
      <c r="J313" s="841" t="inlineStr">
        <is>
          <t>Vacant</t>
        </is>
      </c>
      <c r="M313" s="845" t="n">
        <v>44320</v>
      </c>
      <c r="P313" s="843" t="n">
        <v>0</v>
      </c>
      <c r="Q313" s="843">
        <f>P313</f>
        <v/>
      </c>
      <c r="S313" s="849" t="n">
        <v>67300</v>
      </c>
      <c r="T313" s="843">
        <f>S313</f>
        <v/>
      </c>
      <c r="U313" s="849" t="n">
        <v>69000</v>
      </c>
      <c r="V313" s="843">
        <f>U313</f>
        <v/>
      </c>
      <c r="W313" s="846">
        <f>U313/G313</f>
        <v/>
      </c>
      <c r="X313" s="847">
        <f>SUM(U313-S313)/S313</f>
        <v/>
      </c>
      <c r="Y313" s="843" t="inlineStr">
        <is>
          <t>D</t>
        </is>
      </c>
      <c r="Z313" s="590" t="n"/>
      <c r="AA313" s="848" t="n"/>
      <c r="AB313" s="842" t="inlineStr">
        <is>
          <t>No</t>
        </is>
      </c>
      <c r="AC313" s="841" t="inlineStr">
        <is>
          <t>To be refurbished.</t>
        </is>
      </c>
      <c r="AF313" s="312" t="n">
        <v>2</v>
      </c>
    </row>
    <row r="314">
      <c r="A314" s="839" t="inlineStr">
        <is>
          <t>JM</t>
        </is>
      </c>
      <c r="B314" s="839" t="inlineStr">
        <is>
          <t>MEL</t>
        </is>
      </c>
      <c r="C314" s="840" t="n">
        <v>550940</v>
      </c>
      <c r="D314" s="841" t="inlineStr">
        <is>
          <t>Radiant House, 34-38 Mortimer Street &amp; 3-4 Bywell Place</t>
        </is>
      </c>
      <c r="E314" s="841" t="inlineStr">
        <is>
          <t>Third (36-38)</t>
        </is>
      </c>
      <c r="F314" s="842" t="inlineStr">
        <is>
          <t>Office</t>
        </is>
      </c>
      <c r="G314" s="849" t="n">
        <v>1252</v>
      </c>
      <c r="H314" s="849">
        <f>G314</f>
        <v/>
      </c>
      <c r="I314" s="849" t="n">
        <v>1250</v>
      </c>
      <c r="J314" s="841" t="inlineStr">
        <is>
          <t>Vacant</t>
        </is>
      </c>
      <c r="M314" s="845" t="n">
        <v>44622</v>
      </c>
      <c r="P314" s="843" t="n">
        <v>0</v>
      </c>
      <c r="Q314" s="843">
        <f>P314</f>
        <v/>
      </c>
      <c r="S314" s="849" t="n">
        <v>67600</v>
      </c>
      <c r="T314" s="843">
        <f>S314</f>
        <v/>
      </c>
      <c r="U314" s="849" t="n">
        <v>68900</v>
      </c>
      <c r="V314" s="843">
        <f>U314</f>
        <v/>
      </c>
      <c r="W314" s="846">
        <f>U314/G314</f>
        <v/>
      </c>
      <c r="X314" s="847">
        <f>SUM(U314-S314)/S314</f>
        <v/>
      </c>
      <c r="Y314" s="843" t="inlineStr">
        <is>
          <t>E</t>
        </is>
      </c>
      <c r="Z314" s="590" t="n"/>
      <c r="AA314" s="848" t="n"/>
      <c r="AB314" s="842" t="inlineStr">
        <is>
          <t>No</t>
        </is>
      </c>
      <c r="AC314" s="841" t="inlineStr">
        <is>
          <t>To be refurbished.</t>
        </is>
      </c>
      <c r="AF314" s="312" t="n">
        <v>2</v>
      </c>
    </row>
    <row r="315">
      <c r="A315" s="839" t="inlineStr">
        <is>
          <t>JM</t>
        </is>
      </c>
      <c r="B315" s="839" t="inlineStr">
        <is>
          <t>MEL</t>
        </is>
      </c>
      <c r="C315" s="840" t="n">
        <v>550940</v>
      </c>
      <c r="D315" s="841" t="inlineStr">
        <is>
          <t>Radiant House, 34-38 Mortimer Street &amp; 3-4 Bywell Place</t>
        </is>
      </c>
      <c r="E315" s="841" t="inlineStr">
        <is>
          <t>Fourth (36-38)</t>
        </is>
      </c>
      <c r="F315" s="842" t="inlineStr">
        <is>
          <t>Office</t>
        </is>
      </c>
      <c r="G315" s="849" t="n">
        <v>1055</v>
      </c>
      <c r="H315" s="849">
        <f>G315</f>
        <v/>
      </c>
      <c r="I315" s="849" t="n">
        <v>1000</v>
      </c>
      <c r="J315" s="841" t="inlineStr">
        <is>
          <t>Carver Associates Ltd.</t>
        </is>
      </c>
      <c r="K315" s="844" t="n">
        <v>44887</v>
      </c>
      <c r="L315" s="845" t="n">
        <v>46712</v>
      </c>
      <c r="N315" s="845" t="n">
        <v>45983</v>
      </c>
      <c r="O315" s="845" t="n">
        <v>45982</v>
      </c>
      <c r="P315" s="849" t="n">
        <v>63070</v>
      </c>
      <c r="Q315" s="843">
        <f>P315</f>
        <v/>
      </c>
      <c r="S315" s="849" t="n">
        <v>61000</v>
      </c>
      <c r="T315" s="843">
        <f>S315</f>
        <v/>
      </c>
      <c r="U315" s="849" t="n">
        <v>60700</v>
      </c>
      <c r="V315" s="843">
        <f>U315</f>
        <v/>
      </c>
      <c r="W315" s="846">
        <f>U315/G315</f>
        <v/>
      </c>
      <c r="X315" s="847">
        <f>SUM(U315-S315)/S315</f>
        <v/>
      </c>
      <c r="Y315" s="843" t="inlineStr">
        <is>
          <t>D</t>
        </is>
      </c>
      <c r="Z315" s="590" t="n"/>
      <c r="AA315" s="848" t="n"/>
      <c r="AB315" s="842" t="inlineStr">
        <is>
          <t>No</t>
        </is>
      </c>
      <c r="AC315" s="841" t="inlineStr">
        <is>
          <t xml:space="preserve">Tenant has annual breaks on 6 months notice. </t>
        </is>
      </c>
      <c r="AF315" s="312" t="n"/>
    </row>
    <row r="316">
      <c r="A316" s="839" t="inlineStr">
        <is>
          <t>JM</t>
        </is>
      </c>
      <c r="B316" s="839" t="inlineStr">
        <is>
          <t>MEL</t>
        </is>
      </c>
      <c r="C316" s="840" t="n">
        <v>550940</v>
      </c>
      <c r="D316" s="841" t="inlineStr">
        <is>
          <t>Radiant House, 34-38 Mortimer Street &amp; 3-4 Bywell Place</t>
        </is>
      </c>
      <c r="E316" s="841" t="inlineStr">
        <is>
          <t>Ground &amp; Basement, 3-4 Bywell Place</t>
        </is>
      </c>
      <c r="F316" s="839" t="inlineStr">
        <is>
          <t>Office</t>
        </is>
      </c>
      <c r="G316" s="849" t="n">
        <v>1167</v>
      </c>
      <c r="H316" s="849">
        <f>G316</f>
        <v/>
      </c>
      <c r="I316" s="849" t="n">
        <v>1000</v>
      </c>
      <c r="J316" s="841" t="inlineStr">
        <is>
          <t>Solo60 Ltd</t>
        </is>
      </c>
      <c r="K316" s="844" t="n">
        <v>45573</v>
      </c>
      <c r="L316" s="845" t="n">
        <v>47398</v>
      </c>
      <c r="P316" s="843" t="n">
        <v>46800</v>
      </c>
      <c r="Q316" s="843">
        <f>P316</f>
        <v/>
      </c>
      <c r="S316" s="849" t="n">
        <v>37700</v>
      </c>
      <c r="T316" s="843">
        <f>S316</f>
        <v/>
      </c>
      <c r="U316" s="849" t="n">
        <v>46800</v>
      </c>
      <c r="V316" s="843">
        <f>U316</f>
        <v/>
      </c>
      <c r="W316" s="846">
        <f>U316/G316</f>
        <v/>
      </c>
      <c r="X316" s="847">
        <f>SUM(U316-S316)/S316</f>
        <v/>
      </c>
      <c r="Y316" s="843" t="inlineStr">
        <is>
          <t>B</t>
        </is>
      </c>
      <c r="Z316" s="590" t="inlineStr">
        <is>
          <t>*</t>
        </is>
      </c>
      <c r="AA316" s="848" t="n"/>
      <c r="AB316" s="842" t="inlineStr">
        <is>
          <t>No</t>
        </is>
      </c>
      <c r="AF316" s="312" t="n"/>
    </row>
    <row r="317">
      <c r="A317" s="839" t="inlineStr">
        <is>
          <t>JM</t>
        </is>
      </c>
      <c r="B317" s="839" t="inlineStr">
        <is>
          <t>MEL</t>
        </is>
      </c>
      <c r="C317" s="840" t="n">
        <v>550940</v>
      </c>
      <c r="D317" s="841" t="inlineStr">
        <is>
          <t>Radiant House, 34-38 Mortimer Street &amp; 3-4 Bywell Place</t>
        </is>
      </c>
      <c r="E317" s="841" t="inlineStr">
        <is>
          <t>First , 3-4 Bywell Place</t>
        </is>
      </c>
      <c r="F317" s="839" t="inlineStr">
        <is>
          <t>Office</t>
        </is>
      </c>
      <c r="G317" s="849" t="n">
        <v>922</v>
      </c>
      <c r="H317" s="849">
        <f>G317</f>
        <v/>
      </c>
      <c r="I317" s="849" t="n">
        <v>1000</v>
      </c>
      <c r="J317" s="841" t="inlineStr">
        <is>
          <t>Olsen UK Limited</t>
        </is>
      </c>
      <c r="K317" s="844" t="n">
        <v>45204</v>
      </c>
      <c r="L317" s="845" t="n">
        <v>46299</v>
      </c>
      <c r="P317" s="849" t="n">
        <v>45800</v>
      </c>
      <c r="Q317" s="843">
        <f>P317</f>
        <v/>
      </c>
      <c r="S317" s="849" t="n">
        <v>39100</v>
      </c>
      <c r="T317" s="843">
        <f>S317</f>
        <v/>
      </c>
      <c r="U317" s="849" t="n">
        <v>39200</v>
      </c>
      <c r="V317" s="843">
        <f>U317</f>
        <v/>
      </c>
      <c r="W317" s="846">
        <f>U317/G317</f>
        <v/>
      </c>
      <c r="X317" s="847">
        <f>SUM(U317-S317)/S317</f>
        <v/>
      </c>
      <c r="Y317" s="843" t="inlineStr">
        <is>
          <t>B</t>
        </is>
      </c>
      <c r="Z317" s="590" t="inlineStr">
        <is>
          <t>*</t>
        </is>
      </c>
      <c r="AA317" s="848" t="n"/>
      <c r="AB317" s="842" t="inlineStr">
        <is>
          <t>No</t>
        </is>
      </c>
      <c r="AF317" s="312" t="n"/>
    </row>
    <row r="318">
      <c r="A318" s="839" t="inlineStr">
        <is>
          <t>JM</t>
        </is>
      </c>
      <c r="B318" s="839" t="inlineStr">
        <is>
          <t>MEL</t>
        </is>
      </c>
      <c r="C318" s="840" t="n">
        <v>550940</v>
      </c>
      <c r="D318" s="841" t="inlineStr">
        <is>
          <t>Radiant House, 34-38 Mortimer Street &amp; 3-4 Bywell Place</t>
        </is>
      </c>
      <c r="E318" s="841" t="inlineStr">
        <is>
          <t>Second, 3-4 Bywell Place</t>
        </is>
      </c>
      <c r="F318" s="839" t="inlineStr">
        <is>
          <t>Office</t>
        </is>
      </c>
      <c r="G318" s="849" t="n">
        <v>781</v>
      </c>
      <c r="H318" s="849">
        <f>G318</f>
        <v/>
      </c>
      <c r="I318" s="849" t="n">
        <v>750</v>
      </c>
      <c r="J318" s="841" t="inlineStr">
        <is>
          <t>Vacant</t>
        </is>
      </c>
      <c r="M318" s="845" t="n">
        <v>45383</v>
      </c>
      <c r="P318" s="843" t="n">
        <v>0</v>
      </c>
      <c r="Q318" s="843">
        <f>P318</f>
        <v/>
      </c>
      <c r="S318" s="849" t="n">
        <v>37300</v>
      </c>
      <c r="T318" s="843">
        <f>S318</f>
        <v/>
      </c>
      <c r="U318" s="849" t="n">
        <v>33200</v>
      </c>
      <c r="V318" s="843">
        <f>U318</f>
        <v/>
      </c>
      <c r="W318" s="846">
        <f>U318/G318</f>
        <v/>
      </c>
      <c r="X318" s="847">
        <f>SUM(U318-S318)/S318</f>
        <v/>
      </c>
      <c r="Y318" s="843" t="inlineStr">
        <is>
          <t>B</t>
        </is>
      </c>
      <c r="Z318" s="590" t="inlineStr">
        <is>
          <t>*</t>
        </is>
      </c>
      <c r="AA318" s="848" t="n"/>
      <c r="AB318" s="842" t="inlineStr">
        <is>
          <t>No</t>
        </is>
      </c>
      <c r="AC318" s="841" t="inlineStr">
        <is>
          <t>LEM marketing.</t>
        </is>
      </c>
      <c r="AF318" s="312" t="n"/>
    </row>
    <row r="319">
      <c r="A319" s="839" t="inlineStr">
        <is>
          <t>CM</t>
        </is>
      </c>
      <c r="B319" s="839" t="inlineStr">
        <is>
          <t>MEL</t>
        </is>
      </c>
      <c r="C319" s="840" t="n">
        <v>550390</v>
      </c>
      <c r="D319" s="841" t="inlineStr">
        <is>
          <t>Gilmoora House, 57-61 Mortimer Street</t>
        </is>
      </c>
      <c r="E319" s="841" t="inlineStr">
        <is>
          <t>Part Basement &amp; Part Ground Floor - 36 Gt Titchfield St</t>
        </is>
      </c>
      <c r="F319" s="842" t="inlineStr">
        <is>
          <t>Medical</t>
        </is>
      </c>
      <c r="G319" s="849" t="n">
        <v>6542</v>
      </c>
      <c r="H319" s="843">
        <f>G319</f>
        <v/>
      </c>
      <c r="I319" s="843" t="n">
        <v>6500</v>
      </c>
      <c r="J319" s="841" t="inlineStr">
        <is>
          <t>The Central London Clinic Ltd.</t>
        </is>
      </c>
      <c r="K319" s="844" t="n">
        <v>44609</v>
      </c>
      <c r="L319" s="845" t="n">
        <v>50087</v>
      </c>
      <c r="N319" s="844" t="n">
        <v>46435</v>
      </c>
      <c r="O319" s="844" t="n">
        <v>48260</v>
      </c>
      <c r="P319" s="843" t="n">
        <v>210000</v>
      </c>
      <c r="Q319" s="843">
        <f>P319</f>
        <v/>
      </c>
      <c r="S319" s="634" t="n">
        <v>210000</v>
      </c>
      <c r="T319" s="843">
        <f>S319</f>
        <v/>
      </c>
      <c r="U319" s="634" t="n">
        <v>232000</v>
      </c>
      <c r="V319" s="843">
        <f>U319</f>
        <v/>
      </c>
      <c r="W319" s="846">
        <f>U319/G319</f>
        <v/>
      </c>
      <c r="X319" s="847">
        <f>SUM(U319-S319)/S319</f>
        <v/>
      </c>
      <c r="Y319" s="843" t="inlineStr">
        <is>
          <t>A</t>
        </is>
      </c>
      <c r="Z319" s="590" t="n"/>
      <c r="AA319" s="18" t="n"/>
      <c r="AB319" s="842" t="inlineStr">
        <is>
          <t>No</t>
        </is>
      </c>
      <c r="AC319" s="841" t="inlineStr">
        <is>
          <t>Mutual break on 6 months notice.</t>
        </is>
      </c>
      <c r="AF319" s="312" t="n"/>
    </row>
    <row r="320">
      <c r="A320" s="839" t="inlineStr">
        <is>
          <t>CM</t>
        </is>
      </c>
      <c r="B320" s="839" t="inlineStr">
        <is>
          <t>MEL</t>
        </is>
      </c>
      <c r="C320" s="840" t="n">
        <v>550390</v>
      </c>
      <c r="D320" s="841" t="inlineStr">
        <is>
          <t>Gilmoora House, 57-61 Mortimer Street</t>
        </is>
      </c>
      <c r="E320" s="841" t="inlineStr">
        <is>
          <t>Part Ground to Fifth Floors</t>
        </is>
      </c>
      <c r="F320" s="842" t="inlineStr">
        <is>
          <t>Office</t>
        </is>
      </c>
      <c r="G320" s="849" t="n">
        <v>20993</v>
      </c>
      <c r="H320" s="843">
        <f>G320</f>
        <v/>
      </c>
      <c r="I320" s="843" t="n">
        <v>21000</v>
      </c>
      <c r="J320" s="841" t="inlineStr">
        <is>
          <t>Gilmoora House Ltd</t>
        </is>
      </c>
      <c r="K320" s="844" t="n">
        <v>45564</v>
      </c>
      <c r="L320" s="845" t="n">
        <v>47389</v>
      </c>
      <c r="P320" s="843" t="n">
        <v>1000000</v>
      </c>
      <c r="Q320" s="843">
        <f>P320</f>
        <v/>
      </c>
      <c r="S320" s="843" t="n">
        <v>1688000</v>
      </c>
      <c r="T320" s="843">
        <f>S320</f>
        <v/>
      </c>
      <c r="U320" s="843" t="n">
        <v>1953000</v>
      </c>
      <c r="V320" s="843">
        <f>U320</f>
        <v/>
      </c>
      <c r="W320" s="846">
        <f>U320/G320</f>
        <v/>
      </c>
      <c r="X320" s="847">
        <f>SUM(U320-S320)/S320</f>
        <v/>
      </c>
      <c r="Y320" s="843" t="inlineStr">
        <is>
          <t>E</t>
        </is>
      </c>
      <c r="Z320" s="590" t="n"/>
      <c r="AA320" s="18" t="n"/>
      <c r="AB320" s="842" t="inlineStr">
        <is>
          <t>No</t>
        </is>
      </c>
      <c r="AC320" s="841" t="inlineStr">
        <is>
          <t>Internal Lease to another Lee Family Group Company.</t>
        </is>
      </c>
      <c r="AF320" s="312" t="n"/>
    </row>
    <row r="321">
      <c r="A321" s="839" t="inlineStr">
        <is>
          <t>WS</t>
        </is>
      </c>
      <c r="B321" s="839" t="inlineStr">
        <is>
          <t>MEL</t>
        </is>
      </c>
      <c r="C321" s="840" t="n">
        <v>550870</v>
      </c>
      <c r="D321" s="841" t="inlineStr">
        <is>
          <t>67 - 81 Mortimer Street</t>
        </is>
      </c>
      <c r="E321" s="841" t="inlineStr">
        <is>
          <t>Ground Floor &amp; Bsmt. (No.67)</t>
        </is>
      </c>
      <c r="F321" s="842" t="inlineStr">
        <is>
          <t>Shop</t>
        </is>
      </c>
      <c r="G321" s="849" t="n">
        <v>1330</v>
      </c>
      <c r="H321" s="849">
        <f>G321</f>
        <v/>
      </c>
      <c r="I321" s="849" t="n">
        <v>1250</v>
      </c>
      <c r="J321" s="841" t="inlineStr">
        <is>
          <t>Status Beauty Limited</t>
        </is>
      </c>
      <c r="K321" s="844" t="n">
        <v>44936</v>
      </c>
      <c r="L321" s="845" t="n">
        <v>46761</v>
      </c>
      <c r="O321" s="845" t="n">
        <v>46031</v>
      </c>
      <c r="P321" s="843" t="n">
        <v>70000</v>
      </c>
      <c r="Q321" s="843">
        <f>P321</f>
        <v/>
      </c>
      <c r="S321" s="843" t="n">
        <v>69900</v>
      </c>
      <c r="T321" s="843">
        <f>S321</f>
        <v/>
      </c>
      <c r="U321" s="843" t="n">
        <v>69900</v>
      </c>
      <c r="V321" s="843">
        <f>U321</f>
        <v/>
      </c>
      <c r="W321" s="846">
        <f>U321/G321</f>
        <v/>
      </c>
      <c r="X321" s="847">
        <f>SUM(U321-S321)/S321</f>
        <v/>
      </c>
      <c r="Y321" s="843" t="inlineStr">
        <is>
          <t>D</t>
        </is>
      </c>
      <c r="Z321" s="590" t="n"/>
      <c r="AA321" s="848" t="n"/>
      <c r="AB321" s="842" t="inlineStr">
        <is>
          <t>No</t>
        </is>
      </c>
      <c r="AC321" s="841" t="inlineStr">
        <is>
          <t>Tenant break on 6 months notice. Rent free from 10/01/26 to 28/03/26 if not exercised.</t>
        </is>
      </c>
      <c r="AF321" s="312" t="n"/>
    </row>
    <row r="322">
      <c r="A322" s="839" t="inlineStr">
        <is>
          <t>WS</t>
        </is>
      </c>
      <c r="B322" s="839" t="inlineStr">
        <is>
          <t>MEL</t>
        </is>
      </c>
      <c r="C322" s="840" t="n">
        <v>550870</v>
      </c>
      <c r="D322" s="841" t="inlineStr">
        <is>
          <t>67 - 81 Mortimer Street</t>
        </is>
      </c>
      <c r="E322" s="841" t="inlineStr">
        <is>
          <t>Ground Floor &amp; Bsmt. (No.69)</t>
        </is>
      </c>
      <c r="F322" s="842" t="inlineStr">
        <is>
          <t>Shop/ Showroom</t>
        </is>
      </c>
      <c r="G322" s="849" t="n">
        <v>1486</v>
      </c>
      <c r="H322" s="849">
        <f>G322</f>
        <v/>
      </c>
      <c r="I322" s="849" t="n">
        <v>1500</v>
      </c>
      <c r="J322" s="841" t="inlineStr">
        <is>
          <t>ABC Smile Limited</t>
        </is>
      </c>
      <c r="K322" s="844" t="n">
        <v>44314</v>
      </c>
      <c r="L322" s="845" t="n">
        <v>47965</v>
      </c>
      <c r="O322" s="845" t="n">
        <v>46139</v>
      </c>
      <c r="P322" s="843" t="n">
        <v>59500</v>
      </c>
      <c r="Q322" s="843">
        <f>P322</f>
        <v/>
      </c>
      <c r="S322" s="843" t="n">
        <v>64900</v>
      </c>
      <c r="T322" s="843">
        <f>S322</f>
        <v/>
      </c>
      <c r="U322" s="843" t="n">
        <v>64900</v>
      </c>
      <c r="V322" s="843">
        <f>U322</f>
        <v/>
      </c>
      <c r="W322" s="846">
        <f>U322/G322</f>
        <v/>
      </c>
      <c r="X322" s="847">
        <f>SUM(U322-S322)/S322</f>
        <v/>
      </c>
      <c r="Y322" s="843" t="inlineStr">
        <is>
          <t>C</t>
        </is>
      </c>
      <c r="Z322" s="590" t="n"/>
      <c r="AA322" s="848" t="n"/>
      <c r="AB322" s="842" t="inlineStr">
        <is>
          <t>No</t>
        </is>
      </c>
      <c r="AC322" s="841" t="inlineStr">
        <is>
          <t>Tenant break on 6 month notice.</t>
        </is>
      </c>
      <c r="AF322" s="312" t="n"/>
    </row>
    <row r="323">
      <c r="A323" s="839" t="inlineStr">
        <is>
          <t>WS</t>
        </is>
      </c>
      <c r="B323" s="839" t="inlineStr">
        <is>
          <t>MEL</t>
        </is>
      </c>
      <c r="C323" s="840" t="n">
        <v>550870</v>
      </c>
      <c r="D323" s="841" t="inlineStr">
        <is>
          <t>67 - 81 Mortimer Street</t>
        </is>
      </c>
      <c r="E323" s="841" t="inlineStr">
        <is>
          <t>Ground Floor &amp; Bsmt. (No.71)</t>
        </is>
      </c>
      <c r="F323" s="842" t="inlineStr">
        <is>
          <t>Shop/ Showroom</t>
        </is>
      </c>
      <c r="G323" s="849" t="n">
        <v>1204</v>
      </c>
      <c r="H323" s="849">
        <f>G323</f>
        <v/>
      </c>
      <c r="I323" s="849" t="n">
        <v>1250</v>
      </c>
      <c r="J323" s="841" t="inlineStr">
        <is>
          <t>Folia Ltd.</t>
        </is>
      </c>
      <c r="K323" s="844" t="n">
        <v>45741</v>
      </c>
      <c r="L323" s="845" t="n">
        <v>46836</v>
      </c>
      <c r="O323" s="845" t="n">
        <v>46106</v>
      </c>
      <c r="P323" s="843" t="n">
        <v>0</v>
      </c>
      <c r="Q323" s="843">
        <f>P323</f>
        <v/>
      </c>
      <c r="S323" s="843" t="n">
        <v>53100</v>
      </c>
      <c r="T323" s="843">
        <f>S323</f>
        <v/>
      </c>
      <c r="U323" s="843" t="n">
        <v>53100</v>
      </c>
      <c r="V323" s="843">
        <f>U323</f>
        <v/>
      </c>
      <c r="W323" s="846">
        <f>U323/G323</f>
        <v/>
      </c>
      <c r="X323" s="847">
        <f>SUM(U323-S323)/S323</f>
        <v/>
      </c>
      <c r="Y323" s="843" t="inlineStr">
        <is>
          <t>C</t>
        </is>
      </c>
      <c r="Z323" s="590" t="n"/>
      <c r="AA323" s="848" t="n"/>
      <c r="AB323" s="842" t="inlineStr">
        <is>
          <t>No</t>
        </is>
      </c>
      <c r="AC323" s="841" t="inlineStr">
        <is>
          <t>Rent £55,000 wef 6 weeks after landlord works completed. Work expected to complete by 27/06/25, Further tenant break 25/03/27.</t>
        </is>
      </c>
      <c r="AD323" s="850" t="n"/>
      <c r="AE323" s="841" t="n"/>
      <c r="AF323" s="312" t="n"/>
      <c r="AG323" s="841" t="n"/>
    </row>
    <row r="324">
      <c r="A324" s="839" t="inlineStr">
        <is>
          <t>WS</t>
        </is>
      </c>
      <c r="B324" s="839" t="inlineStr">
        <is>
          <t>MEL</t>
        </is>
      </c>
      <c r="C324" s="840" t="n">
        <v>550870</v>
      </c>
      <c r="D324" s="841" t="inlineStr">
        <is>
          <t>67 - 81 Mortimer Street</t>
        </is>
      </c>
      <c r="E324" s="841" t="inlineStr">
        <is>
          <t>Ground Floor &amp; Bsmt. (No. 77)</t>
        </is>
      </c>
      <c r="F324" s="842" t="inlineStr">
        <is>
          <t>Shop/ Showroom</t>
        </is>
      </c>
      <c r="G324" s="849" t="n">
        <v>1119</v>
      </c>
      <c r="H324" s="849">
        <f>G324</f>
        <v/>
      </c>
      <c r="I324" s="849" t="n">
        <v>1250</v>
      </c>
      <c r="J324" s="841" t="inlineStr">
        <is>
          <t>Folia Ltd.</t>
        </is>
      </c>
      <c r="K324" s="844" t="n">
        <v>45741</v>
      </c>
      <c r="L324" s="845" t="n">
        <v>46836</v>
      </c>
      <c r="P324" s="843" t="n">
        <v>55000</v>
      </c>
      <c r="Q324" s="843">
        <f>P324</f>
        <v/>
      </c>
      <c r="S324" s="843" t="n">
        <v>51200</v>
      </c>
      <c r="T324" s="843">
        <f>S324</f>
        <v/>
      </c>
      <c r="U324" s="843" t="n">
        <v>51200</v>
      </c>
      <c r="V324" s="843">
        <f>U324</f>
        <v/>
      </c>
      <c r="W324" s="846">
        <f>U324/G324</f>
        <v/>
      </c>
      <c r="X324" s="847">
        <f>SUM(U324-S324)/S324</f>
        <v/>
      </c>
      <c r="Y324" s="843" t="inlineStr">
        <is>
          <t>D</t>
        </is>
      </c>
      <c r="Z324" s="590" t="n"/>
      <c r="AA324" s="848" t="n"/>
      <c r="AB324" s="842" t="inlineStr">
        <is>
          <t>No</t>
        </is>
      </c>
      <c r="AC324" s="841" t="n"/>
      <c r="AD324" s="850" t="n"/>
      <c r="AE324" s="841" t="n"/>
      <c r="AF324" s="312" t="n"/>
      <c r="AG324" s="841" t="n"/>
    </row>
    <row r="325">
      <c r="A325" s="839" t="inlineStr">
        <is>
          <t>WS</t>
        </is>
      </c>
      <c r="B325" s="839" t="inlineStr">
        <is>
          <t>MEL</t>
        </is>
      </c>
      <c r="C325" s="840" t="n">
        <v>550870</v>
      </c>
      <c r="D325" s="841" t="inlineStr">
        <is>
          <t>67 - 81 Mortimer Street</t>
        </is>
      </c>
      <c r="E325" s="841" t="inlineStr">
        <is>
          <t>Ground Floor &amp; Bsmt. (No.79-81)</t>
        </is>
      </c>
      <c r="F325" s="842" t="inlineStr">
        <is>
          <t>Restaurant</t>
        </is>
      </c>
      <c r="G325" s="849" t="n">
        <v>3114</v>
      </c>
      <c r="H325" s="849">
        <f>G325</f>
        <v/>
      </c>
      <c r="I325" s="849" t="n">
        <v>3000</v>
      </c>
      <c r="J325" s="841" t="inlineStr">
        <is>
          <t>PHBB Restaurants Ltd.</t>
        </is>
      </c>
      <c r="K325" s="844" t="n">
        <v>44143</v>
      </c>
      <c r="L325" s="845" t="n">
        <v>49620</v>
      </c>
      <c r="N325" s="845" t="n">
        <v>45969</v>
      </c>
      <c r="P325" s="843" t="n">
        <v>175000</v>
      </c>
      <c r="Q325" s="843">
        <f>P325</f>
        <v/>
      </c>
      <c r="S325" s="843" t="n">
        <v>146200</v>
      </c>
      <c r="T325" s="843">
        <f>S325</f>
        <v/>
      </c>
      <c r="U325" s="843" t="n">
        <v>146200</v>
      </c>
      <c r="V325" s="843">
        <f>U325</f>
        <v/>
      </c>
      <c r="W325" s="846">
        <f>U325/G325</f>
        <v/>
      </c>
      <c r="X325" s="847">
        <f>SUM(U325-S325)/S325</f>
        <v/>
      </c>
      <c r="Y325" s="843" t="inlineStr">
        <is>
          <t>D</t>
        </is>
      </c>
      <c r="Z325" s="590" t="n"/>
      <c r="AA325" s="848" t="n"/>
      <c r="AB325" s="842" t="inlineStr">
        <is>
          <t>Yes</t>
        </is>
      </c>
      <c r="AC325" s="841" t="inlineStr">
        <is>
          <t xml:space="preserve">54 Act protected lease. All Inclusive (excl rates). </t>
        </is>
      </c>
      <c r="AD325" s="850" t="n"/>
      <c r="AE325" s="841" t="n"/>
      <c r="AF325" s="312" t="n"/>
      <c r="AG325" s="841" t="n"/>
    </row>
    <row r="326">
      <c r="A326" s="839" t="inlineStr">
        <is>
          <t>WS</t>
        </is>
      </c>
      <c r="B326" s="839" t="inlineStr">
        <is>
          <t>MEL</t>
        </is>
      </c>
      <c r="C326" s="840" t="n">
        <v>550870</v>
      </c>
      <c r="D326" s="841" t="inlineStr">
        <is>
          <t>67 - 81 Mortimer Street</t>
        </is>
      </c>
      <c r="E326" s="841" t="inlineStr">
        <is>
          <t>First Floor (East)</t>
        </is>
      </c>
      <c r="F326" s="842" t="inlineStr">
        <is>
          <t>Office</t>
        </is>
      </c>
      <c r="G326" s="849" t="n">
        <v>1560</v>
      </c>
      <c r="H326" s="849">
        <f>G326</f>
        <v/>
      </c>
      <c r="I326" s="849" t="n">
        <v>1500</v>
      </c>
      <c r="J326" s="841" t="inlineStr">
        <is>
          <t>Feel Films Ltd.</t>
        </is>
      </c>
      <c r="K326" s="844" t="n">
        <v>44732</v>
      </c>
      <c r="L326" s="845" t="n">
        <v>46557</v>
      </c>
      <c r="N326" s="844" t="n"/>
      <c r="O326" s="844" t="n">
        <v>45827</v>
      </c>
      <c r="P326" s="617" t="n">
        <v>67146</v>
      </c>
      <c r="Q326" s="843">
        <f>P326</f>
        <v/>
      </c>
      <c r="S326" s="843" t="n">
        <v>85800</v>
      </c>
      <c r="T326" s="843">
        <f>S326</f>
        <v/>
      </c>
      <c r="U326" s="843" t="n">
        <v>85800</v>
      </c>
      <c r="V326" s="843">
        <f>U326</f>
        <v/>
      </c>
      <c r="W326" s="846">
        <f>U326/G326</f>
        <v/>
      </c>
      <c r="X326" s="847">
        <f>SUM(U326-S326)/S326</f>
        <v/>
      </c>
      <c r="Y326" s="843" t="inlineStr">
        <is>
          <t>C</t>
        </is>
      </c>
      <c r="Z326" s="590" t="n"/>
      <c r="AA326" s="848" t="n"/>
      <c r="AB326" s="842" t="inlineStr">
        <is>
          <t>No</t>
        </is>
      </c>
      <c r="AC326" s="841" t="inlineStr">
        <is>
          <t>Tenant break on 6 months notice. If break not exercised, rent reduces to £67,146 wef 20/06/25 to 19/06/26. Break passed</t>
        </is>
      </c>
      <c r="AF326" s="312" t="n"/>
    </row>
    <row r="327">
      <c r="A327" s="839" t="inlineStr">
        <is>
          <t>WS</t>
        </is>
      </c>
      <c r="B327" s="839" t="inlineStr">
        <is>
          <t>MEL</t>
        </is>
      </c>
      <c r="C327" s="840" t="n">
        <v>550870</v>
      </c>
      <c r="D327" s="841" t="inlineStr">
        <is>
          <t>67 - 81 Mortimer Street</t>
        </is>
      </c>
      <c r="E327" s="841" t="inlineStr">
        <is>
          <t>First Floor (West)</t>
        </is>
      </c>
      <c r="F327" s="842" t="inlineStr">
        <is>
          <t>Office</t>
        </is>
      </c>
      <c r="G327" s="849" t="n">
        <v>1454</v>
      </c>
      <c r="H327" s="849">
        <f>G327</f>
        <v/>
      </c>
      <c r="I327" s="849" t="n">
        <v>1500</v>
      </c>
      <c r="J327" s="841" t="inlineStr">
        <is>
          <t>Feel Films Ltd.</t>
        </is>
      </c>
      <c r="K327" s="844" t="n">
        <v>44419</v>
      </c>
      <c r="L327" s="845" t="n">
        <v>46244</v>
      </c>
      <c r="N327" s="844" t="n"/>
      <c r="O327" s="844" t="n"/>
      <c r="P327" s="843" t="n">
        <v>62963</v>
      </c>
      <c r="Q327" s="843">
        <f>P327</f>
        <v/>
      </c>
      <c r="S327" s="843" t="n">
        <v>80000</v>
      </c>
      <c r="T327" s="843">
        <f>S327</f>
        <v/>
      </c>
      <c r="U327" s="843" t="n">
        <v>80000</v>
      </c>
      <c r="V327" s="843">
        <f>U327</f>
        <v/>
      </c>
      <c r="W327" s="846">
        <f>U327/G327</f>
        <v/>
      </c>
      <c r="X327" s="847">
        <f>SUM(U327-S327)/S327</f>
        <v/>
      </c>
      <c r="Y327" s="843" t="inlineStr">
        <is>
          <t>D</t>
        </is>
      </c>
      <c r="Z327" s="590" t="n"/>
      <c r="AA327" s="848" t="n"/>
      <c r="AB327" s="842" t="inlineStr">
        <is>
          <t>No</t>
        </is>
      </c>
      <c r="AC327" s="841" t="inlineStr">
        <is>
          <t xml:space="preserve">Rent rises to £83,950 wef 11/08/25. </t>
        </is>
      </c>
      <c r="AF327" s="312" t="n"/>
    </row>
    <row r="328">
      <c r="A328" s="839" t="inlineStr">
        <is>
          <t>WS</t>
        </is>
      </c>
      <c r="B328" s="839" t="inlineStr">
        <is>
          <t>MEL</t>
        </is>
      </c>
      <c r="C328" s="840" t="n">
        <v>550870</v>
      </c>
      <c r="D328" s="841" t="inlineStr">
        <is>
          <t>67 - 81 Mortimer Street</t>
        </is>
      </c>
      <c r="E328" s="841" t="inlineStr">
        <is>
          <t>Second Floor (West)</t>
        </is>
      </c>
      <c r="F328" s="842" t="inlineStr">
        <is>
          <t>Office</t>
        </is>
      </c>
      <c r="G328" s="849" t="n">
        <v>1395</v>
      </c>
      <c r="H328" s="849">
        <f>G328</f>
        <v/>
      </c>
      <c r="I328" s="849" t="n">
        <v>1500</v>
      </c>
      <c r="J328" s="29" t="inlineStr">
        <is>
          <t>Vacant</t>
        </is>
      </c>
      <c r="K328" s="628" t="n"/>
      <c r="L328" s="620" t="n"/>
      <c r="M328" s="620" t="n">
        <v>45837</v>
      </c>
      <c r="N328" s="628" t="n"/>
      <c r="O328" s="628" t="n"/>
      <c r="P328" s="617" t="n">
        <v>0</v>
      </c>
      <c r="Q328" s="843">
        <f>P328</f>
        <v/>
      </c>
      <c r="S328" s="843" t="n">
        <v>76700</v>
      </c>
      <c r="T328" s="843">
        <f>S328</f>
        <v/>
      </c>
      <c r="U328" s="843" t="n">
        <v>76700</v>
      </c>
      <c r="V328" s="843">
        <f>U328</f>
        <v/>
      </c>
      <c r="W328" s="846">
        <f>U328/G328</f>
        <v/>
      </c>
      <c r="X328" s="847">
        <f>SUM(U328-S328)/S328</f>
        <v/>
      </c>
      <c r="Y328" s="843" t="inlineStr">
        <is>
          <t>E</t>
        </is>
      </c>
      <c r="Z328" s="590" t="n"/>
      <c r="AA328" s="848" t="n"/>
      <c r="AB328" s="842" t="inlineStr">
        <is>
          <t>No</t>
        </is>
      </c>
      <c r="AC328" s="29" t="inlineStr">
        <is>
          <t>Under offer.</t>
        </is>
      </c>
      <c r="AF328" s="312" t="n"/>
    </row>
    <row r="329">
      <c r="A329" s="839" t="inlineStr">
        <is>
          <t>WS</t>
        </is>
      </c>
      <c r="B329" s="839" t="inlineStr">
        <is>
          <t>MEL</t>
        </is>
      </c>
      <c r="C329" s="840" t="n">
        <v>550870</v>
      </c>
      <c r="D329" s="841" t="inlineStr">
        <is>
          <t>67 - 81 Mortimer Street</t>
        </is>
      </c>
      <c r="E329" s="841" t="inlineStr">
        <is>
          <t>Second Floor (East)</t>
        </is>
      </c>
      <c r="F329" s="842" t="inlineStr">
        <is>
          <t>Office</t>
        </is>
      </c>
      <c r="G329" s="849" t="n">
        <v>1281</v>
      </c>
      <c r="H329" s="849">
        <f>G329</f>
        <v/>
      </c>
      <c r="I329" s="849" t="n">
        <v>1250</v>
      </c>
      <c r="J329" s="841" t="inlineStr">
        <is>
          <t>Feel Films Ltd.</t>
        </is>
      </c>
      <c r="K329" s="844" t="n">
        <v>45393</v>
      </c>
      <c r="L329" s="845" t="n">
        <v>47218</v>
      </c>
      <c r="O329" s="845" t="n">
        <v>46488</v>
      </c>
      <c r="P329" s="843" t="n">
        <v>72800</v>
      </c>
      <c r="Q329" s="843">
        <f>P329</f>
        <v/>
      </c>
      <c r="S329" s="843" t="n">
        <v>70500</v>
      </c>
      <c r="T329" s="843">
        <f>S329</f>
        <v/>
      </c>
      <c r="U329" s="843" t="n">
        <v>70500</v>
      </c>
      <c r="V329" s="843">
        <f>U329</f>
        <v/>
      </c>
      <c r="W329" s="846">
        <f>U329/G329</f>
        <v/>
      </c>
      <c r="X329" s="847">
        <f>SUM(U329-S329)/S329</f>
        <v/>
      </c>
      <c r="Y329" s="843" t="inlineStr">
        <is>
          <t>D</t>
        </is>
      </c>
      <c r="Z329" s="590" t="n"/>
      <c r="AA329" s="848" t="n"/>
      <c r="AB329" s="842" t="inlineStr">
        <is>
          <t>No</t>
        </is>
      </c>
      <c r="AC329" s="841" t="inlineStr">
        <is>
          <t>Tenant break on 6 months notice. 3 months rent free if break not exercised.</t>
        </is>
      </c>
      <c r="AF329" s="312" t="n"/>
    </row>
    <row r="330">
      <c r="A330" s="839" t="inlineStr">
        <is>
          <t>WS</t>
        </is>
      </c>
      <c r="B330" s="839" t="inlineStr">
        <is>
          <t>MEL</t>
        </is>
      </c>
      <c r="C330" s="840" t="n">
        <v>550870</v>
      </c>
      <c r="D330" s="841" t="inlineStr">
        <is>
          <t>67 - 81 Mortimer Street</t>
        </is>
      </c>
      <c r="E330" s="841" t="inlineStr">
        <is>
          <t>Third Floor (East)</t>
        </is>
      </c>
      <c r="F330" s="842" t="inlineStr">
        <is>
          <t>Office</t>
        </is>
      </c>
      <c r="G330" s="849" t="n">
        <v>1371</v>
      </c>
      <c r="H330" s="849">
        <f>G330</f>
        <v/>
      </c>
      <c r="I330" s="849" t="n">
        <v>1250</v>
      </c>
      <c r="J330" s="841" t="inlineStr">
        <is>
          <t>Vacant</t>
        </is>
      </c>
      <c r="M330" s="845" t="n">
        <v>44647</v>
      </c>
      <c r="N330" s="844" t="n"/>
      <c r="O330" s="844" t="n"/>
      <c r="P330" s="843" t="n">
        <v>0</v>
      </c>
      <c r="Q330" s="843">
        <f>P330</f>
        <v/>
      </c>
      <c r="S330" s="843" t="n">
        <v>75400</v>
      </c>
      <c r="T330" s="843">
        <f>S330</f>
        <v/>
      </c>
      <c r="U330" s="843" t="n">
        <v>75400</v>
      </c>
      <c r="V330" s="843">
        <f>U330</f>
        <v/>
      </c>
      <c r="W330" s="846">
        <f>U330/G330</f>
        <v/>
      </c>
      <c r="X330" s="847">
        <f>SUM(U330-S330)/S330</f>
        <v/>
      </c>
      <c r="Y330" s="617" t="inlineStr">
        <is>
          <t>B</t>
        </is>
      </c>
      <c r="Z330" s="590" t="n"/>
      <c r="AA330" s="848" t="n"/>
      <c r="AB330" s="842" t="inlineStr">
        <is>
          <t>No</t>
        </is>
      </c>
      <c r="AC330" s="841" t="inlineStr">
        <is>
          <t>Under offer</t>
        </is>
      </c>
      <c r="AD330" s="850" t="n">
        <v>62</v>
      </c>
      <c r="AE330" s="841" t="n"/>
      <c r="AF330" s="312" t="n">
        <v>2</v>
      </c>
      <c r="AG330" s="841" t="n"/>
    </row>
    <row r="331">
      <c r="A331" s="839" t="inlineStr">
        <is>
          <t>WS</t>
        </is>
      </c>
      <c r="B331" s="839" t="inlineStr">
        <is>
          <t>MEL</t>
        </is>
      </c>
      <c r="C331" s="840" t="n">
        <v>550870</v>
      </c>
      <c r="D331" s="841" t="inlineStr">
        <is>
          <t>67 - 81 Mortimer Street</t>
        </is>
      </c>
      <c r="E331" s="841" t="inlineStr">
        <is>
          <t>Third Floor (West)</t>
        </is>
      </c>
      <c r="F331" s="842" t="inlineStr">
        <is>
          <t>Office</t>
        </is>
      </c>
      <c r="G331" s="849" t="n">
        <v>1204</v>
      </c>
      <c r="H331" s="849">
        <f>G331</f>
        <v/>
      </c>
      <c r="I331" s="849" t="n">
        <v>1250</v>
      </c>
      <c r="J331" s="841" t="inlineStr">
        <is>
          <t>Vacant</t>
        </is>
      </c>
      <c r="M331" s="845" t="n">
        <v>42983</v>
      </c>
      <c r="N331" s="844" t="n"/>
      <c r="O331" s="844" t="n"/>
      <c r="P331" s="843" t="n">
        <v>0</v>
      </c>
      <c r="Q331" s="843">
        <f>P331</f>
        <v/>
      </c>
      <c r="S331" s="843" t="n">
        <v>66200</v>
      </c>
      <c r="T331" s="843">
        <f>S331</f>
        <v/>
      </c>
      <c r="U331" s="843" t="n">
        <v>66200</v>
      </c>
      <c r="V331" s="843">
        <f>U331</f>
        <v/>
      </c>
      <c r="W331" s="846">
        <f>U331/G331</f>
        <v/>
      </c>
      <c r="X331" s="847">
        <f>SUM(U331-S331)/S331</f>
        <v/>
      </c>
      <c r="Y331" s="617" t="inlineStr">
        <is>
          <t>B</t>
        </is>
      </c>
      <c r="Z331" s="590" t="n"/>
      <c r="AA331" s="848" t="n"/>
      <c r="AB331" s="842" t="inlineStr">
        <is>
          <t>No</t>
        </is>
      </c>
      <c r="AC331" s="841" t="inlineStr">
        <is>
          <t>Under offer</t>
        </is>
      </c>
      <c r="AD331" s="850" t="n">
        <v>62</v>
      </c>
      <c r="AE331" s="841" t="n"/>
      <c r="AF331" s="312" t="n">
        <v>2</v>
      </c>
      <c r="AG331" s="841" t="n"/>
    </row>
    <row r="332">
      <c r="A332" s="839" t="inlineStr">
        <is>
          <t>WS</t>
        </is>
      </c>
      <c r="B332" s="839" t="inlineStr">
        <is>
          <t>MEL</t>
        </is>
      </c>
      <c r="C332" s="840" t="n">
        <v>550980</v>
      </c>
      <c r="D332" s="841" t="inlineStr">
        <is>
          <t>93 Mortimer Street &amp; 43 Great Portland Street</t>
        </is>
      </c>
      <c r="E332" s="841" t="inlineStr">
        <is>
          <t>Whole</t>
        </is>
      </c>
      <c r="F332" s="842" t="inlineStr">
        <is>
          <t>Gallery</t>
        </is>
      </c>
      <c r="G332" s="18" t="n">
        <v>10112</v>
      </c>
      <c r="H332" s="591">
        <f>G332</f>
        <v/>
      </c>
      <c r="I332" s="591" t="n"/>
      <c r="J332" s="841" t="inlineStr">
        <is>
          <t>IBRAAZ</t>
        </is>
      </c>
      <c r="K332" s="844" t="n">
        <v>45708</v>
      </c>
      <c r="L332" s="845" t="n">
        <v>51185</v>
      </c>
      <c r="N332" s="845" t="n">
        <v>47534</v>
      </c>
      <c r="O332" s="845" t="n">
        <v>47898</v>
      </c>
      <c r="P332" s="591" t="n">
        <v>550000</v>
      </c>
      <c r="Q332" s="591">
        <f>P332</f>
        <v/>
      </c>
      <c r="R332" s="591">
        <f>Q332</f>
        <v/>
      </c>
      <c r="S332" s="591" t="n">
        <v>750000</v>
      </c>
      <c r="T332" s="591">
        <f>S332</f>
        <v/>
      </c>
      <c r="U332" s="591" t="n">
        <v>685000</v>
      </c>
      <c r="V332" s="591">
        <f>U332</f>
        <v/>
      </c>
      <c r="W332" s="846">
        <f>U332/G332</f>
        <v/>
      </c>
      <c r="X332" s="847">
        <f>SUM(U332-S332)/S332</f>
        <v/>
      </c>
      <c r="Y332" s="591" t="inlineStr">
        <is>
          <t>A</t>
        </is>
      </c>
      <c r="Z332" s="603" t="n"/>
      <c r="AA332" s="591" t="n">
        <v>11800000</v>
      </c>
      <c r="AB332" s="842" t="inlineStr">
        <is>
          <t>No</t>
        </is>
      </c>
      <c r="AC332" s="841" t="inlineStr">
        <is>
          <t>Rent increases reverts to £700,000 wef 20/02/30 subject to rent review.</t>
        </is>
      </c>
      <c r="AE332" s="841" t="n">
        <v>1</v>
      </c>
      <c r="AF332" s="312" t="n">
        <v>3</v>
      </c>
    </row>
    <row r="333">
      <c r="A333" s="839" t="inlineStr">
        <is>
          <t>JM</t>
        </is>
      </c>
      <c r="B333" s="839" t="inlineStr">
        <is>
          <t>MEL</t>
        </is>
      </c>
      <c r="C333" s="840" t="n">
        <v>100850</v>
      </c>
      <c r="D333" s="841" t="inlineStr">
        <is>
          <t>142-144 Oxford Street</t>
        </is>
      </c>
      <c r="E333" s="841" t="inlineStr">
        <is>
          <t>Basement, Ground &amp; First Floors</t>
        </is>
      </c>
      <c r="F333" s="842" t="inlineStr">
        <is>
          <t>Retail/ Ancillary</t>
        </is>
      </c>
      <c r="G333" s="849" t="n">
        <v>5200</v>
      </c>
      <c r="H333" s="849">
        <f>G333</f>
        <v/>
      </c>
      <c r="I333" s="849" t="n">
        <v>5000</v>
      </c>
      <c r="J333" s="841" t="inlineStr">
        <is>
          <t>Telefonica UK Ltd</t>
        </is>
      </c>
      <c r="K333" s="844" t="n">
        <v>45776</v>
      </c>
      <c r="L333" s="845" t="n">
        <v>49427</v>
      </c>
      <c r="N333" s="845" t="n">
        <v>47602</v>
      </c>
      <c r="O333" s="845" t="n">
        <v>47601</v>
      </c>
      <c r="P333" s="843" t="n">
        <v>0</v>
      </c>
      <c r="Q333" s="843">
        <f>P333</f>
        <v/>
      </c>
      <c r="S333" s="849" t="n">
        <v>616000</v>
      </c>
      <c r="T333" s="843">
        <f>S333</f>
        <v/>
      </c>
      <c r="U333" s="849" t="n">
        <v>617000</v>
      </c>
      <c r="V333" s="843">
        <f>U333</f>
        <v/>
      </c>
      <c r="W333" s="846">
        <f>U333/G333</f>
        <v/>
      </c>
      <c r="X333" s="847">
        <f>SUM(U333-S333)/S333</f>
        <v/>
      </c>
      <c r="Y333" s="843" t="inlineStr">
        <is>
          <t>B</t>
        </is>
      </c>
      <c r="Z333" s="590" t="n"/>
      <c r="AA333" s="591" t="n"/>
      <c r="AB333" s="842" t="inlineStr">
        <is>
          <t>No</t>
        </is>
      </c>
      <c r="AC333" s="841" t="inlineStr">
        <is>
          <t>Rent wef £352,500 wef 23/07/25, increasing to £705,000 wef 24/07/26. Tenant break on 6 months notice.</t>
        </is>
      </c>
      <c r="AD333" s="850" t="n"/>
      <c r="AE333" s="841" t="n">
        <v>1</v>
      </c>
      <c r="AF333" s="312" t="n">
        <v>3</v>
      </c>
      <c r="AG333" s="841" t="inlineStr">
        <is>
          <t>LEM</t>
        </is>
      </c>
    </row>
    <row r="334">
      <c r="A334" s="839" t="inlineStr">
        <is>
          <t>JM</t>
        </is>
      </c>
      <c r="B334" s="839" t="inlineStr">
        <is>
          <t>MEL</t>
        </is>
      </c>
      <c r="C334" s="840" t="n">
        <v>100850</v>
      </c>
      <c r="D334" s="841" t="inlineStr">
        <is>
          <t>142-144 Oxford Street</t>
        </is>
      </c>
      <c r="E334" s="841" t="inlineStr">
        <is>
          <t>Kiosk in Adam and Eve Court</t>
        </is>
      </c>
      <c r="F334" s="842" t="inlineStr">
        <is>
          <t>Kiosk</t>
        </is>
      </c>
      <c r="G334" s="856" t="n">
        <v>85</v>
      </c>
      <c r="H334" s="849">
        <f>G334</f>
        <v/>
      </c>
      <c r="J334" s="854" t="inlineStr">
        <is>
          <t>The Prudential Assurance Company Ltd.</t>
        </is>
      </c>
      <c r="K334" s="844" t="n">
        <v>45589</v>
      </c>
      <c r="L334" s="844" t="n">
        <v>45953</v>
      </c>
      <c r="M334" s="844" t="n"/>
      <c r="P334" s="843" t="n">
        <v>68250</v>
      </c>
      <c r="Q334" s="843">
        <f>P334</f>
        <v/>
      </c>
      <c r="S334" s="849" t="n">
        <v>65000</v>
      </c>
      <c r="T334" s="843">
        <f>S334</f>
        <v/>
      </c>
      <c r="U334" s="849" t="n">
        <v>0</v>
      </c>
      <c r="V334" s="843">
        <f>U334</f>
        <v/>
      </c>
      <c r="W334" s="846">
        <f>U334/G334</f>
        <v/>
      </c>
      <c r="X334" s="847">
        <f>SUM(U334-S334)/S334</f>
        <v/>
      </c>
      <c r="Y334" s="843" t="n"/>
      <c r="Z334" s="590" t="n"/>
      <c r="AA334" s="591" t="n"/>
      <c r="AB334" s="842" t="inlineStr">
        <is>
          <t>No</t>
        </is>
      </c>
      <c r="AC334" s="854" t="inlineStr">
        <is>
          <t>Tenant rolling break on 3 months notice. Tenant has renewal option at stepped rent. Landlord redevelopment break @ 16/01/27 on 6 months notice.</t>
        </is>
      </c>
      <c r="AE334" s="854" t="n"/>
      <c r="AF334" s="318" t="n"/>
      <c r="AG334" s="854" t="n"/>
    </row>
    <row r="335">
      <c r="A335" s="839" t="inlineStr">
        <is>
          <t>JM</t>
        </is>
      </c>
      <c r="B335" s="839" t="inlineStr">
        <is>
          <t>MEL</t>
        </is>
      </c>
      <c r="C335" s="840" t="n">
        <v>100850</v>
      </c>
      <c r="D335" s="841" t="inlineStr">
        <is>
          <t>142-144 Oxford Street</t>
        </is>
      </c>
      <c r="E335" s="841" t="inlineStr">
        <is>
          <t>Flats 1 - 9 Inclusive</t>
        </is>
      </c>
      <c r="F335" s="842" t="inlineStr">
        <is>
          <t>Residential</t>
        </is>
      </c>
      <c r="G335" s="856" t="n">
        <v>4011</v>
      </c>
      <c r="H335" s="849">
        <f>G335</f>
        <v/>
      </c>
      <c r="I335" s="849" t="n">
        <v>4000</v>
      </c>
      <c r="J335" s="841" t="inlineStr">
        <is>
          <t>Advan Capital Limited</t>
        </is>
      </c>
      <c r="K335" s="844" t="n">
        <v>44204</v>
      </c>
      <c r="L335" s="845" t="n">
        <v>47855</v>
      </c>
      <c r="N335" s="845" t="n">
        <v>46030</v>
      </c>
      <c r="P335" s="843" t="n">
        <v>130000</v>
      </c>
      <c r="Q335" s="843">
        <f>P335</f>
        <v/>
      </c>
      <c r="S335" s="849" t="n">
        <v>130000</v>
      </c>
      <c r="T335" s="843">
        <f>S335</f>
        <v/>
      </c>
      <c r="U335" s="849" t="n">
        <v>130000</v>
      </c>
      <c r="V335" s="843">
        <f>U335</f>
        <v/>
      </c>
      <c r="W335" s="846">
        <f>U335/G335</f>
        <v/>
      </c>
      <c r="X335" s="847">
        <f>SUM(U335-S335)/S335</f>
        <v/>
      </c>
      <c r="Y335" s="843" t="inlineStr">
        <is>
          <t>B</t>
        </is>
      </c>
      <c r="Z335" s="590" t="n"/>
      <c r="AA335" s="591" t="n"/>
      <c r="AB335" s="842" t="inlineStr">
        <is>
          <t>No</t>
        </is>
      </c>
      <c r="AC335" s="854" t="n"/>
      <c r="AE335" s="854" t="n"/>
      <c r="AF335" s="318" t="n"/>
      <c r="AG335" s="854" t="n"/>
    </row>
    <row r="336">
      <c r="A336" s="839" t="inlineStr">
        <is>
          <t>JM</t>
        </is>
      </c>
      <c r="B336" s="839" t="inlineStr">
        <is>
          <t>MEL</t>
        </is>
      </c>
      <c r="C336" s="840" t="n">
        <v>100670</v>
      </c>
      <c r="D336" s="841" t="inlineStr">
        <is>
          <t>146/148 Oxford Street</t>
        </is>
      </c>
      <c r="E336" s="841" t="inlineStr">
        <is>
          <t>Vaults, Basement &amp; Ground Floors</t>
        </is>
      </c>
      <c r="F336" s="842" t="inlineStr">
        <is>
          <t>Retail</t>
        </is>
      </c>
      <c r="G336" s="849" t="n">
        <v>3348</v>
      </c>
      <c r="H336" s="843">
        <f>G336</f>
        <v/>
      </c>
      <c r="I336" s="843" t="n">
        <v>3250</v>
      </c>
      <c r="J336" s="841" t="inlineStr">
        <is>
          <t>Holland &amp; Barrett Retail Ltd</t>
        </is>
      </c>
      <c r="K336" s="844" t="n">
        <v>45600</v>
      </c>
      <c r="L336" s="845" t="n">
        <v>49251</v>
      </c>
      <c r="N336" s="845" t="n">
        <v>47426</v>
      </c>
      <c r="O336" s="845" t="n">
        <v>47790</v>
      </c>
      <c r="P336" s="843" t="n">
        <v>260000</v>
      </c>
      <c r="Q336" s="843">
        <f>P336</f>
        <v/>
      </c>
      <c r="S336" s="843" t="n">
        <v>522500</v>
      </c>
      <c r="T336" s="843">
        <f>S336</f>
        <v/>
      </c>
      <c r="U336" s="843" t="n">
        <v>522500</v>
      </c>
      <c r="V336" s="843">
        <f>U336</f>
        <v/>
      </c>
      <c r="W336" s="846">
        <f>U336/G336</f>
        <v/>
      </c>
      <c r="X336" s="847">
        <f>SUM(U336-S336)/S336</f>
        <v/>
      </c>
      <c r="Y336" s="843" t="inlineStr">
        <is>
          <t>B</t>
        </is>
      </c>
      <c r="Z336" s="590" t="n"/>
      <c r="AA336" s="855" t="n"/>
      <c r="AB336" s="842" t="inlineStr">
        <is>
          <t>No</t>
        </is>
      </c>
      <c r="AC336" s="841" t="inlineStr">
        <is>
          <t xml:space="preserve">Rent increases to £520,000 wef 04/08/26. Tenant break on 6 months notice. </t>
        </is>
      </c>
      <c r="AD336" s="599" t="n"/>
      <c r="AE336" s="29" t="n"/>
      <c r="AF336" s="313" t="n"/>
      <c r="AG336" s="29" t="n"/>
    </row>
    <row r="337">
      <c r="A337" s="839" t="inlineStr">
        <is>
          <t>JM</t>
        </is>
      </c>
      <c r="B337" s="839" t="inlineStr">
        <is>
          <t>MEL</t>
        </is>
      </c>
      <c r="C337" s="840" t="n">
        <v>100670</v>
      </c>
      <c r="D337" s="841" t="inlineStr">
        <is>
          <t>146/148 Oxford Street</t>
        </is>
      </c>
      <c r="E337" s="841" t="inlineStr">
        <is>
          <t>First to Fourth Floors</t>
        </is>
      </c>
      <c r="F337" s="842" t="inlineStr">
        <is>
          <t>Educational</t>
        </is>
      </c>
      <c r="G337" s="849" t="n">
        <v>2964</v>
      </c>
      <c r="H337" s="843">
        <f>G337</f>
        <v/>
      </c>
      <c r="I337" s="843" t="n">
        <v>3000</v>
      </c>
      <c r="J337" s="841" t="inlineStr">
        <is>
          <t>Vacant</t>
        </is>
      </c>
      <c r="M337" s="845" t="n">
        <v>42593</v>
      </c>
      <c r="P337" s="843" t="n">
        <v>0</v>
      </c>
      <c r="Q337" s="843">
        <f>P337</f>
        <v/>
      </c>
      <c r="S337" s="843" t="n">
        <v>115000</v>
      </c>
      <c r="T337" s="843">
        <f>S337</f>
        <v/>
      </c>
      <c r="U337" s="843" t="n">
        <v>115000</v>
      </c>
      <c r="V337" s="843">
        <f>U337</f>
        <v/>
      </c>
      <c r="W337" s="846">
        <f>U337/G337</f>
        <v/>
      </c>
      <c r="X337" s="847">
        <f>SUM(U337-S337)/S337</f>
        <v/>
      </c>
      <c r="Y337" s="843" t="inlineStr">
        <is>
          <t>E</t>
        </is>
      </c>
      <c r="Z337" s="590" t="n"/>
      <c r="AA337" s="855" t="n"/>
      <c r="AB337" s="842" t="inlineStr">
        <is>
          <t>No</t>
        </is>
      </c>
      <c r="AC337" s="841" t="inlineStr">
        <is>
          <t>To be refurbished.</t>
        </is>
      </c>
      <c r="AF337" s="312" t="n"/>
    </row>
    <row r="338">
      <c r="A338" s="839" t="inlineStr">
        <is>
          <t>JM</t>
        </is>
      </c>
      <c r="B338" s="839" t="inlineStr">
        <is>
          <t>MEL</t>
        </is>
      </c>
      <c r="C338" s="840" t="n">
        <v>100650</v>
      </c>
      <c r="D338" s="841" t="inlineStr">
        <is>
          <t>150/154 Oxford Street</t>
        </is>
      </c>
      <c r="E338" s="841" t="inlineStr">
        <is>
          <t>Part Basement to Second Floors &amp; Rooftop Switch Room</t>
        </is>
      </c>
      <c r="F338" s="842" t="inlineStr">
        <is>
          <t>Retail</t>
        </is>
      </c>
      <c r="G338" s="18" t="n">
        <v>61433</v>
      </c>
      <c r="H338" s="843">
        <f>G338</f>
        <v/>
      </c>
      <c r="I338" s="843" t="n">
        <v>60000</v>
      </c>
      <c r="J338" s="841" t="inlineStr">
        <is>
          <t>Sportsdirect.com Retail Ltd</t>
        </is>
      </c>
      <c r="K338" s="844" t="n">
        <v>40925</v>
      </c>
      <c r="L338" s="845" t="n">
        <v>46403</v>
      </c>
      <c r="N338" s="845" t="n">
        <v>44578</v>
      </c>
      <c r="P338" s="591" t="n">
        <v>4275000</v>
      </c>
      <c r="Q338" s="843">
        <f>P338</f>
        <v/>
      </c>
      <c r="R338" s="591">
        <f>Q338</f>
        <v/>
      </c>
      <c r="S338" s="591" t="n">
        <v>2569000</v>
      </c>
      <c r="T338" s="843">
        <f>S338</f>
        <v/>
      </c>
      <c r="U338" s="591" t="n">
        <v>3039000</v>
      </c>
      <c r="V338" s="843">
        <f>U338</f>
        <v/>
      </c>
      <c r="W338" s="846">
        <f>U338/G338</f>
        <v/>
      </c>
      <c r="X338" s="847">
        <f>SUM(U338-S338)/S338</f>
        <v/>
      </c>
      <c r="Y338" s="843" t="inlineStr">
        <is>
          <t>B</t>
        </is>
      </c>
      <c r="Z338" s="590" t="n"/>
      <c r="AA338" s="591" t="n">
        <v>66775000</v>
      </c>
      <c r="AB338" s="842" t="inlineStr">
        <is>
          <t>Yes</t>
        </is>
      </c>
      <c r="AC338" s="841" t="inlineStr">
        <is>
          <t xml:space="preserve">Electricity Substation sublet by Sportsdirect.com. Rent review not yet activated. </t>
        </is>
      </c>
      <c r="AD338" s="850" t="n"/>
      <c r="AE338" s="841" t="n"/>
      <c r="AF338" s="312" t="n"/>
      <c r="AG338" s="841" t="n"/>
    </row>
    <row r="339">
      <c r="A339" s="839" t="inlineStr">
        <is>
          <t>JM</t>
        </is>
      </c>
      <c r="B339" s="839" t="inlineStr">
        <is>
          <t>MEL</t>
        </is>
      </c>
      <c r="C339" s="840" t="n">
        <v>100650</v>
      </c>
      <c r="D339" s="841" t="inlineStr">
        <is>
          <t>50-60 Eastcastle Street</t>
        </is>
      </c>
      <c r="E339" s="841" t="inlineStr">
        <is>
          <t>Basement (South East)</t>
        </is>
      </c>
      <c r="F339" s="842" t="inlineStr">
        <is>
          <t>Storage</t>
        </is>
      </c>
      <c r="G339" s="849" t="n">
        <v>114</v>
      </c>
      <c r="H339" s="849">
        <f>G339</f>
        <v/>
      </c>
      <c r="J339" s="841" t="inlineStr">
        <is>
          <t>Building Workshop</t>
        </is>
      </c>
      <c r="P339" s="843" t="n">
        <v>0</v>
      </c>
      <c r="Q339" s="843">
        <f>P339</f>
        <v/>
      </c>
      <c r="S339" s="843" t="n">
        <v>2007</v>
      </c>
      <c r="T339" s="843">
        <f>S339</f>
        <v/>
      </c>
      <c r="U339" s="843" t="n">
        <v>2007</v>
      </c>
      <c r="V339" s="843">
        <f>U339</f>
        <v/>
      </c>
      <c r="W339" s="846">
        <f>U339/G339</f>
        <v/>
      </c>
      <c r="X339" s="847">
        <f>SUM(U339-S339)/S339</f>
        <v/>
      </c>
      <c r="Y339" s="843" t="n"/>
      <c r="Z339" s="590" t="n"/>
      <c r="AA339" s="848" t="n"/>
      <c r="AB339" s="842" t="inlineStr">
        <is>
          <t>No</t>
        </is>
      </c>
      <c r="AF339" s="312" t="n"/>
    </row>
    <row r="340">
      <c r="A340" s="839" t="inlineStr">
        <is>
          <t>JM</t>
        </is>
      </c>
      <c r="B340" s="839" t="inlineStr">
        <is>
          <t>MEL</t>
        </is>
      </c>
      <c r="C340" s="840" t="n">
        <v>100650</v>
      </c>
      <c r="D340" s="841" t="inlineStr">
        <is>
          <t>50-60 Eastcastle Street</t>
        </is>
      </c>
      <c r="E340" s="841" t="inlineStr">
        <is>
          <t>Basement Store A</t>
        </is>
      </c>
      <c r="F340" s="842" t="inlineStr">
        <is>
          <t>Storage</t>
        </is>
      </c>
      <c r="G340" s="849" t="n">
        <v>454</v>
      </c>
      <c r="H340" s="849">
        <f>G340</f>
        <v/>
      </c>
      <c r="J340" s="841" t="inlineStr">
        <is>
          <t>Hope93 Ltd.</t>
        </is>
      </c>
      <c r="K340" s="844" t="n">
        <v>45685</v>
      </c>
      <c r="L340" s="845" t="n">
        <v>47358</v>
      </c>
      <c r="O340" s="845" t="n">
        <v>46627</v>
      </c>
      <c r="P340" s="843" t="n">
        <v>18000</v>
      </c>
      <c r="Q340" s="843">
        <f>P340</f>
        <v/>
      </c>
      <c r="S340" s="843" t="n">
        <v>7993</v>
      </c>
      <c r="T340" s="843" t="n"/>
      <c r="U340" s="843" t="n">
        <v>7993</v>
      </c>
      <c r="V340" s="843" t="n"/>
      <c r="W340" s="846">
        <f>U340/G340</f>
        <v/>
      </c>
      <c r="X340" s="847">
        <f>SUM(U340-S340)/S340</f>
        <v/>
      </c>
      <c r="Y340" s="843" t="n"/>
      <c r="Z340" s="590" t="n"/>
      <c r="AA340" s="848" t="n"/>
      <c r="AB340" s="842" t="n"/>
      <c r="AC340" s="841" t="inlineStr">
        <is>
          <t>Tenant break on 6 months notice.</t>
        </is>
      </c>
      <c r="AF340" s="312" t="n"/>
    </row>
    <row r="341">
      <c r="A341" s="839" t="inlineStr">
        <is>
          <t>JM</t>
        </is>
      </c>
      <c r="B341" s="839" t="inlineStr">
        <is>
          <t>MEL</t>
        </is>
      </c>
      <c r="C341" s="840" t="n">
        <v>100650</v>
      </c>
      <c r="D341" s="841" t="inlineStr">
        <is>
          <t>50-60 Eastcastle Street</t>
        </is>
      </c>
      <c r="E341" s="841" t="inlineStr">
        <is>
          <t>Basement (West)</t>
        </is>
      </c>
      <c r="F341" s="842" t="inlineStr">
        <is>
          <t>Building Managers Office</t>
        </is>
      </c>
      <c r="G341" s="849" t="n">
        <v>780</v>
      </c>
      <c r="H341" s="849">
        <f>G341</f>
        <v/>
      </c>
      <c r="I341" s="849" t="n">
        <v>750</v>
      </c>
      <c r="J341" s="841" t="inlineStr">
        <is>
          <t>Langham Estate Management Ltd</t>
        </is>
      </c>
      <c r="K341" s="844" t="n">
        <v>44562</v>
      </c>
      <c r="L341" s="845" t="n">
        <v>46752</v>
      </c>
      <c r="N341" s="845" t="n">
        <v>45292</v>
      </c>
      <c r="P341" s="843" t="n">
        <v>17100</v>
      </c>
      <c r="Q341" s="843">
        <f>P341</f>
        <v/>
      </c>
      <c r="S341" s="843" t="n">
        <v>12500</v>
      </c>
      <c r="T341" s="843">
        <f>S341</f>
        <v/>
      </c>
      <c r="U341" s="843" t="n">
        <v>12500</v>
      </c>
      <c r="V341" s="843">
        <f>U341</f>
        <v/>
      </c>
      <c r="W341" s="846">
        <f>U341/G341</f>
        <v/>
      </c>
      <c r="X341" s="847">
        <f>SUM(U341-S341)/S341</f>
        <v/>
      </c>
      <c r="Y341" s="843" t="inlineStr">
        <is>
          <t>D</t>
        </is>
      </c>
      <c r="Z341" s="590" t="n"/>
      <c r="AA341" s="848" t="n"/>
      <c r="AB341" s="842" t="inlineStr">
        <is>
          <t>No</t>
        </is>
      </c>
      <c r="AC341" s="841" t="inlineStr">
        <is>
          <t>2 yearly rent reviews. Mutual rolling break on 6 months notice. Internal Lease to another Lee Family Group Company.</t>
        </is>
      </c>
      <c r="AF341" s="312" t="n"/>
    </row>
    <row r="342">
      <c r="A342" s="839" t="inlineStr">
        <is>
          <t>JM</t>
        </is>
      </c>
      <c r="B342" s="839" t="inlineStr">
        <is>
          <t>MEL</t>
        </is>
      </c>
      <c r="C342" s="840" t="n">
        <v>100650</v>
      </c>
      <c r="D342" s="841" t="inlineStr">
        <is>
          <t>50-60 Eastcastle Street</t>
        </is>
      </c>
      <c r="E342" s="841" t="inlineStr">
        <is>
          <t>Grnd/Basement  - 10 &amp; 12 Winsley St.</t>
        </is>
      </c>
      <c r="F342" s="842" t="inlineStr">
        <is>
          <t>Restaurant</t>
        </is>
      </c>
      <c r="G342" s="849" t="n">
        <v>3661</v>
      </c>
      <c r="H342" s="849">
        <f>G342</f>
        <v/>
      </c>
      <c r="I342" s="849" t="n">
        <v>3500</v>
      </c>
      <c r="J342" s="841" t="inlineStr">
        <is>
          <t>Comptoir Group Plc</t>
        </is>
      </c>
      <c r="K342" s="844" t="n">
        <v>44115</v>
      </c>
      <c r="L342" s="845" t="n">
        <v>46670</v>
      </c>
      <c r="P342" s="843" t="n">
        <v>170000</v>
      </c>
      <c r="Q342" s="843">
        <f>P342</f>
        <v/>
      </c>
      <c r="S342" s="843" t="n">
        <v>216700</v>
      </c>
      <c r="T342" s="843">
        <f>S342</f>
        <v/>
      </c>
      <c r="U342" s="843" t="n">
        <v>216700</v>
      </c>
      <c r="V342" s="843">
        <f>U342</f>
        <v/>
      </c>
      <c r="W342" s="846">
        <f>U342/G342</f>
        <v/>
      </c>
      <c r="X342" s="847">
        <f>SUM(U342-S342)/S342</f>
        <v/>
      </c>
      <c r="Y342" s="843" t="inlineStr">
        <is>
          <t>D</t>
        </is>
      </c>
      <c r="Z342" s="590" t="n"/>
      <c r="AA342" s="848" t="n"/>
      <c r="AB342" s="842" t="inlineStr">
        <is>
          <t>No</t>
        </is>
      </c>
      <c r="AF342" s="312" t="n"/>
    </row>
    <row r="343">
      <c r="A343" s="839" t="inlineStr">
        <is>
          <t>JM</t>
        </is>
      </c>
      <c r="B343" s="839" t="inlineStr">
        <is>
          <t>MEL</t>
        </is>
      </c>
      <c r="C343" s="840" t="n">
        <v>100650</v>
      </c>
      <c r="D343" s="841" t="inlineStr">
        <is>
          <t>50-60 Eastcastle Street</t>
        </is>
      </c>
      <c r="E343" s="841" t="inlineStr">
        <is>
          <t>Basement 56-57 Eastcastle St.</t>
        </is>
      </c>
      <c r="F343" s="842" t="inlineStr">
        <is>
          <t>Showroom</t>
        </is>
      </c>
      <c r="G343" s="849" t="n">
        <v>1716</v>
      </c>
      <c r="H343" s="849">
        <f>G343</f>
        <v/>
      </c>
      <c r="I343" s="849" t="n">
        <v>1750</v>
      </c>
      <c r="J343" s="841" t="inlineStr">
        <is>
          <t>Vacant</t>
        </is>
      </c>
      <c r="P343" s="843" t="n">
        <v>0</v>
      </c>
      <c r="Q343" s="843">
        <f>P343</f>
        <v/>
      </c>
      <c r="S343" s="843" t="n">
        <v>107600</v>
      </c>
      <c r="T343" s="843">
        <f>S343</f>
        <v/>
      </c>
      <c r="U343" s="843" t="n">
        <v>107600</v>
      </c>
      <c r="V343" s="843">
        <f>U343</f>
        <v/>
      </c>
      <c r="W343" s="846">
        <f>U343/G343</f>
        <v/>
      </c>
      <c r="X343" s="847">
        <f>SUM(U343-S343)/S343</f>
        <v/>
      </c>
      <c r="Y343" s="843" t="inlineStr">
        <is>
          <t>D</t>
        </is>
      </c>
      <c r="Z343" s="590" t="n"/>
      <c r="AA343" s="848" t="n"/>
      <c r="AB343" s="842" t="inlineStr">
        <is>
          <t>No</t>
        </is>
      </c>
      <c r="AC343" s="841" t="inlineStr">
        <is>
          <t>Mothballed.</t>
        </is>
      </c>
      <c r="AF343" s="312" t="n"/>
    </row>
    <row r="344">
      <c r="A344" s="839" t="inlineStr">
        <is>
          <t>JM</t>
        </is>
      </c>
      <c r="B344" s="839" t="inlineStr">
        <is>
          <t>MEL</t>
        </is>
      </c>
      <c r="C344" s="840" t="n">
        <v>100650</v>
      </c>
      <c r="D344" s="841" t="inlineStr">
        <is>
          <t>50-60 Eastcastle Street</t>
        </is>
      </c>
      <c r="E344" s="841" t="inlineStr">
        <is>
          <t>Ground 56-57 Eastcastle St.</t>
        </is>
      </c>
      <c r="F344" s="842" t="inlineStr">
        <is>
          <t>Showroom</t>
        </is>
      </c>
      <c r="G344" s="849" t="n">
        <v>1952</v>
      </c>
      <c r="H344" s="849">
        <f>G344</f>
        <v/>
      </c>
      <c r="I344" s="849" t="n">
        <v>2000</v>
      </c>
      <c r="J344" s="841" t="inlineStr">
        <is>
          <t>YG Group Ltd</t>
        </is>
      </c>
      <c r="K344" s="844" t="n">
        <v>45450</v>
      </c>
      <c r="L344" s="845" t="n">
        <v>49101</v>
      </c>
      <c r="N344" s="845" t="n">
        <v>47276</v>
      </c>
      <c r="O344" s="845" t="n">
        <v>47275</v>
      </c>
      <c r="P344" s="617" t="n">
        <v>159500</v>
      </c>
      <c r="Q344" s="843">
        <f>P344</f>
        <v/>
      </c>
      <c r="S344" s="843" t="n">
        <v>122400</v>
      </c>
      <c r="T344" s="843">
        <f>S344</f>
        <v/>
      </c>
      <c r="U344" s="843" t="n">
        <v>122400</v>
      </c>
      <c r="V344" s="843">
        <f>U344</f>
        <v/>
      </c>
      <c r="W344" s="846">
        <f>U344/G344</f>
        <v/>
      </c>
      <c r="X344" s="847">
        <f>SUM(U344-S344)/S344</f>
        <v/>
      </c>
      <c r="Y344" s="843" t="inlineStr">
        <is>
          <t>C</t>
        </is>
      </c>
      <c r="Z344" s="590" t="n"/>
      <c r="AA344" s="848" t="n"/>
      <c r="AB344" s="842" t="inlineStr">
        <is>
          <t>No</t>
        </is>
      </c>
      <c r="AC344" s="841" t="inlineStr">
        <is>
          <t>Mutual break on 6 months notice. 5 months rent free amortised over 1yr if break not exercised.</t>
        </is>
      </c>
      <c r="AF344" s="312" t="n"/>
    </row>
    <row r="345">
      <c r="A345" s="839" t="inlineStr">
        <is>
          <t>JM</t>
        </is>
      </c>
      <c r="B345" s="839" t="inlineStr">
        <is>
          <t>MEL</t>
        </is>
      </c>
      <c r="C345" s="840" t="n">
        <v>100650</v>
      </c>
      <c r="D345" s="841" t="inlineStr">
        <is>
          <t>50-60 Eastcastle Street</t>
        </is>
      </c>
      <c r="E345" s="841" t="inlineStr">
        <is>
          <t>Grnd/Basement - 55 Eastcastle St.</t>
        </is>
      </c>
      <c r="F345" s="842" t="inlineStr">
        <is>
          <t>Art Gallery</t>
        </is>
      </c>
      <c r="G345" s="849" t="n">
        <v>1710</v>
      </c>
      <c r="H345" s="849">
        <f>G345</f>
        <v/>
      </c>
      <c r="I345" s="849" t="n">
        <v>1750</v>
      </c>
      <c r="J345" s="841" t="inlineStr">
        <is>
          <t>PI Artworks Ltd.</t>
        </is>
      </c>
      <c r="K345" s="844" t="n">
        <v>45143</v>
      </c>
      <c r="L345" s="845" t="n">
        <v>45873</v>
      </c>
      <c r="P345" s="843" t="n">
        <v>100000</v>
      </c>
      <c r="Q345" s="843">
        <f>P345</f>
        <v/>
      </c>
      <c r="S345" s="843" t="n">
        <v>85500</v>
      </c>
      <c r="T345" s="843">
        <f>S345</f>
        <v/>
      </c>
      <c r="U345" s="843" t="n">
        <v>100000</v>
      </c>
      <c r="V345" s="843">
        <f>U345</f>
        <v/>
      </c>
      <c r="W345" s="846">
        <f>U345/G345</f>
        <v/>
      </c>
      <c r="X345" s="847">
        <f>SUM(U345-S345)/S345</f>
        <v/>
      </c>
      <c r="Y345" s="843" t="inlineStr">
        <is>
          <t>D</t>
        </is>
      </c>
      <c r="Z345" s="590" t="n"/>
      <c r="AA345" s="848" t="n"/>
      <c r="AB345" s="842" t="inlineStr">
        <is>
          <t>No</t>
        </is>
      </c>
      <c r="AC345" s="841" t="inlineStr">
        <is>
          <t>Tenant confirmed they will vacate on expiry.</t>
        </is>
      </c>
      <c r="AF345" s="312" t="n"/>
    </row>
    <row r="346">
      <c r="A346" s="839" t="inlineStr">
        <is>
          <t>JM</t>
        </is>
      </c>
      <c r="B346" s="839" t="inlineStr">
        <is>
          <t>MEL</t>
        </is>
      </c>
      <c r="C346" s="840" t="n">
        <v>100650</v>
      </c>
      <c r="D346" s="841" t="inlineStr">
        <is>
          <t>50-60 Eastcastle Street</t>
        </is>
      </c>
      <c r="E346" s="841" t="inlineStr">
        <is>
          <t>Grnd/Basement - 54 Eastcastle St</t>
        </is>
      </c>
      <c r="F346" s="842" t="inlineStr">
        <is>
          <t>Art Gallery</t>
        </is>
      </c>
      <c r="G346" s="849" t="n">
        <v>3601</v>
      </c>
      <c r="H346" s="849">
        <f>G346</f>
        <v/>
      </c>
      <c r="I346" s="849" t="n">
        <v>3500</v>
      </c>
      <c r="J346" s="841" t="inlineStr">
        <is>
          <t>Hope93 Ltd.</t>
        </is>
      </c>
      <c r="K346" s="844" t="n">
        <v>45533</v>
      </c>
      <c r="L346" s="845" t="n">
        <v>49184</v>
      </c>
      <c r="N346" s="845" t="n">
        <v>47359</v>
      </c>
      <c r="O346" s="845" t="n">
        <v>46627</v>
      </c>
      <c r="P346" s="843" t="n">
        <v>83500</v>
      </c>
      <c r="Q346" s="843">
        <f>P346</f>
        <v/>
      </c>
      <c r="S346" s="843" t="n">
        <v>144000</v>
      </c>
      <c r="T346" s="843">
        <f>S346</f>
        <v/>
      </c>
      <c r="U346" s="843" t="n">
        <v>167400</v>
      </c>
      <c r="V346" s="843">
        <f>U346</f>
        <v/>
      </c>
      <c r="W346" s="846">
        <f>U346/G346</f>
        <v/>
      </c>
      <c r="X346" s="847">
        <f>SUM(U346-S346)/S346</f>
        <v/>
      </c>
      <c r="Y346" s="843" t="inlineStr">
        <is>
          <t>D</t>
        </is>
      </c>
      <c r="Z346" s="590" t="n"/>
      <c r="AA346" s="855" t="n"/>
      <c r="AB346" s="842" t="inlineStr">
        <is>
          <t>No</t>
        </is>
      </c>
      <c r="AC346" s="841" t="inlineStr">
        <is>
          <t>Rent increasing to £167,000 pa wef 29/08/29. Further break @ 28/08/29 on 6 months notice. Penalty clause of £27,833 for first break.</t>
        </is>
      </c>
      <c r="AE346" s="29" t="n"/>
      <c r="AF346" s="313" t="n"/>
      <c r="AG346" s="29" t="n"/>
    </row>
    <row r="347">
      <c r="A347" s="839" t="inlineStr">
        <is>
          <t>JM</t>
        </is>
      </c>
      <c r="B347" s="839" t="inlineStr">
        <is>
          <t>MEL</t>
        </is>
      </c>
      <c r="C347" s="840" t="n">
        <v>100650</v>
      </c>
      <c r="D347" s="841" t="inlineStr">
        <is>
          <t>50-60 Eastcastle Street</t>
        </is>
      </c>
      <c r="E347" s="841" t="inlineStr">
        <is>
          <t>Grnd/Basement - 51, 52 &amp; 53 Eastcastle St.</t>
        </is>
      </c>
      <c r="F347" s="842" t="inlineStr">
        <is>
          <t>Restaurant</t>
        </is>
      </c>
      <c r="G347" s="849" t="n">
        <v>6889</v>
      </c>
      <c r="H347" s="849">
        <f>G347</f>
        <v/>
      </c>
      <c r="I347" s="849" t="n">
        <v>7000</v>
      </c>
      <c r="J347" s="841" t="inlineStr">
        <is>
          <t>Stay On Target Ltd</t>
        </is>
      </c>
      <c r="K347" s="844" t="n">
        <v>44630</v>
      </c>
      <c r="L347" s="845" t="n">
        <v>48282</v>
      </c>
      <c r="N347" s="845" t="n">
        <v>46456</v>
      </c>
      <c r="P347" s="843" t="n">
        <v>385000</v>
      </c>
      <c r="Q347" s="843">
        <f>P347</f>
        <v/>
      </c>
      <c r="S347" s="843" t="n">
        <v>390000</v>
      </c>
      <c r="T347" s="843">
        <f>S347</f>
        <v/>
      </c>
      <c r="U347" s="843" t="n">
        <v>390000</v>
      </c>
      <c r="V347" s="843">
        <f>U347</f>
        <v/>
      </c>
      <c r="W347" s="846">
        <f>U347/G347</f>
        <v/>
      </c>
      <c r="X347" s="847">
        <f>SUM(U347-S347)/S347</f>
        <v/>
      </c>
      <c r="Y347" s="843" t="inlineStr">
        <is>
          <t>A</t>
        </is>
      </c>
      <c r="Z347" s="590" t="n"/>
      <c r="AA347" s="855" t="n"/>
      <c r="AB347" s="842" t="inlineStr">
        <is>
          <t>No</t>
        </is>
      </c>
      <c r="AC347" s="841" t="inlineStr">
        <is>
          <t>Stepped rent. £390,000 wef 10/03/26. Penalty of £27,833 if first break activated. Parent company (Whistle Punks Ltd) in liquidation.</t>
        </is>
      </c>
      <c r="AF347" s="312" t="n"/>
    </row>
    <row r="348">
      <c r="A348" s="839" t="inlineStr">
        <is>
          <t>JM</t>
        </is>
      </c>
      <c r="B348" s="839" t="inlineStr">
        <is>
          <t>MEL</t>
        </is>
      </c>
      <c r="C348" s="840" t="n">
        <v>100650</v>
      </c>
      <c r="D348" s="841" t="inlineStr">
        <is>
          <t>50-60 Eastcastle Street</t>
        </is>
      </c>
      <c r="E348" s="841" t="inlineStr">
        <is>
          <t>First Floor (100)</t>
        </is>
      </c>
      <c r="F348" s="842" t="inlineStr">
        <is>
          <t>Office</t>
        </is>
      </c>
      <c r="G348" s="849" t="n">
        <v>1200</v>
      </c>
      <c r="H348" s="849">
        <f>G348</f>
        <v/>
      </c>
      <c r="I348" s="849" t="n">
        <v>1250</v>
      </c>
      <c r="J348" s="29" t="inlineStr">
        <is>
          <t>Vacant</t>
        </is>
      </c>
      <c r="M348" s="620" t="n">
        <v>45793</v>
      </c>
      <c r="P348" s="617" t="n">
        <v>0</v>
      </c>
      <c r="Q348" s="843">
        <f>P348</f>
        <v/>
      </c>
      <c r="S348" s="843" t="n">
        <v>72000</v>
      </c>
      <c r="T348" s="843">
        <f>S348</f>
        <v/>
      </c>
      <c r="U348" s="843" t="n">
        <v>69000</v>
      </c>
      <c r="V348" s="843">
        <f>U348</f>
        <v/>
      </c>
      <c r="W348" s="846">
        <f>U348/G348</f>
        <v/>
      </c>
      <c r="X348" s="847">
        <f>SUM(U348-S348)/S348</f>
        <v/>
      </c>
      <c r="Y348" s="843" t="inlineStr">
        <is>
          <t>D</t>
        </is>
      </c>
      <c r="Z348" s="590" t="n"/>
      <c r="AA348" s="855" t="n"/>
      <c r="AB348" s="842" t="inlineStr">
        <is>
          <t>No</t>
        </is>
      </c>
      <c r="AC348" s="29" t="inlineStr">
        <is>
          <t>LEM marketing.</t>
        </is>
      </c>
      <c r="AF348" s="312" t="n">
        <v>8</v>
      </c>
    </row>
    <row r="349">
      <c r="A349" s="839" t="inlineStr">
        <is>
          <t>JM</t>
        </is>
      </c>
      <c r="B349" s="839" t="inlineStr">
        <is>
          <t>MEL</t>
        </is>
      </c>
      <c r="C349" s="840" t="n">
        <v>100650</v>
      </c>
      <c r="D349" s="841" t="inlineStr">
        <is>
          <t>50-60 Eastcastle Street</t>
        </is>
      </c>
      <c r="E349" s="841" t="inlineStr">
        <is>
          <t>First Floor  (140)</t>
        </is>
      </c>
      <c r="F349" s="842" t="inlineStr">
        <is>
          <t>Showroom/ Office</t>
        </is>
      </c>
      <c r="G349" s="849" t="n">
        <v>1372</v>
      </c>
      <c r="H349" s="849">
        <f>G349</f>
        <v/>
      </c>
      <c r="I349" s="849" t="n">
        <v>1250</v>
      </c>
      <c r="J349" s="841" t="inlineStr">
        <is>
          <t>Vacant</t>
        </is>
      </c>
      <c r="M349" s="845" t="n">
        <v>45672</v>
      </c>
      <c r="P349" s="843" t="n">
        <v>0</v>
      </c>
      <c r="Q349" s="843">
        <f>P349</f>
        <v/>
      </c>
      <c r="S349" s="843" t="n">
        <v>82300</v>
      </c>
      <c r="T349" s="843">
        <f>S349</f>
        <v/>
      </c>
      <c r="U349" s="843" t="n">
        <v>78900</v>
      </c>
      <c r="V349" s="843">
        <f>U349</f>
        <v/>
      </c>
      <c r="W349" s="846">
        <f>U349/G349</f>
        <v/>
      </c>
      <c r="X349" s="847">
        <f>SUM(U349-S349)/S349</f>
        <v/>
      </c>
      <c r="Y349" s="843" t="inlineStr">
        <is>
          <t>D</t>
        </is>
      </c>
      <c r="Z349" s="590" t="n"/>
      <c r="AA349" s="855" t="n"/>
      <c r="AB349" s="842" t="inlineStr">
        <is>
          <t>No</t>
        </is>
      </c>
      <c r="AC349" s="841" t="inlineStr">
        <is>
          <t>LEM marketing.</t>
        </is>
      </c>
      <c r="AF349" s="312" t="n"/>
    </row>
    <row r="350">
      <c r="A350" s="839" t="inlineStr">
        <is>
          <t>JM</t>
        </is>
      </c>
      <c r="B350" s="839" t="inlineStr">
        <is>
          <t>MEL</t>
        </is>
      </c>
      <c r="C350" s="840" t="n">
        <v>100650</v>
      </c>
      <c r="D350" s="841" t="inlineStr">
        <is>
          <t>50-60 Eastcastle Street</t>
        </is>
      </c>
      <c r="E350" s="841" t="inlineStr">
        <is>
          <t>First Floor (120)</t>
        </is>
      </c>
      <c r="F350" s="842" t="inlineStr">
        <is>
          <t>Showroom/ Office</t>
        </is>
      </c>
      <c r="G350" s="849" t="n">
        <v>1020</v>
      </c>
      <c r="H350" s="849">
        <f>G350</f>
        <v/>
      </c>
      <c r="I350" s="849" t="n">
        <v>1000</v>
      </c>
      <c r="J350" s="841" t="inlineStr">
        <is>
          <t>Vacant</t>
        </is>
      </c>
      <c r="M350" s="845" t="n">
        <v>44576</v>
      </c>
      <c r="P350" s="843" t="n">
        <v>0</v>
      </c>
      <c r="Q350" s="843">
        <f>P350</f>
        <v/>
      </c>
      <c r="S350" s="843" t="n">
        <v>61200</v>
      </c>
      <c r="T350" s="843">
        <f>S350</f>
        <v/>
      </c>
      <c r="U350" s="843" t="n">
        <v>58700</v>
      </c>
      <c r="V350" s="843">
        <f>U350</f>
        <v/>
      </c>
      <c r="W350" s="846">
        <f>U350/G350</f>
        <v/>
      </c>
      <c r="X350" s="847">
        <f>SUM(U350-S350)/S350</f>
        <v/>
      </c>
      <c r="Y350" s="843" t="inlineStr">
        <is>
          <t>D</t>
        </is>
      </c>
      <c r="Z350" s="590" t="n"/>
      <c r="AA350" s="855" t="n"/>
      <c r="AB350" s="842" t="inlineStr">
        <is>
          <t>No</t>
        </is>
      </c>
      <c r="AC350" s="841" t="inlineStr">
        <is>
          <t>To be refurbished.</t>
        </is>
      </c>
      <c r="AF350" s="312" t="n"/>
    </row>
    <row r="351">
      <c r="A351" s="839" t="inlineStr">
        <is>
          <t>JM</t>
        </is>
      </c>
      <c r="B351" s="839" t="inlineStr">
        <is>
          <t>MEL</t>
        </is>
      </c>
      <c r="C351" s="840" t="n">
        <v>100650</v>
      </c>
      <c r="D351" s="841" t="inlineStr">
        <is>
          <t>50-60 Eastcastle Street</t>
        </is>
      </c>
      <c r="E351" s="841" t="inlineStr">
        <is>
          <t>First Floor (Centre)</t>
        </is>
      </c>
      <c r="F351" s="842" t="inlineStr">
        <is>
          <t>Office</t>
        </is>
      </c>
      <c r="G351" s="849" t="n">
        <v>6636</v>
      </c>
      <c r="H351" s="849">
        <f>G351</f>
        <v/>
      </c>
      <c r="I351" s="849" t="n">
        <v>6500</v>
      </c>
      <c r="J351" s="841" t="inlineStr">
        <is>
          <t>Vacant</t>
        </is>
      </c>
      <c r="M351" s="845" t="n">
        <v>44172</v>
      </c>
      <c r="P351" s="843" t="n">
        <v>0</v>
      </c>
      <c r="Q351" s="843">
        <f>P351</f>
        <v/>
      </c>
      <c r="S351" s="843" t="n">
        <v>398200</v>
      </c>
      <c r="T351" s="843">
        <f>S351</f>
        <v/>
      </c>
      <c r="U351" s="843" t="n">
        <v>381600</v>
      </c>
      <c r="V351" s="843">
        <f>U351</f>
        <v/>
      </c>
      <c r="W351" s="846">
        <f>U351/G351</f>
        <v/>
      </c>
      <c r="X351" s="847">
        <f>SUM(U351-S351)/S351</f>
        <v/>
      </c>
      <c r="Y351" s="843" t="inlineStr">
        <is>
          <t>E</t>
        </is>
      </c>
      <c r="Z351" s="590" t="n"/>
      <c r="AA351" s="855" t="n"/>
      <c r="AB351" s="842" t="inlineStr">
        <is>
          <t>No</t>
        </is>
      </c>
      <c r="AC351" s="841" t="inlineStr">
        <is>
          <t>To be refurbished.</t>
        </is>
      </c>
      <c r="AF351" s="312" t="n"/>
    </row>
    <row r="352">
      <c r="A352" s="839" t="inlineStr">
        <is>
          <t>JM</t>
        </is>
      </c>
      <c r="B352" s="839" t="inlineStr">
        <is>
          <t>MEL</t>
        </is>
      </c>
      <c r="C352" s="840" t="n">
        <v>100650</v>
      </c>
      <c r="D352" s="841" t="inlineStr">
        <is>
          <t>50-60 Eastcastle Street</t>
        </is>
      </c>
      <c r="E352" s="841" t="inlineStr">
        <is>
          <t>First Floor (160, 180)</t>
        </is>
      </c>
      <c r="F352" s="842" t="inlineStr">
        <is>
          <t>Showroom/ Office</t>
        </is>
      </c>
      <c r="G352" s="849" t="n">
        <v>950</v>
      </c>
      <c r="H352" s="849">
        <f>G352</f>
        <v/>
      </c>
      <c r="I352" s="849" t="n">
        <v>1000</v>
      </c>
      <c r="J352" s="841" t="inlineStr">
        <is>
          <t>Vacant</t>
        </is>
      </c>
      <c r="M352" s="845" t="n">
        <v>44682</v>
      </c>
      <c r="P352" s="843" t="n">
        <v>0</v>
      </c>
      <c r="Q352" s="843">
        <f>P352</f>
        <v/>
      </c>
      <c r="S352" s="843" t="n">
        <v>57000</v>
      </c>
      <c r="T352" s="843">
        <f>S352</f>
        <v/>
      </c>
      <c r="U352" s="843" t="n">
        <v>54600</v>
      </c>
      <c r="V352" s="843">
        <f>U352</f>
        <v/>
      </c>
      <c r="W352" s="846">
        <f>U352/G352</f>
        <v/>
      </c>
      <c r="X352" s="847">
        <f>SUM(U352-S352)/S352</f>
        <v/>
      </c>
      <c r="Y352" s="843" t="inlineStr">
        <is>
          <t>D</t>
        </is>
      </c>
      <c r="Z352" s="590" t="n"/>
      <c r="AA352" s="855" t="n"/>
      <c r="AB352" s="842" t="inlineStr">
        <is>
          <t>No</t>
        </is>
      </c>
      <c r="AC352" s="841" t="inlineStr">
        <is>
          <t>To be refurbished.</t>
        </is>
      </c>
      <c r="AF352" s="312" t="n"/>
    </row>
    <row r="353">
      <c r="A353" s="839" t="inlineStr">
        <is>
          <t>JM</t>
        </is>
      </c>
      <c r="B353" s="839" t="inlineStr">
        <is>
          <t>MEL</t>
        </is>
      </c>
      <c r="C353" s="840" t="n">
        <v>100650</v>
      </c>
      <c r="D353" s="841" t="inlineStr">
        <is>
          <t>50-60 Eastcastle Street</t>
        </is>
      </c>
      <c r="E353" s="841" t="inlineStr">
        <is>
          <t>Second Floor (South)</t>
        </is>
      </c>
      <c r="F353" s="842" t="inlineStr">
        <is>
          <t>Office</t>
        </is>
      </c>
      <c r="G353" s="849" t="n">
        <v>15445</v>
      </c>
      <c r="H353" s="849">
        <f>G353</f>
        <v/>
      </c>
      <c r="I353" s="849" t="n">
        <v>15500</v>
      </c>
      <c r="J353" s="841" t="inlineStr">
        <is>
          <t>Vacant</t>
        </is>
      </c>
      <c r="M353" s="845" t="n">
        <v>45358</v>
      </c>
      <c r="P353" s="843" t="n">
        <v>0</v>
      </c>
      <c r="Q353" s="843">
        <f>P353</f>
        <v/>
      </c>
      <c r="S353" s="843" t="n">
        <v>926700</v>
      </c>
      <c r="T353" s="843">
        <f>S353</f>
        <v/>
      </c>
      <c r="U353" s="843" t="n">
        <v>810900</v>
      </c>
      <c r="V353" s="843">
        <f>U353</f>
        <v/>
      </c>
      <c r="W353" s="846">
        <f>U353/G353</f>
        <v/>
      </c>
      <c r="X353" s="847">
        <f>SUM(U353-S353)/S353</f>
        <v/>
      </c>
      <c r="Y353" s="843" t="inlineStr">
        <is>
          <t>D</t>
        </is>
      </c>
      <c r="Z353" s="590" t="n"/>
      <c r="AA353" s="855" t="n"/>
      <c r="AB353" s="842" t="inlineStr">
        <is>
          <t>No</t>
        </is>
      </c>
      <c r="AC353" s="841" t="inlineStr">
        <is>
          <t>To be refurbished.</t>
        </is>
      </c>
      <c r="AE353" s="841" t="n">
        <v>3</v>
      </c>
      <c r="AF353" s="312" t="n">
        <v>3</v>
      </c>
      <c r="AG353" s="841" t="inlineStr">
        <is>
          <t>LEM</t>
        </is>
      </c>
    </row>
    <row r="354">
      <c r="A354" s="839" t="inlineStr">
        <is>
          <t>JM</t>
        </is>
      </c>
      <c r="B354" s="839" t="inlineStr">
        <is>
          <t>MEL</t>
        </is>
      </c>
      <c r="C354" s="840" t="n">
        <v>100650</v>
      </c>
      <c r="D354" s="841" t="inlineStr">
        <is>
          <t>50-60 Eastcastle Street</t>
        </is>
      </c>
      <c r="E354" s="841" t="inlineStr">
        <is>
          <t>Second Floor (Centre)</t>
        </is>
      </c>
      <c r="F354" s="842" t="inlineStr">
        <is>
          <t>Office</t>
        </is>
      </c>
      <c r="G354" s="849" t="n">
        <v>5350</v>
      </c>
      <c r="H354" s="849">
        <f>G354</f>
        <v/>
      </c>
      <c r="I354" s="849" t="n">
        <v>5250</v>
      </c>
      <c r="J354" s="841" t="inlineStr">
        <is>
          <t>Fintech Partners Limited.</t>
        </is>
      </c>
      <c r="K354" s="844" t="n">
        <v>44986</v>
      </c>
      <c r="L354" s="845" t="n">
        <v>46081</v>
      </c>
      <c r="P354" s="843" t="n">
        <v>320000</v>
      </c>
      <c r="Q354" s="843">
        <f>P354</f>
        <v/>
      </c>
      <c r="S354" s="843" t="n">
        <v>321000</v>
      </c>
      <c r="T354" s="843">
        <f>S354</f>
        <v/>
      </c>
      <c r="U354" s="843" t="n">
        <v>307600</v>
      </c>
      <c r="V354" s="843">
        <f>U354</f>
        <v/>
      </c>
      <c r="W354" s="846">
        <f>U354/G354</f>
        <v/>
      </c>
      <c r="X354" s="847">
        <f>SUM(U354-S354)/S354</f>
        <v/>
      </c>
      <c r="Y354" s="843" t="inlineStr">
        <is>
          <t>D</t>
        </is>
      </c>
      <c r="Z354" s="590" t="n"/>
      <c r="AA354" s="855" t="n"/>
      <c r="AB354" s="842" t="inlineStr">
        <is>
          <t>No</t>
        </is>
      </c>
      <c r="AE354" s="841" t="n">
        <v>1</v>
      </c>
      <c r="AF354" s="312" t="n">
        <v>1</v>
      </c>
    </row>
    <row r="355">
      <c r="A355" s="839" t="inlineStr">
        <is>
          <t>JM</t>
        </is>
      </c>
      <c r="B355" s="839" t="inlineStr">
        <is>
          <t>MEL</t>
        </is>
      </c>
      <c r="C355" s="840" t="n">
        <v>100650</v>
      </c>
      <c r="D355" s="841" t="inlineStr">
        <is>
          <t>50-60 Eastcastle Street</t>
        </is>
      </c>
      <c r="E355" s="841" t="inlineStr">
        <is>
          <t>Second Floor (210,220, 230 &amp; 231)</t>
        </is>
      </c>
      <c r="F355" s="842" t="inlineStr">
        <is>
          <t>Office</t>
        </is>
      </c>
      <c r="G355" s="849" t="n">
        <v>3461</v>
      </c>
      <c r="H355" s="849">
        <f>G355</f>
        <v/>
      </c>
      <c r="I355" s="849" t="n">
        <v>3500</v>
      </c>
      <c r="J355" s="841" t="inlineStr">
        <is>
          <t>Vacant</t>
        </is>
      </c>
      <c r="M355" s="845" t="n">
        <v>44958</v>
      </c>
      <c r="P355" s="843" t="n">
        <v>0</v>
      </c>
      <c r="Q355" s="843">
        <f>P355</f>
        <v/>
      </c>
      <c r="S355" s="843" t="n">
        <v>207700</v>
      </c>
      <c r="T355" s="843">
        <f>S355</f>
        <v/>
      </c>
      <c r="U355" s="843" t="n">
        <v>199000</v>
      </c>
      <c r="V355" s="843">
        <f>U355</f>
        <v/>
      </c>
      <c r="W355" s="846">
        <f>U355/G355</f>
        <v/>
      </c>
      <c r="X355" s="847">
        <f>SUM(U355-S355)/S355</f>
        <v/>
      </c>
      <c r="Y355" s="843" t="inlineStr">
        <is>
          <t>D</t>
        </is>
      </c>
      <c r="Z355" s="590" t="n"/>
      <c r="AA355" s="855" t="n"/>
      <c r="AB355" s="842" t="inlineStr">
        <is>
          <t>No</t>
        </is>
      </c>
      <c r="AC355" s="841" t="inlineStr">
        <is>
          <t>To be refurbished.</t>
        </is>
      </c>
      <c r="AE355" s="841" t="n">
        <v>1</v>
      </c>
      <c r="AF355" s="312" t="n">
        <v>1</v>
      </c>
    </row>
    <row r="356">
      <c r="A356" s="839" t="inlineStr">
        <is>
          <t>JM</t>
        </is>
      </c>
      <c r="B356" s="839" t="inlineStr">
        <is>
          <t>MEL</t>
        </is>
      </c>
      <c r="C356" s="840" t="n">
        <v>100650</v>
      </c>
      <c r="D356" s="841" t="inlineStr">
        <is>
          <t>50-60 Eastcastle Street</t>
        </is>
      </c>
      <c r="E356" s="841" t="inlineStr">
        <is>
          <t>Second Floor (240)</t>
        </is>
      </c>
      <c r="F356" s="842" t="inlineStr">
        <is>
          <t>Office</t>
        </is>
      </c>
      <c r="G356" s="849" t="n">
        <v>445</v>
      </c>
      <c r="H356" s="849">
        <f>G356</f>
        <v/>
      </c>
      <c r="I356" s="849" t="n">
        <v>500</v>
      </c>
      <c r="J356" s="841" t="inlineStr">
        <is>
          <t>Vacant</t>
        </is>
      </c>
      <c r="K356" s="844" t="n"/>
      <c r="L356" s="845" t="n"/>
      <c r="M356" s="845" t="n">
        <v>44849</v>
      </c>
      <c r="N356" s="845" t="n"/>
      <c r="O356" s="845" t="n"/>
      <c r="P356" s="843" t="n">
        <v>0</v>
      </c>
      <c r="Q356" s="843">
        <f>P356</f>
        <v/>
      </c>
      <c r="R356" s="843" t="n"/>
      <c r="S356" s="843" t="n">
        <v>26700</v>
      </c>
      <c r="T356" s="843">
        <f>S356</f>
        <v/>
      </c>
      <c r="U356" s="843" t="n">
        <v>25600</v>
      </c>
      <c r="V356" s="843">
        <f>U356</f>
        <v/>
      </c>
      <c r="W356" s="846">
        <f>U356/G356</f>
        <v/>
      </c>
      <c r="X356" s="847">
        <f>SUM(U356-S356)/S356</f>
        <v/>
      </c>
      <c r="Y356" s="843" t="inlineStr">
        <is>
          <t>D</t>
        </is>
      </c>
      <c r="Z356" s="590" t="n"/>
      <c r="AA356" s="855" t="n"/>
      <c r="AB356" s="842" t="inlineStr">
        <is>
          <t>No</t>
        </is>
      </c>
      <c r="AC356" s="841" t="inlineStr">
        <is>
          <t>To be refurbished.</t>
        </is>
      </c>
      <c r="AD356" s="850" t="n"/>
      <c r="AE356" s="841" t="n">
        <v>1</v>
      </c>
      <c r="AF356" s="312" t="n">
        <v>2</v>
      </c>
      <c r="AG356" s="841" t="inlineStr">
        <is>
          <t>LEM</t>
        </is>
      </c>
    </row>
    <row r="357">
      <c r="A357" s="839" t="inlineStr">
        <is>
          <t>JM</t>
        </is>
      </c>
      <c r="B357" s="839" t="inlineStr">
        <is>
          <t>MEL</t>
        </is>
      </c>
      <c r="C357" s="840" t="n">
        <v>100650</v>
      </c>
      <c r="D357" s="841" t="inlineStr">
        <is>
          <t>50-60 Eastcastle Street</t>
        </is>
      </c>
      <c r="E357" s="841" t="inlineStr">
        <is>
          <t>Third Floor (303)</t>
        </is>
      </c>
      <c r="F357" s="842" t="inlineStr">
        <is>
          <t>Office</t>
        </is>
      </c>
      <c r="G357" s="849" t="n">
        <v>783</v>
      </c>
      <c r="H357" s="849">
        <f>G357</f>
        <v/>
      </c>
      <c r="I357" s="849" t="n">
        <v>750</v>
      </c>
      <c r="J357" s="841" t="inlineStr">
        <is>
          <t>Vacant</t>
        </is>
      </c>
      <c r="M357" s="845" t="n">
        <v>45406</v>
      </c>
      <c r="P357" s="843" t="n">
        <v>0</v>
      </c>
      <c r="Q357" s="843">
        <f>P357</f>
        <v/>
      </c>
      <c r="S357" s="843" t="n">
        <v>45000</v>
      </c>
      <c r="T357" s="843">
        <f>S357</f>
        <v/>
      </c>
      <c r="U357" s="843" t="n">
        <v>45000</v>
      </c>
      <c r="V357" s="843">
        <f>U357</f>
        <v/>
      </c>
      <c r="W357" s="846">
        <f>U357/G357</f>
        <v/>
      </c>
      <c r="X357" s="847">
        <f>SUM(U357-S357)/S357</f>
        <v/>
      </c>
      <c r="Y357" s="843" t="inlineStr">
        <is>
          <t>D</t>
        </is>
      </c>
      <c r="Z357" s="590" t="n"/>
      <c r="AA357" s="855" t="n"/>
      <c r="AB357" s="842" t="inlineStr">
        <is>
          <t>No</t>
        </is>
      </c>
      <c r="AC357" s="841" t="inlineStr">
        <is>
          <t>To be refurbished.</t>
        </is>
      </c>
      <c r="AF357" s="312" t="n">
        <v>1</v>
      </c>
      <c r="AG357" s="841" t="inlineStr">
        <is>
          <t>LEM</t>
        </is>
      </c>
    </row>
    <row r="358">
      <c r="A358" s="839" t="inlineStr">
        <is>
          <t>JM</t>
        </is>
      </c>
      <c r="B358" s="839" t="inlineStr">
        <is>
          <t>MEL</t>
        </is>
      </c>
      <c r="C358" s="840" t="n">
        <v>100650</v>
      </c>
      <c r="D358" s="841" t="inlineStr">
        <is>
          <t>50-60 Eastcastle Street</t>
        </is>
      </c>
      <c r="E358" s="841" t="inlineStr">
        <is>
          <t>Third Floor (305)</t>
        </is>
      </c>
      <c r="F358" s="842" t="inlineStr">
        <is>
          <t>Office</t>
        </is>
      </c>
      <c r="G358" s="849" t="n">
        <v>1929</v>
      </c>
      <c r="H358" s="849">
        <f>G358</f>
        <v/>
      </c>
      <c r="I358" s="849" t="n">
        <v>2000</v>
      </c>
      <c r="J358" s="860" t="inlineStr">
        <is>
          <t>Property Management Recruitment Ltd.</t>
        </is>
      </c>
      <c r="K358" s="844" t="n">
        <v>45096</v>
      </c>
      <c r="L358" s="845" t="n">
        <v>46191</v>
      </c>
      <c r="P358" s="843" t="n">
        <v>111825</v>
      </c>
      <c r="Q358" s="843">
        <f>P358</f>
        <v/>
      </c>
      <c r="S358" s="843" t="n">
        <v>110900</v>
      </c>
      <c r="T358" s="843">
        <f>S358</f>
        <v/>
      </c>
      <c r="U358" s="843" t="n">
        <v>110900</v>
      </c>
      <c r="V358" s="843">
        <f>U358</f>
        <v/>
      </c>
      <c r="W358" s="846">
        <f>U358/G358</f>
        <v/>
      </c>
      <c r="X358" s="847">
        <f>SUM(U358-S358)/S358</f>
        <v/>
      </c>
      <c r="Y358" s="843" t="inlineStr">
        <is>
          <t>E</t>
        </is>
      </c>
      <c r="Z358" s="590" t="n"/>
      <c r="AA358" s="855" t="n"/>
      <c r="AB358" s="842" t="inlineStr">
        <is>
          <t>No</t>
        </is>
      </c>
      <c r="AC358" s="841" t="inlineStr">
        <is>
          <t>To be refurbished.</t>
        </is>
      </c>
      <c r="AF358" s="312" t="n"/>
    </row>
    <row r="359">
      <c r="A359" s="839" t="inlineStr">
        <is>
          <t>JM</t>
        </is>
      </c>
      <c r="B359" s="839" t="inlineStr">
        <is>
          <t>MEL</t>
        </is>
      </c>
      <c r="C359" s="840" t="n">
        <v>100650</v>
      </c>
      <c r="D359" s="841" t="inlineStr">
        <is>
          <t>50-60 Eastcastle Street</t>
        </is>
      </c>
      <c r="E359" s="841" t="inlineStr">
        <is>
          <t>Third Floor North (320)</t>
        </is>
      </c>
      <c r="F359" s="842" t="inlineStr">
        <is>
          <t>Offices</t>
        </is>
      </c>
      <c r="G359" s="849" t="n">
        <v>6893</v>
      </c>
      <c r="H359" s="849">
        <f>G359</f>
        <v/>
      </c>
      <c r="I359" s="849" t="n">
        <v>7000</v>
      </c>
      <c r="J359" s="841" t="inlineStr">
        <is>
          <t>Vacant</t>
        </is>
      </c>
      <c r="M359" s="845" t="n">
        <v>44340</v>
      </c>
      <c r="P359" s="843" t="n">
        <v>0</v>
      </c>
      <c r="Q359" s="843">
        <f>P359</f>
        <v/>
      </c>
      <c r="S359" s="843" t="n">
        <v>396300</v>
      </c>
      <c r="T359" s="843">
        <f>S359</f>
        <v/>
      </c>
      <c r="U359" s="843" t="n">
        <v>396300</v>
      </c>
      <c r="V359" s="843">
        <f>U359</f>
        <v/>
      </c>
      <c r="W359" s="846">
        <f>U359/G359</f>
        <v/>
      </c>
      <c r="X359" s="847">
        <f>SUM(U359-S359)/S359</f>
        <v/>
      </c>
      <c r="Y359" s="843" t="inlineStr">
        <is>
          <t>E</t>
        </is>
      </c>
      <c r="Z359" s="590" t="n"/>
      <c r="AA359" s="855" t="n"/>
      <c r="AB359" s="842" t="inlineStr">
        <is>
          <t>No</t>
        </is>
      </c>
      <c r="AC359" s="841" t="inlineStr">
        <is>
          <t>To be refurbished.</t>
        </is>
      </c>
      <c r="AE359" s="841" t="n">
        <v>2</v>
      </c>
      <c r="AF359" s="312" t="n">
        <v>6</v>
      </c>
      <c r="AG359" s="841" t="inlineStr">
        <is>
          <t>LEM</t>
        </is>
      </c>
    </row>
    <row r="360">
      <c r="A360" s="839" t="inlineStr">
        <is>
          <t>JM</t>
        </is>
      </c>
      <c r="B360" s="839" t="inlineStr">
        <is>
          <t>MEL</t>
        </is>
      </c>
      <c r="C360" s="840" t="n">
        <v>100650</v>
      </c>
      <c r="D360" s="841" t="inlineStr">
        <is>
          <t>50-60 Eastcastle Street</t>
        </is>
      </c>
      <c r="E360" s="841" t="inlineStr">
        <is>
          <t>Third Floor (325)</t>
        </is>
      </c>
      <c r="F360" s="842" t="inlineStr">
        <is>
          <t>Showroom/ Office</t>
        </is>
      </c>
      <c r="G360" s="849" t="n">
        <v>363</v>
      </c>
      <c r="H360" s="849">
        <f>G360</f>
        <v/>
      </c>
      <c r="I360" s="849" t="n">
        <v>500</v>
      </c>
      <c r="J360" s="841" t="inlineStr">
        <is>
          <t>Vacant</t>
        </is>
      </c>
      <c r="M360" s="845" t="n">
        <v>45139</v>
      </c>
      <c r="P360" s="843" t="n">
        <v>0</v>
      </c>
      <c r="Q360" s="843">
        <f>P360</f>
        <v/>
      </c>
      <c r="S360" s="843" t="n">
        <v>20900</v>
      </c>
      <c r="T360" s="843">
        <f>S360</f>
        <v/>
      </c>
      <c r="U360" s="843" t="n">
        <v>20900</v>
      </c>
      <c r="V360" s="843">
        <f>U360</f>
        <v/>
      </c>
      <c r="W360" s="846">
        <f>U360/G360</f>
        <v/>
      </c>
      <c r="X360" s="847">
        <f>SUM(U360-S360)/S360</f>
        <v/>
      </c>
      <c r="Y360" s="843" t="inlineStr">
        <is>
          <t>D</t>
        </is>
      </c>
      <c r="Z360" s="590" t="n"/>
      <c r="AA360" s="855" t="n"/>
      <c r="AB360" s="842" t="inlineStr">
        <is>
          <t>No</t>
        </is>
      </c>
      <c r="AC360" s="841" t="inlineStr">
        <is>
          <t>To be refurbished.</t>
        </is>
      </c>
      <c r="AF360" s="312" t="n"/>
    </row>
    <row r="361">
      <c r="A361" s="839" t="inlineStr">
        <is>
          <t>JM</t>
        </is>
      </c>
      <c r="B361" s="839" t="inlineStr">
        <is>
          <t>MEL</t>
        </is>
      </c>
      <c r="C361" s="840" t="n">
        <v>100650</v>
      </c>
      <c r="D361" s="841" t="inlineStr">
        <is>
          <t>50-60 Eastcastle Street</t>
        </is>
      </c>
      <c r="E361" s="841" t="inlineStr">
        <is>
          <t>Third Floor (335, 390)</t>
        </is>
      </c>
      <c r="F361" s="842" t="inlineStr">
        <is>
          <t>Showroom/ Office</t>
        </is>
      </c>
      <c r="G361" s="849" t="n">
        <v>933</v>
      </c>
      <c r="H361" s="849">
        <f>G361</f>
        <v/>
      </c>
      <c r="I361" s="849" t="n">
        <v>1000</v>
      </c>
      <c r="J361" s="841" t="inlineStr">
        <is>
          <t>Vacant</t>
        </is>
      </c>
      <c r="M361" s="845" t="n">
        <v>44340</v>
      </c>
      <c r="P361" s="843" t="n">
        <v>0</v>
      </c>
      <c r="Q361" s="843">
        <f>P361</f>
        <v/>
      </c>
      <c r="S361" s="843" t="n">
        <v>53600</v>
      </c>
      <c r="T361" s="843">
        <f>S361</f>
        <v/>
      </c>
      <c r="U361" s="843" t="n">
        <v>53600</v>
      </c>
      <c r="V361" s="843">
        <f>U361</f>
        <v/>
      </c>
      <c r="W361" s="846">
        <f>U361/G361</f>
        <v/>
      </c>
      <c r="X361" s="847">
        <f>SUM(U361-S361)/S361</f>
        <v/>
      </c>
      <c r="Y361" s="843" t="inlineStr">
        <is>
          <t>E</t>
        </is>
      </c>
      <c r="Z361" s="590" t="n"/>
      <c r="AA361" s="855" t="n"/>
      <c r="AB361" s="842" t="inlineStr">
        <is>
          <t>No</t>
        </is>
      </c>
      <c r="AC361" s="841" t="inlineStr">
        <is>
          <t>To be refurbished.</t>
        </is>
      </c>
      <c r="AF361" s="312" t="n">
        <v>1</v>
      </c>
      <c r="AG361" s="841" t="inlineStr">
        <is>
          <t>LEM</t>
        </is>
      </c>
    </row>
    <row r="362">
      <c r="A362" s="839" t="inlineStr">
        <is>
          <t>JM</t>
        </is>
      </c>
      <c r="B362" s="839" t="inlineStr">
        <is>
          <t>MEL</t>
        </is>
      </c>
      <c r="C362" s="840" t="n">
        <v>100650</v>
      </c>
      <c r="D362" s="841" t="inlineStr">
        <is>
          <t>50-60 Eastcastle Street</t>
        </is>
      </c>
      <c r="E362" s="841" t="inlineStr">
        <is>
          <t>Third Floor (330)</t>
        </is>
      </c>
      <c r="F362" s="842" t="inlineStr">
        <is>
          <t>Showroom/ Office</t>
        </is>
      </c>
      <c r="G362" s="849" t="n">
        <v>1350</v>
      </c>
      <c r="H362" s="849">
        <f>G362</f>
        <v/>
      </c>
      <c r="I362" s="849" t="n">
        <v>1350</v>
      </c>
      <c r="J362" s="841" t="inlineStr">
        <is>
          <t>Brand Murray Fuller Services Ltd.</t>
        </is>
      </c>
      <c r="K362" s="844" t="n">
        <v>44501</v>
      </c>
      <c r="L362" s="845" t="n">
        <v>46326</v>
      </c>
      <c r="P362" s="843" t="n">
        <v>74250</v>
      </c>
      <c r="Q362" s="843">
        <f>P362</f>
        <v/>
      </c>
      <c r="S362" s="849" t="n">
        <v>77600</v>
      </c>
      <c r="T362" s="843">
        <f>S362</f>
        <v/>
      </c>
      <c r="U362" s="843" t="n">
        <v>77600</v>
      </c>
      <c r="V362" s="843">
        <f>U362</f>
        <v/>
      </c>
      <c r="W362" s="846">
        <f>U362/G362</f>
        <v/>
      </c>
      <c r="X362" s="847">
        <f>SUM(U362-S362)/S362</f>
        <v/>
      </c>
      <c r="Y362" s="843" t="inlineStr">
        <is>
          <t>E</t>
        </is>
      </c>
      <c r="Z362" s="590" t="n"/>
      <c r="AA362" s="855" t="n"/>
      <c r="AB362" s="842" t="inlineStr">
        <is>
          <t>No</t>
        </is>
      </c>
      <c r="AF362" s="312" t="n"/>
    </row>
    <row r="363">
      <c r="A363" s="839" t="inlineStr">
        <is>
          <t>JM</t>
        </is>
      </c>
      <c r="B363" s="839" t="inlineStr">
        <is>
          <t>MEL</t>
        </is>
      </c>
      <c r="C363" s="840" t="n">
        <v>100650</v>
      </c>
      <c r="D363" s="841" t="inlineStr">
        <is>
          <t>50-60 Eastcastle Street</t>
        </is>
      </c>
      <c r="E363" s="841" t="inlineStr">
        <is>
          <t>Third Floor (340)</t>
        </is>
      </c>
      <c r="F363" s="842" t="inlineStr">
        <is>
          <t>Office</t>
        </is>
      </c>
      <c r="G363" s="849" t="n">
        <v>688</v>
      </c>
      <c r="H363" s="849">
        <f>G363</f>
        <v/>
      </c>
      <c r="I363" s="849" t="n">
        <v>750</v>
      </c>
      <c r="J363" s="841" t="inlineStr">
        <is>
          <t>Vacant</t>
        </is>
      </c>
      <c r="M363" s="845" t="n">
        <v>45139</v>
      </c>
      <c r="P363" s="843" t="n">
        <v>0</v>
      </c>
      <c r="Q363" s="843">
        <f>P363</f>
        <v/>
      </c>
      <c r="S363" s="843" t="n">
        <v>39600</v>
      </c>
      <c r="T363" s="843">
        <f>S363</f>
        <v/>
      </c>
      <c r="U363" s="843" t="n">
        <v>39600</v>
      </c>
      <c r="V363" s="843">
        <f>U363</f>
        <v/>
      </c>
      <c r="W363" s="846">
        <f>U363/G363</f>
        <v/>
      </c>
      <c r="X363" s="847">
        <f>SUM(U363-S363)/S363</f>
        <v/>
      </c>
      <c r="Y363" s="843" t="inlineStr">
        <is>
          <t>E</t>
        </is>
      </c>
      <c r="Z363" s="590" t="n"/>
      <c r="AA363" s="855" t="n"/>
      <c r="AB363" s="842" t="inlineStr">
        <is>
          <t>No</t>
        </is>
      </c>
      <c r="AC363" s="841" t="inlineStr">
        <is>
          <t>To be refurbished.</t>
        </is>
      </c>
      <c r="AF363" s="312" t="n"/>
    </row>
    <row r="364">
      <c r="A364" s="839" t="inlineStr">
        <is>
          <t>JM</t>
        </is>
      </c>
      <c r="B364" s="839" t="inlineStr">
        <is>
          <t>MEL</t>
        </is>
      </c>
      <c r="C364" s="840" t="n">
        <v>100650</v>
      </c>
      <c r="D364" s="841" t="inlineStr">
        <is>
          <t>50-60 Eastcastle Street</t>
        </is>
      </c>
      <c r="E364" s="841" t="inlineStr">
        <is>
          <t>Third Floor (345)</t>
        </is>
      </c>
      <c r="F364" s="842" t="inlineStr">
        <is>
          <t>Office</t>
        </is>
      </c>
      <c r="G364" s="849" t="n">
        <v>325</v>
      </c>
      <c r="H364" s="849">
        <f>G364</f>
        <v/>
      </c>
      <c r="I364" s="849" t="n">
        <v>500</v>
      </c>
      <c r="J364" s="841" t="inlineStr">
        <is>
          <t>Vacant</t>
        </is>
      </c>
      <c r="M364" s="845" t="n">
        <v>44340</v>
      </c>
      <c r="P364" s="843" t="n">
        <v>0</v>
      </c>
      <c r="Q364" s="843">
        <f>P364</f>
        <v/>
      </c>
      <c r="S364" s="843" t="n">
        <v>18700</v>
      </c>
      <c r="T364" s="843">
        <f>S364</f>
        <v/>
      </c>
      <c r="U364" s="843" t="n">
        <v>18700</v>
      </c>
      <c r="V364" s="843">
        <f>U364</f>
        <v/>
      </c>
      <c r="W364" s="846">
        <f>U364/G364</f>
        <v/>
      </c>
      <c r="X364" s="847">
        <f>SUM(U364-S364)/S364</f>
        <v/>
      </c>
      <c r="Y364" s="843" t="inlineStr">
        <is>
          <t>E</t>
        </is>
      </c>
      <c r="Z364" s="590" t="n"/>
      <c r="AA364" s="855" t="n"/>
      <c r="AB364" s="842" t="inlineStr">
        <is>
          <t>No</t>
        </is>
      </c>
      <c r="AC364" s="841" t="inlineStr">
        <is>
          <t>To be refurbished.</t>
        </is>
      </c>
      <c r="AF364" s="312" t="n"/>
    </row>
    <row r="365">
      <c r="A365" s="839" t="inlineStr">
        <is>
          <t>JM</t>
        </is>
      </c>
      <c r="B365" s="839" t="inlineStr">
        <is>
          <t>MEL</t>
        </is>
      </c>
      <c r="C365" s="840" t="n">
        <v>100650</v>
      </c>
      <c r="D365" s="841" t="inlineStr">
        <is>
          <t>50-60 Eastcastle Street</t>
        </is>
      </c>
      <c r="E365" s="841" t="inlineStr">
        <is>
          <t>Third Floor (350)</t>
        </is>
      </c>
      <c r="F365" s="842" t="inlineStr">
        <is>
          <t>Office</t>
        </is>
      </c>
      <c r="G365" s="849" t="n">
        <v>489</v>
      </c>
      <c r="H365" s="849">
        <f>G365</f>
        <v/>
      </c>
      <c r="I365" s="849" t="n">
        <v>500</v>
      </c>
      <c r="J365" s="841" t="inlineStr">
        <is>
          <t>Jewells Retail Ltd</t>
        </is>
      </c>
      <c r="K365" s="844" t="n">
        <v>45770</v>
      </c>
      <c r="L365" s="845" t="n">
        <v>46088</v>
      </c>
      <c r="M365" s="845" t="n"/>
      <c r="P365" s="843" t="n">
        <v>36529</v>
      </c>
      <c r="Q365" s="843">
        <f>P365</f>
        <v/>
      </c>
      <c r="S365" s="843" t="n">
        <v>28100</v>
      </c>
      <c r="T365" s="843">
        <f>S365</f>
        <v/>
      </c>
      <c r="U365" s="843" t="n">
        <v>28100</v>
      </c>
      <c r="V365" s="843">
        <f>U365</f>
        <v/>
      </c>
      <c r="W365" s="846">
        <f>U365/G365</f>
        <v/>
      </c>
      <c r="X365" s="847">
        <f>SUM(U365-S365)/S365</f>
        <v/>
      </c>
      <c r="Y365" s="843" t="inlineStr">
        <is>
          <t>E</t>
        </is>
      </c>
      <c r="Z365" s="590" t="n"/>
      <c r="AA365" s="855" t="n"/>
      <c r="AB365" s="842" t="inlineStr">
        <is>
          <t>No</t>
        </is>
      </c>
      <c r="AC365" s="841" t="inlineStr">
        <is>
          <t>Rent inclusive of service charge and insurance.</t>
        </is>
      </c>
      <c r="AF365" s="312" t="n"/>
    </row>
    <row r="366">
      <c r="A366" s="839" t="inlineStr">
        <is>
          <t>JM</t>
        </is>
      </c>
      <c r="B366" s="839" t="inlineStr">
        <is>
          <t>MEL</t>
        </is>
      </c>
      <c r="C366" s="840" t="n">
        <v>100650</v>
      </c>
      <c r="D366" s="841" t="inlineStr">
        <is>
          <t>50-60 Eastcastle Street</t>
        </is>
      </c>
      <c r="E366" s="841" t="inlineStr">
        <is>
          <t>Third Floor (360 &amp; 365)</t>
        </is>
      </c>
      <c r="F366" s="842" t="inlineStr">
        <is>
          <t>Office</t>
        </is>
      </c>
      <c r="G366" s="849" t="n">
        <v>3558</v>
      </c>
      <c r="H366" s="849">
        <f>G366</f>
        <v/>
      </c>
      <c r="I366" s="849" t="n">
        <v>3500</v>
      </c>
      <c r="J366" s="841" t="inlineStr">
        <is>
          <t>TGR1.618 Limited</t>
        </is>
      </c>
      <c r="K366" s="844" t="n">
        <v>45072</v>
      </c>
      <c r="L366" s="845" t="n">
        <v>46898</v>
      </c>
      <c r="O366" s="845" t="n">
        <v>46167</v>
      </c>
      <c r="P366" s="843" t="n">
        <v>202920</v>
      </c>
      <c r="Q366" s="843">
        <f>P366</f>
        <v/>
      </c>
      <c r="S366" s="843" t="n">
        <v>204600</v>
      </c>
      <c r="T366" s="843">
        <f>S366</f>
        <v/>
      </c>
      <c r="U366" s="843" t="n">
        <v>204600</v>
      </c>
      <c r="V366" s="843">
        <f>U366</f>
        <v/>
      </c>
      <c r="W366" s="846">
        <f>U366/G366</f>
        <v/>
      </c>
      <c r="X366" s="847">
        <f>SUM(U366-S366)/S366</f>
        <v/>
      </c>
      <c r="Y366" s="843" t="inlineStr">
        <is>
          <t>D</t>
        </is>
      </c>
      <c r="Z366" s="590" t="n"/>
      <c r="AA366" s="855" t="n"/>
      <c r="AB366" s="842" t="inlineStr">
        <is>
          <t>No</t>
        </is>
      </c>
      <c r="AC366" s="841" t="inlineStr">
        <is>
          <t>Tenant break on 6 months notice. 2 months rent free if not exercised.</t>
        </is>
      </c>
      <c r="AF366" s="312" t="n"/>
    </row>
    <row r="367">
      <c r="A367" s="839" t="inlineStr">
        <is>
          <t>JM</t>
        </is>
      </c>
      <c r="B367" s="839" t="inlineStr">
        <is>
          <t>MEL</t>
        </is>
      </c>
      <c r="C367" s="840" t="n">
        <v>100650</v>
      </c>
      <c r="D367" s="841" t="inlineStr">
        <is>
          <t>50-60 Eastcastle Street</t>
        </is>
      </c>
      <c r="E367" s="841" t="inlineStr">
        <is>
          <t>Third Floor (395)</t>
        </is>
      </c>
      <c r="F367" s="842" t="inlineStr">
        <is>
          <t>Office</t>
        </is>
      </c>
      <c r="G367" s="849" t="n">
        <v>3500</v>
      </c>
      <c r="H367" s="849">
        <f>G367</f>
        <v/>
      </c>
      <c r="I367" s="849" t="n">
        <v>3500</v>
      </c>
      <c r="J367" s="841" t="inlineStr">
        <is>
          <t>Pixi Limited</t>
        </is>
      </c>
      <c r="K367" s="844" t="n">
        <v>44879</v>
      </c>
      <c r="L367" s="845" t="n">
        <v>46704</v>
      </c>
      <c r="P367" s="843" t="n">
        <v>200000</v>
      </c>
      <c r="Q367" s="843">
        <f>P367</f>
        <v/>
      </c>
      <c r="S367" s="843" t="n">
        <v>201300</v>
      </c>
      <c r="T367" s="843">
        <f>S367</f>
        <v/>
      </c>
      <c r="U367" s="843" t="n">
        <v>201300</v>
      </c>
      <c r="V367" s="843">
        <f>U367</f>
        <v/>
      </c>
      <c r="W367" s="846">
        <f>U367/G367</f>
        <v/>
      </c>
      <c r="X367" s="847">
        <f>SUM(U367-S367)/S367</f>
        <v/>
      </c>
      <c r="Y367" s="843" t="inlineStr">
        <is>
          <t>D</t>
        </is>
      </c>
      <c r="Z367" s="590" t="n"/>
      <c r="AA367" s="855" t="n"/>
      <c r="AB367" s="842" t="inlineStr">
        <is>
          <t>No</t>
        </is>
      </c>
      <c r="AF367" s="312" t="n"/>
    </row>
    <row r="368">
      <c r="A368" s="839" t="inlineStr">
        <is>
          <t>JM</t>
        </is>
      </c>
      <c r="B368" s="839" t="inlineStr">
        <is>
          <t>MEL</t>
        </is>
      </c>
      <c r="C368" s="840" t="n">
        <v>100650</v>
      </c>
      <c r="D368" s="841" t="inlineStr">
        <is>
          <t>50-60 Eastcastle Street</t>
        </is>
      </c>
      <c r="E368" s="841" t="inlineStr">
        <is>
          <t>Third Floor (398)</t>
        </is>
      </c>
      <c r="F368" s="842" t="inlineStr">
        <is>
          <t>Office</t>
        </is>
      </c>
      <c r="G368" s="849" t="n">
        <v>416</v>
      </c>
      <c r="H368" s="849">
        <f>G368</f>
        <v/>
      </c>
      <c r="I368" s="849" t="n">
        <v>500</v>
      </c>
      <c r="J368" s="841" t="inlineStr">
        <is>
          <t>Pixi Limited</t>
        </is>
      </c>
      <c r="K368" s="844" t="n">
        <v>45701</v>
      </c>
      <c r="L368" s="845" t="n">
        <v>46704</v>
      </c>
      <c r="P368" s="843" t="n">
        <v>15000</v>
      </c>
      <c r="Q368" s="843">
        <f>P368</f>
        <v/>
      </c>
      <c r="S368" s="843" t="n">
        <v>23900</v>
      </c>
      <c r="T368" s="843">
        <f>S368</f>
        <v/>
      </c>
      <c r="U368" s="843" t="n">
        <v>23900</v>
      </c>
      <c r="V368" s="843">
        <f>U368</f>
        <v/>
      </c>
      <c r="W368" s="846">
        <f>U368/G368</f>
        <v/>
      </c>
      <c r="X368" s="847">
        <f>SUM(U368-S368)/S368</f>
        <v/>
      </c>
      <c r="Y368" s="843" t="inlineStr">
        <is>
          <t>E</t>
        </is>
      </c>
      <c r="Z368" s="590" t="n"/>
      <c r="AA368" s="855" t="n"/>
      <c r="AB368" s="842" t="inlineStr">
        <is>
          <t>No</t>
        </is>
      </c>
      <c r="AC368" s="841" t="inlineStr">
        <is>
          <t>Rolling tenant break on 6 months notice.</t>
        </is>
      </c>
      <c r="AF368" s="312" t="n"/>
    </row>
    <row r="369">
      <c r="A369" s="839" t="inlineStr">
        <is>
          <t>JM</t>
        </is>
      </c>
      <c r="B369" s="839" t="inlineStr">
        <is>
          <t>MEL</t>
        </is>
      </c>
      <c r="C369" s="840" t="n">
        <v>100650</v>
      </c>
      <c r="D369" s="841" t="inlineStr">
        <is>
          <t>50-60 Eastcastle Street</t>
        </is>
      </c>
      <c r="E369" s="841" t="inlineStr">
        <is>
          <t>Third Floor (396)</t>
        </is>
      </c>
      <c r="F369" s="842" t="inlineStr">
        <is>
          <t>Showroom/ Office</t>
        </is>
      </c>
      <c r="G369" s="849" t="n">
        <v>1400</v>
      </c>
      <c r="H369" s="849">
        <f>G369</f>
        <v/>
      </c>
      <c r="I369" s="849" t="n">
        <v>1500</v>
      </c>
      <c r="J369" s="841" t="inlineStr">
        <is>
          <t>Lovisa UK Ltd</t>
        </is>
      </c>
      <c r="K369" s="844" t="n">
        <v>45359</v>
      </c>
      <c r="L369" s="845" t="n">
        <v>46088</v>
      </c>
      <c r="P369" s="843" t="n">
        <v>81900</v>
      </c>
      <c r="Q369" s="843">
        <f>P369</f>
        <v/>
      </c>
      <c r="S369" s="843" t="n">
        <v>80500</v>
      </c>
      <c r="T369" s="843">
        <f>S369</f>
        <v/>
      </c>
      <c r="U369" s="843" t="n">
        <v>80500</v>
      </c>
      <c r="V369" s="843">
        <f>U369</f>
        <v/>
      </c>
      <c r="W369" s="846">
        <f>U369/G369</f>
        <v/>
      </c>
      <c r="X369" s="847">
        <f>SUM(U369-S369)/S369</f>
        <v/>
      </c>
      <c r="Y369" s="843" t="inlineStr">
        <is>
          <t>E</t>
        </is>
      </c>
      <c r="Z369" s="590" t="n"/>
      <c r="AA369" s="855" t="n"/>
      <c r="AB369" s="842" t="inlineStr">
        <is>
          <t>No</t>
        </is>
      </c>
      <c r="AF369" s="312" t="n"/>
    </row>
    <row r="370">
      <c r="A370" s="839" t="inlineStr">
        <is>
          <t>JM</t>
        </is>
      </c>
      <c r="B370" s="839" t="inlineStr">
        <is>
          <t>MEL</t>
        </is>
      </c>
      <c r="C370" s="840" t="n">
        <v>100650</v>
      </c>
      <c r="D370" s="841" t="inlineStr">
        <is>
          <t>50-60 Eastcastle Street</t>
        </is>
      </c>
      <c r="E370" s="841" t="inlineStr">
        <is>
          <t>Third Floor (375 &amp; 380)</t>
        </is>
      </c>
      <c r="F370" s="842" t="inlineStr">
        <is>
          <t>Showroom/ Office</t>
        </is>
      </c>
      <c r="G370" s="849" t="n">
        <v>1277</v>
      </c>
      <c r="H370" s="849">
        <f>G370</f>
        <v/>
      </c>
      <c r="I370" s="849" t="n">
        <v>750</v>
      </c>
      <c r="J370" s="841" t="inlineStr">
        <is>
          <t>Jewells Retail Ltd</t>
        </is>
      </c>
      <c r="K370" s="844" t="n">
        <v>45714</v>
      </c>
      <c r="L370" s="845" t="n">
        <v>46088</v>
      </c>
      <c r="P370" s="843" t="n">
        <v>95395</v>
      </c>
      <c r="Q370" s="843">
        <f>P370</f>
        <v/>
      </c>
      <c r="S370" s="843" t="n">
        <v>73400</v>
      </c>
      <c r="T370" s="843">
        <f>S370</f>
        <v/>
      </c>
      <c r="U370" s="843" t="n">
        <v>73400</v>
      </c>
      <c r="V370" s="843">
        <f>U370</f>
        <v/>
      </c>
      <c r="W370" s="846">
        <f>U370/G370</f>
        <v/>
      </c>
      <c r="X370" s="847">
        <f>SUM(U370-S370)/S370</f>
        <v/>
      </c>
      <c r="Y370" s="843" t="inlineStr">
        <is>
          <t>E</t>
        </is>
      </c>
      <c r="Z370" s="590" t="n"/>
      <c r="AA370" s="855" t="n"/>
      <c r="AB370" s="842" t="inlineStr">
        <is>
          <t>No</t>
        </is>
      </c>
      <c r="AC370" s="841" t="inlineStr">
        <is>
          <t>Rent all inclusive (excluding rates).</t>
        </is>
      </c>
      <c r="AE370" s="841" t="n">
        <v>1</v>
      </c>
      <c r="AF370" s="312" t="n">
        <v>3</v>
      </c>
      <c r="AG370" s="841" t="inlineStr">
        <is>
          <t>LEM</t>
        </is>
      </c>
    </row>
    <row r="371">
      <c r="A371" s="839" t="inlineStr">
        <is>
          <t>JM</t>
        </is>
      </c>
      <c r="B371" s="839" t="inlineStr">
        <is>
          <t>MEL</t>
        </is>
      </c>
      <c r="C371" s="840" t="n">
        <v>100650</v>
      </c>
      <c r="D371" s="841" t="inlineStr">
        <is>
          <t>50-60 Eastcastle Street</t>
        </is>
      </c>
      <c r="E371" s="841" t="inlineStr">
        <is>
          <t>Winsley St. Sub-station (N)</t>
        </is>
      </c>
      <c r="F371" s="842" t="inlineStr">
        <is>
          <t>Plant Room</t>
        </is>
      </c>
      <c r="G371" s="849" t="n">
        <v>0</v>
      </c>
      <c r="H371" s="849">
        <f>G371</f>
        <v/>
      </c>
      <c r="J371" s="841" t="inlineStr">
        <is>
          <t>London Power Networks Plc</t>
        </is>
      </c>
      <c r="K371" s="844" t="n">
        <v>39295</v>
      </c>
      <c r="L371" s="845" t="n">
        <v>46599</v>
      </c>
      <c r="N371" s="845" t="n">
        <v>44409</v>
      </c>
      <c r="P371" s="843" t="n">
        <v>681</v>
      </c>
      <c r="Q371" s="843">
        <f>P371</f>
        <v/>
      </c>
      <c r="S371" s="843" t="n">
        <v>700</v>
      </c>
      <c r="T371" s="843">
        <f>S371</f>
        <v/>
      </c>
      <c r="U371" s="843" t="n">
        <v>700</v>
      </c>
      <c r="V371" s="843">
        <f>U371</f>
        <v/>
      </c>
      <c r="W371" s="846" t="n"/>
      <c r="X371" s="847" t="n"/>
      <c r="Y371" s="843" t="n"/>
      <c r="Z371" s="590" t="n"/>
      <c r="AA371" s="855" t="n"/>
      <c r="AB371" s="842" t="inlineStr">
        <is>
          <t>No</t>
        </is>
      </c>
      <c r="AC371" s="841" t="inlineStr">
        <is>
          <t xml:space="preserve">Landlords redevelopment break on 6 months notice. Rent review is RPI indexation. </t>
        </is>
      </c>
      <c r="AF371" s="312" t="n"/>
    </row>
    <row r="372">
      <c r="A372" s="839" t="inlineStr">
        <is>
          <t>JM</t>
        </is>
      </c>
      <c r="B372" s="839" t="inlineStr">
        <is>
          <t>MEL</t>
        </is>
      </c>
      <c r="C372" s="840" t="n">
        <v>100650</v>
      </c>
      <c r="D372" s="841" t="inlineStr">
        <is>
          <t>50-60 Eastcastle Street</t>
        </is>
      </c>
      <c r="E372" s="841" t="inlineStr">
        <is>
          <t>Winsley St. Sub-station (S)</t>
        </is>
      </c>
      <c r="F372" s="842" t="inlineStr">
        <is>
          <t>Plant Room</t>
        </is>
      </c>
      <c r="G372" s="849" t="n">
        <v>0</v>
      </c>
      <c r="H372" s="849">
        <f>G372</f>
        <v/>
      </c>
      <c r="J372" s="841" t="inlineStr">
        <is>
          <t>London Power Networks Plc</t>
        </is>
      </c>
      <c r="K372" s="844" t="n">
        <v>39295</v>
      </c>
      <c r="L372" s="845" t="n">
        <v>46599</v>
      </c>
      <c r="N372" s="845" t="n">
        <v>44409</v>
      </c>
      <c r="P372" s="843" t="n">
        <v>681</v>
      </c>
      <c r="Q372" s="843">
        <f>P372</f>
        <v/>
      </c>
      <c r="S372" s="843" t="n">
        <v>700</v>
      </c>
      <c r="T372" s="843">
        <f>S372</f>
        <v/>
      </c>
      <c r="U372" s="843" t="n">
        <v>700</v>
      </c>
      <c r="V372" s="843">
        <f>U372</f>
        <v/>
      </c>
      <c r="W372" s="846" t="n"/>
      <c r="X372" s="847" t="n"/>
      <c r="Y372" s="843" t="n"/>
      <c r="Z372" s="590" t="n"/>
      <c r="AA372" s="855" t="n"/>
      <c r="AB372" s="842" t="inlineStr">
        <is>
          <t>No</t>
        </is>
      </c>
      <c r="AC372" s="841" t="inlineStr">
        <is>
          <t xml:space="preserve">Landlords redevelopment break on 6 months notice. Rent review is RPI indexation. </t>
        </is>
      </c>
      <c r="AF372" s="312" t="n"/>
    </row>
    <row r="373">
      <c r="A373" s="839" t="inlineStr">
        <is>
          <t>JM</t>
        </is>
      </c>
      <c r="B373" s="839" t="inlineStr">
        <is>
          <t>MEL</t>
        </is>
      </c>
      <c r="C373" s="840" t="n">
        <v>100680</v>
      </c>
      <c r="D373" s="841" t="inlineStr">
        <is>
          <t>Mappin House, 156-162 Oxford Street</t>
        </is>
      </c>
      <c r="E373" s="841" t="inlineStr">
        <is>
          <t>Part Basement</t>
        </is>
      </c>
      <c r="F373" s="842" t="inlineStr">
        <is>
          <t>Storage</t>
        </is>
      </c>
      <c r="G373" s="839" t="n">
        <v>0</v>
      </c>
      <c r="H373" s="849">
        <f>G373</f>
        <v/>
      </c>
      <c r="J373" s="841" t="inlineStr">
        <is>
          <t>Vincere NK Group Ltd</t>
        </is>
      </c>
      <c r="K373" s="844" t="n">
        <v>44736</v>
      </c>
      <c r="L373" s="845" t="n">
        <v>46657</v>
      </c>
      <c r="P373" s="843" t="n">
        <v>1000</v>
      </c>
      <c r="Q373" s="843">
        <f>P373</f>
        <v/>
      </c>
      <c r="S373" s="843" t="n">
        <v>1000</v>
      </c>
      <c r="T373" s="843">
        <f>S373</f>
        <v/>
      </c>
      <c r="U373" s="843" t="n">
        <v>0</v>
      </c>
      <c r="V373" s="843">
        <f>U373</f>
        <v/>
      </c>
      <c r="W373" s="846" t="n"/>
      <c r="X373" s="847" t="n"/>
      <c r="Y373" s="843" t="n"/>
      <c r="Z373" s="590" t="n"/>
      <c r="AA373" s="848" t="n"/>
      <c r="AB373" s="842" t="inlineStr">
        <is>
          <t>No</t>
        </is>
      </c>
      <c r="AC373" s="841" t="inlineStr">
        <is>
          <t>Landlord can terminate on 1 months notice.</t>
        </is>
      </c>
      <c r="AF373" s="312" t="n"/>
    </row>
    <row r="374">
      <c r="A374" s="839" t="inlineStr">
        <is>
          <t>JM</t>
        </is>
      </c>
      <c r="B374" s="839" t="inlineStr">
        <is>
          <t>MEL</t>
        </is>
      </c>
      <c r="C374" s="840" t="n">
        <v>100680</v>
      </c>
      <c r="D374" s="841" t="inlineStr">
        <is>
          <t>Mappin House, 156-162 Oxford Street</t>
        </is>
      </c>
      <c r="E374" s="841" t="inlineStr">
        <is>
          <t>Ground Floor &amp; Basement                           Winsley Street</t>
        </is>
      </c>
      <c r="F374" s="842" t="inlineStr">
        <is>
          <t>Nightclub</t>
        </is>
      </c>
      <c r="G374" s="849" t="n">
        <v>7079</v>
      </c>
      <c r="H374" s="849">
        <f>G374</f>
        <v/>
      </c>
      <c r="I374" s="849" t="n">
        <v>7000</v>
      </c>
      <c r="J374" s="841" t="inlineStr">
        <is>
          <t>Vincere NK Group Ltd</t>
        </is>
      </c>
      <c r="K374" s="844" t="n">
        <v>41180</v>
      </c>
      <c r="L374" s="845" t="n">
        <v>46657</v>
      </c>
      <c r="P374" s="843" t="n">
        <v>425033</v>
      </c>
      <c r="Q374" s="843">
        <f>P374</f>
        <v/>
      </c>
      <c r="S374" s="843" t="n">
        <v>447350</v>
      </c>
      <c r="T374" s="843">
        <f>S374</f>
        <v/>
      </c>
      <c r="U374" s="843" t="n">
        <v>360100</v>
      </c>
      <c r="V374" s="843">
        <f>U374</f>
        <v/>
      </c>
      <c r="W374" s="846">
        <f>U374/G374</f>
        <v/>
      </c>
      <c r="X374" s="847">
        <f>SUM(U374-S374)/S374</f>
        <v/>
      </c>
      <c r="Y374" s="843" t="inlineStr">
        <is>
          <t>B</t>
        </is>
      </c>
      <c r="Z374" s="590" t="n"/>
      <c r="AA374" s="855" t="n"/>
      <c r="AB374" s="842" t="inlineStr">
        <is>
          <t>Yes</t>
        </is>
      </c>
      <c r="AF374" s="312" t="n"/>
    </row>
    <row r="375">
      <c r="A375" s="839" t="inlineStr">
        <is>
          <t>JM</t>
        </is>
      </c>
      <c r="B375" s="839" t="inlineStr">
        <is>
          <t>MEL</t>
        </is>
      </c>
      <c r="C375" s="840" t="n">
        <v>100680</v>
      </c>
      <c r="D375" s="841" t="inlineStr">
        <is>
          <t>Mappin House, 156-162 Oxford Street</t>
        </is>
      </c>
      <c r="E375" s="841" t="inlineStr">
        <is>
          <t>Basement - 158 Oxford Street</t>
        </is>
      </c>
      <c r="F375" s="842" t="inlineStr">
        <is>
          <t>Storage</t>
        </is>
      </c>
      <c r="G375" s="849" t="n">
        <v>0</v>
      </c>
      <c r="H375" s="849">
        <f>G375</f>
        <v/>
      </c>
      <c r="J375" s="841" t="inlineStr">
        <is>
          <t>Vincere NK Group Ltd</t>
        </is>
      </c>
      <c r="K375" s="844" t="n">
        <v>42114</v>
      </c>
      <c r="L375" s="845" t="n">
        <v>46657</v>
      </c>
      <c r="P375" s="843" t="n">
        <v>22317</v>
      </c>
      <c r="Q375" s="843">
        <f>P375</f>
        <v/>
      </c>
      <c r="S375" s="843" t="n">
        <v>21000</v>
      </c>
      <c r="T375" s="843">
        <f>S375</f>
        <v/>
      </c>
      <c r="U375" s="843" t="n">
        <v>0</v>
      </c>
      <c r="V375" s="843">
        <f>U375</f>
        <v/>
      </c>
      <c r="W375" s="846" t="n"/>
      <c r="X375" s="847" t="n"/>
      <c r="Y375" s="843" t="n"/>
      <c r="Z375" s="590" t="n"/>
      <c r="AA375" s="855" t="n"/>
      <c r="AB375" s="842" t="inlineStr">
        <is>
          <t>No</t>
        </is>
      </c>
      <c r="AF375" s="312" t="n"/>
    </row>
    <row r="376">
      <c r="A376" s="839" t="inlineStr">
        <is>
          <t>JM</t>
        </is>
      </c>
      <c r="B376" s="839" t="inlineStr">
        <is>
          <t>MEL</t>
        </is>
      </c>
      <c r="C376" s="840" t="n">
        <v>100680</v>
      </c>
      <c r="D376" s="841" t="inlineStr">
        <is>
          <t>Mappin House, 156-162 Oxford Street</t>
        </is>
      </c>
      <c r="E376" s="841" t="inlineStr">
        <is>
          <t>Ground Floor &amp; Basement                           162 Oxford Street</t>
        </is>
      </c>
      <c r="F376" s="839" t="inlineStr">
        <is>
          <t>Retail</t>
        </is>
      </c>
      <c r="G376" s="849" t="n">
        <v>3030</v>
      </c>
      <c r="H376" s="849">
        <f>G376</f>
        <v/>
      </c>
      <c r="I376" s="849" t="n">
        <v>3000</v>
      </c>
      <c r="J376" s="841" t="inlineStr">
        <is>
          <t>Dune Group Ltd.</t>
        </is>
      </c>
      <c r="K376" s="844" t="n">
        <v>45711</v>
      </c>
      <c r="L376" s="845" t="n">
        <v>49362</v>
      </c>
      <c r="P376" s="617" t="n">
        <v>500000</v>
      </c>
      <c r="Q376" s="843">
        <f>P376</f>
        <v/>
      </c>
      <c r="S376" s="843" t="n">
        <v>393300</v>
      </c>
      <c r="T376" s="843">
        <f>S376</f>
        <v/>
      </c>
      <c r="U376" s="843" t="n">
        <v>500000</v>
      </c>
      <c r="V376" s="843">
        <f>U376</f>
        <v/>
      </c>
      <c r="W376" s="846">
        <f>U376/G376</f>
        <v/>
      </c>
      <c r="X376" s="847">
        <f>SUM(U376-S376)/S376</f>
        <v/>
      </c>
      <c r="Y376" s="843" t="inlineStr">
        <is>
          <t>C</t>
        </is>
      </c>
      <c r="Z376" s="590" t="n"/>
      <c r="AA376" s="855" t="n"/>
      <c r="AB376" s="842" t="inlineStr">
        <is>
          <t>No</t>
        </is>
      </c>
      <c r="AC376" s="841" t="inlineStr">
        <is>
          <t>Tenant break on 6 months notice.</t>
        </is>
      </c>
      <c r="AD376" s="850" t="n"/>
      <c r="AE376" s="841" t="n"/>
      <c r="AF376" s="312" t="n"/>
      <c r="AG376" s="841" t="n"/>
    </row>
    <row r="377">
      <c r="A377" s="839" t="inlineStr">
        <is>
          <t>JM</t>
        </is>
      </c>
      <c r="B377" s="839" t="inlineStr">
        <is>
          <t>MEL</t>
        </is>
      </c>
      <c r="C377" s="840" t="n">
        <v>100680</v>
      </c>
      <c r="D377" s="841" t="inlineStr">
        <is>
          <t>Mappin House, 156-162 Oxford Street</t>
        </is>
      </c>
      <c r="E377" s="841" t="inlineStr">
        <is>
          <t>Ground Floor - 160 Oxford Street</t>
        </is>
      </c>
      <c r="F377" s="842" t="inlineStr">
        <is>
          <t>Retail</t>
        </is>
      </c>
      <c r="G377" s="849" t="n">
        <v>1296</v>
      </c>
      <c r="H377" s="849">
        <f>G377</f>
        <v/>
      </c>
      <c r="I377" s="849" t="n">
        <v>1250</v>
      </c>
      <c r="J377" s="841" t="inlineStr">
        <is>
          <t>Hutchison 3 G UK Ltd</t>
        </is>
      </c>
      <c r="K377" s="844" t="n">
        <v>44908</v>
      </c>
      <c r="L377" s="845" t="n">
        <v>46003</v>
      </c>
      <c r="P377" s="843" t="n">
        <v>295000</v>
      </c>
      <c r="Q377" s="843">
        <f>P377</f>
        <v/>
      </c>
      <c r="S377" s="843" t="n">
        <v>275300</v>
      </c>
      <c r="T377" s="843">
        <f>S377</f>
        <v/>
      </c>
      <c r="U377" s="843" t="n">
        <v>333100</v>
      </c>
      <c r="V377" s="843">
        <f>U377</f>
        <v/>
      </c>
      <c r="W377" s="846">
        <f>U377/G377</f>
        <v/>
      </c>
      <c r="X377" s="847">
        <f>SUM(U377-S377)/S377</f>
        <v/>
      </c>
      <c r="Y377" s="843" t="inlineStr">
        <is>
          <t>B</t>
        </is>
      </c>
      <c r="Z377" s="590" t="n"/>
      <c r="AA377" s="855" t="n"/>
      <c r="AB377" s="842" t="inlineStr">
        <is>
          <t>No</t>
        </is>
      </c>
      <c r="AC377" s="841" t="n"/>
      <c r="AD377" s="850" t="n"/>
      <c r="AE377" s="841" t="n"/>
      <c r="AF377" s="312" t="n"/>
      <c r="AG377" s="841" t="n"/>
    </row>
    <row r="378">
      <c r="A378" s="839" t="inlineStr">
        <is>
          <t>JM</t>
        </is>
      </c>
      <c r="B378" s="839" t="inlineStr">
        <is>
          <t>MEL</t>
        </is>
      </c>
      <c r="C378" s="840" t="n">
        <v>100680</v>
      </c>
      <c r="D378" s="841" t="inlineStr">
        <is>
          <t>Mappin House, 156-162 Oxford Street</t>
        </is>
      </c>
      <c r="E378" s="841" t="inlineStr">
        <is>
          <t>Ground Floor - 158 Oxford Street</t>
        </is>
      </c>
      <c r="F378" s="842" t="inlineStr">
        <is>
          <t>Retail</t>
        </is>
      </c>
      <c r="G378" s="849" t="n">
        <v>1690</v>
      </c>
      <c r="H378" s="849">
        <f>G378</f>
        <v/>
      </c>
      <c r="I378" s="849" t="n">
        <v>1500</v>
      </c>
      <c r="J378" s="841" t="inlineStr">
        <is>
          <t>VF Northern Europe Services Ltd</t>
        </is>
      </c>
      <c r="K378" s="844" t="n">
        <v>42388</v>
      </c>
      <c r="L378" s="845" t="n">
        <v>46040</v>
      </c>
      <c r="P378" s="843" t="n">
        <v>500000</v>
      </c>
      <c r="Q378" s="843">
        <f>P378</f>
        <v/>
      </c>
      <c r="S378" s="843" t="n">
        <v>337700</v>
      </c>
      <c r="T378" s="843">
        <f>S378</f>
        <v/>
      </c>
      <c r="U378" s="843" t="n">
        <v>415900</v>
      </c>
      <c r="V378" s="843">
        <f>U378</f>
        <v/>
      </c>
      <c r="W378" s="846">
        <f>U378/G378</f>
        <v/>
      </c>
      <c r="X378" s="847">
        <f>SUM(U378-S378)/S378</f>
        <v/>
      </c>
      <c r="Y378" s="843" t="inlineStr">
        <is>
          <t>B</t>
        </is>
      </c>
      <c r="Z378" s="590" t="n"/>
      <c r="AA378" s="855" t="n"/>
      <c r="AB378" s="842" t="inlineStr">
        <is>
          <t>No</t>
        </is>
      </c>
      <c r="AF378" s="312" t="n"/>
    </row>
    <row r="379">
      <c r="A379" s="839" t="inlineStr">
        <is>
          <t>JM</t>
        </is>
      </c>
      <c r="B379" s="839" t="inlineStr">
        <is>
          <t>MEL</t>
        </is>
      </c>
      <c r="C379" s="840" t="n">
        <v>100680</v>
      </c>
      <c r="D379" s="841" t="inlineStr">
        <is>
          <t>Mappin House, 156-162 Oxford Street</t>
        </is>
      </c>
      <c r="E379" s="841" t="inlineStr">
        <is>
          <t>Ground Floor - 156 Oxford Street</t>
        </is>
      </c>
      <c r="F379" s="842" t="inlineStr">
        <is>
          <t>Retail</t>
        </is>
      </c>
      <c r="G379" s="849" t="n">
        <v>2304</v>
      </c>
      <c r="H379" s="849">
        <f>G379</f>
        <v/>
      </c>
      <c r="I379" s="849" t="n">
        <v>2250</v>
      </c>
      <c r="J379" s="841" t="inlineStr">
        <is>
          <t>Hawes &amp; Curtis Ltd</t>
        </is>
      </c>
      <c r="K379" s="628" t="n">
        <v>45748</v>
      </c>
      <c r="P379" s="617" t="n">
        <v>255000</v>
      </c>
      <c r="Q379" s="843">
        <f>P379</f>
        <v/>
      </c>
      <c r="S379" s="843" t="n">
        <v>371300</v>
      </c>
      <c r="T379" s="843">
        <f>S379</f>
        <v/>
      </c>
      <c r="U379" s="843" t="n">
        <v>426800</v>
      </c>
      <c r="V379" s="843">
        <f>U379</f>
        <v/>
      </c>
      <c r="W379" s="846">
        <f>U379/G379</f>
        <v/>
      </c>
      <c r="X379" s="847">
        <f>SUM(U379-S379)/S379</f>
        <v/>
      </c>
      <c r="Y379" s="843" t="inlineStr">
        <is>
          <t>C</t>
        </is>
      </c>
      <c r="Z379" s="590" t="n"/>
      <c r="AA379" s="855" t="n"/>
      <c r="AB379" s="842" t="inlineStr">
        <is>
          <t>No</t>
        </is>
      </c>
      <c r="AC379" s="29" t="inlineStr">
        <is>
          <t>Tenancy @ will completed. Lease renewal terms agreed for 10 years.</t>
        </is>
      </c>
      <c r="AF379" s="312" t="n"/>
    </row>
    <row r="380">
      <c r="A380" s="839" t="inlineStr">
        <is>
          <t>JM</t>
        </is>
      </c>
      <c r="B380" s="839" t="inlineStr">
        <is>
          <t>MEL</t>
        </is>
      </c>
      <c r="C380" s="840" t="n">
        <v>100680</v>
      </c>
      <c r="D380" s="841" t="inlineStr">
        <is>
          <t>Mappin House, 156-162 Oxford Street</t>
        </is>
      </c>
      <c r="E380" s="841" t="inlineStr">
        <is>
          <t>Mezzanine</t>
        </is>
      </c>
      <c r="F380" s="842" t="inlineStr">
        <is>
          <t>Office</t>
        </is>
      </c>
      <c r="G380" s="849" t="n">
        <v>7519</v>
      </c>
      <c r="H380" s="849">
        <f>G380</f>
        <v/>
      </c>
      <c r="I380" s="849" t="n">
        <v>7500</v>
      </c>
      <c r="J380" s="841" t="inlineStr">
        <is>
          <t>Perry Ellis Europe Ltd.</t>
        </is>
      </c>
      <c r="K380" s="844" t="n">
        <v>45231</v>
      </c>
      <c r="L380" s="845" t="n">
        <v>45961</v>
      </c>
      <c r="P380" s="843" t="n">
        <v>450600</v>
      </c>
      <c r="Q380" s="843">
        <f>P380</f>
        <v/>
      </c>
      <c r="R380" s="862" t="n"/>
      <c r="S380" s="843" t="n">
        <v>489500</v>
      </c>
      <c r="T380" s="843">
        <f>S380</f>
        <v/>
      </c>
      <c r="U380" s="843" t="n">
        <v>469900</v>
      </c>
      <c r="V380" s="843">
        <f>U380</f>
        <v/>
      </c>
      <c r="W380" s="846">
        <f>U380/G380</f>
        <v/>
      </c>
      <c r="X380" s="847">
        <f>SUM(U380-S380)/S380</f>
        <v/>
      </c>
      <c r="Y380" s="843" t="inlineStr">
        <is>
          <t>D</t>
        </is>
      </c>
      <c r="Z380" s="590" t="n"/>
      <c r="AA380" s="855" t="n"/>
      <c r="AB380" s="842" t="inlineStr">
        <is>
          <t>No</t>
        </is>
      </c>
      <c r="AC380" s="841" t="n"/>
      <c r="AD380" s="850" t="n"/>
      <c r="AE380" s="841" t="n"/>
      <c r="AF380" s="312" t="n"/>
      <c r="AG380" s="841" t="n"/>
    </row>
    <row r="381">
      <c r="A381" s="839" t="inlineStr">
        <is>
          <t>JM</t>
        </is>
      </c>
      <c r="B381" s="839" t="inlineStr">
        <is>
          <t>MEL</t>
        </is>
      </c>
      <c r="C381" s="840" t="n">
        <v>100680</v>
      </c>
      <c r="D381" s="841" t="inlineStr">
        <is>
          <t>Mappin House, 156-162 Oxford Street</t>
        </is>
      </c>
      <c r="E381" s="841" t="inlineStr">
        <is>
          <t>First Floor</t>
        </is>
      </c>
      <c r="F381" s="842" t="inlineStr">
        <is>
          <t>Office</t>
        </is>
      </c>
      <c r="G381" s="849" t="n">
        <v>6890</v>
      </c>
      <c r="H381" s="849">
        <f>G381</f>
        <v/>
      </c>
      <c r="I381" s="849" t="n">
        <v>7000</v>
      </c>
      <c r="J381" s="841" t="inlineStr">
        <is>
          <t>London Mappin House Centre Ltd.</t>
        </is>
      </c>
      <c r="K381" s="844" t="n">
        <v>45672</v>
      </c>
      <c r="L381" s="845" t="n">
        <v>46766</v>
      </c>
      <c r="O381" s="845" t="n">
        <v>46218</v>
      </c>
      <c r="P381" s="843" t="n">
        <v>241776</v>
      </c>
      <c r="Q381" s="843">
        <f>P381</f>
        <v/>
      </c>
      <c r="R381" s="853" t="n"/>
      <c r="S381" s="843" t="n">
        <v>438000</v>
      </c>
      <c r="T381" s="843">
        <f>S381</f>
        <v/>
      </c>
      <c r="U381" s="843" t="n">
        <v>430600</v>
      </c>
      <c r="V381" s="843">
        <f>U381</f>
        <v/>
      </c>
      <c r="W381" s="846">
        <f>U381/G381</f>
        <v/>
      </c>
      <c r="X381" s="847">
        <f>SUM(U381-S381)/S381</f>
        <v/>
      </c>
      <c r="Y381" s="843" t="inlineStr">
        <is>
          <t>B</t>
        </is>
      </c>
      <c r="Z381" s="590" t="n"/>
      <c r="AA381" s="855" t="n"/>
      <c r="AB381" s="842" t="inlineStr">
        <is>
          <t>No</t>
        </is>
      </c>
      <c r="AC381" s="841" t="inlineStr">
        <is>
          <t xml:space="preserve">Guaranteed base rent of £241,776 plus revenue top up. Revenue top-up rent of £55,860 paid for 1Apr24 - 31Mar25. Rolling mutual break option after 18 months. </t>
        </is>
      </c>
      <c r="AF381" s="312" t="n"/>
    </row>
    <row r="382">
      <c r="A382" s="839" t="inlineStr">
        <is>
          <t>JM</t>
        </is>
      </c>
      <c r="B382" s="839" t="inlineStr">
        <is>
          <t>MEL</t>
        </is>
      </c>
      <c r="C382" s="840" t="n">
        <v>100680</v>
      </c>
      <c r="D382" s="841" t="inlineStr">
        <is>
          <t>Mappin House, 156-162 Oxford Street</t>
        </is>
      </c>
      <c r="E382" s="841" t="inlineStr">
        <is>
          <t>Second Floor</t>
        </is>
      </c>
      <c r="F382" s="842" t="inlineStr">
        <is>
          <t>Office</t>
        </is>
      </c>
      <c r="G382" s="849" t="n">
        <v>6973</v>
      </c>
      <c r="H382" s="849">
        <f>G382</f>
        <v/>
      </c>
      <c r="I382" s="849" t="n">
        <v>7000</v>
      </c>
      <c r="J382" s="841" t="inlineStr">
        <is>
          <t>London Mappin House Centre Ltd.</t>
        </is>
      </c>
      <c r="K382" s="844" t="n">
        <v>45672</v>
      </c>
      <c r="L382" s="845" t="n">
        <v>46766</v>
      </c>
      <c r="O382" s="845" t="n">
        <v>46218</v>
      </c>
      <c r="P382" s="843" t="n">
        <v>242259</v>
      </c>
      <c r="Q382" s="843">
        <f>P382</f>
        <v/>
      </c>
      <c r="R382" s="853" t="n"/>
      <c r="S382" s="843" t="n">
        <v>438900</v>
      </c>
      <c r="T382" s="843">
        <f>S382</f>
        <v/>
      </c>
      <c r="U382" s="843" t="n">
        <v>435800</v>
      </c>
      <c r="V382" s="843">
        <f>U382</f>
        <v/>
      </c>
      <c r="W382" s="846">
        <f>U382/G382</f>
        <v/>
      </c>
      <c r="X382" s="847">
        <f>SUM(U382-S382)/S382</f>
        <v/>
      </c>
      <c r="Y382" s="843" t="inlineStr">
        <is>
          <t>B</t>
        </is>
      </c>
      <c r="Z382" s="590" t="n"/>
      <c r="AA382" s="855" t="n"/>
      <c r="AB382" s="842" t="inlineStr">
        <is>
          <t>No</t>
        </is>
      </c>
      <c r="AC382" s="841" t="inlineStr">
        <is>
          <t xml:space="preserve">Guaranteed base rent of £242,259 plus revenue top up. Revenue top-up rent of £55,974 paid for 1Apr24 - 31Mar25. Rolling mutual break option after 18 months. </t>
        </is>
      </c>
      <c r="AF382" s="312" t="n"/>
    </row>
    <row r="383">
      <c r="A383" s="839" t="inlineStr">
        <is>
          <t>JM</t>
        </is>
      </c>
      <c r="B383" s="839" t="inlineStr">
        <is>
          <t>MEL</t>
        </is>
      </c>
      <c r="C383" s="840" t="n">
        <v>100680</v>
      </c>
      <c r="D383" s="841" t="inlineStr">
        <is>
          <t>Mappin House, 156-162 Oxford Street</t>
        </is>
      </c>
      <c r="E383" s="841" t="inlineStr">
        <is>
          <t>Third Floor</t>
        </is>
      </c>
      <c r="F383" s="842" t="inlineStr">
        <is>
          <t>Office</t>
        </is>
      </c>
      <c r="G383" s="849" t="n">
        <v>6999</v>
      </c>
      <c r="H383" s="849">
        <f>G383</f>
        <v/>
      </c>
      <c r="I383" s="849" t="n">
        <v>7000</v>
      </c>
      <c r="J383" s="841" t="inlineStr">
        <is>
          <t>Vacant</t>
        </is>
      </c>
      <c r="M383" s="845" t="n">
        <v>45673</v>
      </c>
      <c r="P383" s="843" t="n">
        <v>0</v>
      </c>
      <c r="Q383" s="843">
        <f>P383</f>
        <v/>
      </c>
      <c r="R383" s="853" t="n"/>
      <c r="S383" s="843" t="n">
        <v>448100</v>
      </c>
      <c r="T383" s="843">
        <f>S383</f>
        <v/>
      </c>
      <c r="U383" s="843" t="n">
        <v>437400</v>
      </c>
      <c r="V383" s="843">
        <f>U383</f>
        <v/>
      </c>
      <c r="W383" s="846">
        <f>U383/G383</f>
        <v/>
      </c>
      <c r="X383" s="847">
        <f>SUM(U383-S383)/S383</f>
        <v/>
      </c>
      <c r="Y383" s="843" t="inlineStr">
        <is>
          <t>D</t>
        </is>
      </c>
      <c r="Z383" s="590" t="n"/>
      <c r="AA383" s="855" t="n"/>
      <c r="AB383" s="842" t="inlineStr">
        <is>
          <t>No</t>
        </is>
      </c>
      <c r="AC383" s="841" t="inlineStr">
        <is>
          <t>LEM marketing</t>
        </is>
      </c>
      <c r="AE383" s="841" t="n">
        <v>2</v>
      </c>
      <c r="AF383" s="312" t="n">
        <v>9</v>
      </c>
      <c r="AG383" s="841" t="inlineStr">
        <is>
          <t>LEM</t>
        </is>
      </c>
    </row>
    <row r="384">
      <c r="A384" s="839" t="inlineStr">
        <is>
          <t>JM</t>
        </is>
      </c>
      <c r="B384" s="839" t="inlineStr">
        <is>
          <t>MEL</t>
        </is>
      </c>
      <c r="C384" s="840" t="n">
        <v>100680</v>
      </c>
      <c r="D384" s="841" t="inlineStr">
        <is>
          <t>Mappin House, 156-162 Oxford Street</t>
        </is>
      </c>
      <c r="E384" s="841" t="inlineStr">
        <is>
          <t>Fourth Floor</t>
        </is>
      </c>
      <c r="F384" s="842" t="inlineStr">
        <is>
          <t>Office</t>
        </is>
      </c>
      <c r="G384" s="849" t="n">
        <v>7007</v>
      </c>
      <c r="H384" s="849">
        <f>G384</f>
        <v/>
      </c>
      <c r="I384" s="849" t="n">
        <v>7000</v>
      </c>
      <c r="J384" s="841" t="inlineStr">
        <is>
          <t>London Mappin House Centre Ltd.</t>
        </is>
      </c>
      <c r="K384" s="844" t="n">
        <v>45672</v>
      </c>
      <c r="L384" s="845" t="n">
        <v>46766</v>
      </c>
      <c r="O384" s="845" t="n">
        <v>46218</v>
      </c>
      <c r="P384" s="843" t="n">
        <v>252885</v>
      </c>
      <c r="Q384" s="843">
        <f>P384</f>
        <v/>
      </c>
      <c r="R384" s="853" t="n"/>
      <c r="S384" s="843" t="n">
        <v>458100</v>
      </c>
      <c r="T384" s="843">
        <f>S384</f>
        <v/>
      </c>
      <c r="U384" s="843" t="n">
        <v>437900</v>
      </c>
      <c r="V384" s="843">
        <f>U384</f>
        <v/>
      </c>
      <c r="W384" s="846">
        <f>U384/G384</f>
        <v/>
      </c>
      <c r="X384" s="847">
        <f>SUM(U384-S384)/S384</f>
        <v/>
      </c>
      <c r="Y384" s="843" t="inlineStr">
        <is>
          <t>B</t>
        </is>
      </c>
      <c r="Z384" s="590" t="n"/>
      <c r="AA384" s="855" t="n"/>
      <c r="AB384" s="842" t="inlineStr">
        <is>
          <t>No</t>
        </is>
      </c>
      <c r="AC384" s="841" t="inlineStr">
        <is>
          <t xml:space="preserve">Guaranteed base rent of £252,885 plus revenue top up. Revenue top-up rent of £58,429 paid for 1Apr24 - 31Mar25. Rolling mutual break option after 18 months. </t>
        </is>
      </c>
      <c r="AF384" s="312" t="n"/>
    </row>
    <row r="385">
      <c r="A385" s="839" t="inlineStr">
        <is>
          <t>JM</t>
        </is>
      </c>
      <c r="B385" s="839" t="inlineStr">
        <is>
          <t>MEL</t>
        </is>
      </c>
      <c r="C385" s="840" t="n">
        <v>100680</v>
      </c>
      <c r="D385" s="841" t="inlineStr">
        <is>
          <t>Mappin House, 156-162 Oxford Street</t>
        </is>
      </c>
      <c r="E385" s="841" t="inlineStr">
        <is>
          <t>Fifth Floor</t>
        </is>
      </c>
      <c r="F385" s="842" t="inlineStr">
        <is>
          <t>Office</t>
        </is>
      </c>
      <c r="G385" s="849" t="n">
        <v>6662</v>
      </c>
      <c r="H385" s="849">
        <f>G385</f>
        <v/>
      </c>
      <c r="I385" s="849" t="n">
        <v>6500</v>
      </c>
      <c r="J385" s="841" t="inlineStr">
        <is>
          <t>London Mappin House Centre Ltd.</t>
        </is>
      </c>
      <c r="K385" s="844" t="n">
        <v>45672</v>
      </c>
      <c r="L385" s="845" t="n">
        <v>46766</v>
      </c>
      <c r="O385" s="845" t="n">
        <v>46218</v>
      </c>
      <c r="P385" s="843" t="n">
        <v>252394</v>
      </c>
      <c r="Q385" s="843">
        <f>P385</f>
        <v/>
      </c>
      <c r="R385" s="853" t="n"/>
      <c r="S385" s="843" t="n">
        <v>434600</v>
      </c>
      <c r="T385" s="843">
        <f>S385</f>
        <v/>
      </c>
      <c r="U385" s="843" t="n">
        <v>416400</v>
      </c>
      <c r="V385" s="843">
        <f>U385</f>
        <v/>
      </c>
      <c r="W385" s="846">
        <f>U385/G385</f>
        <v/>
      </c>
      <c r="X385" s="847">
        <f>SUM(U385-S385)/S385</f>
        <v/>
      </c>
      <c r="Y385" s="843" t="inlineStr">
        <is>
          <t>B</t>
        </is>
      </c>
      <c r="Z385" s="590" t="n"/>
      <c r="AA385" s="855" t="n"/>
      <c r="AB385" s="842" t="inlineStr">
        <is>
          <t>No</t>
        </is>
      </c>
      <c r="AC385" s="841" t="inlineStr">
        <is>
          <t xml:space="preserve">Guaranteed base rent of £252,393 plus revenue top up. Revenue top-up rent of £58,316 paid for 1Apr24 - 31Mar25. Rolling mutual break option after 18 months. </t>
        </is>
      </c>
      <c r="AF385" s="312" t="n"/>
    </row>
    <row r="386">
      <c r="A386" s="839" t="inlineStr">
        <is>
          <t>CM</t>
        </is>
      </c>
      <c r="B386" s="839" t="inlineStr">
        <is>
          <t>MEL</t>
        </is>
      </c>
      <c r="C386" s="840" t="n">
        <v>550030</v>
      </c>
      <c r="D386" s="841" t="inlineStr">
        <is>
          <t>53 Wells Street</t>
        </is>
      </c>
      <c r="E386" s="841" t="inlineStr">
        <is>
          <t>Lower Ground Floor</t>
        </is>
      </c>
      <c r="F386" s="842" t="inlineStr">
        <is>
          <t>Office</t>
        </is>
      </c>
      <c r="G386" s="849" t="n">
        <v>825</v>
      </c>
      <c r="H386" s="843">
        <f>G386</f>
        <v/>
      </c>
      <c r="I386" s="843" t="n">
        <v>1000</v>
      </c>
      <c r="J386" s="841" t="inlineStr">
        <is>
          <t>Vacant</t>
        </is>
      </c>
      <c r="M386" s="845" t="n">
        <v>44709</v>
      </c>
      <c r="P386" s="843" t="n">
        <v>0</v>
      </c>
      <c r="Q386" s="843">
        <f>P386</f>
        <v/>
      </c>
      <c r="S386" s="843" t="n">
        <v>27200</v>
      </c>
      <c r="T386" s="843">
        <f>S386</f>
        <v/>
      </c>
      <c r="U386" s="843" t="n">
        <v>33000</v>
      </c>
      <c r="V386" s="843">
        <f>U386</f>
        <v/>
      </c>
      <c r="W386" s="846">
        <f>U386/G386</f>
        <v/>
      </c>
      <c r="X386" s="847">
        <f>SUM(U386-S386)/S386</f>
        <v/>
      </c>
      <c r="Y386" s="843" t="inlineStr">
        <is>
          <t>B</t>
        </is>
      </c>
      <c r="Z386" s="590" t="n"/>
      <c r="AA386" s="855" t="n"/>
      <c r="AB386" s="842" t="inlineStr">
        <is>
          <t>No</t>
        </is>
      </c>
      <c r="AC386" s="841" t="inlineStr">
        <is>
          <t xml:space="preserve">LEM Marketing. </t>
        </is>
      </c>
      <c r="AE386" s="841" t="n">
        <v>1</v>
      </c>
      <c r="AF386" s="312" t="n">
        <v>2</v>
      </c>
    </row>
    <row r="387">
      <c r="A387" s="839" t="inlineStr">
        <is>
          <t>CM</t>
        </is>
      </c>
      <c r="B387" s="839" t="inlineStr">
        <is>
          <t>MEL</t>
        </is>
      </c>
      <c r="C387" s="840" t="n">
        <v>550030</v>
      </c>
      <c r="D387" s="841" t="inlineStr">
        <is>
          <t>53 Wells Street</t>
        </is>
      </c>
      <c r="E387" s="841" t="inlineStr">
        <is>
          <t>Flat 1. Ground Floor</t>
        </is>
      </c>
      <c r="F387" s="842" t="inlineStr">
        <is>
          <t>One Bed Flat</t>
        </is>
      </c>
      <c r="G387" s="849" t="n">
        <v>0</v>
      </c>
      <c r="H387" s="843">
        <f>G387</f>
        <v/>
      </c>
      <c r="I387" s="843" t="n"/>
      <c r="J387" s="841" t="inlineStr">
        <is>
          <t>Edward Davenport</t>
        </is>
      </c>
      <c r="K387" s="844" t="n">
        <v>30310</v>
      </c>
      <c r="L387" s="863" t="n">
        <v>66469</v>
      </c>
      <c r="M387" s="863" t="n"/>
      <c r="N387" s="845" t="n">
        <v>54417</v>
      </c>
      <c r="P387" s="843" t="n">
        <v>150</v>
      </c>
      <c r="Q387" s="843">
        <f>P387</f>
        <v/>
      </c>
      <c r="S387" s="843" t="n">
        <v>150</v>
      </c>
      <c r="T387" s="843">
        <f>S387</f>
        <v/>
      </c>
      <c r="U387" s="843" t="n">
        <v>150</v>
      </c>
      <c r="V387" s="843">
        <f>U387</f>
        <v/>
      </c>
      <c r="W387" s="846" t="n"/>
      <c r="X387" s="847" t="n"/>
      <c r="Y387" s="843" t="n"/>
      <c r="Z387" s="590" t="n"/>
      <c r="AA387" s="855" t="n"/>
      <c r="AB387" s="842" t="n"/>
      <c r="AC387" s="29" t="inlineStr">
        <is>
          <t>Rent and Service charge stop placed on unit</t>
        </is>
      </c>
      <c r="AF387" s="312" t="n"/>
    </row>
    <row r="388">
      <c r="A388" s="839" t="inlineStr">
        <is>
          <t>CM</t>
        </is>
      </c>
      <c r="B388" s="839" t="inlineStr">
        <is>
          <t>MEL</t>
        </is>
      </c>
      <c r="C388" s="840" t="n">
        <v>550030</v>
      </c>
      <c r="D388" s="841" t="inlineStr">
        <is>
          <t>53 Wells Street</t>
        </is>
      </c>
      <c r="E388" s="841" t="inlineStr">
        <is>
          <t>Flat 2. First Floor</t>
        </is>
      </c>
      <c r="F388" s="842" t="inlineStr">
        <is>
          <t>One Bed Flat</t>
        </is>
      </c>
      <c r="G388" s="849" t="n">
        <v>0</v>
      </c>
      <c r="H388" s="843">
        <f>G388</f>
        <v/>
      </c>
      <c r="I388" s="843" t="n"/>
      <c r="J388" s="841" t="inlineStr">
        <is>
          <t>V. Chamoun</t>
        </is>
      </c>
      <c r="K388" s="844" t="n">
        <v>30310</v>
      </c>
      <c r="L388" s="863" t="n">
        <v>66469</v>
      </c>
      <c r="M388" s="863" t="n"/>
      <c r="N388" s="845" t="n">
        <v>54417</v>
      </c>
      <c r="P388" s="843" t="n">
        <v>150</v>
      </c>
      <c r="Q388" s="843">
        <f>P388</f>
        <v/>
      </c>
      <c r="S388" s="843" t="n">
        <v>150</v>
      </c>
      <c r="T388" s="843">
        <f>S388</f>
        <v/>
      </c>
      <c r="U388" s="843" t="n">
        <v>150</v>
      </c>
      <c r="V388" s="843">
        <f>U388</f>
        <v/>
      </c>
      <c r="W388" s="846" t="n"/>
      <c r="X388" s="847" t="n"/>
      <c r="Y388" s="843" t="n"/>
      <c r="Z388" s="590" t="n"/>
      <c r="AA388" s="855" t="n"/>
      <c r="AB388" s="842" t="n"/>
      <c r="AC388" s="29" t="inlineStr">
        <is>
          <t>Rent and Service charge stop placed on unit</t>
        </is>
      </c>
      <c r="AF388" s="312" t="n"/>
    </row>
    <row r="389">
      <c r="A389" s="839" t="inlineStr">
        <is>
          <t>CM</t>
        </is>
      </c>
      <c r="B389" s="839" t="inlineStr">
        <is>
          <t>MEL</t>
        </is>
      </c>
      <c r="C389" s="840" t="n">
        <v>550030</v>
      </c>
      <c r="D389" s="841" t="inlineStr">
        <is>
          <t>53 Wells Street</t>
        </is>
      </c>
      <c r="E389" s="841" t="inlineStr">
        <is>
          <t>Flat 3. Second Floor</t>
        </is>
      </c>
      <c r="F389" s="842" t="inlineStr">
        <is>
          <t>One Bed Flat</t>
        </is>
      </c>
      <c r="G389" s="849" t="n">
        <v>0</v>
      </c>
      <c r="H389" s="843">
        <f>G389</f>
        <v/>
      </c>
      <c r="I389" s="843" t="n"/>
      <c r="J389" s="841" t="inlineStr">
        <is>
          <t>C &amp; Y Hopper</t>
        </is>
      </c>
      <c r="K389" s="844" t="n">
        <v>30310</v>
      </c>
      <c r="L389" s="863" t="n">
        <v>99340</v>
      </c>
      <c r="M389" s="863" t="n"/>
      <c r="P389" s="843" t="n">
        <v>0</v>
      </c>
      <c r="Q389" s="843">
        <f>P389</f>
        <v/>
      </c>
      <c r="S389" s="843" t="n">
        <v>150</v>
      </c>
      <c r="T389" s="843">
        <f>S389</f>
        <v/>
      </c>
      <c r="U389" s="843" t="n">
        <v>150</v>
      </c>
      <c r="V389" s="843">
        <f>U389</f>
        <v/>
      </c>
      <c r="W389" s="846" t="n"/>
      <c r="X389" s="847" t="n"/>
      <c r="Y389" s="843" t="n"/>
      <c r="Z389" s="590" t="n"/>
      <c r="AA389" s="855" t="n"/>
      <c r="AB389" s="842" t="n"/>
      <c r="AC389" s="841" t="inlineStr">
        <is>
          <t>Peppercorn.</t>
        </is>
      </c>
      <c r="AF389" s="312" t="n"/>
    </row>
    <row r="390">
      <c r="A390" s="839" t="inlineStr">
        <is>
          <t>CM</t>
        </is>
      </c>
      <c r="B390" s="839" t="inlineStr">
        <is>
          <t>MEL</t>
        </is>
      </c>
      <c r="C390" s="840" t="n">
        <v>550030</v>
      </c>
      <c r="D390" s="841" t="inlineStr">
        <is>
          <t>53 Wells Street</t>
        </is>
      </c>
      <c r="E390" s="841" t="inlineStr">
        <is>
          <t>Flat 4. Third Floor</t>
        </is>
      </c>
      <c r="F390" s="842" t="inlineStr">
        <is>
          <t>One Bed Flat</t>
        </is>
      </c>
      <c r="G390" s="849" t="n">
        <v>0</v>
      </c>
      <c r="H390" s="843">
        <f>G390</f>
        <v/>
      </c>
      <c r="I390" s="843" t="n"/>
      <c r="J390" s="841" t="inlineStr">
        <is>
          <t>Lion Brand Limited</t>
        </is>
      </c>
      <c r="K390" s="844" t="n">
        <v>30310</v>
      </c>
      <c r="L390" s="863" t="n">
        <v>66469</v>
      </c>
      <c r="M390" s="863" t="n"/>
      <c r="N390" s="845" t="n">
        <v>54417</v>
      </c>
      <c r="P390" s="843" t="n">
        <v>0</v>
      </c>
      <c r="Q390" s="843">
        <f>P390</f>
        <v/>
      </c>
      <c r="S390" s="843" t="n">
        <v>150</v>
      </c>
      <c r="T390" s="843">
        <f>S390</f>
        <v/>
      </c>
      <c r="U390" s="843" t="n">
        <v>150</v>
      </c>
      <c r="V390" s="843">
        <f>U390</f>
        <v/>
      </c>
      <c r="W390" s="846" t="n"/>
      <c r="X390" s="847" t="n"/>
      <c r="Y390" s="843" t="n"/>
      <c r="Z390" s="590" t="n"/>
      <c r="AA390" s="855" t="n"/>
      <c r="AB390" s="842" t="n"/>
      <c r="AC390" s="841" t="inlineStr">
        <is>
          <t>Peppercorn.</t>
        </is>
      </c>
      <c r="AF390" s="312" t="n"/>
    </row>
    <row r="391">
      <c r="A391" s="839" t="inlineStr">
        <is>
          <t>CM</t>
        </is>
      </c>
      <c r="B391" s="839" t="inlineStr">
        <is>
          <t>MEL</t>
        </is>
      </c>
      <c r="C391" s="840" t="n">
        <v>550760</v>
      </c>
      <c r="D391" s="841" t="inlineStr">
        <is>
          <t>68 Wells Street</t>
        </is>
      </c>
      <c r="E391" s="841" t="inlineStr">
        <is>
          <t>Whole Building</t>
        </is>
      </c>
      <c r="F391" s="842" t="inlineStr">
        <is>
          <t>Showroom &amp; Office</t>
        </is>
      </c>
      <c r="G391" s="18" t="n">
        <v>2085</v>
      </c>
      <c r="H391" s="843">
        <f>G391</f>
        <v/>
      </c>
      <c r="I391" s="843" t="n">
        <v>2000</v>
      </c>
      <c r="J391" s="841" t="inlineStr">
        <is>
          <t>Voltage TV Productions Ltd</t>
        </is>
      </c>
      <c r="K391" s="844" t="n">
        <v>45741</v>
      </c>
      <c r="L391" s="845" t="n">
        <v>46836</v>
      </c>
      <c r="O391" s="845" t="n">
        <v>46289</v>
      </c>
      <c r="P391" s="591" t="n">
        <v>90000</v>
      </c>
      <c r="Q391" s="843">
        <f>P391</f>
        <v/>
      </c>
      <c r="R391" s="591">
        <f>Q391</f>
        <v/>
      </c>
      <c r="S391" s="591" t="n">
        <v>80000</v>
      </c>
      <c r="T391" s="843">
        <f>S391</f>
        <v/>
      </c>
      <c r="U391" s="591" t="n">
        <v>79600</v>
      </c>
      <c r="V391" s="843">
        <f>U391</f>
        <v/>
      </c>
      <c r="W391" s="846">
        <f>U391/G391</f>
        <v/>
      </c>
      <c r="X391" s="847">
        <f>SUM(U391-S391)/S391</f>
        <v/>
      </c>
      <c r="Y391" s="843" t="inlineStr">
        <is>
          <t>D</t>
        </is>
      </c>
      <c r="Z391" s="590" t="n"/>
      <c r="AA391" s="591" t="n">
        <v>1200000</v>
      </c>
      <c r="AB391" s="842" t="inlineStr">
        <is>
          <t>No</t>
        </is>
      </c>
      <c r="AC391" s="841" t="inlineStr">
        <is>
          <t>Rent increasing to £100,000 wef 25/03/26. Tenant break on 6 months notice.</t>
        </is>
      </c>
      <c r="AF391" s="312" t="n"/>
    </row>
    <row r="392">
      <c r="A392" s="839" t="inlineStr">
        <is>
          <t>CD</t>
        </is>
      </c>
      <c r="B392" s="839" t="inlineStr">
        <is>
          <t>OPG</t>
        </is>
      </c>
      <c r="C392" s="179" t="n">
        <v>800200</v>
      </c>
      <c r="D392" s="179" t="inlineStr">
        <is>
          <t>33 Eastcastle Street</t>
        </is>
      </c>
      <c r="E392" s="179" t="inlineStr">
        <is>
          <t>Whole Building</t>
        </is>
      </c>
      <c r="F392" s="180" t="inlineStr">
        <is>
          <t>Retail &amp; Office</t>
        </is>
      </c>
      <c r="G392" s="660" t="n">
        <v>3122</v>
      </c>
      <c r="H392" s="661">
        <f>G392</f>
        <v/>
      </c>
      <c r="I392" s="661" t="n">
        <v>3000</v>
      </c>
      <c r="J392" s="179" t="inlineStr">
        <is>
          <t>Leon Restaurants Ltd</t>
        </is>
      </c>
      <c r="K392" s="662" t="n">
        <v>42580</v>
      </c>
      <c r="L392" s="662" t="n">
        <v>46231</v>
      </c>
      <c r="M392" s="662" t="n"/>
      <c r="N392" s="662" t="n">
        <v>44406</v>
      </c>
      <c r="O392" s="662" t="n"/>
      <c r="P392" s="660" t="n">
        <v>170000</v>
      </c>
      <c r="Q392" s="660">
        <f>P392</f>
        <v/>
      </c>
      <c r="R392" s="843" t="n"/>
      <c r="S392" s="660" t="n">
        <v>124100</v>
      </c>
      <c r="T392" s="661">
        <f>S392</f>
        <v/>
      </c>
      <c r="U392" s="660" t="n">
        <v>124100</v>
      </c>
      <c r="V392" s="661">
        <f>U392</f>
        <v/>
      </c>
      <c r="W392" s="846">
        <f>U392/G392</f>
        <v/>
      </c>
      <c r="X392" s="847">
        <f>SUM(U392-S392)/S392</f>
        <v/>
      </c>
      <c r="Y392" s="661" t="inlineStr">
        <is>
          <t>E</t>
        </is>
      </c>
      <c r="Z392" s="180" t="n"/>
      <c r="AA392" s="660" t="n">
        <v>1325000</v>
      </c>
      <c r="AB392" s="661" t="inlineStr">
        <is>
          <t>No</t>
        </is>
      </c>
      <c r="AC392" s="179" t="n"/>
      <c r="AD392" s="665" t="n"/>
      <c r="AE392" s="179" t="n"/>
      <c r="AF392" s="323" t="n"/>
      <c r="AG392" s="179" t="n"/>
    </row>
    <row r="393">
      <c r="A393" s="839" t="inlineStr">
        <is>
          <t>CD</t>
        </is>
      </c>
      <c r="B393" s="839" t="inlineStr">
        <is>
          <t>OPG</t>
        </is>
      </c>
      <c r="C393" s="179" t="n">
        <v>800100</v>
      </c>
      <c r="D393" s="179" t="inlineStr">
        <is>
          <t>Julco House, 26-28 Great Portland Street</t>
        </is>
      </c>
      <c r="E393" s="179" t="inlineStr">
        <is>
          <t>Ground Floor &amp; Basement</t>
        </is>
      </c>
      <c r="F393" s="180" t="inlineStr">
        <is>
          <t>Restaurant</t>
        </is>
      </c>
      <c r="G393" s="661" t="n">
        <v>4332</v>
      </c>
      <c r="H393" s="661">
        <f>G393</f>
        <v/>
      </c>
      <c r="I393" s="661" t="n">
        <v>4250</v>
      </c>
      <c r="J393" s="121" t="inlineStr">
        <is>
          <t>Oaxaca Ltd.</t>
        </is>
      </c>
      <c r="K393" s="662" t="n">
        <v>41789</v>
      </c>
      <c r="L393" s="662" t="n">
        <v>47267</v>
      </c>
      <c r="M393" s="662" t="n"/>
      <c r="N393" s="667" t="n">
        <v>45442</v>
      </c>
      <c r="O393" s="662" t="n"/>
      <c r="P393" s="661" t="n">
        <v>255000</v>
      </c>
      <c r="Q393" s="661">
        <f>P393</f>
        <v/>
      </c>
      <c r="R393" s="843" t="n"/>
      <c r="S393" s="661" t="n">
        <v>290500</v>
      </c>
      <c r="T393" s="661">
        <f>S393</f>
        <v/>
      </c>
      <c r="U393" s="661" t="n">
        <v>290500</v>
      </c>
      <c r="V393" s="661">
        <f>U393</f>
        <v/>
      </c>
      <c r="W393" s="846">
        <f>U393/G393</f>
        <v/>
      </c>
      <c r="X393" s="847">
        <f>SUM(U393-S393)/S393</f>
        <v/>
      </c>
      <c r="Y393" s="661" t="inlineStr">
        <is>
          <t>B</t>
        </is>
      </c>
      <c r="Z393" s="187" t="inlineStr">
        <is>
          <t>*</t>
        </is>
      </c>
      <c r="AA393" s="187" t="n"/>
      <c r="AB393" s="661" t="inlineStr">
        <is>
          <t>No</t>
        </is>
      </c>
      <c r="AC393" s="179" t="inlineStr">
        <is>
          <t>Rent £255,000 pa with a top-up of 11% turnover up to a maximum of £300,000 pa.</t>
        </is>
      </c>
      <c r="AD393" s="665" t="n"/>
      <c r="AE393" s="179" t="n"/>
      <c r="AF393" s="323" t="n"/>
      <c r="AG393" s="179" t="n"/>
    </row>
    <row r="394">
      <c r="A394" s="839" t="inlineStr">
        <is>
          <t>CD</t>
        </is>
      </c>
      <c r="B394" s="839" t="inlineStr">
        <is>
          <t>OPG</t>
        </is>
      </c>
      <c r="C394" s="179" t="n">
        <v>800100</v>
      </c>
      <c r="D394" s="179" t="inlineStr">
        <is>
          <t>Julco House, 26-28 Great Portland Street</t>
        </is>
      </c>
      <c r="E394" s="179" t="inlineStr">
        <is>
          <t>First Floor</t>
        </is>
      </c>
      <c r="F394" s="180" t="inlineStr">
        <is>
          <t>Offices</t>
        </is>
      </c>
      <c r="G394" s="661" t="n">
        <v>1818</v>
      </c>
      <c r="H394" s="661">
        <f>G394</f>
        <v/>
      </c>
      <c r="I394" s="661" t="n">
        <v>2000</v>
      </c>
      <c r="J394" s="121" t="inlineStr">
        <is>
          <t>Collins Benson Goldhill LLP</t>
        </is>
      </c>
      <c r="K394" s="662" t="n">
        <v>44280</v>
      </c>
      <c r="L394" s="662" t="n">
        <v>46105</v>
      </c>
      <c r="M394" s="662" t="n"/>
      <c r="N394" s="662" t="n"/>
      <c r="O394" s="662" t="n"/>
      <c r="P394" s="661" t="n">
        <v>83000</v>
      </c>
      <c r="Q394" s="661">
        <f>P394</f>
        <v/>
      </c>
      <c r="R394" s="843" t="n"/>
      <c r="S394" s="661" t="n">
        <v>111800</v>
      </c>
      <c r="T394" s="661">
        <f>S394</f>
        <v/>
      </c>
      <c r="U394" s="661" t="n">
        <v>118200</v>
      </c>
      <c r="V394" s="661">
        <f>U394</f>
        <v/>
      </c>
      <c r="W394" s="846">
        <f>U394/G394</f>
        <v/>
      </c>
      <c r="X394" s="847">
        <f>SUM(U394-S394)/S394</f>
        <v/>
      </c>
      <c r="Y394" s="661" t="inlineStr">
        <is>
          <t>D</t>
        </is>
      </c>
      <c r="Z394" s="187" t="n"/>
      <c r="AA394" s="187" t="n"/>
      <c r="AB394" s="661" t="inlineStr">
        <is>
          <t>Yes</t>
        </is>
      </c>
      <c r="AC394" s="179" t="n"/>
      <c r="AD394" s="665" t="n"/>
      <c r="AE394" s="179" t="n"/>
      <c r="AF394" s="323" t="n"/>
      <c r="AG394" s="179" t="n"/>
    </row>
    <row r="395">
      <c r="A395" s="839" t="inlineStr">
        <is>
          <t>CD</t>
        </is>
      </c>
      <c r="B395" s="839" t="inlineStr">
        <is>
          <t>OPG</t>
        </is>
      </c>
      <c r="C395" s="179" t="n">
        <v>800100</v>
      </c>
      <c r="D395" s="179" t="inlineStr">
        <is>
          <t>Julco House, 26-28 Great Portland Street</t>
        </is>
      </c>
      <c r="E395" s="179" t="inlineStr">
        <is>
          <t>Second Floor</t>
        </is>
      </c>
      <c r="F395" s="180" t="inlineStr">
        <is>
          <t>Offices</t>
        </is>
      </c>
      <c r="G395" s="661" t="n">
        <v>1829</v>
      </c>
      <c r="H395" s="661">
        <f>G395</f>
        <v/>
      </c>
      <c r="I395" s="661" t="n">
        <v>2000</v>
      </c>
      <c r="J395" s="121" t="inlineStr">
        <is>
          <t>Oakvale Capital LLP</t>
        </is>
      </c>
      <c r="K395" s="662" t="n">
        <v>45715</v>
      </c>
      <c r="L395" s="662" t="n">
        <v>47540</v>
      </c>
      <c r="M395" s="662" t="n"/>
      <c r="N395" s="662" t="n"/>
      <c r="O395" s="662" t="n">
        <v>46809</v>
      </c>
      <c r="P395" s="661" t="n">
        <v>120700</v>
      </c>
      <c r="Q395" s="661">
        <f>P395</f>
        <v/>
      </c>
      <c r="R395" s="843" t="n"/>
      <c r="S395" s="661" t="n">
        <v>112500</v>
      </c>
      <c r="T395" s="661">
        <f>S395</f>
        <v/>
      </c>
      <c r="U395" s="661" t="n">
        <v>118900</v>
      </c>
      <c r="V395" s="661">
        <f>U395</f>
        <v/>
      </c>
      <c r="W395" s="846">
        <f>U395/G395</f>
        <v/>
      </c>
      <c r="X395" s="847">
        <f>SUM(U395-S395)/S395</f>
        <v/>
      </c>
      <c r="Y395" s="661" t="inlineStr">
        <is>
          <t>D</t>
        </is>
      </c>
      <c r="Z395" s="187" t="n"/>
      <c r="AA395" s="187" t="n"/>
      <c r="AB395" s="661" t="inlineStr">
        <is>
          <t>No</t>
        </is>
      </c>
      <c r="AC395" s="179" t="inlineStr">
        <is>
          <t>Tenant break on 6 months notice. 2 months rent free if not exercised.</t>
        </is>
      </c>
      <c r="AD395" s="665" t="n"/>
      <c r="AE395" s="179" t="n"/>
      <c r="AF395" s="323" t="n"/>
      <c r="AG395" s="179" t="n"/>
    </row>
    <row r="396">
      <c r="A396" s="839" t="inlineStr">
        <is>
          <t>CD</t>
        </is>
      </c>
      <c r="B396" s="839" t="inlineStr">
        <is>
          <t>OPG</t>
        </is>
      </c>
      <c r="C396" s="179" t="n">
        <v>800100</v>
      </c>
      <c r="D396" s="179" t="inlineStr">
        <is>
          <t>Julco House, 26-28 Great Portland Street</t>
        </is>
      </c>
      <c r="E396" s="179" t="inlineStr">
        <is>
          <t>Third Floor</t>
        </is>
      </c>
      <c r="F396" s="180" t="inlineStr">
        <is>
          <t>Offices</t>
        </is>
      </c>
      <c r="G396" s="661" t="n">
        <v>1837</v>
      </c>
      <c r="H396" s="661">
        <f>G396</f>
        <v/>
      </c>
      <c r="I396" s="661" t="n">
        <v>2000</v>
      </c>
      <c r="J396" s="121" t="inlineStr">
        <is>
          <t>Hague Securities Limited</t>
        </is>
      </c>
      <c r="K396" s="662" t="n">
        <v>44900</v>
      </c>
      <c r="L396" s="662" t="n">
        <v>46725</v>
      </c>
      <c r="M396" s="662" t="n"/>
      <c r="N396" s="662" t="n"/>
      <c r="O396" s="662" t="n">
        <v>45995</v>
      </c>
      <c r="P396" s="661" t="n">
        <v>115731</v>
      </c>
      <c r="Q396" s="661">
        <f>P396</f>
        <v/>
      </c>
      <c r="R396" s="843" t="n"/>
      <c r="S396" s="661" t="n">
        <v>116600</v>
      </c>
      <c r="T396" s="661">
        <f>S396</f>
        <v/>
      </c>
      <c r="U396" s="661" t="n">
        <v>123100</v>
      </c>
      <c r="V396" s="661">
        <f>U396</f>
        <v/>
      </c>
      <c r="W396" s="846">
        <f>U396/G396</f>
        <v/>
      </c>
      <c r="X396" s="847">
        <f>SUM(U396-S396)/S396</f>
        <v/>
      </c>
      <c r="Y396" s="661" t="inlineStr">
        <is>
          <t>C</t>
        </is>
      </c>
      <c r="Z396" s="187" t="n"/>
      <c r="AA396" s="187" t="n"/>
      <c r="AB396" s="661" t="inlineStr">
        <is>
          <t>No</t>
        </is>
      </c>
      <c r="AC396" s="179" t="inlineStr">
        <is>
          <t>Tenant break on 6 months notice. 4 months rent free from 05/12/25 if break not exercised.</t>
        </is>
      </c>
      <c r="AD396" s="665" t="n"/>
      <c r="AE396" s="179" t="n"/>
      <c r="AF396" s="323" t="n"/>
      <c r="AG396" s="179" t="n"/>
    </row>
    <row r="397">
      <c r="A397" s="839" t="inlineStr">
        <is>
          <t>CD</t>
        </is>
      </c>
      <c r="B397" s="839" t="inlineStr">
        <is>
          <t>OPG</t>
        </is>
      </c>
      <c r="C397" s="179" t="n">
        <v>800100</v>
      </c>
      <c r="D397" s="179" t="inlineStr">
        <is>
          <t>Julco House, 26-28 Great Portland Street</t>
        </is>
      </c>
      <c r="E397" s="179" t="inlineStr">
        <is>
          <t>Fourth Floor</t>
        </is>
      </c>
      <c r="F397" s="180" t="inlineStr">
        <is>
          <t>Offices</t>
        </is>
      </c>
      <c r="G397" s="661" t="n">
        <v>1815</v>
      </c>
      <c r="H397" s="661">
        <f>G397</f>
        <v/>
      </c>
      <c r="I397" s="661" t="n">
        <v>2000</v>
      </c>
      <c r="J397" s="121" t="inlineStr">
        <is>
          <t>Zephyrus Partners Ltd.</t>
        </is>
      </c>
      <c r="K397" s="662" t="n">
        <v>44627</v>
      </c>
      <c r="L397" s="662" t="n">
        <v>46452</v>
      </c>
      <c r="M397" s="662" t="n"/>
      <c r="N397" s="662" t="n"/>
      <c r="O397" s="662" t="n"/>
      <c r="P397" s="661" t="n">
        <v>149742</v>
      </c>
      <c r="Q397" s="661">
        <f>P397</f>
        <v/>
      </c>
      <c r="R397" s="843" t="n"/>
      <c r="S397" s="661" t="n">
        <v>115300</v>
      </c>
      <c r="T397" s="661">
        <f>S397</f>
        <v/>
      </c>
      <c r="U397" s="661" t="n">
        <v>121600</v>
      </c>
      <c r="V397" s="661">
        <f>U397</f>
        <v/>
      </c>
      <c r="W397" s="846">
        <f>U397/G397</f>
        <v/>
      </c>
      <c r="X397" s="847">
        <f>SUM(U397-S397)/S397</f>
        <v/>
      </c>
      <c r="Y397" s="661" t="inlineStr">
        <is>
          <t>C</t>
        </is>
      </c>
      <c r="Z397" s="187" t="n"/>
      <c r="AA397" s="187" t="n"/>
      <c r="AB397" s="661" t="inlineStr">
        <is>
          <t>No</t>
        </is>
      </c>
      <c r="AC397" s="179" t="inlineStr">
        <is>
          <t xml:space="preserve">Rent rising to £151,143 wef 07/03/26. </t>
        </is>
      </c>
      <c r="AD397" s="665" t="n"/>
      <c r="AE397" s="179" t="n"/>
      <c r="AF397" s="323" t="n"/>
      <c r="AG397" s="179" t="n"/>
    </row>
    <row r="398">
      <c r="A398" s="839" t="inlineStr">
        <is>
          <t>CD</t>
        </is>
      </c>
      <c r="B398" s="839" t="inlineStr">
        <is>
          <t>OPG</t>
        </is>
      </c>
      <c r="C398" s="179" t="n">
        <v>800100</v>
      </c>
      <c r="D398" s="179" t="inlineStr">
        <is>
          <t>Julco House, 26-28 Great Portland Street</t>
        </is>
      </c>
      <c r="E398" s="179" t="inlineStr">
        <is>
          <t>Fifth Floor</t>
        </is>
      </c>
      <c r="F398" s="180" t="inlineStr">
        <is>
          <t>Offices</t>
        </is>
      </c>
      <c r="G398" s="661" t="n">
        <v>1815</v>
      </c>
      <c r="H398" s="661">
        <f>G398</f>
        <v/>
      </c>
      <c r="I398" s="661" t="n">
        <v>2000</v>
      </c>
      <c r="J398" s="121" t="inlineStr">
        <is>
          <t>Global Future Partnership LLP</t>
        </is>
      </c>
      <c r="K398" s="662" t="n">
        <v>45408</v>
      </c>
      <c r="L398" s="662" t="n">
        <v>47233</v>
      </c>
      <c r="M398" s="662" t="n"/>
      <c r="N398" s="662" t="n"/>
      <c r="O398" s="662" t="n"/>
      <c r="P398" s="661" t="n">
        <v>122513</v>
      </c>
      <c r="Q398" s="661">
        <f>P398</f>
        <v/>
      </c>
      <c r="R398" s="843" t="n"/>
      <c r="S398" s="661" t="n">
        <v>115300</v>
      </c>
      <c r="T398" s="661">
        <f>S398</f>
        <v/>
      </c>
      <c r="U398" s="661" t="n">
        <v>121600</v>
      </c>
      <c r="V398" s="661">
        <f>U398</f>
        <v/>
      </c>
      <c r="W398" s="846">
        <f>U398/G398</f>
        <v/>
      </c>
      <c r="X398" s="847">
        <f>SUM(U398-S398)/S398</f>
        <v/>
      </c>
      <c r="Y398" s="661" t="inlineStr">
        <is>
          <t>D</t>
        </is>
      </c>
      <c r="Z398" s="187" t="n"/>
      <c r="AA398" s="661" t="n"/>
      <c r="AB398" s="661" t="inlineStr">
        <is>
          <t>No</t>
        </is>
      </c>
      <c r="AC398" s="179" t="n"/>
      <c r="AD398" s="665" t="n"/>
      <c r="AE398" s="179" t="n"/>
      <c r="AF398" s="323" t="n"/>
      <c r="AG398" s="179" t="n"/>
    </row>
    <row r="399">
      <c r="A399" s="839" t="inlineStr">
        <is>
          <t>CD</t>
        </is>
      </c>
      <c r="B399" s="839" t="inlineStr">
        <is>
          <t>OPG</t>
        </is>
      </c>
      <c r="C399" s="179" t="n">
        <v>800100</v>
      </c>
      <c r="D399" s="179" t="inlineStr">
        <is>
          <t>Julco House, 26-28 Great Portland Street</t>
        </is>
      </c>
      <c r="E399" s="179" t="inlineStr">
        <is>
          <t>Sixth Floor</t>
        </is>
      </c>
      <c r="F399" s="180" t="inlineStr">
        <is>
          <t>Offices</t>
        </is>
      </c>
      <c r="G399" s="661" t="n">
        <v>790</v>
      </c>
      <c r="H399" s="661">
        <f>G399</f>
        <v/>
      </c>
      <c r="I399" s="661" t="n">
        <v>750</v>
      </c>
      <c r="J399" s="121" t="inlineStr">
        <is>
          <t>Heywood &amp; Partners Surveyors Ltd</t>
        </is>
      </c>
      <c r="K399" s="662" t="n">
        <v>44442</v>
      </c>
      <c r="L399" s="662" t="n">
        <v>46267</v>
      </c>
      <c r="M399" s="662" t="n"/>
      <c r="N399" s="662" t="n"/>
      <c r="O399" s="662" t="n"/>
      <c r="P399" s="661" t="n">
        <v>41080</v>
      </c>
      <c r="Q399" s="661">
        <f>P399</f>
        <v/>
      </c>
      <c r="R399" s="843" t="n"/>
      <c r="S399" s="661" t="n">
        <v>46200</v>
      </c>
      <c r="T399" s="661">
        <f>S399</f>
        <v/>
      </c>
      <c r="U399" s="661" t="n">
        <v>48600</v>
      </c>
      <c r="V399" s="661">
        <f>U399</f>
        <v/>
      </c>
      <c r="W399" s="846">
        <f>U399/G399</f>
        <v/>
      </c>
      <c r="X399" s="847">
        <f>SUM(U399-S399)/S399</f>
        <v/>
      </c>
      <c r="Y399" s="661" t="inlineStr">
        <is>
          <t>E</t>
        </is>
      </c>
      <c r="Z399" s="187" t="n"/>
      <c r="AA399" s="187" t="n"/>
      <c r="AB399" s="661" t="inlineStr">
        <is>
          <t>No</t>
        </is>
      </c>
      <c r="AC399" s="179" t="n"/>
      <c r="AD399" s="665" t="n"/>
      <c r="AE399" s="179" t="n"/>
      <c r="AF399" s="323" t="n"/>
      <c r="AG399" s="179" t="n"/>
    </row>
    <row r="400">
      <c r="A400" s="839" t="inlineStr">
        <is>
          <t>CD</t>
        </is>
      </c>
      <c r="B400" s="839" t="inlineStr">
        <is>
          <t>OPG</t>
        </is>
      </c>
      <c r="C400" s="179" t="n">
        <v>800100</v>
      </c>
      <c r="D400" s="179" t="inlineStr">
        <is>
          <t>Julco House, 26-28 Great Portland Street</t>
        </is>
      </c>
      <c r="E400" s="179" t="inlineStr">
        <is>
          <t>Basement Vaults</t>
        </is>
      </c>
      <c r="F400" s="188" t="inlineStr">
        <is>
          <t>Electricity Sub-Station</t>
        </is>
      </c>
      <c r="G400" s="661" t="n">
        <v>0</v>
      </c>
      <c r="H400" s="661">
        <f>G400</f>
        <v/>
      </c>
      <c r="I400" s="661" t="n"/>
      <c r="J400" s="121" t="inlineStr">
        <is>
          <t>London Power Networks Plc</t>
        </is>
      </c>
      <c r="K400" s="662" t="n">
        <v>42552</v>
      </c>
      <c r="L400" s="662" t="n">
        <v>47267</v>
      </c>
      <c r="M400" s="662" t="n"/>
      <c r="N400" s="662" t="n">
        <v>46204</v>
      </c>
      <c r="O400" s="662" t="n"/>
      <c r="P400" s="661" t="n">
        <v>1160</v>
      </c>
      <c r="Q400" s="661">
        <f>P400</f>
        <v/>
      </c>
      <c r="R400" s="843" t="n"/>
      <c r="S400" s="661" t="n">
        <v>1160</v>
      </c>
      <c r="T400" s="661">
        <f>S400</f>
        <v/>
      </c>
      <c r="U400" s="661" t="n">
        <v>1160</v>
      </c>
      <c r="V400" s="661">
        <f>U400</f>
        <v/>
      </c>
      <c r="W400" s="846" t="n"/>
      <c r="X400" s="847" t="n"/>
      <c r="Y400" s="661" t="n"/>
      <c r="Z400" s="187" t="n"/>
      <c r="AA400" s="187" t="n"/>
      <c r="AB400" s="661" t="inlineStr">
        <is>
          <t>Yes</t>
        </is>
      </c>
      <c r="AC400" s="179" t="inlineStr">
        <is>
          <t>Rent review to RPI.</t>
        </is>
      </c>
      <c r="AD400" s="665" t="n"/>
      <c r="AE400" s="179" t="n"/>
      <c r="AF400" s="323" t="n"/>
      <c r="AG400" s="179" t="n"/>
    </row>
    <row r="401">
      <c r="A401" s="839" t="inlineStr">
        <is>
          <t>CD</t>
        </is>
      </c>
      <c r="B401" s="839" t="inlineStr">
        <is>
          <t>OPG</t>
        </is>
      </c>
      <c r="C401" s="179" t="n">
        <v>800400</v>
      </c>
      <c r="D401" s="179" t="inlineStr">
        <is>
          <t>5 Margaret Street</t>
        </is>
      </c>
      <c r="E401" s="179" t="inlineStr">
        <is>
          <t>Whole Building</t>
        </is>
      </c>
      <c r="F401" s="180" t="inlineStr">
        <is>
          <t>Retail &amp; Office</t>
        </is>
      </c>
      <c r="G401" s="660" t="n">
        <v>2598</v>
      </c>
      <c r="H401" s="661">
        <f>G401</f>
        <v/>
      </c>
      <c r="I401" s="661" t="n">
        <v>2500</v>
      </c>
      <c r="J401" s="121" t="inlineStr">
        <is>
          <t>Workpad Fitzrovia Ltd</t>
        </is>
      </c>
      <c r="K401" s="662" t="n">
        <v>43070</v>
      </c>
      <c r="L401" s="662" t="n">
        <v>46721</v>
      </c>
      <c r="M401" s="662" t="n"/>
      <c r="N401" s="662" t="n">
        <v>44896</v>
      </c>
      <c r="O401" s="662" t="n"/>
      <c r="P401" s="660" t="n">
        <v>155000</v>
      </c>
      <c r="Q401" s="660">
        <f>P401</f>
        <v/>
      </c>
      <c r="R401" s="843" t="n"/>
      <c r="S401" s="660" t="n">
        <v>118500</v>
      </c>
      <c r="T401" s="661">
        <f>S401</f>
        <v/>
      </c>
      <c r="U401" s="660" t="n">
        <v>121500</v>
      </c>
      <c r="V401" s="661">
        <f>U401</f>
        <v/>
      </c>
      <c r="W401" s="846">
        <f>U401/G401</f>
        <v/>
      </c>
      <c r="X401" s="847">
        <f>SUM(U401-S401)/S401</f>
        <v/>
      </c>
      <c r="Y401" s="661" t="inlineStr">
        <is>
          <t>A</t>
        </is>
      </c>
      <c r="Z401" s="190" t="n"/>
      <c r="AA401" s="660" t="n">
        <v>2200000</v>
      </c>
      <c r="AB401" s="661" t="inlineStr">
        <is>
          <t>No</t>
        </is>
      </c>
      <c r="AC401" s="841" t="n"/>
      <c r="AD401" s="850" t="n"/>
      <c r="AE401" s="29" t="n"/>
      <c r="AF401" s="313" t="n"/>
      <c r="AG401" s="29" t="n"/>
    </row>
    <row r="402">
      <c r="A402" s="839" t="inlineStr">
        <is>
          <t>CM</t>
        </is>
      </c>
      <c r="B402" s="839" t="inlineStr">
        <is>
          <t>OPG</t>
        </is>
      </c>
      <c r="C402" s="179" t="n">
        <v>800300</v>
      </c>
      <c r="D402" s="179" t="inlineStr">
        <is>
          <t>60/62 Margaret Street</t>
        </is>
      </c>
      <c r="E402" s="179" t="inlineStr">
        <is>
          <t>Whole Building</t>
        </is>
      </c>
      <c r="F402" s="237" t="inlineStr">
        <is>
          <t>Offices</t>
        </is>
      </c>
      <c r="G402" s="660" t="n">
        <v>19812</v>
      </c>
      <c r="H402" s="679">
        <f>G402</f>
        <v/>
      </c>
      <c r="I402" s="679" t="n">
        <v>20000</v>
      </c>
      <c r="J402" s="121" t="inlineStr">
        <is>
          <t>Creo London Limited.</t>
        </is>
      </c>
      <c r="K402" s="662" t="n">
        <v>44986</v>
      </c>
      <c r="L402" s="662" t="n">
        <v>50464</v>
      </c>
      <c r="M402" s="662" t="n"/>
      <c r="N402" s="662" t="n">
        <v>46813</v>
      </c>
      <c r="O402" s="662" t="n"/>
      <c r="P402" s="660" t="n">
        <v>729167</v>
      </c>
      <c r="Q402" s="661">
        <f>P402</f>
        <v/>
      </c>
      <c r="S402" s="660" t="n">
        <v>1250000</v>
      </c>
      <c r="T402" s="661">
        <f>S402</f>
        <v/>
      </c>
      <c r="U402" s="660" t="n">
        <v>1250000</v>
      </c>
      <c r="V402" s="661">
        <f>U402</f>
        <v/>
      </c>
      <c r="W402" s="846">
        <f>U402/G402</f>
        <v/>
      </c>
      <c r="X402" s="847">
        <f>SUM(U402-S402)/S402</f>
        <v/>
      </c>
      <c r="Y402" s="661" t="inlineStr">
        <is>
          <t>B</t>
        </is>
      </c>
      <c r="Z402" s="193" t="n"/>
      <c r="AA402" s="660" t="n">
        <v>22175000</v>
      </c>
      <c r="AB402" s="661" t="inlineStr">
        <is>
          <t>No</t>
        </is>
      </c>
      <c r="AC402" s="179" t="inlineStr">
        <is>
          <t xml:space="preserve">Rent rising to £1,250,000 wef 01/03/26. </t>
        </is>
      </c>
      <c r="AD402" s="665" t="n"/>
      <c r="AE402" s="179" t="n"/>
      <c r="AF402" s="323" t="n"/>
      <c r="AG402" s="179" t="n"/>
    </row>
    <row r="403">
      <c r="A403" s="839" t="inlineStr">
        <is>
          <t>WS</t>
        </is>
      </c>
      <c r="B403" s="839" t="inlineStr">
        <is>
          <t>OPG</t>
        </is>
      </c>
      <c r="C403" s="179" t="n">
        <v>800500</v>
      </c>
      <c r="D403" s="179" t="inlineStr">
        <is>
          <t>85 Mortimer Street</t>
        </is>
      </c>
      <c r="E403" s="179" t="inlineStr">
        <is>
          <t>Basement &amp; Ground</t>
        </is>
      </c>
      <c r="F403" s="180" t="inlineStr">
        <is>
          <t>Showroom</t>
        </is>
      </c>
      <c r="G403" s="661" t="n">
        <v>1582</v>
      </c>
      <c r="H403" s="679">
        <f>G403</f>
        <v/>
      </c>
      <c r="I403" s="679" t="n">
        <v>1500</v>
      </c>
      <c r="J403" s="121" t="inlineStr">
        <is>
          <t>The Feel Good Group Ltd.</t>
        </is>
      </c>
      <c r="K403" s="662" t="n">
        <v>43514</v>
      </c>
      <c r="L403" s="662" t="n">
        <v>46982</v>
      </c>
      <c r="M403" s="662" t="n"/>
      <c r="N403" s="662" t="n">
        <v>45340</v>
      </c>
      <c r="O403" s="662" t="n"/>
      <c r="P403" s="661" t="n">
        <v>70000</v>
      </c>
      <c r="Q403" s="661">
        <f>P403</f>
        <v/>
      </c>
      <c r="R403" s="843" t="n"/>
      <c r="S403" s="661" t="n">
        <v>63300</v>
      </c>
      <c r="T403" s="661">
        <f>S403</f>
        <v/>
      </c>
      <c r="U403" s="661" t="n">
        <v>63300</v>
      </c>
      <c r="V403" s="661">
        <f>U403</f>
        <v/>
      </c>
      <c r="W403" s="846">
        <f>U403/G403</f>
        <v/>
      </c>
      <c r="X403" s="847">
        <f>SUM(U403-S403)/S403</f>
        <v/>
      </c>
      <c r="Y403" s="661" t="inlineStr">
        <is>
          <t>C</t>
        </is>
      </c>
      <c r="Z403" s="193" t="n"/>
      <c r="AA403" s="660" t="n"/>
      <c r="AB403" s="661" t="inlineStr">
        <is>
          <t>No</t>
        </is>
      </c>
      <c r="AC403" s="179" t="n"/>
      <c r="AD403" s="665" t="n"/>
      <c r="AE403" s="179" t="n"/>
      <c r="AF403" s="323" t="n"/>
      <c r="AG403" s="179" t="n"/>
    </row>
    <row r="404">
      <c r="A404" s="839" t="inlineStr">
        <is>
          <t>WS</t>
        </is>
      </c>
      <c r="B404" s="839" t="inlineStr">
        <is>
          <t>OPG</t>
        </is>
      </c>
      <c r="C404" s="179" t="n">
        <v>800500</v>
      </c>
      <c r="D404" s="179" t="inlineStr">
        <is>
          <t>85 Mortimer Street</t>
        </is>
      </c>
      <c r="E404" s="179" t="inlineStr">
        <is>
          <t>First to Third Floors</t>
        </is>
      </c>
      <c r="F404" s="180" t="inlineStr">
        <is>
          <t>Offices</t>
        </is>
      </c>
      <c r="G404" s="661" t="n">
        <v>1248</v>
      </c>
      <c r="H404" s="679">
        <f>G404</f>
        <v/>
      </c>
      <c r="I404" s="679" t="n">
        <v>1250</v>
      </c>
      <c r="J404" s="121" t="inlineStr">
        <is>
          <t>Vacant</t>
        </is>
      </c>
      <c r="K404" s="662" t="n"/>
      <c r="L404" s="662" t="n"/>
      <c r="M404" s="662" t="n">
        <v>44550</v>
      </c>
      <c r="N404" s="662" t="n"/>
      <c r="O404" s="662" t="n"/>
      <c r="P404" s="661" t="n">
        <v>0</v>
      </c>
      <c r="Q404" s="661">
        <f>P404</f>
        <v/>
      </c>
      <c r="R404" s="843" t="n"/>
      <c r="S404" s="661" t="n">
        <v>66800</v>
      </c>
      <c r="T404" s="661">
        <f>S404</f>
        <v/>
      </c>
      <c r="U404" s="661" t="n">
        <v>66800</v>
      </c>
      <c r="V404" s="661">
        <f>U404</f>
        <v/>
      </c>
      <c r="W404" s="846">
        <f>U404/G404</f>
        <v/>
      </c>
      <c r="X404" s="847">
        <f>SUM(U404-S404)/S404</f>
        <v/>
      </c>
      <c r="Y404" s="661" t="inlineStr">
        <is>
          <t>B</t>
        </is>
      </c>
      <c r="Z404" s="193" t="n"/>
      <c r="AA404" s="660" t="n"/>
      <c r="AB404" s="661" t="inlineStr">
        <is>
          <t>No</t>
        </is>
      </c>
      <c r="AC404" s="179" t="inlineStr">
        <is>
          <t>To be refurbished.</t>
        </is>
      </c>
      <c r="AD404" s="665" t="n">
        <v>58</v>
      </c>
      <c r="AE404" s="179" t="n">
        <v>2</v>
      </c>
      <c r="AF404" s="323" t="n">
        <v>5</v>
      </c>
      <c r="AG404" s="179" t="n"/>
    </row>
    <row r="405">
      <c r="A405" s="839" t="inlineStr">
        <is>
          <t>WS</t>
        </is>
      </c>
      <c r="B405" s="839" t="inlineStr">
        <is>
          <t>OPG</t>
        </is>
      </c>
      <c r="C405" s="179" t="n">
        <v>800600</v>
      </c>
      <c r="D405" s="179" t="inlineStr">
        <is>
          <t>Welbeck House, 66/67 Wells Street</t>
        </is>
      </c>
      <c r="E405" s="179" t="inlineStr">
        <is>
          <t>Basement (67)</t>
        </is>
      </c>
      <c r="F405" s="188" t="inlineStr">
        <is>
          <t>Electricity / Substation</t>
        </is>
      </c>
      <c r="G405" s="661" t="n">
        <v>0</v>
      </c>
      <c r="H405" s="679">
        <f>G405</f>
        <v/>
      </c>
      <c r="I405" s="679" t="n"/>
      <c r="J405" s="121" t="inlineStr">
        <is>
          <t>London Power Networks Plc</t>
        </is>
      </c>
      <c r="K405" s="662" t="n">
        <v>18170</v>
      </c>
      <c r="L405" s="662" t="n">
        <v>54329</v>
      </c>
      <c r="M405" s="662" t="n"/>
      <c r="N405" s="662" t="n"/>
      <c r="O405" s="662" t="n"/>
      <c r="P405" s="661" t="n">
        <v>0</v>
      </c>
      <c r="Q405" s="661">
        <f>P405</f>
        <v/>
      </c>
      <c r="R405" s="843" t="n"/>
      <c r="S405" s="661" t="n">
        <v>0</v>
      </c>
      <c r="T405" s="661">
        <f>S405</f>
        <v/>
      </c>
      <c r="U405" s="661" t="n">
        <v>0</v>
      </c>
      <c r="V405" s="661">
        <f>U405</f>
        <v/>
      </c>
      <c r="W405" s="846" t="n"/>
      <c r="X405" s="847" t="n"/>
      <c r="Y405" s="661" t="n"/>
      <c r="Z405" s="193" t="n"/>
      <c r="AA405" s="660" t="n"/>
      <c r="AB405" s="661" t="inlineStr">
        <is>
          <t>Yes</t>
        </is>
      </c>
      <c r="AC405" s="179" t="inlineStr">
        <is>
          <t>Rent 5p paid annually on 25th March</t>
        </is>
      </c>
      <c r="AD405" s="665" t="n"/>
      <c r="AE405" s="179" t="n"/>
      <c r="AF405" s="323" t="n"/>
      <c r="AG405" s="179" t="n"/>
    </row>
    <row r="406">
      <c r="A406" s="839" t="inlineStr">
        <is>
          <t>WS</t>
        </is>
      </c>
      <c r="B406" s="839" t="inlineStr">
        <is>
          <t>OPG</t>
        </is>
      </c>
      <c r="C406" s="179" t="n">
        <v>800600</v>
      </c>
      <c r="D406" s="179" t="inlineStr">
        <is>
          <t>Welbeck House, 66/67 Wells Street</t>
        </is>
      </c>
      <c r="E406" s="179" t="inlineStr">
        <is>
          <t>Basement &amp; Ground (67), Rear (66/67) &amp; 1st Floor (R) 66.</t>
        </is>
      </c>
      <c r="F406" s="180" t="inlineStr">
        <is>
          <t>Retail / Offices</t>
        </is>
      </c>
      <c r="G406" s="661" t="n">
        <v>3356</v>
      </c>
      <c r="H406" s="679">
        <f>G406</f>
        <v/>
      </c>
      <c r="I406" s="679" t="n">
        <v>3500</v>
      </c>
      <c r="J406" s="121" t="inlineStr">
        <is>
          <t>Vacant</t>
        </is>
      </c>
      <c r="K406" s="662" t="n"/>
      <c r="L406" s="662" t="n"/>
      <c r="M406" s="662" t="n">
        <v>45457</v>
      </c>
      <c r="N406" s="662" t="n"/>
      <c r="O406" s="662" t="n"/>
      <c r="P406" s="661" t="n">
        <v>0</v>
      </c>
      <c r="Q406" s="661">
        <f>P406</f>
        <v/>
      </c>
      <c r="R406" s="843" t="n"/>
      <c r="S406" s="661" t="n">
        <v>174600</v>
      </c>
      <c r="T406" s="661">
        <f>S406</f>
        <v/>
      </c>
      <c r="U406" s="661" t="n">
        <v>174600</v>
      </c>
      <c r="V406" s="661">
        <f>U406</f>
        <v/>
      </c>
      <c r="W406" s="846">
        <f>U406/G406</f>
        <v/>
      </c>
      <c r="X406" s="847">
        <f>SUM(U406-S406)/S406</f>
        <v/>
      </c>
      <c r="Y406" s="661" t="inlineStr">
        <is>
          <t>B</t>
        </is>
      </c>
      <c r="Z406" s="193" t="n"/>
      <c r="AA406" s="660" t="n"/>
      <c r="AB406" s="661" t="inlineStr">
        <is>
          <t>No</t>
        </is>
      </c>
      <c r="AC406" s="179" t="inlineStr">
        <is>
          <t>To be refurbished.</t>
        </is>
      </c>
      <c r="AD406" s="665" t="n">
        <v>45</v>
      </c>
      <c r="AE406" s="179" t="n">
        <v>3</v>
      </c>
      <c r="AF406" s="323" t="n">
        <v>10</v>
      </c>
      <c r="AG406" s="179" t="inlineStr">
        <is>
          <t>LEM</t>
        </is>
      </c>
    </row>
    <row r="407">
      <c r="A407" s="839" t="inlineStr">
        <is>
          <t>WS</t>
        </is>
      </c>
      <c r="B407" s="839" t="inlineStr">
        <is>
          <t>OPG</t>
        </is>
      </c>
      <c r="C407" s="179" t="n">
        <v>800600</v>
      </c>
      <c r="D407" s="179" t="inlineStr">
        <is>
          <t>Welbeck House, 66/67 Wells Street</t>
        </is>
      </c>
      <c r="E407" s="179" t="inlineStr">
        <is>
          <t>Basement &amp; Ground (66)</t>
        </is>
      </c>
      <c r="F407" s="180" t="inlineStr">
        <is>
          <t>Shop</t>
        </is>
      </c>
      <c r="G407" s="661" t="n">
        <v>1157</v>
      </c>
      <c r="H407" s="679">
        <f>G407</f>
        <v/>
      </c>
      <c r="I407" s="679" t="n">
        <v>1000</v>
      </c>
      <c r="J407" s="121" t="inlineStr">
        <is>
          <t>Noble Furs (Regent Street) Ltd</t>
        </is>
      </c>
      <c r="K407" s="662" t="n">
        <v>45230</v>
      </c>
      <c r="L407" s="662" t="n">
        <v>46325</v>
      </c>
      <c r="M407" s="662" t="n"/>
      <c r="N407" s="662" t="n"/>
      <c r="O407" s="662" t="n"/>
      <c r="P407" s="661" t="n">
        <v>46000</v>
      </c>
      <c r="Q407" s="661">
        <f>P407</f>
        <v/>
      </c>
      <c r="R407" s="843" t="n"/>
      <c r="S407" s="661" t="n">
        <v>52800</v>
      </c>
      <c r="T407" s="661">
        <f>S407</f>
        <v/>
      </c>
      <c r="U407" s="661" t="n">
        <v>52800</v>
      </c>
      <c r="V407" s="661">
        <f>U407</f>
        <v/>
      </c>
      <c r="W407" s="846">
        <f>U407/G407</f>
        <v/>
      </c>
      <c r="X407" s="847">
        <f>SUM(U407-S407)/S407</f>
        <v/>
      </c>
      <c r="Y407" s="661" t="inlineStr">
        <is>
          <t>D</t>
        </is>
      </c>
      <c r="Z407" s="193" t="n"/>
      <c r="AA407" s="660" t="n"/>
      <c r="AB407" s="661" t="inlineStr">
        <is>
          <t>No</t>
        </is>
      </c>
      <c r="AC407" s="179" t="inlineStr">
        <is>
          <t xml:space="preserve">Further 2 months rent free @ 31/10/25. Rent rises to £50,600 @ 31/12/25. Mutual break on 3 months notice. </t>
        </is>
      </c>
      <c r="AD407" s="665" t="n"/>
      <c r="AE407" s="179" t="n"/>
      <c r="AF407" s="323" t="n"/>
      <c r="AG407" s="179" t="n"/>
    </row>
    <row r="408">
      <c r="A408" s="839" t="inlineStr">
        <is>
          <t>WS</t>
        </is>
      </c>
      <c r="B408" s="839" t="inlineStr">
        <is>
          <t>OPG</t>
        </is>
      </c>
      <c r="C408" s="179" t="n">
        <v>800600</v>
      </c>
      <c r="D408" s="179" t="inlineStr">
        <is>
          <t>Welbeck House, 66/67 Wells Street</t>
        </is>
      </c>
      <c r="E408" s="179" t="inlineStr">
        <is>
          <t>First Floor (Front)</t>
        </is>
      </c>
      <c r="F408" s="180" t="inlineStr">
        <is>
          <t>Offices</t>
        </is>
      </c>
      <c r="G408" s="661" t="n">
        <v>1015</v>
      </c>
      <c r="H408" s="679">
        <f>G408</f>
        <v/>
      </c>
      <c r="I408" s="679" t="n">
        <v>1000</v>
      </c>
      <c r="J408" s="121" t="inlineStr">
        <is>
          <t>Vacant</t>
        </is>
      </c>
      <c r="K408" s="662" t="n"/>
      <c r="L408" s="662" t="n"/>
      <c r="M408" s="662" t="n">
        <v>43840</v>
      </c>
      <c r="N408" s="662" t="n"/>
      <c r="O408" s="662" t="n"/>
      <c r="P408" s="661" t="n">
        <v>0</v>
      </c>
      <c r="Q408" s="661">
        <f>P408</f>
        <v/>
      </c>
      <c r="R408" s="843" t="n"/>
      <c r="S408" s="661" t="n">
        <v>53300</v>
      </c>
      <c r="T408" s="661">
        <f>S408</f>
        <v/>
      </c>
      <c r="U408" s="661" t="n">
        <v>53300</v>
      </c>
      <c r="V408" s="661">
        <f>U408</f>
        <v/>
      </c>
      <c r="W408" s="846">
        <f>U408/G408</f>
        <v/>
      </c>
      <c r="X408" s="847">
        <f>SUM(U408-S408)/S408</f>
        <v/>
      </c>
      <c r="Y408" s="661" t="inlineStr">
        <is>
          <t>D</t>
        </is>
      </c>
      <c r="Z408" s="193" t="n"/>
      <c r="AA408" s="660" t="n"/>
      <c r="AB408" s="661" t="inlineStr">
        <is>
          <t>No</t>
        </is>
      </c>
      <c r="AC408" s="841" t="inlineStr">
        <is>
          <t>Mothballed.</t>
        </is>
      </c>
      <c r="AD408" s="850" t="n"/>
      <c r="AE408" s="29" t="n"/>
      <c r="AF408" s="313" t="n"/>
      <c r="AG408" s="29" t="n"/>
    </row>
    <row r="409">
      <c r="A409" s="839" t="inlineStr">
        <is>
          <t>WS</t>
        </is>
      </c>
      <c r="B409" s="839" t="inlineStr">
        <is>
          <t>OPG</t>
        </is>
      </c>
      <c r="C409" s="179" t="n">
        <v>800600</v>
      </c>
      <c r="D409" s="179" t="inlineStr">
        <is>
          <t>Welbeck House, 66/67 Wells Street</t>
        </is>
      </c>
      <c r="E409" s="179" t="inlineStr">
        <is>
          <t>First Floor (Rear)</t>
        </is>
      </c>
      <c r="F409" s="180" t="inlineStr">
        <is>
          <t>Offices</t>
        </is>
      </c>
      <c r="G409" s="661" t="n">
        <v>250</v>
      </c>
      <c r="H409" s="679">
        <f>G409</f>
        <v/>
      </c>
      <c r="I409" s="679" t="n">
        <v>250</v>
      </c>
      <c r="J409" s="121" t="inlineStr">
        <is>
          <t>Vacant</t>
        </is>
      </c>
      <c r="K409" s="662" t="n"/>
      <c r="L409" s="662" t="n"/>
      <c r="M409" s="662" t="n">
        <v>45682</v>
      </c>
      <c r="N409" s="662" t="n"/>
      <c r="O409" s="662" t="n"/>
      <c r="P409" s="661" t="n">
        <v>0</v>
      </c>
      <c r="Q409" s="661">
        <f>P409</f>
        <v/>
      </c>
      <c r="R409" s="843" t="n"/>
      <c r="S409" s="661" t="n">
        <v>14500</v>
      </c>
      <c r="T409" s="661">
        <f>S409</f>
        <v/>
      </c>
      <c r="U409" s="661" t="n">
        <v>14500</v>
      </c>
      <c r="V409" s="661">
        <f>U409</f>
        <v/>
      </c>
      <c r="W409" s="846">
        <f>U409/G409</f>
        <v/>
      </c>
      <c r="X409" s="847">
        <f>SUM(U409-S409)/S409</f>
        <v/>
      </c>
      <c r="Y409" s="661" t="inlineStr">
        <is>
          <t>D</t>
        </is>
      </c>
      <c r="Z409" s="193" t="n"/>
      <c r="AA409" s="660" t="n"/>
      <c r="AB409" s="661" t="inlineStr">
        <is>
          <t>No</t>
        </is>
      </c>
      <c r="AC409" s="179" t="inlineStr">
        <is>
          <t>LEM marketing.</t>
        </is>
      </c>
      <c r="AD409" s="665" t="n"/>
      <c r="AE409" s="179" t="n"/>
      <c r="AF409" s="323" t="n">
        <v>1</v>
      </c>
      <c r="AG409" s="179" t="n"/>
    </row>
    <row r="410">
      <c r="A410" s="839" t="inlineStr">
        <is>
          <t>WS</t>
        </is>
      </c>
      <c r="B410" s="839" t="inlineStr">
        <is>
          <t>OPG</t>
        </is>
      </c>
      <c r="C410" s="179" t="n">
        <v>800600</v>
      </c>
      <c r="D410" s="179" t="inlineStr">
        <is>
          <t>Welbeck House, 66/67 Wells Street</t>
        </is>
      </c>
      <c r="E410" s="179" t="inlineStr">
        <is>
          <t>Second Floor (Front)</t>
        </is>
      </c>
      <c r="F410" s="180" t="inlineStr">
        <is>
          <t>Offices</t>
        </is>
      </c>
      <c r="G410" s="661" t="n">
        <v>1026</v>
      </c>
      <c r="H410" s="679">
        <f>G410</f>
        <v/>
      </c>
      <c r="I410" s="679" t="n">
        <v>1000</v>
      </c>
      <c r="J410" s="121" t="inlineStr">
        <is>
          <t>Vacant</t>
        </is>
      </c>
      <c r="K410" s="662" t="n"/>
      <c r="L410" s="662" t="n"/>
      <c r="M410" s="662" t="n">
        <v>44500</v>
      </c>
      <c r="N410" s="662" t="n"/>
      <c r="O410" s="662" t="n"/>
      <c r="P410" s="661" t="n">
        <v>0</v>
      </c>
      <c r="Q410" s="661">
        <f>P410</f>
        <v/>
      </c>
      <c r="R410" s="843" t="n"/>
      <c r="S410" s="661" t="n">
        <v>53900</v>
      </c>
      <c r="T410" s="661">
        <f>S410</f>
        <v/>
      </c>
      <c r="U410" s="661" t="n">
        <v>53900</v>
      </c>
      <c r="V410" s="661">
        <f>U410</f>
        <v/>
      </c>
      <c r="W410" s="846">
        <f>U410/G410</f>
        <v/>
      </c>
      <c r="X410" s="847">
        <f>SUM(U410-S410)/S410</f>
        <v/>
      </c>
      <c r="Y410" s="661" t="inlineStr">
        <is>
          <t>C</t>
        </is>
      </c>
      <c r="Z410" s="193" t="n"/>
      <c r="AA410" s="660" t="n"/>
      <c r="AB410" s="661" t="inlineStr">
        <is>
          <t>No</t>
        </is>
      </c>
      <c r="AC410" s="841" t="inlineStr">
        <is>
          <t>Mothballed.</t>
        </is>
      </c>
      <c r="AD410" s="850" t="n"/>
      <c r="AE410" s="29" t="n"/>
      <c r="AF410" s="313" t="n"/>
      <c r="AG410" s="29" t="n"/>
    </row>
    <row r="411">
      <c r="A411" s="839" t="inlineStr">
        <is>
          <t>WS</t>
        </is>
      </c>
      <c r="B411" s="839" t="inlineStr">
        <is>
          <t>OPG</t>
        </is>
      </c>
      <c r="C411" s="179" t="n">
        <v>800600</v>
      </c>
      <c r="D411" s="179" t="inlineStr">
        <is>
          <t>Welbeck House, 66/67 Wells Street</t>
        </is>
      </c>
      <c r="E411" s="179" t="inlineStr">
        <is>
          <t>Second Floor (Rear)</t>
        </is>
      </c>
      <c r="F411" s="180" t="inlineStr">
        <is>
          <t>Offices</t>
        </is>
      </c>
      <c r="G411" s="661" t="n">
        <v>242</v>
      </c>
      <c r="H411" s="679">
        <f>G411</f>
        <v/>
      </c>
      <c r="I411" s="679" t="n">
        <v>250</v>
      </c>
      <c r="J411" s="121" t="inlineStr">
        <is>
          <t>Vacant</t>
        </is>
      </c>
      <c r="K411" s="662" t="n"/>
      <c r="L411" s="662" t="n"/>
      <c r="M411" s="662" t="n">
        <v>44135</v>
      </c>
      <c r="N411" s="662" t="n"/>
      <c r="O411" s="662" t="n"/>
      <c r="P411" s="661" t="n">
        <v>0</v>
      </c>
      <c r="Q411" s="661">
        <f>P411</f>
        <v/>
      </c>
      <c r="R411" s="843" t="n"/>
      <c r="S411" s="661" t="n">
        <v>14000</v>
      </c>
      <c r="T411" s="661">
        <f>S411</f>
        <v/>
      </c>
      <c r="U411" s="661" t="n">
        <v>14000</v>
      </c>
      <c r="V411" s="661">
        <f>U411</f>
        <v/>
      </c>
      <c r="W411" s="846">
        <f>U411/G411</f>
        <v/>
      </c>
      <c r="X411" s="847">
        <f>SUM(U411-S411)/S411</f>
        <v/>
      </c>
      <c r="Y411" s="661" t="inlineStr">
        <is>
          <t>E</t>
        </is>
      </c>
      <c r="Z411" s="193" t="n"/>
      <c r="AA411" s="660" t="n"/>
      <c r="AB411" s="661" t="inlineStr">
        <is>
          <t>No</t>
        </is>
      </c>
      <c r="AC411" s="841" t="inlineStr">
        <is>
          <t>Mothballed.</t>
        </is>
      </c>
      <c r="AD411" s="850" t="n"/>
      <c r="AE411" s="29" t="n"/>
      <c r="AF411" s="313" t="n"/>
      <c r="AG411" s="29" t="n"/>
    </row>
    <row r="412">
      <c r="A412" s="839" t="inlineStr">
        <is>
          <t>WS</t>
        </is>
      </c>
      <c r="B412" s="839" t="inlineStr">
        <is>
          <t>OPG</t>
        </is>
      </c>
      <c r="C412" s="179" t="n">
        <v>800600</v>
      </c>
      <c r="D412" s="179" t="inlineStr">
        <is>
          <t>Welbeck House, 66/67 Wells Street</t>
        </is>
      </c>
      <c r="E412" s="179" t="inlineStr">
        <is>
          <t>Third Floor</t>
        </is>
      </c>
      <c r="F412" s="180" t="inlineStr">
        <is>
          <t>Offices</t>
        </is>
      </c>
      <c r="G412" s="661" t="n">
        <v>1028</v>
      </c>
      <c r="H412" s="679">
        <f>G412</f>
        <v/>
      </c>
      <c r="I412" s="679" t="n">
        <v>1000</v>
      </c>
      <c r="J412" s="121" t="inlineStr">
        <is>
          <t>Investments Services UK Ltd</t>
        </is>
      </c>
      <c r="K412" s="662" t="n">
        <v>44135</v>
      </c>
      <c r="L412" s="662" t="n">
        <v>45960</v>
      </c>
      <c r="M412" s="662" t="n"/>
      <c r="N412" s="662" t="n"/>
      <c r="O412" s="662" t="n"/>
      <c r="P412" s="661" t="n">
        <v>52572</v>
      </c>
      <c r="Q412" s="661">
        <f>P412</f>
        <v/>
      </c>
      <c r="R412" s="843" t="n"/>
      <c r="S412" s="661" t="n">
        <v>51400</v>
      </c>
      <c r="T412" s="661">
        <f>S412</f>
        <v/>
      </c>
      <c r="U412" s="661" t="n">
        <v>51400</v>
      </c>
      <c r="V412" s="661">
        <f>U412</f>
        <v/>
      </c>
      <c r="W412" s="846">
        <f>U412/G412</f>
        <v/>
      </c>
      <c r="X412" s="847">
        <f>SUM(U412-S412)/S412</f>
        <v/>
      </c>
      <c r="Y412" s="661" t="inlineStr">
        <is>
          <t>D</t>
        </is>
      </c>
      <c r="Z412" s="193" t="n"/>
      <c r="AA412" s="660" t="n"/>
      <c r="AB412" s="661" t="inlineStr">
        <is>
          <t>No</t>
        </is>
      </c>
      <c r="AC412" s="841" t="inlineStr">
        <is>
          <t>Mothballed.</t>
        </is>
      </c>
      <c r="AD412" s="850" t="n"/>
      <c r="AE412" s="29" t="n"/>
      <c r="AF412" s="313" t="n"/>
      <c r="AG412" s="29" t="n"/>
    </row>
    <row r="413">
      <c r="A413" s="839" t="inlineStr">
        <is>
          <t>WS</t>
        </is>
      </c>
      <c r="B413" s="839" t="inlineStr">
        <is>
          <t>OPG</t>
        </is>
      </c>
      <c r="C413" s="179" t="n">
        <v>800600</v>
      </c>
      <c r="D413" s="179" t="inlineStr">
        <is>
          <t>Welbeck House, 66/67 Wells Street</t>
        </is>
      </c>
      <c r="E413" s="179" t="inlineStr">
        <is>
          <t>Fourth Floor</t>
        </is>
      </c>
      <c r="F413" s="180" t="inlineStr">
        <is>
          <t>Offices</t>
        </is>
      </c>
      <c r="G413" s="661" t="n">
        <v>834</v>
      </c>
      <c r="H413" s="679">
        <f>G413</f>
        <v/>
      </c>
      <c r="I413" s="679" t="n">
        <v>1000</v>
      </c>
      <c r="J413" s="121" t="inlineStr">
        <is>
          <t>Vacant</t>
        </is>
      </c>
      <c r="K413" s="662" t="n"/>
      <c r="L413" s="662" t="n"/>
      <c r="M413" s="662" t="n">
        <v>43840</v>
      </c>
      <c r="N413" s="662" t="n"/>
      <c r="O413" s="662" t="n"/>
      <c r="P413" s="661" t="n">
        <v>0</v>
      </c>
      <c r="Q413" s="661">
        <f>P413</f>
        <v/>
      </c>
      <c r="R413" s="843" t="n"/>
      <c r="S413" s="661" t="n">
        <v>43800</v>
      </c>
      <c r="T413" s="661">
        <f>S413</f>
        <v/>
      </c>
      <c r="U413" s="661" t="n">
        <v>43800</v>
      </c>
      <c r="V413" s="661">
        <f>U413</f>
        <v/>
      </c>
      <c r="W413" s="846">
        <f>U413/G413</f>
        <v/>
      </c>
      <c r="X413" s="847">
        <f>SUM(U413-S413)/S413</f>
        <v/>
      </c>
      <c r="Y413" s="661" t="inlineStr">
        <is>
          <t>D</t>
        </is>
      </c>
      <c r="Z413" s="193" t="n"/>
      <c r="AA413" s="660" t="n"/>
      <c r="AB413" s="661" t="inlineStr">
        <is>
          <t>No</t>
        </is>
      </c>
      <c r="AC413" s="841" t="inlineStr">
        <is>
          <t>Mothballed.</t>
        </is>
      </c>
      <c r="AD413" s="850" t="n"/>
      <c r="AE413" s="29" t="n"/>
      <c r="AF413" s="313" t="n"/>
      <c r="AG413" s="29" t="n"/>
    </row>
    <row r="414">
      <c r="A414" s="839" t="inlineStr">
        <is>
          <t>CD</t>
        </is>
      </c>
      <c r="B414" s="839" t="inlineStr">
        <is>
          <t>PEL</t>
        </is>
      </c>
      <c r="C414" s="179" t="n">
        <v>111010</v>
      </c>
      <c r="D414" s="179" t="inlineStr">
        <is>
          <t>32-36 Great Portland Street</t>
        </is>
      </c>
      <c r="E414" s="179" t="inlineStr">
        <is>
          <t>Ground Floor &amp; Basement</t>
        </is>
      </c>
      <c r="F414" s="188" t="inlineStr">
        <is>
          <t>Retail / Showroom</t>
        </is>
      </c>
      <c r="G414" s="661" t="n">
        <v>4289</v>
      </c>
      <c r="H414" s="661">
        <f>G414</f>
        <v/>
      </c>
      <c r="I414" s="661" t="n">
        <v>4250</v>
      </c>
      <c r="J414" s="121" t="inlineStr">
        <is>
          <t>Prenuvo Ltd</t>
        </is>
      </c>
      <c r="K414" s="662" t="n">
        <v>45510</v>
      </c>
      <c r="L414" s="662" t="n">
        <v>50987</v>
      </c>
      <c r="M414" s="662" t="n"/>
      <c r="N414" s="662" t="n">
        <v>47336</v>
      </c>
      <c r="O414" s="662" t="n">
        <v>49162</v>
      </c>
      <c r="P414" s="661" t="n">
        <v>110000</v>
      </c>
      <c r="Q414" s="661">
        <f>P414</f>
        <v/>
      </c>
      <c r="R414" s="843" t="n"/>
      <c r="S414" s="661" t="n">
        <v>220100</v>
      </c>
      <c r="T414" s="661">
        <f>S414</f>
        <v/>
      </c>
      <c r="U414" s="661" t="n">
        <v>220100</v>
      </c>
      <c r="V414" s="661">
        <f>U414</f>
        <v/>
      </c>
      <c r="W414" s="846">
        <f>U414/G414</f>
        <v/>
      </c>
      <c r="X414" s="847">
        <f>SUM(U414-S414)/S414</f>
        <v/>
      </c>
      <c r="Y414" s="661" t="inlineStr">
        <is>
          <t>C</t>
        </is>
      </c>
      <c r="Z414" s="187" t="inlineStr">
        <is>
          <t>*</t>
        </is>
      </c>
      <c r="AA414" s="187" t="n"/>
      <c r="AB414" s="661" t="inlineStr">
        <is>
          <t>No</t>
        </is>
      </c>
      <c r="AC414" s="179" t="inlineStr">
        <is>
          <t>Rent increasing to £220,000 wef 18/01/26. Tenant break on 6 months notice.</t>
        </is>
      </c>
      <c r="AD414" s="665" t="n"/>
      <c r="AE414" s="236" t="n"/>
      <c r="AF414" s="327" t="n"/>
      <c r="AG414" s="332" t="n"/>
    </row>
    <row r="415">
      <c r="A415" s="839" t="inlineStr">
        <is>
          <t>CD</t>
        </is>
      </c>
      <c r="B415" s="839" t="inlineStr">
        <is>
          <t>PEL</t>
        </is>
      </c>
      <c r="C415" s="179" t="n">
        <v>111010</v>
      </c>
      <c r="D415" s="179" t="inlineStr">
        <is>
          <t>32-36 Great Portland Street</t>
        </is>
      </c>
      <c r="E415" s="179" t="inlineStr">
        <is>
          <t>First Floor</t>
        </is>
      </c>
      <c r="F415" s="180" t="inlineStr">
        <is>
          <t>Offices</t>
        </is>
      </c>
      <c r="G415" s="661" t="n">
        <v>2279</v>
      </c>
      <c r="H415" s="661">
        <f>G415</f>
        <v/>
      </c>
      <c r="I415" s="661" t="n">
        <v>2250</v>
      </c>
      <c r="J415" s="121" t="inlineStr">
        <is>
          <t>Vacant</t>
        </is>
      </c>
      <c r="K415" s="662" t="n"/>
      <c r="L415" s="662" t="n"/>
      <c r="M415" s="662" t="n">
        <v>44577</v>
      </c>
      <c r="N415" s="662" t="n"/>
      <c r="O415" s="662" t="n"/>
      <c r="P415" s="661" t="n">
        <v>0</v>
      </c>
      <c r="Q415" s="661">
        <f>P415</f>
        <v/>
      </c>
      <c r="R415" s="843" t="n"/>
      <c r="S415" s="661" t="n">
        <v>150000</v>
      </c>
      <c r="T415" s="661">
        <f>S415</f>
        <v/>
      </c>
      <c r="U415" s="661" t="n">
        <v>167500</v>
      </c>
      <c r="V415" s="661">
        <f>U415</f>
        <v/>
      </c>
      <c r="W415" s="846">
        <f>U415/G415</f>
        <v/>
      </c>
      <c r="X415" s="847">
        <f>SUM(U415-S415)/S415</f>
        <v/>
      </c>
      <c r="Y415" s="661" t="inlineStr">
        <is>
          <t>C</t>
        </is>
      </c>
      <c r="Z415" s="187" t="inlineStr">
        <is>
          <t>*</t>
        </is>
      </c>
      <c r="AA415" s="187" t="n"/>
      <c r="AB415" s="661" t="inlineStr">
        <is>
          <t>No</t>
        </is>
      </c>
      <c r="AC415" s="179" t="inlineStr">
        <is>
          <t>To be refurbished.</t>
        </is>
      </c>
      <c r="AD415" s="665" t="n">
        <v>75</v>
      </c>
      <c r="AE415" s="179" t="n">
        <v>1</v>
      </c>
      <c r="AF415" s="323" t="n">
        <v>2</v>
      </c>
      <c r="AG415" s="161" t="inlineStr">
        <is>
          <t>LEM</t>
        </is>
      </c>
    </row>
    <row r="416">
      <c r="A416" s="839" t="inlineStr">
        <is>
          <t>CD</t>
        </is>
      </c>
      <c r="B416" s="839" t="inlineStr">
        <is>
          <t>PEL</t>
        </is>
      </c>
      <c r="C416" s="179" t="n">
        <v>111010</v>
      </c>
      <c r="D416" s="179" t="inlineStr">
        <is>
          <t>32-36 Great Portland Street</t>
        </is>
      </c>
      <c r="E416" s="179" t="inlineStr">
        <is>
          <t>Second Floor</t>
        </is>
      </c>
      <c r="F416" s="180" t="inlineStr">
        <is>
          <t>Offices</t>
        </is>
      </c>
      <c r="G416" s="661" t="n">
        <v>1640</v>
      </c>
      <c r="H416" s="661">
        <f>G416</f>
        <v/>
      </c>
      <c r="I416" s="661" t="n">
        <v>1500</v>
      </c>
      <c r="J416" s="121" t="inlineStr">
        <is>
          <t>AdMaxim Limited</t>
        </is>
      </c>
      <c r="K416" s="662" t="n">
        <v>44710</v>
      </c>
      <c r="L416" s="662" t="n">
        <v>45805</v>
      </c>
      <c r="M416" s="662" t="n"/>
      <c r="N416" s="662" t="n"/>
      <c r="O416" s="662" t="n"/>
      <c r="P416" s="661" t="n">
        <v>101000</v>
      </c>
      <c r="Q416" s="661">
        <f>P416</f>
        <v/>
      </c>
      <c r="R416" s="843" t="n"/>
      <c r="S416" s="661" t="n">
        <v>104100</v>
      </c>
      <c r="T416" s="661">
        <f>S416</f>
        <v/>
      </c>
      <c r="U416" s="661" t="n">
        <v>114800</v>
      </c>
      <c r="V416" s="661">
        <f>U416</f>
        <v/>
      </c>
      <c r="W416" s="846">
        <f>U416/G416</f>
        <v/>
      </c>
      <c r="X416" s="847">
        <f>SUM(U416-S416)/S416</f>
        <v/>
      </c>
      <c r="Y416" s="661" t="inlineStr">
        <is>
          <t>C</t>
        </is>
      </c>
      <c r="Z416" s="187" t="inlineStr">
        <is>
          <t>*</t>
        </is>
      </c>
      <c r="AA416" s="187" t="n"/>
      <c r="AB416" s="661" t="inlineStr">
        <is>
          <t>No</t>
        </is>
      </c>
      <c r="AC416" s="391" t="inlineStr">
        <is>
          <t>Lease renewal completion imminent.</t>
        </is>
      </c>
      <c r="AE416" s="179" t="n"/>
      <c r="AF416" s="323" t="n"/>
      <c r="AG416" s="161" t="n"/>
    </row>
    <row r="417">
      <c r="A417" s="839" t="inlineStr">
        <is>
          <t>CD</t>
        </is>
      </c>
      <c r="B417" s="839" t="inlineStr">
        <is>
          <t>PEL</t>
        </is>
      </c>
      <c r="C417" s="179" t="n">
        <v>111010</v>
      </c>
      <c r="D417" s="179" t="inlineStr">
        <is>
          <t>32-36 Great Portland Street</t>
        </is>
      </c>
      <c r="E417" s="179" t="inlineStr">
        <is>
          <t>Third Floor</t>
        </is>
      </c>
      <c r="F417" s="180" t="inlineStr">
        <is>
          <t>Offices</t>
        </is>
      </c>
      <c r="G417" s="661" t="n">
        <v>1641</v>
      </c>
      <c r="H417" s="661">
        <f>G417</f>
        <v/>
      </c>
      <c r="I417" s="661" t="n">
        <v>1500</v>
      </c>
      <c r="J417" s="121" t="inlineStr">
        <is>
          <t>Vacant</t>
        </is>
      </c>
      <c r="K417" s="662" t="n"/>
      <c r="L417" s="662" t="n"/>
      <c r="M417" s="662" t="n">
        <v>44603</v>
      </c>
      <c r="N417" s="662" t="n"/>
      <c r="O417" s="662" t="n"/>
      <c r="P417" s="661" t="n">
        <v>0</v>
      </c>
      <c r="Q417" s="661">
        <f>P417</f>
        <v/>
      </c>
      <c r="R417" s="843" t="n"/>
      <c r="S417" s="661" t="n">
        <v>120000</v>
      </c>
      <c r="T417" s="661">
        <f>S417</f>
        <v/>
      </c>
      <c r="U417" s="661" t="n">
        <v>114900</v>
      </c>
      <c r="V417" s="661">
        <f>U417</f>
        <v/>
      </c>
      <c r="W417" s="846">
        <f>U417/G417</f>
        <v/>
      </c>
      <c r="X417" s="847">
        <f>SUM(U417-S417)/S417</f>
        <v/>
      </c>
      <c r="Y417" s="661" t="inlineStr">
        <is>
          <t>C</t>
        </is>
      </c>
      <c r="Z417" s="187" t="inlineStr">
        <is>
          <t>*</t>
        </is>
      </c>
      <c r="AA417" s="187" t="n"/>
      <c r="AB417" s="661" t="inlineStr">
        <is>
          <t>No</t>
        </is>
      </c>
      <c r="AC417" s="179" t="inlineStr">
        <is>
          <t>To be refurbished.</t>
        </is>
      </c>
      <c r="AD417" s="665" t="n">
        <v>75</v>
      </c>
      <c r="AE417" s="179" t="n">
        <v>1</v>
      </c>
      <c r="AF417" s="323" t="n">
        <v>1</v>
      </c>
      <c r="AG417" s="161" t="inlineStr">
        <is>
          <t>LEM</t>
        </is>
      </c>
    </row>
    <row r="418">
      <c r="A418" s="839" t="inlineStr">
        <is>
          <t>CD</t>
        </is>
      </c>
      <c r="B418" s="839" t="inlineStr">
        <is>
          <t>PEL</t>
        </is>
      </c>
      <c r="C418" s="179" t="n">
        <v>111010</v>
      </c>
      <c r="D418" s="179" t="inlineStr">
        <is>
          <t>32-36 Great Portland Street</t>
        </is>
      </c>
      <c r="E418" s="179" t="inlineStr">
        <is>
          <t xml:space="preserve">Fourth Floor </t>
        </is>
      </c>
      <c r="F418" s="180" t="inlineStr">
        <is>
          <t>Offices</t>
        </is>
      </c>
      <c r="G418" s="661" t="n">
        <v>1636</v>
      </c>
      <c r="H418" s="661">
        <f>G418</f>
        <v/>
      </c>
      <c r="I418" s="661" t="n">
        <v>1500</v>
      </c>
      <c r="J418" s="121" t="inlineStr">
        <is>
          <t>Vacant</t>
        </is>
      </c>
      <c r="K418" s="662" t="n"/>
      <c r="L418" s="662" t="n"/>
      <c r="M418" s="662" t="n">
        <v>45579</v>
      </c>
      <c r="N418" s="662" t="n"/>
      <c r="O418" s="662" t="n"/>
      <c r="P418" s="661" t="n">
        <v>0</v>
      </c>
      <c r="Q418" s="661">
        <f>P418</f>
        <v/>
      </c>
      <c r="R418" s="843" t="n"/>
      <c r="S418" s="661" t="n">
        <v>103900</v>
      </c>
      <c r="T418" s="661">
        <f>S418</f>
        <v/>
      </c>
      <c r="U418" s="661" t="n">
        <v>118600</v>
      </c>
      <c r="V418" s="661">
        <f>U418</f>
        <v/>
      </c>
      <c r="W418" s="846">
        <f>U418/G418</f>
        <v/>
      </c>
      <c r="X418" s="847">
        <f>SUM(U418-S418)/S418</f>
        <v/>
      </c>
      <c r="Y418" s="661" t="inlineStr">
        <is>
          <t>B</t>
        </is>
      </c>
      <c r="Z418" s="187" t="inlineStr">
        <is>
          <t>*</t>
        </is>
      </c>
      <c r="AA418" s="187" t="n"/>
      <c r="AB418" s="661" t="inlineStr">
        <is>
          <t>No</t>
        </is>
      </c>
      <c r="AC418" s="179" t="inlineStr">
        <is>
          <t>To be refurbished.</t>
        </is>
      </c>
      <c r="AD418" s="665" t="n">
        <v>75</v>
      </c>
      <c r="AE418" s="179" t="n">
        <v>1</v>
      </c>
      <c r="AF418" s="323" t="n">
        <v>1</v>
      </c>
      <c r="AG418" s="161" t="inlineStr">
        <is>
          <t>LEM / LDG</t>
        </is>
      </c>
    </row>
    <row r="419">
      <c r="A419" s="839" t="inlineStr">
        <is>
          <t>CD</t>
        </is>
      </c>
      <c r="B419" s="839" t="inlineStr">
        <is>
          <t>PEL</t>
        </is>
      </c>
      <c r="C419" s="179" t="n">
        <v>111010</v>
      </c>
      <c r="D419" s="179" t="inlineStr">
        <is>
          <t>32-36 Great Portland Street</t>
        </is>
      </c>
      <c r="E419" s="179" t="inlineStr">
        <is>
          <t>Fifth Floor</t>
        </is>
      </c>
      <c r="F419" s="180" t="inlineStr">
        <is>
          <t>Offices</t>
        </is>
      </c>
      <c r="G419" s="661" t="n">
        <v>1536</v>
      </c>
      <c r="H419" s="661">
        <f>G419</f>
        <v/>
      </c>
      <c r="I419" s="661" t="n">
        <v>1500</v>
      </c>
      <c r="J419" s="121" t="inlineStr">
        <is>
          <t>Mackintosh Limited</t>
        </is>
      </c>
      <c r="K419" s="662" t="n">
        <v>45464</v>
      </c>
      <c r="L419" s="662" t="n">
        <v>49115</v>
      </c>
      <c r="M419" s="662" t="n"/>
      <c r="N419" s="662" t="n">
        <v>47290</v>
      </c>
      <c r="O419" s="662" t="n">
        <v>47289</v>
      </c>
      <c r="P419" s="661" t="n">
        <v>52745</v>
      </c>
      <c r="Q419" s="661">
        <f>P419</f>
        <v/>
      </c>
      <c r="R419" s="843" t="n"/>
      <c r="S419" s="661" t="n">
        <v>97500</v>
      </c>
      <c r="T419" s="661">
        <f>S419</f>
        <v/>
      </c>
      <c r="U419" s="661" t="n">
        <v>105200</v>
      </c>
      <c r="V419" s="661">
        <f>U419</f>
        <v/>
      </c>
      <c r="W419" s="846">
        <f>U419/G419</f>
        <v/>
      </c>
      <c r="X419" s="847">
        <f>SUM(U419-S419)/S419</f>
        <v/>
      </c>
      <c r="Y419" s="661" t="inlineStr">
        <is>
          <t>C</t>
        </is>
      </c>
      <c r="Z419" s="187" t="inlineStr">
        <is>
          <t>*</t>
        </is>
      </c>
      <c r="AA419" s="187" t="n"/>
      <c r="AB419" s="661" t="inlineStr">
        <is>
          <t>No</t>
        </is>
      </c>
      <c r="AC419" s="179" t="inlineStr">
        <is>
          <t>Rent increasing to £105,490 @ 21/10/26. Tenant break on 6 months notice.</t>
        </is>
      </c>
      <c r="AD419" s="665" t="n"/>
      <c r="AE419" s="179" t="n"/>
      <c r="AF419" s="323" t="n"/>
      <c r="AG419" s="161" t="n"/>
    </row>
    <row r="420">
      <c r="A420" s="839" t="inlineStr">
        <is>
          <t>CD</t>
        </is>
      </c>
      <c r="B420" s="864" t="inlineStr">
        <is>
          <t>OOS</t>
        </is>
      </c>
      <c r="C420" s="179" t="n">
        <v>888010</v>
      </c>
      <c r="D420" s="179" t="inlineStr">
        <is>
          <t>184-190 Oxford Street &amp; 28/30 Market Place</t>
        </is>
      </c>
      <c r="E420" s="179" t="inlineStr">
        <is>
          <t>184-188 Oxford Street (B, G &amp; 1st)</t>
        </is>
      </c>
      <c r="F420" s="180" t="inlineStr">
        <is>
          <t>Retail</t>
        </is>
      </c>
      <c r="G420" s="661" t="n">
        <v>5662</v>
      </c>
      <c r="H420" s="661">
        <f>G420</f>
        <v/>
      </c>
      <c r="I420" s="661" t="n">
        <v>5500</v>
      </c>
      <c r="J420" s="121" t="inlineStr">
        <is>
          <t>Airwair International Ltd</t>
        </is>
      </c>
      <c r="K420" s="662" t="n">
        <v>45192</v>
      </c>
      <c r="L420" s="662" t="n">
        <v>48844</v>
      </c>
      <c r="M420" s="662" t="n"/>
      <c r="N420" s="662" t="n">
        <v>47019</v>
      </c>
      <c r="O420" s="662" t="n">
        <v>47018</v>
      </c>
      <c r="P420" s="661" t="n">
        <v>325000</v>
      </c>
      <c r="Q420" s="661">
        <f>P420</f>
        <v/>
      </c>
      <c r="R420" s="661" t="n"/>
      <c r="S420" s="661" t="n">
        <v>650000</v>
      </c>
      <c r="T420" s="661">
        <f>S420</f>
        <v/>
      </c>
      <c r="U420" s="661" t="n">
        <v>758000</v>
      </c>
      <c r="V420" s="661">
        <f>U420</f>
        <v/>
      </c>
      <c r="W420" s="846">
        <f>U420/G420</f>
        <v/>
      </c>
      <c r="X420" s="847">
        <f>SUM(U420-S420)/S420</f>
        <v/>
      </c>
      <c r="Y420" s="661" t="inlineStr">
        <is>
          <t>C</t>
        </is>
      </c>
      <c r="Z420" s="187" t="n"/>
      <c r="AA420" s="187" t="n"/>
      <c r="AB420" s="848" t="inlineStr">
        <is>
          <t>No</t>
        </is>
      </c>
      <c r="AC420" s="179" t="inlineStr">
        <is>
          <t>Rent rising to £650,000 wef 23/12/25. In addition, turnover rent payable if 10% turnover exceeds £650,000.</t>
        </is>
      </c>
      <c r="AD420" s="665" t="n"/>
      <c r="AE420" s="179" t="n"/>
      <c r="AF420" s="323" t="n"/>
      <c r="AG420" s="161" t="n"/>
    </row>
    <row r="421">
      <c r="A421" s="839" t="inlineStr">
        <is>
          <t>CD</t>
        </is>
      </c>
      <c r="B421" s="864" t="inlineStr">
        <is>
          <t>OOS</t>
        </is>
      </c>
      <c r="C421" s="179" t="n">
        <v>888010</v>
      </c>
      <c r="D421" s="179" t="inlineStr">
        <is>
          <t>184-190 Oxford Street &amp; 28/30 Market Place</t>
        </is>
      </c>
      <c r="E421" s="121" t="inlineStr">
        <is>
          <t>190 Oxford Street (B &amp; G)</t>
        </is>
      </c>
      <c r="F421" s="180" t="inlineStr">
        <is>
          <t>Retail</t>
        </is>
      </c>
      <c r="G421" s="661" t="n">
        <v>5350</v>
      </c>
      <c r="H421" s="661">
        <f>G421</f>
        <v/>
      </c>
      <c r="I421" s="661" t="n">
        <v>5500</v>
      </c>
      <c r="J421" s="121" t="inlineStr">
        <is>
          <t>Office Holdings Ltd</t>
        </is>
      </c>
      <c r="K421" s="662" t="n">
        <v>40651</v>
      </c>
      <c r="L421" s="662" t="n">
        <v>46129</v>
      </c>
      <c r="M421" s="662" t="n"/>
      <c r="N421" s="662" t="n">
        <v>44304</v>
      </c>
      <c r="O421" s="662" t="n"/>
      <c r="P421" s="661" t="n">
        <v>730000</v>
      </c>
      <c r="Q421" s="661">
        <f>P421</f>
        <v/>
      </c>
      <c r="R421" s="661" t="n"/>
      <c r="S421" s="661" t="n">
        <v>400000</v>
      </c>
      <c r="T421" s="661">
        <f>S421</f>
        <v/>
      </c>
      <c r="U421" s="661" t="n">
        <v>450000</v>
      </c>
      <c r="V421" s="661">
        <f>U421</f>
        <v/>
      </c>
      <c r="W421" s="846">
        <f>U421/G421</f>
        <v/>
      </c>
      <c r="X421" s="847">
        <f>SUM(U421-S421)/S421</f>
        <v/>
      </c>
      <c r="Y421" s="661" t="inlineStr">
        <is>
          <t>C</t>
        </is>
      </c>
      <c r="Z421" s="187" t="n"/>
      <c r="AA421" s="187" t="n"/>
      <c r="AB421" s="848" t="inlineStr">
        <is>
          <t>Yes</t>
        </is>
      </c>
      <c r="AC421" s="179" t="n"/>
      <c r="AD421" s="665" t="n"/>
      <c r="AE421" s="179" t="n"/>
      <c r="AF421" s="323" t="n"/>
      <c r="AG421" s="161" t="n"/>
    </row>
    <row r="422">
      <c r="A422" s="839" t="inlineStr">
        <is>
          <t>CD</t>
        </is>
      </c>
      <c r="B422" s="864" t="inlineStr">
        <is>
          <t>OOS</t>
        </is>
      </c>
      <c r="C422" s="179" t="n">
        <v>888010</v>
      </c>
      <c r="D422" s="179" t="inlineStr">
        <is>
          <t>184-190 Oxford Street &amp; 28/30 Market Place</t>
        </is>
      </c>
      <c r="E422" s="179" t="inlineStr">
        <is>
          <t>1st Floor, 28 Market Place</t>
        </is>
      </c>
      <c r="F422" s="180" t="inlineStr">
        <is>
          <t>Retail</t>
        </is>
      </c>
      <c r="G422" s="661" t="n">
        <v>2044</v>
      </c>
      <c r="H422" s="661">
        <f>G422</f>
        <v/>
      </c>
      <c r="I422" s="661" t="n">
        <v>2000</v>
      </c>
      <c r="J422" s="121" t="inlineStr">
        <is>
          <t>EP Commodities Ltd</t>
        </is>
      </c>
      <c r="K422" s="662" t="n">
        <v>42650</v>
      </c>
      <c r="L422" s="662" t="n">
        <v>46301</v>
      </c>
      <c r="M422" s="662" t="n"/>
      <c r="N422" s="662" t="n">
        <v>45885</v>
      </c>
      <c r="O422" s="662" t="n"/>
      <c r="P422" s="661" t="n">
        <v>115701</v>
      </c>
      <c r="Q422" s="661">
        <f>P422</f>
        <v/>
      </c>
      <c r="R422" s="661" t="n"/>
      <c r="S422" s="661" t="n">
        <v>110000</v>
      </c>
      <c r="T422" s="661">
        <f>S422</f>
        <v/>
      </c>
      <c r="U422" s="661" t="n">
        <v>112000</v>
      </c>
      <c r="V422" s="661">
        <f>U422</f>
        <v/>
      </c>
      <c r="W422" s="846">
        <f>U422/G422</f>
        <v/>
      </c>
      <c r="X422" s="847">
        <f>SUM(U422-S422)/S422</f>
        <v/>
      </c>
      <c r="Y422" s="661" t="inlineStr">
        <is>
          <t>B</t>
        </is>
      </c>
      <c r="Z422" s="187" t="n"/>
      <c r="AA422" s="187" t="n"/>
      <c r="AB422" s="848" t="inlineStr">
        <is>
          <t>No</t>
        </is>
      </c>
      <c r="AC422" s="179" t="inlineStr">
        <is>
          <t xml:space="preserve">Annual RPI rent increase (min 1%, max 4%). </t>
        </is>
      </c>
      <c r="AD422" s="665" t="n"/>
      <c r="AE422" s="179" t="n"/>
      <c r="AF422" s="323" t="n"/>
      <c r="AG422" s="161" t="n"/>
    </row>
    <row r="423">
      <c r="A423" s="839" t="inlineStr">
        <is>
          <t>CD</t>
        </is>
      </c>
      <c r="B423" s="864" t="inlineStr">
        <is>
          <t>OOS</t>
        </is>
      </c>
      <c r="C423" s="179" t="n">
        <v>888010</v>
      </c>
      <c r="D423" s="179" t="inlineStr">
        <is>
          <t>184-190 Oxford Street &amp; 28/30 Market Place</t>
        </is>
      </c>
      <c r="E423" s="179" t="inlineStr">
        <is>
          <t>2nd Floor, 30 Market Place</t>
        </is>
      </c>
      <c r="F423" s="180" t="inlineStr">
        <is>
          <t>Office</t>
        </is>
      </c>
      <c r="G423" s="661" t="n">
        <v>4463</v>
      </c>
      <c r="H423" s="661">
        <f>G423</f>
        <v/>
      </c>
      <c r="I423" s="661" t="n">
        <v>4500</v>
      </c>
      <c r="J423" s="121" t="inlineStr">
        <is>
          <t>Joint London Ltd</t>
        </is>
      </c>
      <c r="K423" s="662" t="n">
        <v>42286</v>
      </c>
      <c r="L423" s="662" t="n">
        <v>45938</v>
      </c>
      <c r="M423" s="662" t="n"/>
      <c r="N423" s="662" t="n">
        <v>44113</v>
      </c>
      <c r="O423" s="662" t="n"/>
      <c r="P423" s="661" t="n">
        <v>367290</v>
      </c>
      <c r="Q423" s="661">
        <f>P423</f>
        <v/>
      </c>
      <c r="R423" s="661" t="n"/>
      <c r="S423" s="661" t="n">
        <v>345000</v>
      </c>
      <c r="T423" s="661">
        <f>S423</f>
        <v/>
      </c>
      <c r="U423" s="661" t="n">
        <v>368000</v>
      </c>
      <c r="V423" s="661">
        <f>U423</f>
        <v/>
      </c>
      <c r="W423" s="846">
        <f>U423/G423</f>
        <v/>
      </c>
      <c r="X423" s="847">
        <f>SUM(U423-S423)/S423</f>
        <v/>
      </c>
      <c r="Y423" s="661" t="inlineStr">
        <is>
          <t>B</t>
        </is>
      </c>
      <c r="Z423" s="187" t="n"/>
      <c r="AA423" s="187" t="n"/>
      <c r="AB423" s="848" t="inlineStr">
        <is>
          <t>No</t>
        </is>
      </c>
      <c r="AC423" s="179" t="n"/>
      <c r="AD423" s="665" t="n"/>
      <c r="AE423" s="179" t="n"/>
      <c r="AF423" s="323" t="n"/>
      <c r="AG423" s="161" t="n"/>
    </row>
    <row r="424">
      <c r="A424" s="839" t="inlineStr">
        <is>
          <t>CD</t>
        </is>
      </c>
      <c r="B424" s="864" t="inlineStr">
        <is>
          <t>OOS</t>
        </is>
      </c>
      <c r="C424" s="179" t="n">
        <v>888010</v>
      </c>
      <c r="D424" s="179" t="inlineStr">
        <is>
          <t>184-190 Oxford Street &amp; 28/30 Market Place</t>
        </is>
      </c>
      <c r="E424" s="179" t="inlineStr">
        <is>
          <t>3rd Floor, 30 Market Place</t>
        </is>
      </c>
      <c r="F424" s="180" t="inlineStr">
        <is>
          <t>Office</t>
        </is>
      </c>
      <c r="G424" s="661" t="n">
        <v>4462</v>
      </c>
      <c r="H424" s="661">
        <f>G424</f>
        <v/>
      </c>
      <c r="I424" s="661" t="n">
        <v>4500</v>
      </c>
      <c r="J424" s="121" t="inlineStr">
        <is>
          <t>Vacant</t>
        </is>
      </c>
      <c r="K424" s="662" t="n"/>
      <c r="L424" s="662" t="n"/>
      <c r="M424" s="662" t="n">
        <v>45490</v>
      </c>
      <c r="N424" s="662" t="n"/>
      <c r="O424" s="662" t="n"/>
      <c r="P424" s="661" t="n">
        <v>0</v>
      </c>
      <c r="Q424" s="661">
        <f>P424</f>
        <v/>
      </c>
      <c r="R424" s="661" t="n"/>
      <c r="S424" s="661" t="n">
        <v>357800</v>
      </c>
      <c r="T424" s="661">
        <f>S424</f>
        <v/>
      </c>
      <c r="U424" s="661" t="n">
        <v>379000</v>
      </c>
      <c r="V424" s="661">
        <f>U424</f>
        <v/>
      </c>
      <c r="W424" s="846">
        <f>U424/G424</f>
        <v/>
      </c>
      <c r="X424" s="847">
        <f>SUM(U424-S424)/S424</f>
        <v/>
      </c>
      <c r="Y424" s="661" t="inlineStr">
        <is>
          <t>A</t>
        </is>
      </c>
      <c r="Z424" s="187" t="n"/>
      <c r="AA424" s="187" t="n"/>
      <c r="AB424" s="187" t="n"/>
      <c r="AC424" s="841" t="inlineStr">
        <is>
          <t>LEM marketing.</t>
        </is>
      </c>
      <c r="AD424" s="865" t="n">
        <v>85</v>
      </c>
      <c r="AE424" s="866" t="n">
        <v>2</v>
      </c>
      <c r="AF424" s="330" t="n">
        <v>7</v>
      </c>
      <c r="AG424" s="333" t="inlineStr">
        <is>
          <t>LEM / EC&amp;P</t>
        </is>
      </c>
    </row>
    <row r="425">
      <c r="A425" s="839" t="inlineStr">
        <is>
          <t>CD</t>
        </is>
      </c>
      <c r="B425" s="864" t="inlineStr">
        <is>
          <t>OOS</t>
        </is>
      </c>
      <c r="C425" s="179" t="n">
        <v>888010</v>
      </c>
      <c r="D425" s="179" t="inlineStr">
        <is>
          <t>184-190 Oxford Street &amp; 28/30 Market Place</t>
        </is>
      </c>
      <c r="E425" s="179" t="inlineStr">
        <is>
          <t>4th Floor, 30 Market Place</t>
        </is>
      </c>
      <c r="F425" s="180" t="inlineStr">
        <is>
          <t>Office</t>
        </is>
      </c>
      <c r="G425" s="661" t="n">
        <v>4250</v>
      </c>
      <c r="H425" s="661">
        <f>G425</f>
        <v/>
      </c>
      <c r="I425" s="661" t="n">
        <v>4500</v>
      </c>
      <c r="J425" s="121" t="inlineStr">
        <is>
          <t>Ascot Lloyd Ltd</t>
        </is>
      </c>
      <c r="K425" s="662" t="n">
        <v>45786</v>
      </c>
      <c r="L425" s="662" t="n">
        <v>49437</v>
      </c>
      <c r="M425" s="662" t="n"/>
      <c r="N425" s="662" t="n">
        <v>47612</v>
      </c>
      <c r="O425" s="662" t="n">
        <v>11086</v>
      </c>
      <c r="P425" s="661" t="n">
        <v>0</v>
      </c>
      <c r="Q425" s="661">
        <f>P425</f>
        <v/>
      </c>
      <c r="R425" s="661" t="n"/>
      <c r="S425" s="661" t="n">
        <v>358600</v>
      </c>
      <c r="T425" s="661">
        <f>S425</f>
        <v/>
      </c>
      <c r="U425" s="661" t="n">
        <v>361000</v>
      </c>
      <c r="V425" s="661">
        <f>U425</f>
        <v/>
      </c>
      <c r="W425" s="846">
        <f>U425/G425</f>
        <v/>
      </c>
      <c r="X425" s="847">
        <f>SUM(U425-S425)/S425</f>
        <v/>
      </c>
      <c r="Y425" s="661" t="inlineStr">
        <is>
          <t>A</t>
        </is>
      </c>
      <c r="Z425" s="187" t="n"/>
      <c r="AA425" s="187" t="n"/>
      <c r="AB425" s="187" t="n"/>
      <c r="AC425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425" s="665" t="n">
        <v>85</v>
      </c>
      <c r="AE425" s="331" t="n">
        <v>1</v>
      </c>
      <c r="AF425" s="330" t="n">
        <v>5</v>
      </c>
      <c r="AG425" s="333" t="inlineStr">
        <is>
          <t>LEM / EC&amp;P</t>
        </is>
      </c>
    </row>
    <row r="426">
      <c r="A426" s="839" t="inlineStr">
        <is>
          <t>CD</t>
        </is>
      </c>
      <c r="B426" s="864" t="inlineStr">
        <is>
          <t>OOS</t>
        </is>
      </c>
      <c r="C426" s="179" t="n">
        <v>888010</v>
      </c>
      <c r="D426" s="179" t="inlineStr">
        <is>
          <t>184-190 Oxford Street &amp; 28/30 Market Place</t>
        </is>
      </c>
      <c r="E426" s="179" t="inlineStr">
        <is>
          <t>5th Floor, 30 Market Place</t>
        </is>
      </c>
      <c r="F426" s="180" t="inlineStr">
        <is>
          <t>Office</t>
        </is>
      </c>
      <c r="G426" s="661" t="n">
        <v>3999</v>
      </c>
      <c r="H426" s="661">
        <f>G426</f>
        <v/>
      </c>
      <c r="I426" s="661" t="n">
        <v>4000</v>
      </c>
      <c r="J426" s="121" t="inlineStr">
        <is>
          <t>Nchain Ltd</t>
        </is>
      </c>
      <c r="K426" s="662" t="n">
        <v>44183</v>
      </c>
      <c r="L426" s="667" t="n">
        <v>46373</v>
      </c>
      <c r="M426" s="662" t="n"/>
      <c r="N426" s="662" t="n"/>
      <c r="O426" s="662" t="n"/>
      <c r="P426" s="661" t="n">
        <v>348163</v>
      </c>
      <c r="Q426" s="661">
        <f>P426</f>
        <v/>
      </c>
      <c r="R426" s="661" t="n"/>
      <c r="S426" s="661" t="n">
        <v>352000</v>
      </c>
      <c r="T426" s="661">
        <f>S426</f>
        <v/>
      </c>
      <c r="U426" s="661" t="n">
        <v>350000</v>
      </c>
      <c r="V426" s="661">
        <f>U426</f>
        <v/>
      </c>
      <c r="W426" s="846">
        <f>U426/G426</f>
        <v/>
      </c>
      <c r="X426" s="847">
        <f>SUM(U426-S426)/S426</f>
        <v/>
      </c>
      <c r="Y426" s="661" t="inlineStr">
        <is>
          <t>B</t>
        </is>
      </c>
      <c r="Z426" s="187" t="n"/>
      <c r="AA426" s="187" t="n"/>
      <c r="AB426" s="848" t="inlineStr">
        <is>
          <t>No</t>
        </is>
      </c>
      <c r="AC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6" s="665" t="n"/>
      <c r="AE426" s="179" t="n"/>
      <c r="AF426" s="323" t="n"/>
      <c r="AG426" s="161" t="n"/>
    </row>
    <row r="427">
      <c r="A427" s="839" t="inlineStr">
        <is>
          <t>CD</t>
        </is>
      </c>
      <c r="B427" s="864" t="inlineStr">
        <is>
          <t>OOS</t>
        </is>
      </c>
      <c r="C427" s="179" t="n">
        <v>888010</v>
      </c>
      <c r="D427" s="179" t="inlineStr">
        <is>
          <t>184-190 Oxford Street &amp; 28/30 Market Place</t>
        </is>
      </c>
      <c r="E427" s="179" t="inlineStr">
        <is>
          <t>6th Floor, 30 Market Place</t>
        </is>
      </c>
      <c r="F427" s="180" t="inlineStr">
        <is>
          <t>Office</t>
        </is>
      </c>
      <c r="G427" s="661" t="n">
        <v>3145</v>
      </c>
      <c r="H427" s="661">
        <f>G427</f>
        <v/>
      </c>
      <c r="I427" s="661" t="n">
        <v>3000</v>
      </c>
      <c r="J427" s="121" t="inlineStr">
        <is>
          <t>Nchain Ltd</t>
        </is>
      </c>
      <c r="K427" s="662" t="n">
        <v>44217</v>
      </c>
      <c r="L427" s="667" t="n">
        <v>46373</v>
      </c>
      <c r="M427" s="662" t="n"/>
      <c r="N427" s="662" t="n"/>
      <c r="O427" s="662" t="n"/>
      <c r="P427" s="661" t="n">
        <v>281873</v>
      </c>
      <c r="Q427" s="661">
        <f>P427</f>
        <v/>
      </c>
      <c r="R427" s="661" t="n"/>
      <c r="S427" s="661" t="n">
        <v>284800</v>
      </c>
      <c r="T427" s="661">
        <f>S427</f>
        <v/>
      </c>
      <c r="U427" s="661" t="n">
        <v>283000</v>
      </c>
      <c r="V427" s="661">
        <f>U427</f>
        <v/>
      </c>
      <c r="W427" s="846">
        <f>U427/G427</f>
        <v/>
      </c>
      <c r="X427" s="847">
        <f>SUM(U427-S427)/S427</f>
        <v/>
      </c>
      <c r="Y427" s="661" t="inlineStr">
        <is>
          <t>B</t>
        </is>
      </c>
      <c r="Z427" s="187" t="n"/>
      <c r="AA427" s="187" t="n"/>
      <c r="AB427" s="848" t="inlineStr">
        <is>
          <t>No</t>
        </is>
      </c>
      <c r="AC427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7" s="665" t="n"/>
      <c r="AE427" s="179" t="n"/>
      <c r="AF427" s="323" t="n"/>
      <c r="AG427" s="179" t="n"/>
    </row>
    <row r="428">
      <c r="A428" s="839" t="inlineStr">
        <is>
          <t>CD</t>
        </is>
      </c>
      <c r="B428" s="864" t="inlineStr">
        <is>
          <t>OOS</t>
        </is>
      </c>
      <c r="C428" s="179" t="n">
        <v>888010</v>
      </c>
      <c r="D428" s="179" t="inlineStr">
        <is>
          <t>184-190 Oxford Street &amp; 28/30 Market Place</t>
        </is>
      </c>
      <c r="E428" s="179" t="inlineStr">
        <is>
          <t>Part Basement</t>
        </is>
      </c>
      <c r="F428" s="180" t="inlineStr">
        <is>
          <t>Sub-Station</t>
        </is>
      </c>
      <c r="G428" s="661" t="n">
        <v>0</v>
      </c>
      <c r="H428" s="661">
        <f>G428</f>
        <v/>
      </c>
      <c r="I428" s="661" t="n"/>
      <c r="J428" s="121" t="inlineStr">
        <is>
          <t>EDF</t>
        </is>
      </c>
      <c r="K428" s="220" t="n">
        <v>20814</v>
      </c>
      <c r="L428" s="220" t="n">
        <v>39073</v>
      </c>
      <c r="M428" s="220" t="n"/>
      <c r="N428" s="662" t="n"/>
      <c r="O428" s="662" t="n"/>
      <c r="P428" s="661" t="n">
        <v>0</v>
      </c>
      <c r="Q428" s="661">
        <f>P428</f>
        <v/>
      </c>
      <c r="R428" s="661" t="n"/>
      <c r="S428" s="661" t="n">
        <v>0</v>
      </c>
      <c r="T428" s="661">
        <f>S428</f>
        <v/>
      </c>
      <c r="U428" s="661" t="n">
        <v>0</v>
      </c>
      <c r="V428" s="661">
        <f>U428</f>
        <v/>
      </c>
      <c r="W428" s="846" t="n"/>
      <c r="X428" s="847" t="n"/>
      <c r="Y428" s="661" t="n"/>
      <c r="Z428" s="187" t="n"/>
      <c r="AA428" s="187" t="n"/>
      <c r="AB428" s="848" t="inlineStr">
        <is>
          <t>Yes</t>
        </is>
      </c>
      <c r="AC428" s="179" t="inlineStr">
        <is>
          <t>New lease in negotiation. £1k max from date of purchase.</t>
        </is>
      </c>
      <c r="AD428" s="665" t="n"/>
      <c r="AE428" s="179" t="n"/>
      <c r="AF428" s="323" t="n"/>
      <c r="AG428" s="179" t="n"/>
    </row>
  </sheetData>
  <autoFilter ref="A2:AG42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2025-12-03T14:56:56Z</dcterms:modified>
  <cp:lastModifiedBy>William Spencer</cp:lastModifiedBy>
  <cp:lastPrinted>2025-06-30T15:43:09Z</cp:lastPrinted>
</cp:coreProperties>
</file>