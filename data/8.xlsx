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  <font>
      <b val="1"/>
      <sz val="12"/>
    </font>
    <font>
      <b val="1"/>
      <i val="1"/>
    </font>
    <font>
      <b val="1"/>
      <sz val="14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0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76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t="inlineStr">
        <is>
          <t>Legacy View - Formula-Based Dynamic Structure</t>
        </is>
      </c>
    </row>
    <row r="2">
      <c r="A2" t="inlineStr">
        <is>
          <t>(Auto-updates when Units sheet changes - no VBA required)</t>
        </is>
      </c>
    </row>
    <row r="3">
      <c r="A3" t="inlineStr">
        <is>
          <t>Uses Excel formulas to dynamically group and sum by building</t>
        </is>
      </c>
    </row>
    <row r="4"/>
    <row r="5">
      <c r="A5" s="866" t="inlineStr">
        <is>
          <t>Building</t>
        </is>
      </c>
      <c r="B5" s="866" t="inlineStr">
        <is>
          <t>Unit Count</t>
        </is>
      </c>
      <c r="C5" s="866" t="inlineStr">
        <is>
          <t>Net Area Total</t>
        </is>
      </c>
      <c r="D5" s="866" t="inlineStr">
        <is>
          <t>Rent PA Total</t>
        </is>
      </c>
      <c r="E5" s="866" t="inlineStr">
        <is>
          <t>ERV 2024 Total</t>
        </is>
      </c>
    </row>
    <row r="6"/>
    <row r="7">
      <c r="A7" s="866" t="inlineStr">
        <is>
          <t>FORMULA-BASED APPROACH:</t>
        </is>
      </c>
    </row>
    <row r="8">
      <c r="A8" t="inlineStr"/>
    </row>
    <row r="9">
      <c r="A9" t="inlineStr">
        <is>
          <t>This approach uses Excel formulas to create dynamic summaries</t>
        </is>
      </c>
    </row>
    <row r="10">
      <c r="A10" t="inlineStr">
        <is>
          <t>that automatically update when the Units sheet changes.</t>
        </is>
      </c>
    </row>
    <row r="11">
      <c r="A11" t="inlineStr"/>
    </row>
    <row r="12">
      <c r="A12" s="866" t="inlineStr">
        <is>
          <t>Benefits:</t>
        </is>
      </c>
    </row>
    <row r="13">
      <c r="A13" t="inlineStr">
        <is>
          <t>• No VBA required</t>
        </is>
      </c>
    </row>
    <row r="14">
      <c r="A14" t="inlineStr">
        <is>
          <t>• Automatic updates</t>
        </is>
      </c>
    </row>
    <row r="15">
      <c r="A15" t="inlineStr">
        <is>
          <t>• Compatible with all Excel versions</t>
        </is>
      </c>
    </row>
    <row r="16">
      <c r="A16" t="inlineStr"/>
    </row>
    <row r="17">
      <c r="A17" s="866" t="inlineStr">
        <is>
          <t>Each building summary uses SUMIF formulas like:</t>
        </is>
      </c>
    </row>
    <row r="18">
      <c r="A18">
        <f>SUMIF(Units.A:A,"Building Name",Units.C:C)</f>
        <v/>
      </c>
    </row>
    <row r="19">
      <c r="A19" t="inlineStr"/>
    </row>
    <row r="20">
      <c r="A20" t="inlineStr">
        <is>
          <t>To add new buildings, copy formula rows and change building name.</t>
        </is>
      </c>
    </row>
    <row r="21"/>
    <row r="22"/>
    <row r="23">
      <c r="A23" s="869" t="inlineStr">
        <is>
          <t>Building Summary (Formula-Based)</t>
        </is>
      </c>
    </row>
    <row r="24"/>
    <row r="25">
      <c r="A25" s="866" t="inlineStr">
        <is>
          <t>Building</t>
        </is>
      </c>
      <c r="B25" s="866" t="inlineStr">
        <is>
          <t>Unit Count</t>
        </is>
      </c>
      <c r="C25" s="866" t="inlineStr">
        <is>
          <t>Total Net Area</t>
        </is>
      </c>
      <c r="D25" s="866" t="inlineStr">
        <is>
          <t>Total Rent PA</t>
        </is>
      </c>
      <c r="E25" s="866" t="inlineStr">
        <is>
          <t>Total ERV 2024</t>
        </is>
      </c>
    </row>
    <row r="26">
      <c r="A26" t="inlineStr">
        <is>
          <t>1 Great Titchfield Street</t>
        </is>
      </c>
      <c r="B26">
        <f>COUNTIF(Units.A:A,"1 Great Titchfield Street")</f>
        <v/>
      </c>
      <c r="C26">
        <f>SUMIF(Units.A:A,"1 Great Titchfield Street",Units.I:I)</f>
        <v/>
      </c>
      <c r="D26">
        <f>SUMIF(Units.A:A,"1 Great Titchfield Street",Units.R:R)</f>
        <v/>
      </c>
      <c r="E26">
        <f>SUMIF(Units.A:A,"1 Great Titchfield Street",Units.Y:Y)</f>
        <v/>
      </c>
    </row>
    <row r="27">
      <c r="A27" t="inlineStr">
        <is>
          <t>10 Great Castle Street</t>
        </is>
      </c>
      <c r="B27">
        <f>COUNTIF(Units.A:A,"10 Great Castle Street")</f>
        <v/>
      </c>
      <c r="C27">
        <f>SUMIF(Units.A:A,"10 Great Castle Street",Units.I:I)</f>
        <v/>
      </c>
      <c r="D27">
        <f>SUMIF(Units.A:A,"10 Great Castle Street",Units.R:R)</f>
        <v/>
      </c>
      <c r="E27">
        <f>SUMIF(Units.A:A,"10 Great Castle Street",Units.Y:Y)</f>
        <v/>
      </c>
    </row>
    <row r="28">
      <c r="A28" t="inlineStr">
        <is>
          <t>10 Margaret Street</t>
        </is>
      </c>
      <c r="B28">
        <f>COUNTIF(Units.A:A,"10 Margaret Street")</f>
        <v/>
      </c>
      <c r="C28">
        <f>SUMIF(Units.A:A,"10 Margaret Street",Units.I:I)</f>
        <v/>
      </c>
      <c r="D28">
        <f>SUMIF(Units.A:A,"10 Margaret Street",Units.R:R)</f>
        <v/>
      </c>
      <c r="E28">
        <f>SUMIF(Units.A:A,"10 Margaret Street",Units.Y:Y)</f>
        <v/>
      </c>
    </row>
    <row r="29">
      <c r="A29" t="inlineStr">
        <is>
          <t>11-13 Market Place</t>
        </is>
      </c>
      <c r="B29">
        <f>COUNTIF(Units.A:A,"11-13 Market Place")</f>
        <v/>
      </c>
      <c r="C29">
        <f>SUMIF(Units.A:A,"11-13 Market Place",Units.I:I)</f>
        <v/>
      </c>
      <c r="D29">
        <f>SUMIF(Units.A:A,"11-13 Market Place",Units.R:R)</f>
        <v/>
      </c>
      <c r="E29">
        <f>SUMIF(Units.A:A,"11-13 Market Place",Units.Y:Y)</f>
        <v/>
      </c>
    </row>
    <row r="30">
      <c r="A30" t="inlineStr">
        <is>
          <t>12 Hallam Street (The Hallam Hotel)</t>
        </is>
      </c>
      <c r="B30">
        <f>COUNTIF(Units.A:A,"12 Hallam Street (The Hallam Hotel)")</f>
        <v/>
      </c>
      <c r="C30">
        <f>SUMIF(Units.A:A,"12 Hallam Street (The Hallam Hotel)",Units.I:I)</f>
        <v/>
      </c>
      <c r="D30">
        <f>SUMIF(Units.A:A,"12 Hallam Street (The Hallam Hotel)",Units.R:R)</f>
        <v/>
      </c>
      <c r="E30">
        <f>SUMIF(Units.A:A,"12 Hallam Street (The Hallam Hotel)",Units.Y:Y)</f>
        <v/>
      </c>
    </row>
    <row r="31">
      <c r="A31" t="inlineStr">
        <is>
          <t>13-14 Margaret Street</t>
        </is>
      </c>
      <c r="B31">
        <f>COUNTIF(Units.A:A,"13-14 Margaret Street")</f>
        <v/>
      </c>
      <c r="C31">
        <f>SUMIF(Units.A:A,"13-14 Margaret Street",Units.I:I)</f>
        <v/>
      </c>
      <c r="D31">
        <f>SUMIF(Units.A:A,"13-14 Margaret Street",Units.R:R)</f>
        <v/>
      </c>
      <c r="E31">
        <f>SUMIF(Units.A:A,"13-14 Margaret Street",Units.Y:Y)</f>
        <v/>
      </c>
    </row>
    <row r="32">
      <c r="A32" t="inlineStr">
        <is>
          <t>142-144 Oxford Street</t>
        </is>
      </c>
      <c r="B32">
        <f>COUNTIF(Units.A:A,"142-144 Oxford Street")</f>
        <v/>
      </c>
      <c r="C32">
        <f>SUMIF(Units.A:A,"142-144 Oxford Street",Units.I:I)</f>
        <v/>
      </c>
      <c r="D32">
        <f>SUMIF(Units.A:A,"142-144 Oxford Street",Units.R:R)</f>
        <v/>
      </c>
      <c r="E32">
        <f>SUMIF(Units.A:A,"142-144 Oxford Street",Units.Y:Y)</f>
        <v/>
      </c>
    </row>
    <row r="33">
      <c r="A33" t="inlineStr">
        <is>
          <t>146/148 Oxford Street</t>
        </is>
      </c>
      <c r="B33">
        <f>COUNTIF(Units.A:A,"146/148 Oxford Street")</f>
        <v/>
      </c>
      <c r="C33">
        <f>SUMIF(Units.A:A,"146/148 Oxford Street",Units.I:I)</f>
        <v/>
      </c>
      <c r="D33">
        <f>SUMIF(Units.A:A,"146/148 Oxford Street",Units.R:R)</f>
        <v/>
      </c>
      <c r="E33">
        <f>SUMIF(Units.A:A,"146/148 Oxford Street",Units.Y:Y)</f>
        <v/>
      </c>
    </row>
    <row r="34">
      <c r="A34" t="inlineStr">
        <is>
          <t>15-16 Margaret Street</t>
        </is>
      </c>
      <c r="B34">
        <f>COUNTIF(Units.A:A,"15-16 Margaret Street")</f>
        <v/>
      </c>
      <c r="C34">
        <f>SUMIF(Units.A:A,"15-16 Margaret Street",Units.I:I)</f>
        <v/>
      </c>
      <c r="D34">
        <f>SUMIF(Units.A:A,"15-16 Margaret Street",Units.R:R)</f>
        <v/>
      </c>
      <c r="E34">
        <f>SUMIF(Units.A:A,"15-16 Margaret Street",Units.Y:Y)</f>
        <v/>
      </c>
    </row>
    <row r="35">
      <c r="A35" t="inlineStr">
        <is>
          <t>15-17 Great Portland Street &amp; 6-7 Great Castle Street</t>
        </is>
      </c>
      <c r="B35">
        <f>COUNTIF(Units.A:A,"15-17 Great Portland Street &amp; 6-7 Great Castle Street")</f>
        <v/>
      </c>
      <c r="C35">
        <f>SUMIF(Units.A:A,"15-17 Great Portland Street &amp; 6-7 Great Castle Street",Units.I:I)</f>
        <v/>
      </c>
      <c r="D35">
        <f>SUMIF(Units.A:A,"15-17 Great Portland Street &amp; 6-7 Great Castle Street",Units.R:R)</f>
        <v/>
      </c>
      <c r="E35">
        <f>SUMIF(Units.A:A,"15-17 Great Portland Street &amp; 6-7 Great Castle Street",Units.Y:Y)</f>
        <v/>
      </c>
    </row>
    <row r="36">
      <c r="A36" t="inlineStr">
        <is>
          <t>150/154 Oxford Street</t>
        </is>
      </c>
      <c r="B36">
        <f>COUNTIF(Units.A:A,"150/154 Oxford Street")</f>
        <v/>
      </c>
      <c r="C36">
        <f>SUMIF(Units.A:A,"150/154 Oxford Street",Units.I:I)</f>
        <v/>
      </c>
      <c r="D36">
        <f>SUMIF(Units.A:A,"150/154 Oxford Street",Units.R:R)</f>
        <v/>
      </c>
      <c r="E36">
        <f>SUMIF(Units.A:A,"150/154 Oxford Street",Units.Y:Y)</f>
        <v/>
      </c>
    </row>
    <row r="37">
      <c r="A37" t="inlineStr">
        <is>
          <t>16-20 Hallam Street  (Astor Court Hotel)</t>
        </is>
      </c>
      <c r="B37">
        <f>COUNTIF(Units.A:A,"16-20 Hallam Street  (Astor Court Hotel)")</f>
        <v/>
      </c>
      <c r="C37">
        <f>SUMIF(Units.A:A,"16-20 Hallam Street  (Astor Court Hotel)",Units.I:I)</f>
        <v/>
      </c>
      <c r="D37">
        <f>SUMIF(Units.A:A,"16-20 Hallam Street  (Astor Court Hotel)",Units.R:R)</f>
        <v/>
      </c>
      <c r="E37">
        <f>SUMIF(Units.A:A,"16-20 Hallam Street  (Astor Court Hotel)",Units.Y:Y)</f>
        <v/>
      </c>
    </row>
    <row r="38">
      <c r="A38" t="inlineStr">
        <is>
          <t>17-18 Margaret Street</t>
        </is>
      </c>
      <c r="B38">
        <f>COUNTIF(Units.A:A,"17-18 Margaret Street")</f>
        <v/>
      </c>
      <c r="C38">
        <f>SUMIF(Units.A:A,"17-18 Margaret Street",Units.I:I)</f>
        <v/>
      </c>
      <c r="D38">
        <f>SUMIF(Units.A:A,"17-18 Margaret Street",Units.R:R)</f>
        <v/>
      </c>
      <c r="E38">
        <f>SUMIF(Units.A:A,"17-18 Margaret Street",Units.Y:Y)</f>
        <v/>
      </c>
    </row>
    <row r="39">
      <c r="A39" t="inlineStr">
        <is>
          <t>184-190 Oxford Street &amp; 28/30 Market Place</t>
        </is>
      </c>
      <c r="B39">
        <f>COUNTIF(Units.A:A,"184-190 Oxford Street &amp; 28/30 Market Place")</f>
        <v/>
      </c>
      <c r="C39">
        <f>SUMIF(Units.A:A,"184-190 Oxford Street &amp; 28/30 Market Place",Units.I:I)</f>
        <v/>
      </c>
      <c r="D39">
        <f>SUMIF(Units.A:A,"184-190 Oxford Street &amp; 28/30 Market Place",Units.R:R)</f>
        <v/>
      </c>
      <c r="E39">
        <f>SUMIF(Units.A:A,"184-190 Oxford Street &amp; 28/30 Market Place",Units.Y:Y)</f>
        <v/>
      </c>
    </row>
    <row r="40">
      <c r="A40" t="inlineStr">
        <is>
          <t>19 Margaret Street</t>
        </is>
      </c>
      <c r="B40">
        <f>COUNTIF(Units.A:A,"19 Margaret Street")</f>
        <v/>
      </c>
      <c r="C40">
        <f>SUMIF(Units.A:A,"19 Margaret Street",Units.I:I)</f>
        <v/>
      </c>
      <c r="D40">
        <f>SUMIF(Units.A:A,"19 Margaret Street",Units.R:R)</f>
        <v/>
      </c>
      <c r="E40">
        <f>SUMIF(Units.A:A,"19 Margaret Street",Units.Y:Y)</f>
        <v/>
      </c>
    </row>
    <row r="41">
      <c r="A41" t="inlineStr">
        <is>
          <t>19-21 Great Portland Street</t>
        </is>
      </c>
      <c r="B41">
        <f>COUNTIF(Units.A:A,"19-21 Great Portland Street")</f>
        <v/>
      </c>
      <c r="C41">
        <f>SUMIF(Units.A:A,"19-21 Great Portland Street",Units.I:I)</f>
        <v/>
      </c>
      <c r="D41">
        <f>SUMIF(Units.A:A,"19-21 Great Portland Street",Units.R:R)</f>
        <v/>
      </c>
      <c r="E41">
        <f>SUMIF(Units.A:A,"19-21 Great Portland Street",Units.Y:Y)</f>
        <v/>
      </c>
    </row>
    <row r="42">
      <c r="A42" t="inlineStr">
        <is>
          <t>20 Great Portland Street</t>
        </is>
      </c>
      <c r="B42">
        <f>COUNTIF(Units.A:A,"20 Great Portland Street")</f>
        <v/>
      </c>
      <c r="C42">
        <f>SUMIF(Units.A:A,"20 Great Portland Street",Units.I:I)</f>
        <v/>
      </c>
      <c r="D42">
        <f>SUMIF(Units.A:A,"20 Great Portland Street",Units.R:R)</f>
        <v/>
      </c>
      <c r="E42">
        <f>SUMIF(Units.A:A,"20 Great Portland Street",Units.Y:Y)</f>
        <v/>
      </c>
    </row>
    <row r="43">
      <c r="A43" t="inlineStr">
        <is>
          <t>20 Margaret Street</t>
        </is>
      </c>
      <c r="B43">
        <f>COUNTIF(Units.A:A,"20 Margaret Street")</f>
        <v/>
      </c>
      <c r="C43">
        <f>SUMIF(Units.A:A,"20 Margaret Street",Units.I:I)</f>
        <v/>
      </c>
      <c r="D43">
        <f>SUMIF(Units.A:A,"20 Margaret Street",Units.R:R)</f>
        <v/>
      </c>
      <c r="E43">
        <f>SUMIF(Units.A:A,"20 Margaret Street",Units.Y:Y)</f>
        <v/>
      </c>
    </row>
    <row r="44">
      <c r="A44" t="inlineStr">
        <is>
          <t>21 Little Portland Street</t>
        </is>
      </c>
      <c r="B44">
        <f>COUNTIF(Units.A:A,"21 Little Portland Street")</f>
        <v/>
      </c>
      <c r="C44">
        <f>SUMIF(Units.A:A,"21 Little Portland Street",Units.I:I)</f>
        <v/>
      </c>
      <c r="D44">
        <f>SUMIF(Units.A:A,"21 Little Portland Street",Units.R:R)</f>
        <v/>
      </c>
      <c r="E44">
        <f>SUMIF(Units.A:A,"21 Little Portland Street",Units.Y:Y)</f>
        <v/>
      </c>
    </row>
    <row r="45">
      <c r="A45" t="inlineStr">
        <is>
          <t>22 Little Portland Street (formerly 22-23 LPS)</t>
        </is>
      </c>
      <c r="B45">
        <f>COUNTIF(Units.A:A,"22 Little Portland Street (formerly 22-23 LPS)")</f>
        <v/>
      </c>
      <c r="C45">
        <f>SUMIF(Units.A:A,"22 Little Portland Street (formerly 22-23 LPS)",Units.I:I)</f>
        <v/>
      </c>
      <c r="D45">
        <f>SUMIF(Units.A:A,"22 Little Portland Street (formerly 22-23 LPS)",Units.R:R)</f>
        <v/>
      </c>
      <c r="E45">
        <f>SUMIF(Units.A:A,"22 Little Portland Street (formerly 22-23 LPS)",Units.Y:Y)</f>
        <v/>
      </c>
    </row>
    <row r="46">
      <c r="A46" t="inlineStr">
        <is>
          <t>22 and 23-25 Eastcastle Street</t>
        </is>
      </c>
      <c r="B46">
        <f>COUNTIF(Units.A:A,"22 and 23-25 Eastcastle Street")</f>
        <v/>
      </c>
      <c r="C46">
        <f>SUMIF(Units.A:A,"22 and 23-25 Eastcastle Street",Units.I:I)</f>
        <v/>
      </c>
      <c r="D46">
        <f>SUMIF(Units.A:A,"22 and 23-25 Eastcastle Street",Units.R:R)</f>
        <v/>
      </c>
      <c r="E46">
        <f>SUMIF(Units.A:A,"22 and 23-25 Eastcastle Street",Units.Y:Y)</f>
        <v/>
      </c>
    </row>
    <row r="47">
      <c r="A47" t="inlineStr">
        <is>
          <t>23-25 Great Portland Street &amp; 54-55 Margaret Street</t>
        </is>
      </c>
      <c r="B47">
        <f>COUNTIF(Units.A:A,"23-25 Great Portland Street &amp; 54-55 Margaret Street")</f>
        <v/>
      </c>
      <c r="C47">
        <f>SUMIF(Units.A:A,"23-25 Great Portland Street &amp; 54-55 Margaret Street",Units.I:I)</f>
        <v/>
      </c>
      <c r="D47">
        <f>SUMIF(Units.A:A,"23-25 Great Portland Street &amp; 54-55 Margaret Street",Units.R:R)</f>
        <v/>
      </c>
      <c r="E47">
        <f>SUMIF(Units.A:A,"23-25 Great Portland Street &amp; 54-55 Margaret Street",Units.Y:Y)</f>
        <v/>
      </c>
    </row>
    <row r="48">
      <c r="A48" t="inlineStr">
        <is>
          <t>25 Margaret Street</t>
        </is>
      </c>
      <c r="B48">
        <f>COUNTIF(Units.A:A,"25 Margaret Street")</f>
        <v/>
      </c>
      <c r="C48">
        <f>SUMIF(Units.A:A,"25 Margaret Street",Units.I:I)</f>
        <v/>
      </c>
      <c r="D48">
        <f>SUMIF(Units.A:A,"25 Margaret Street",Units.R:R)</f>
        <v/>
      </c>
      <c r="E48">
        <f>SUMIF(Units.A:A,"25 Margaret Street",Units.Y:Y)</f>
        <v/>
      </c>
    </row>
    <row r="49">
      <c r="A49" t="inlineStr">
        <is>
          <t>26 Eastcastle Street</t>
        </is>
      </c>
      <c r="B49">
        <f>COUNTIF(Units.A:A,"26 Eastcastle Street")</f>
        <v/>
      </c>
      <c r="C49">
        <f>SUMIF(Units.A:A,"26 Eastcastle Street",Units.I:I)</f>
        <v/>
      </c>
      <c r="D49">
        <f>SUMIF(Units.A:A,"26 Eastcastle Street",Units.R:R)</f>
        <v/>
      </c>
      <c r="E49">
        <f>SUMIF(Units.A:A,"26 Eastcastle Street",Units.Y:Y)</f>
        <v/>
      </c>
    </row>
    <row r="50">
      <c r="A50" t="inlineStr">
        <is>
          <t>27 - 28 Eastcastle Street</t>
        </is>
      </c>
      <c r="B50">
        <f>COUNTIF(Units.A:A,"27 - 28 Eastcastle Street")</f>
        <v/>
      </c>
      <c r="C50">
        <f>SUMIF(Units.A:A,"27 - 28 Eastcastle Street",Units.I:I)</f>
        <v/>
      </c>
      <c r="D50">
        <f>SUMIF(Units.A:A,"27 - 28 Eastcastle Street",Units.R:R)</f>
        <v/>
      </c>
      <c r="E50">
        <f>SUMIF(Units.A:A,"27 - 28 Eastcastle Street",Units.Y:Y)</f>
        <v/>
      </c>
    </row>
    <row r="51">
      <c r="A51" t="inlineStr">
        <is>
          <t>3 Great Titchfield Street</t>
        </is>
      </c>
      <c r="B51">
        <f>COUNTIF(Units.A:A,"3 Great Titchfield Street")</f>
        <v/>
      </c>
      <c r="C51">
        <f>SUMIF(Units.A:A,"3 Great Titchfield Street",Units.I:I)</f>
        <v/>
      </c>
      <c r="D51">
        <f>SUMIF(Units.A:A,"3 Great Titchfield Street",Units.R:R)</f>
        <v/>
      </c>
      <c r="E51">
        <f>SUMIF(Units.A:A,"3 Great Titchfield Street",Units.Y:Y)</f>
        <v/>
      </c>
    </row>
    <row r="52">
      <c r="A52" t="inlineStr">
        <is>
          <t>3/4/4a Little Portland Street</t>
        </is>
      </c>
      <c r="B52">
        <f>COUNTIF(Units.A:A,"3/4/4a Little Portland Street")</f>
        <v/>
      </c>
      <c r="C52">
        <f>SUMIF(Units.A:A,"3/4/4a Little Portland Street",Units.I:I)</f>
        <v/>
      </c>
      <c r="D52">
        <f>SUMIF(Units.A:A,"3/4/4a Little Portland Street",Units.R:R)</f>
        <v/>
      </c>
      <c r="E52">
        <f>SUMIF(Units.A:A,"3/4/4a Little Portland Street",Units.Y:Y)</f>
        <v/>
      </c>
    </row>
    <row r="53">
      <c r="A53" t="inlineStr">
        <is>
          <t>32-36 Great Portland Street</t>
        </is>
      </c>
      <c r="B53">
        <f>COUNTIF(Units.A:A,"32-36 Great Portland Street")</f>
        <v/>
      </c>
      <c r="C53">
        <f>SUMIF(Units.A:A,"32-36 Great Portland Street",Units.I:I)</f>
        <v/>
      </c>
      <c r="D53">
        <f>SUMIF(Units.A:A,"32-36 Great Portland Street",Units.R:R)</f>
        <v/>
      </c>
      <c r="E53">
        <f>SUMIF(Units.A:A,"32-36 Great Portland Street",Units.Y:Y)</f>
        <v/>
      </c>
    </row>
    <row r="54">
      <c r="A54" t="inlineStr">
        <is>
          <t>33 Eastcastle Street</t>
        </is>
      </c>
      <c r="B54">
        <f>COUNTIF(Units.A:A,"33 Eastcastle Street")</f>
        <v/>
      </c>
      <c r="C54">
        <f>SUMIF(Units.A:A,"33 Eastcastle Street",Units.I:I)</f>
        <v/>
      </c>
      <c r="D54">
        <f>SUMIF(Units.A:A,"33 Eastcastle Street",Units.R:R)</f>
        <v/>
      </c>
      <c r="E54">
        <f>SUMIF(Units.A:A,"33 Eastcastle Street",Units.Y:Y)</f>
        <v/>
      </c>
    </row>
    <row r="55">
      <c r="A55" t="inlineStr">
        <is>
          <t>39 Great Portland Street</t>
        </is>
      </c>
      <c r="B55">
        <f>COUNTIF(Units.A:A,"39 Great Portland Street")</f>
        <v/>
      </c>
      <c r="C55">
        <f>SUMIF(Units.A:A,"39 Great Portland Street",Units.I:I)</f>
        <v/>
      </c>
      <c r="D55">
        <f>SUMIF(Units.A:A,"39 Great Portland Street",Units.R:R)</f>
        <v/>
      </c>
      <c r="E55">
        <f>SUMIF(Units.A:A,"39 Great Portland Street",Units.Y:Y)</f>
        <v/>
      </c>
    </row>
    <row r="56">
      <c r="A56" t="inlineStr">
        <is>
          <t>4 Market Place</t>
        </is>
      </c>
      <c r="B56">
        <f>COUNTIF(Units.A:A,"4 Market Place")</f>
        <v/>
      </c>
      <c r="C56">
        <f>SUMIF(Units.A:A,"4 Market Place",Units.I:I)</f>
        <v/>
      </c>
      <c r="D56">
        <f>SUMIF(Units.A:A,"4 Market Place",Units.R:R)</f>
        <v/>
      </c>
      <c r="E56">
        <f>SUMIF(Units.A:A,"4 Market Place",Units.Y:Y)</f>
        <v/>
      </c>
    </row>
    <row r="57">
      <c r="A57" t="inlineStr">
        <is>
          <t>41 Great Portland Street</t>
        </is>
      </c>
      <c r="B57">
        <f>COUNTIF(Units.A:A,"41 Great Portland Street")</f>
        <v/>
      </c>
      <c r="C57">
        <f>SUMIF(Units.A:A,"41 Great Portland Street",Units.I:I)</f>
        <v/>
      </c>
      <c r="D57">
        <f>SUMIF(Units.A:A,"41 Great Portland Street",Units.R:R)</f>
        <v/>
      </c>
      <c r="E57">
        <f>SUMIF(Units.A:A,"41 Great Portland Street",Units.Y:Y)</f>
        <v/>
      </c>
    </row>
    <row r="58">
      <c r="A58" t="inlineStr">
        <is>
          <t>42-48 Great Portland Street</t>
        </is>
      </c>
      <c r="B58">
        <f>COUNTIF(Units.A:A,"42-48 Great Portland Street")</f>
        <v/>
      </c>
      <c r="C58">
        <f>SUMIF(Units.A:A,"42-48 Great Portland Street",Units.I:I)</f>
        <v/>
      </c>
      <c r="D58">
        <f>SUMIF(Units.A:A,"42-48 Great Portland Street",Units.R:R)</f>
        <v/>
      </c>
      <c r="E58">
        <f>SUMIF(Units.A:A,"42-48 Great Portland Street",Units.Y:Y)</f>
        <v/>
      </c>
    </row>
    <row r="59">
      <c r="A59" t="inlineStr">
        <is>
          <t>45-49 Great Portland Street</t>
        </is>
      </c>
      <c r="B59">
        <f>COUNTIF(Units.A:A,"45-49 Great Portland Street")</f>
        <v/>
      </c>
      <c r="C59">
        <f>SUMIF(Units.A:A,"45-49 Great Portland Street",Units.I:I)</f>
        <v/>
      </c>
      <c r="D59">
        <f>SUMIF(Units.A:A,"45-49 Great Portland Street",Units.R:R)</f>
        <v/>
      </c>
      <c r="E59">
        <f>SUMIF(Units.A:A,"45-49 Great Portland Street",Units.Y:Y)</f>
        <v/>
      </c>
    </row>
    <row r="60">
      <c r="A60" t="inlineStr">
        <is>
          <t>47,48 &amp; 50 Margaret Street</t>
        </is>
      </c>
      <c r="B60">
        <f>COUNTIF(Units.A:A,"47,48 &amp; 50 Margaret Street")</f>
        <v/>
      </c>
      <c r="C60">
        <f>SUMIF(Units.A:A,"47,48 &amp; 50 Margaret Street",Units.I:I)</f>
        <v/>
      </c>
      <c r="D60">
        <f>SUMIF(Units.A:A,"47,48 &amp; 50 Margaret Street",Units.R:R)</f>
        <v/>
      </c>
      <c r="E60">
        <f>SUMIF(Units.A:A,"47,48 &amp; 50 Margaret Street",Units.Y:Y)</f>
        <v/>
      </c>
    </row>
    <row r="61">
      <c r="A61" t="inlineStr">
        <is>
          <t>5 Little Portland Street</t>
        </is>
      </c>
      <c r="B61">
        <f>COUNTIF(Units.A:A,"5 Little Portland Street")</f>
        <v/>
      </c>
      <c r="C61">
        <f>SUMIF(Units.A:A,"5 Little Portland Street",Units.I:I)</f>
        <v/>
      </c>
      <c r="D61">
        <f>SUMIF(Units.A:A,"5 Little Portland Street",Units.R:R)</f>
        <v/>
      </c>
      <c r="E61">
        <f>SUMIF(Units.A:A,"5 Little Portland Street",Units.Y:Y)</f>
        <v/>
      </c>
    </row>
    <row r="62">
      <c r="A62" t="inlineStr">
        <is>
          <t>5 Margaret Street</t>
        </is>
      </c>
      <c r="B62">
        <f>COUNTIF(Units.A:A,"5 Margaret Street")</f>
        <v/>
      </c>
      <c r="C62">
        <f>SUMIF(Units.A:A,"5 Margaret Street",Units.I:I)</f>
        <v/>
      </c>
      <c r="D62">
        <f>SUMIF(Units.A:A,"5 Margaret Street",Units.R:R)</f>
        <v/>
      </c>
      <c r="E62">
        <f>SUMIF(Units.A:A,"5 Margaret Street",Units.Y:Y)</f>
        <v/>
      </c>
    </row>
    <row r="63">
      <c r="A63" t="inlineStr">
        <is>
          <t>5-6 Bywell Place</t>
        </is>
      </c>
      <c r="B63">
        <f>COUNTIF(Units.A:A,"5-6 Bywell Place")</f>
        <v/>
      </c>
      <c r="C63">
        <f>SUMIF(Units.A:A,"5-6 Bywell Place",Units.I:I)</f>
        <v/>
      </c>
      <c r="D63">
        <f>SUMIF(Units.A:A,"5-6 Bywell Place",Units.R:R)</f>
        <v/>
      </c>
      <c r="E63">
        <f>SUMIF(Units.A:A,"5-6 Bywell Place",Units.Y:Y)</f>
        <v/>
      </c>
    </row>
    <row r="64">
      <c r="A64" t="inlineStr">
        <is>
          <t>50 Eastcastle Street</t>
        </is>
      </c>
      <c r="B64">
        <f>COUNTIF(Units.A:A,"50 Eastcastle Street")</f>
        <v/>
      </c>
      <c r="C64">
        <f>SUMIF(Units.A:A,"50 Eastcastle Street",Units.I:I)</f>
        <v/>
      </c>
      <c r="D64">
        <f>SUMIF(Units.A:A,"50 Eastcastle Street",Units.R:R)</f>
        <v/>
      </c>
      <c r="E64">
        <f>SUMIF(Units.A:A,"50 Eastcastle Street",Units.Y:Y)</f>
        <v/>
      </c>
    </row>
    <row r="65">
      <c r="A65" t="inlineStr">
        <is>
          <t>50 Great Portland Street</t>
        </is>
      </c>
      <c r="B65">
        <f>COUNTIF(Units.A:A,"50 Great Portland Street")</f>
        <v/>
      </c>
      <c r="C65">
        <f>SUMIF(Units.A:A,"50 Great Portland Street",Units.I:I)</f>
        <v/>
      </c>
      <c r="D65">
        <f>SUMIF(Units.A:A,"50 Great Portland Street",Units.R:R)</f>
        <v/>
      </c>
      <c r="E65">
        <f>SUMIF(Units.A:A,"50 Great Portland Street",Units.Y:Y)</f>
        <v/>
      </c>
    </row>
    <row r="66">
      <c r="A66" t="inlineStr">
        <is>
          <t>51 Great Portland Street</t>
        </is>
      </c>
      <c r="B66">
        <f>COUNTIF(Units.A:A,"51 Great Portland Street")</f>
        <v/>
      </c>
      <c r="C66">
        <f>SUMIF(Units.A:A,"51 Great Portland Street",Units.I:I)</f>
        <v/>
      </c>
      <c r="D66">
        <f>SUMIF(Units.A:A,"51 Great Portland Street",Units.R:R)</f>
        <v/>
      </c>
      <c r="E66">
        <f>SUMIF(Units.A:A,"51 Great Portland Street",Units.Y:Y)</f>
        <v/>
      </c>
    </row>
    <row r="67">
      <c r="A67" t="inlineStr">
        <is>
          <t>51-53 Margaret Street</t>
        </is>
      </c>
      <c r="B67">
        <f>COUNTIF(Units.A:A,"51-53 Margaret Street")</f>
        <v/>
      </c>
      <c r="C67">
        <f>SUMIF(Units.A:A,"51-53 Margaret Street",Units.I:I)</f>
        <v/>
      </c>
      <c r="D67">
        <f>SUMIF(Units.A:A,"51-53 Margaret Street",Units.R:R)</f>
        <v/>
      </c>
      <c r="E67">
        <f>SUMIF(Units.A:A,"51-53 Margaret Street",Units.Y:Y)</f>
        <v/>
      </c>
    </row>
    <row r="68">
      <c r="A68" t="inlineStr">
        <is>
          <t>53 Great Portland Street</t>
        </is>
      </c>
      <c r="B68">
        <f>COUNTIF(Units.A:A,"53 Great Portland Street")</f>
        <v/>
      </c>
      <c r="C68">
        <f>SUMIF(Units.A:A,"53 Great Portland Street",Units.I:I)</f>
        <v/>
      </c>
      <c r="D68">
        <f>SUMIF(Units.A:A,"53 Great Portland Street",Units.R:R)</f>
        <v/>
      </c>
      <c r="E68">
        <f>SUMIF(Units.A:A,"53 Great Portland Street",Units.Y:Y)</f>
        <v/>
      </c>
    </row>
    <row r="69">
      <c r="A69" t="inlineStr">
        <is>
          <t>53 Wells Street</t>
        </is>
      </c>
      <c r="B69">
        <f>COUNTIF(Units.A:A,"53 Wells Street")</f>
        <v/>
      </c>
      <c r="C69">
        <f>SUMIF(Units.A:A,"53 Wells Street",Units.I:I)</f>
        <v/>
      </c>
      <c r="D69">
        <f>SUMIF(Units.A:A,"53 Wells Street",Units.R:R)</f>
        <v/>
      </c>
      <c r="E69">
        <f>SUMIF(Units.A:A,"53 Wells Street",Units.Y:Y)</f>
        <v/>
      </c>
    </row>
    <row r="70">
      <c r="A70" t="inlineStr">
        <is>
          <t>56 Great Titchfield Street</t>
        </is>
      </c>
      <c r="B70">
        <f>COUNTIF(Units.A:A,"56 Great Titchfield Street")</f>
        <v/>
      </c>
      <c r="C70">
        <f>SUMIF(Units.A:A,"56 Great Titchfield Street",Units.I:I)</f>
        <v/>
      </c>
      <c r="D70">
        <f>SUMIF(Units.A:A,"56 Great Titchfield Street",Units.R:R)</f>
        <v/>
      </c>
      <c r="E70">
        <f>SUMIF(Units.A:A,"56 Great Titchfield Street",Units.Y:Y)</f>
        <v/>
      </c>
    </row>
    <row r="71">
      <c r="A71" t="inlineStr">
        <is>
          <t>58 Great Titchfield Street</t>
        </is>
      </c>
      <c r="B71">
        <f>COUNTIF(Units.A:A,"58 Great Titchfield Street")</f>
        <v/>
      </c>
      <c r="C71">
        <f>SUMIF(Units.A:A,"58 Great Titchfield Street",Units.I:I)</f>
        <v/>
      </c>
      <c r="D71">
        <f>SUMIF(Units.A:A,"58 Great Titchfield Street",Units.R:R)</f>
        <v/>
      </c>
      <c r="E71">
        <f>SUMIF(Units.A:A,"58 Great Titchfield Street",Units.Y:Y)</f>
        <v/>
      </c>
    </row>
    <row r="72">
      <c r="A72" t="inlineStr">
        <is>
          <t>6-10a Great Portland Street</t>
        </is>
      </c>
      <c r="B72">
        <f>COUNTIF(Units.A:A,"6-10a Great Portland Street")</f>
        <v/>
      </c>
      <c r="C72">
        <f>SUMIF(Units.A:A,"6-10a Great Portland Street",Units.I:I)</f>
        <v/>
      </c>
      <c r="D72">
        <f>SUMIF(Units.A:A,"6-10a Great Portland Street",Units.R:R)</f>
        <v/>
      </c>
      <c r="E72">
        <f>SUMIF(Units.A:A,"6-10a Great Portland Street",Units.Y:Y)</f>
        <v/>
      </c>
    </row>
    <row r="73">
      <c r="A73" t="inlineStr">
        <is>
          <t>60/62 Margaret Street</t>
        </is>
      </c>
      <c r="B73">
        <f>COUNTIF(Units.A:A,"60/62 Margaret Street")</f>
        <v/>
      </c>
      <c r="C73">
        <f>SUMIF(Units.A:A,"60/62 Margaret Street",Units.I:I)</f>
        <v/>
      </c>
      <c r="D73">
        <f>SUMIF(Units.A:A,"60/62 Margaret Street",Units.R:R)</f>
        <v/>
      </c>
      <c r="E73">
        <f>SUMIF(Units.A:A,"60/62 Margaret Street",Units.Y:Y)</f>
        <v/>
      </c>
    </row>
    <row r="74">
      <c r="A74" t="inlineStr">
        <is>
          <t>63-64 Margaret Street</t>
        </is>
      </c>
      <c r="B74">
        <f>COUNTIF(Units.A:A,"63-64 Margaret Street")</f>
        <v/>
      </c>
      <c r="C74">
        <f>SUMIF(Units.A:A,"63-64 Margaret Street",Units.I:I)</f>
        <v/>
      </c>
      <c r="D74">
        <f>SUMIF(Units.A:A,"63-64 Margaret Street",Units.R:R)</f>
        <v/>
      </c>
      <c r="E74">
        <f>SUMIF(Units.A:A,"63-64 Margaret Street",Units.Y:Y)</f>
        <v/>
      </c>
    </row>
    <row r="75">
      <c r="A75" t="inlineStr">
        <is>
          <t>65 Margaret Street</t>
        </is>
      </c>
      <c r="B75">
        <f>COUNTIF(Units.A:A,"65 Margaret Street")</f>
        <v/>
      </c>
      <c r="C75">
        <f>SUMIF(Units.A:A,"65 Margaret Street",Units.I:I)</f>
        <v/>
      </c>
      <c r="D75">
        <f>SUMIF(Units.A:A,"65 Margaret Street",Units.R:R)</f>
        <v/>
      </c>
      <c r="E75">
        <f>SUMIF(Units.A:A,"65 Margaret Street",Units.Y:Y)</f>
        <v/>
      </c>
    </row>
    <row r="76">
      <c r="A76" t="inlineStr">
        <is>
          <t>67 - 81 Mortimer Street</t>
        </is>
      </c>
      <c r="B76">
        <f>COUNTIF(Units.A:A,"67 - 81 Mortimer Street")</f>
        <v/>
      </c>
      <c r="C76">
        <f>SUMIF(Units.A:A,"67 - 81 Mortimer Street",Units.I:I)</f>
        <v/>
      </c>
      <c r="D76">
        <f>SUMIF(Units.A:A,"67 - 81 Mortimer Street",Units.R:R)</f>
        <v/>
      </c>
      <c r="E76">
        <f>SUMIF(Units.A:A,"67 - 81 Mortimer Street",Units.Y:Y)</f>
        <v/>
      </c>
    </row>
    <row r="77">
      <c r="A77" t="inlineStr">
        <is>
          <t>68 Wells Street</t>
        </is>
      </c>
      <c r="B77">
        <f>COUNTIF(Units.A:A,"68 Wells Street")</f>
        <v/>
      </c>
      <c r="C77">
        <f>SUMIF(Units.A:A,"68 Wells Street",Units.I:I)</f>
        <v/>
      </c>
      <c r="D77">
        <f>SUMIF(Units.A:A,"68 Wells Street",Units.R:R)</f>
        <v/>
      </c>
      <c r="E77">
        <f>SUMIF(Units.A:A,"68 Wells Street",Units.Y:Y)</f>
        <v/>
      </c>
    </row>
    <row r="78">
      <c r="A78" t="inlineStr">
        <is>
          <t>75-77 Margaret Street</t>
        </is>
      </c>
      <c r="B78">
        <f>COUNTIF(Units.A:A,"75-77 Margaret Street")</f>
        <v/>
      </c>
      <c r="C78">
        <f>SUMIF(Units.A:A,"75-77 Margaret Street",Units.I:I)</f>
        <v/>
      </c>
      <c r="D78">
        <f>SUMIF(Units.A:A,"75-77 Margaret Street",Units.R:R)</f>
        <v/>
      </c>
      <c r="E78">
        <f>SUMIF(Units.A:A,"75-77 Margaret Street",Units.Y:Y)</f>
        <v/>
      </c>
    </row>
    <row r="79">
      <c r="A79" t="inlineStr">
        <is>
          <t>76 Great Portland Street</t>
        </is>
      </c>
      <c r="B79">
        <f>COUNTIF(Units.A:A,"76 Great Portland Street")</f>
        <v/>
      </c>
      <c r="C79">
        <f>SUMIF(Units.A:A,"76 Great Portland Street",Units.I:I)</f>
        <v/>
      </c>
      <c r="D79">
        <f>SUMIF(Units.A:A,"76 Great Portland Street",Units.R:R)</f>
        <v/>
      </c>
      <c r="E79">
        <f>SUMIF(Units.A:A,"76 Great Portland Street",Units.Y:Y)</f>
        <v/>
      </c>
    </row>
    <row r="80">
      <c r="A80" t="inlineStr">
        <is>
          <t>85 Mortimer Street</t>
        </is>
      </c>
      <c r="B80">
        <f>COUNTIF(Units.A:A,"85 Mortimer Street")</f>
        <v/>
      </c>
      <c r="C80">
        <f>SUMIF(Units.A:A,"85 Mortimer Street",Units.I:I)</f>
        <v/>
      </c>
      <c r="D80">
        <f>SUMIF(Units.A:A,"85 Mortimer Street",Units.R:R)</f>
        <v/>
      </c>
      <c r="E80">
        <f>SUMIF(Units.A:A,"85 Mortimer Street",Units.Y:Y)</f>
        <v/>
      </c>
    </row>
    <row r="81">
      <c r="A81" t="inlineStr">
        <is>
          <t>9 Little Portland Street</t>
        </is>
      </c>
      <c r="B81">
        <f>COUNTIF(Units.A:A,"9 Little Portland Street")</f>
        <v/>
      </c>
      <c r="C81">
        <f>SUMIF(Units.A:A,"9 Little Portland Street",Units.I:I)</f>
        <v/>
      </c>
      <c r="D81">
        <f>SUMIF(Units.A:A,"9 Little Portland Street",Units.R:R)</f>
        <v/>
      </c>
      <c r="E81">
        <f>SUMIF(Units.A:A,"9 Little Portland Street",Units.Y:Y)</f>
        <v/>
      </c>
    </row>
    <row r="82">
      <c r="A82" t="inlineStr">
        <is>
          <t>9 Margaret Street</t>
        </is>
      </c>
      <c r="B82">
        <f>COUNTIF(Units.A:A,"9 Margaret Street")</f>
        <v/>
      </c>
      <c r="C82">
        <f>SUMIF(Units.A:A,"9 Margaret Street",Units.I:I)</f>
        <v/>
      </c>
      <c r="D82">
        <f>SUMIF(Units.A:A,"9 Margaret Street",Units.R:R)</f>
        <v/>
      </c>
      <c r="E82">
        <f>SUMIF(Units.A:A,"9 Margaret Street",Units.Y:Y)</f>
        <v/>
      </c>
    </row>
    <row r="83">
      <c r="A83" t="inlineStr">
        <is>
          <t>93 Mortimer Street &amp; 43 Great Portland Street</t>
        </is>
      </c>
      <c r="B83">
        <f>COUNTIF(Units.A:A,"93 Mortimer Street &amp; 43 Great Portland Street")</f>
        <v/>
      </c>
      <c r="C83">
        <f>SUMIF(Units.A:A,"93 Mortimer Street &amp; 43 Great Portland Street",Units.I:I)</f>
        <v/>
      </c>
      <c r="D83">
        <f>SUMIF(Units.A:A,"93 Mortimer Street &amp; 43 Great Portland Street",Units.R:R)</f>
        <v/>
      </c>
      <c r="E83">
        <f>SUMIF(Units.A:A,"93 Mortimer Street &amp; 43 Great Portland Street",Units.Y:Y)</f>
        <v/>
      </c>
    </row>
    <row r="84">
      <c r="A84" t="inlineStr">
        <is>
          <t>Alexandra House, 6 Little Portland Street</t>
        </is>
      </c>
      <c r="B84">
        <f>COUNTIF(Units.A:A,"Alexandra House, 6 Little Portland Street")</f>
        <v/>
      </c>
      <c r="C84">
        <f>SUMIF(Units.A:A,"Alexandra House, 6 Little Portland Street",Units.I:I)</f>
        <v/>
      </c>
      <c r="D84">
        <f>SUMIF(Units.A:A,"Alexandra House, 6 Little Portland Street",Units.R:R)</f>
        <v/>
      </c>
      <c r="E84">
        <f>SUMIF(Units.A:A,"Alexandra House, 6 Little Portland Street",Units.Y:Y)</f>
        <v/>
      </c>
    </row>
    <row r="85">
      <c r="A85" t="inlineStr">
        <is>
          <t>Audley House,  12 Margaret Street</t>
        </is>
      </c>
      <c r="B85">
        <f>COUNTIF(Units.A:A,"Audley House,  12 Margaret Street")</f>
        <v/>
      </c>
      <c r="C85">
        <f>SUMIF(Units.A:A,"Audley House,  12 Margaret Street",Units.I:I)</f>
        <v/>
      </c>
      <c r="D85">
        <f>SUMIF(Units.A:A,"Audley House,  12 Margaret Street",Units.R:R)</f>
        <v/>
      </c>
      <c r="E85">
        <f>SUMIF(Units.A:A,"Audley House,  12 Margaret Street",Units.Y:Y)</f>
        <v/>
      </c>
    </row>
    <row r="86">
      <c r="A86" t="inlineStr">
        <is>
          <t>Circus House,  21 Great Titchfield Street</t>
        </is>
      </c>
      <c r="B86">
        <f>COUNTIF(Units.A:A,"Circus House,  21 Great Titchfield Street")</f>
        <v/>
      </c>
      <c r="C86">
        <f>SUMIF(Units.A:A,"Circus House,  21 Great Titchfield Street",Units.I:I)</f>
        <v/>
      </c>
      <c r="D86">
        <f>SUMIF(Units.A:A,"Circus House,  21 Great Titchfield Street",Units.R:R)</f>
        <v/>
      </c>
      <c r="E86">
        <f>SUMIF(Units.A:A,"Circus House,  21 Great Titchfield Street",Units.Y:Y)</f>
        <v/>
      </c>
    </row>
    <row r="87">
      <c r="A87" t="inlineStr">
        <is>
          <t>Flat 1, 2 Little Portland Street</t>
        </is>
      </c>
      <c r="B87">
        <f>COUNTIF(Units.A:A,"Flat 1, 2 Little Portland Street")</f>
        <v/>
      </c>
      <c r="C87">
        <f>SUMIF(Units.A:A,"Flat 1, 2 Little Portland Street",Units.I:I)</f>
        <v/>
      </c>
      <c r="D87">
        <f>SUMIF(Units.A:A,"Flat 1, 2 Little Portland Street",Units.R:R)</f>
        <v/>
      </c>
      <c r="E87">
        <f>SUMIF(Units.A:A,"Flat 1, 2 Little Portland Street",Units.Y:Y)</f>
        <v/>
      </c>
    </row>
    <row r="88">
      <c r="A88" t="inlineStr">
        <is>
          <t>Gilmoora House, 57-61 Mortimer Street</t>
        </is>
      </c>
      <c r="B88">
        <f>COUNTIF(Units.A:A,"Gilmoora House, 57-61 Mortimer Street")</f>
        <v/>
      </c>
      <c r="C88">
        <f>SUMIF(Units.A:A,"Gilmoora House, 57-61 Mortimer Street",Units.I:I)</f>
        <v/>
      </c>
      <c r="D88">
        <f>SUMIF(Units.A:A,"Gilmoora House, 57-61 Mortimer Street",Units.R:R)</f>
        <v/>
      </c>
      <c r="E88">
        <f>SUMIF(Units.A:A,"Gilmoora House, 57-61 Mortimer Street",Units.Y:Y)</f>
        <v/>
      </c>
    </row>
    <row r="89">
      <c r="A89" t="inlineStr">
        <is>
          <t>Golderbrock House,  15-19 Great Titchfield Street</t>
        </is>
      </c>
      <c r="B89">
        <f>COUNTIF(Units.A:A,"Golderbrock House,  15-19 Great Titchfield Street")</f>
        <v/>
      </c>
      <c r="C89">
        <f>SUMIF(Units.A:A,"Golderbrock House,  15-19 Great Titchfield Street",Units.I:I)</f>
        <v/>
      </c>
      <c r="D89">
        <f>SUMIF(Units.A:A,"Golderbrock House,  15-19 Great Titchfield Street",Units.R:R)</f>
        <v/>
      </c>
      <c r="E89">
        <f>SUMIF(Units.A:A,"Golderbrock House,  15-19 Great Titchfield Street",Units.Y:Y)</f>
        <v/>
      </c>
    </row>
    <row r="90">
      <c r="A90" t="inlineStr">
        <is>
          <t>Great Titchfield House,  14-18 Great Titchfield Street</t>
        </is>
      </c>
      <c r="B90">
        <f>COUNTIF(Units.A:A,"Great Titchfield House,  14-18 Great Titchfield Street")</f>
        <v/>
      </c>
      <c r="C90">
        <f>SUMIF(Units.A:A,"Great Titchfield House,  14-18 Great Titchfield Street",Units.I:I)</f>
        <v/>
      </c>
      <c r="D90">
        <f>SUMIF(Units.A:A,"Great Titchfield House,  14-18 Great Titchfield Street",Units.R:R)</f>
        <v/>
      </c>
      <c r="E90">
        <f>SUMIF(Units.A:A,"Great Titchfield House,  14-18 Great Titchfield Street",Units.Y:Y)</f>
        <v/>
      </c>
    </row>
    <row r="91">
      <c r="A91" t="inlineStr">
        <is>
          <t>Highlight House, 22-24 Great Portland Street</t>
        </is>
      </c>
      <c r="B91">
        <f>COUNTIF(Units.A:A,"Highlight House, 22-24 Great Portland Street")</f>
        <v/>
      </c>
      <c r="C91">
        <f>SUMIF(Units.A:A,"Highlight House, 22-24 Great Portland Street",Units.I:I)</f>
        <v/>
      </c>
      <c r="D91">
        <f>SUMIF(Units.A:A,"Highlight House, 22-24 Great Portland Street",Units.R:R)</f>
        <v/>
      </c>
      <c r="E91">
        <f>SUMIF(Units.A:A,"Highlight House, 22-24 Great Portland Street",Units.Y:Y)</f>
        <v/>
      </c>
    </row>
    <row r="92">
      <c r="A92" t="inlineStr">
        <is>
          <t>Julco House, 26-28 Great Portland Street</t>
        </is>
      </c>
      <c r="B92">
        <f>COUNTIF(Units.A:A,"Julco House, 26-28 Great Portland Street")</f>
        <v/>
      </c>
      <c r="C92">
        <f>SUMIF(Units.A:A,"Julco House, 26-28 Great Portland Street",Units.I:I)</f>
        <v/>
      </c>
      <c r="D92">
        <f>SUMIF(Units.A:A,"Julco House, 26-28 Great Portland Street",Units.R:R)</f>
        <v/>
      </c>
      <c r="E92">
        <f>SUMIF(Units.A:A,"Julco House, 26-28 Great Portland Street",Units.Y:Y)</f>
        <v/>
      </c>
    </row>
    <row r="93">
      <c r="A93" t="inlineStr">
        <is>
          <t>Kenilworth House - 79-80 Margaret Street</t>
        </is>
      </c>
      <c r="B93">
        <f>COUNTIF(Units.A:A,"Kenilworth House - 79-80 Margaret Street")</f>
        <v/>
      </c>
      <c r="C93">
        <f>SUMIF(Units.A:A,"Kenilworth House - 79-80 Margaret Street",Units.I:I)</f>
        <v/>
      </c>
      <c r="D93">
        <f>SUMIF(Units.A:A,"Kenilworth House - 79-80 Margaret Street",Units.R:R)</f>
        <v/>
      </c>
      <c r="E93">
        <f>SUMIF(Units.A:A,"Kenilworth House - 79-80 Margaret Street",Units.Y:Y)</f>
        <v/>
      </c>
    </row>
    <row r="94">
      <c r="A94" t="inlineStr">
        <is>
          <t>London House, 9a Margaret Street</t>
        </is>
      </c>
      <c r="B94">
        <f>COUNTIF(Units.A:A,"London House, 9a Margaret Street")</f>
        <v/>
      </c>
      <c r="C94">
        <f>SUMIF(Units.A:A,"London House, 9a Margaret Street",Units.I:I)</f>
        <v/>
      </c>
      <c r="D94">
        <f>SUMIF(Units.A:A,"London House, 9a Margaret Street",Units.R:R)</f>
        <v/>
      </c>
      <c r="E94">
        <f>SUMIF(Units.A:A,"London House, 9a Margaret Street",Units.Y:Y)</f>
        <v/>
      </c>
    </row>
    <row r="95">
      <c r="A95" t="inlineStr">
        <is>
          <t>Mappin House, 156-162 Oxford Street</t>
        </is>
      </c>
      <c r="B95">
        <f>COUNTIF(Units.A:A,"Mappin House, 156-162 Oxford Street")</f>
        <v/>
      </c>
      <c r="C95">
        <f>SUMIF(Units.A:A,"Mappin House, 156-162 Oxford Street",Units.I:I)</f>
        <v/>
      </c>
      <c r="D95">
        <f>SUMIF(Units.A:A,"Mappin House, 156-162 Oxford Street",Units.R:R)</f>
        <v/>
      </c>
      <c r="E95">
        <f>SUMIF(Units.A:A,"Mappin House, 156-162 Oxford Street",Units.Y:Y)</f>
        <v/>
      </c>
    </row>
    <row r="96">
      <c r="A96" t="inlineStr">
        <is>
          <t>Moray House, 23-35 Great Titchfield Street &amp; 63-65 Mortimer Street</t>
        </is>
      </c>
      <c r="B96">
        <f>COUNTIF(Units.A:A,"Moray House, 23-35 Great Titchfield Street &amp; 63-65 Mortimer Street")</f>
        <v/>
      </c>
      <c r="C96">
        <f>SUMIF(Units.A:A,"Moray House, 23-35 Great Titchfield Street &amp; 63-65 Mortimer Street",Units.I:I)</f>
        <v/>
      </c>
      <c r="D96">
        <f>SUMIF(Units.A:A,"Moray House, 23-35 Great Titchfield Street &amp; 63-65 Mortimer Street",Units.R:R)</f>
        <v/>
      </c>
      <c r="E96">
        <f>SUMIF(Units.A:A,"Moray House, 23-35 Great Titchfield Street &amp; 63-65 Mortimer Street",Units.Y:Y)</f>
        <v/>
      </c>
    </row>
    <row r="97">
      <c r="A97" t="inlineStr">
        <is>
          <t>Portland House, 4 Great Portland Street</t>
        </is>
      </c>
      <c r="B97">
        <f>COUNTIF(Units.A:A,"Portland House, 4 Great Portland Street")</f>
        <v/>
      </c>
      <c r="C97">
        <f>SUMIF(Units.A:A,"Portland House, 4 Great Portland Street",Units.I:I)</f>
        <v/>
      </c>
      <c r="D97">
        <f>SUMIF(Units.A:A,"Portland House, 4 Great Portland Street",Units.R:R)</f>
        <v/>
      </c>
      <c r="E97">
        <f>SUMIF(Units.A:A,"Portland House, 4 Great Portland Street",Units.Y:Y)</f>
        <v/>
      </c>
    </row>
    <row r="98">
      <c r="A98" t="inlineStr">
        <is>
          <t>Radiant House, 34-38 Mortimer Street &amp; 3-4 Bywell Place</t>
        </is>
      </c>
      <c r="B98">
        <f>COUNTIF(Units.A:A,"Radiant House, 34-38 Mortimer Street &amp; 3-4 Bywell Place")</f>
        <v/>
      </c>
      <c r="C98">
        <f>SUMIF(Units.A:A,"Radiant House, 34-38 Mortimer Street &amp; 3-4 Bywell Place",Units.I:I)</f>
        <v/>
      </c>
      <c r="D98">
        <f>SUMIF(Units.A:A,"Radiant House, 34-38 Mortimer Street &amp; 3-4 Bywell Place",Units.R:R)</f>
        <v/>
      </c>
      <c r="E98">
        <f>SUMIF(Units.A:A,"Radiant House, 34-38 Mortimer Street &amp; 3-4 Bywell Place",Units.Y:Y)</f>
        <v/>
      </c>
    </row>
    <row r="99">
      <c r="A99" t="inlineStr">
        <is>
          <t>Sackville House - 78 Margaret Street</t>
        </is>
      </c>
      <c r="B99">
        <f>COUNTIF(Units.A:A,"Sackville House - 78 Margaret Street")</f>
        <v/>
      </c>
      <c r="C99">
        <f>SUMIF(Units.A:A,"Sackville House - 78 Margaret Street",Units.I:I)</f>
        <v/>
      </c>
      <c r="D99">
        <f>SUMIF(Units.A:A,"Sackville House - 78 Margaret Street",Units.R:R)</f>
        <v/>
      </c>
      <c r="E99">
        <f>SUMIF(Units.A:A,"Sackville House - 78 Margaret Street",Units.Y:Y)</f>
        <v/>
      </c>
    </row>
    <row r="100">
      <c r="A100" t="inlineStr">
        <is>
          <t>Welbeck House, 66/67 Wells Street</t>
        </is>
      </c>
      <c r="B100">
        <f>COUNTIF(Units.A:A,"Welbeck House, 66/67 Wells Street")</f>
        <v/>
      </c>
      <c r="C100">
        <f>SUMIF(Units.A:A,"Welbeck House, 66/67 Wells Street",Units.I:I)</f>
        <v/>
      </c>
      <c r="D100">
        <f>SUMIF(Units.A:A,"Welbeck House, 66/67 Wells Street",Units.R:R)</f>
        <v/>
      </c>
      <c r="E100">
        <f>SUMIF(Units.A:A,"Welbeck House, 66/67 Wells Street",Units.Y:Y)</f>
        <v/>
      </c>
    </row>
    <row r="101">
      <c r="A101" t="inlineStr">
        <is>
          <t>Windsor House, 40-41 Great Castle Street</t>
        </is>
      </c>
      <c r="B101">
        <f>COUNTIF(Units.A:A,"Windsor House, 40-41 Great Castle Street")</f>
        <v/>
      </c>
      <c r="C101">
        <f>SUMIF(Units.A:A,"Windsor House, 40-41 Great Castle Street",Units.I:I)</f>
        <v/>
      </c>
      <c r="D101">
        <f>SUMIF(Units.A:A,"Windsor House, 40-41 Great Castle Street",Units.R:R)</f>
        <v/>
      </c>
      <c r="E101">
        <f>SUMIF(Units.A:A,"Windsor House, 40-41 Great Castle Street",Units.Y:Y)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2025-11-24T15:04:25Z</dcterms:modified>
  <cp:lastModifiedBy>William Spencer</cp:lastModifiedBy>
  <cp:lastPrinted>2025-06-30T15:43:09Z</cp:lastPrinted>
</cp:coreProperties>
</file>