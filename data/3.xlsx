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Buildings" sheetId="6" state="visible" r:id="rId6"/>
    <sheet name="Units" sheetId="7" state="visible" r:id="rId7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'Buildings'!$A$1:$H$1</definedName>
    <definedName name="_xlnm._FilterDatabase" localSheetId="6" hidden="1">'Units'!$A$1:$AI$1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yyyy-mm-dd h:mm:ss"/>
  </numFmts>
  <fonts count="73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6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4" customWidth="1" min="4" max="4"/>
    <col width="14" customWidth="1" min="5" max="5"/>
    <col width="18" customWidth="1" min="6" max="6"/>
    <col width="15" customWidth="1" min="7" max="7"/>
    <col width="20" customWidth="1" min="8" max="8"/>
  </cols>
  <sheetData>
    <row r="1">
      <c r="A1" t="inlineStr">
        <is>
          <t>Building</t>
        </is>
      </c>
      <c r="B1" t="inlineStr">
        <is>
          <t>Net Area</t>
        </is>
      </c>
      <c r="C1" t="inlineStr">
        <is>
          <t>Rent PA (£)</t>
        </is>
      </c>
      <c r="D1" t="inlineStr">
        <is>
          <t>2023 ERV (£)</t>
        </is>
      </c>
      <c r="E1" t="inlineStr">
        <is>
          <t>2024 ERV (£)</t>
        </is>
      </c>
      <c r="F1" t="inlineStr">
        <is>
          <t>ERV 2024 £.Sq.ft</t>
        </is>
      </c>
      <c r="G1" t="inlineStr">
        <is>
          <t>ERV Variation</t>
        </is>
      </c>
      <c r="H1" t="inlineStr">
        <is>
          <t>2024 Cap Valn. (£)</t>
        </is>
      </c>
    </row>
    <row r="2">
      <c r="A2" t="inlineStr">
        <is>
          <t>5-6 Bywell Place</t>
        </is>
      </c>
    </row>
    <row r="3">
      <c r="A3" t="inlineStr">
        <is>
          <t>22 and 23-25 Eastcastle Street</t>
        </is>
      </c>
    </row>
    <row r="4">
      <c r="A4" t="inlineStr">
        <is>
          <t>26 Eastcastle Street</t>
        </is>
      </c>
    </row>
    <row r="5">
      <c r="A5" t="inlineStr">
        <is>
          <t>27 - 28 Eastcastle Street</t>
        </is>
      </c>
    </row>
    <row r="6">
      <c r="A6" t="inlineStr">
        <is>
          <t>10 Great Castle Street</t>
        </is>
      </c>
    </row>
    <row r="7">
      <c r="A7" t="inlineStr">
        <is>
          <t>Windsor House, 40-41 Great Castle Street</t>
        </is>
      </c>
    </row>
    <row r="8">
      <c r="A8" t="inlineStr">
        <is>
          <t>Portland House, 4 Great Portland Street</t>
        </is>
      </c>
    </row>
    <row r="9">
      <c r="A9" t="inlineStr">
        <is>
          <t>6-10a Great Portland Street</t>
        </is>
      </c>
    </row>
    <row r="10">
      <c r="A10" t="inlineStr">
        <is>
          <t>15-17 Great Portland Street &amp; 6-7 Great Castle Street</t>
        </is>
      </c>
    </row>
    <row r="11">
      <c r="A11" t="inlineStr">
        <is>
          <t>19-21 Great Portland Street</t>
        </is>
      </c>
    </row>
    <row r="12">
      <c r="A12" t="inlineStr">
        <is>
          <t>20 Great Portland Street</t>
        </is>
      </c>
    </row>
    <row r="13">
      <c r="A13" t="inlineStr">
        <is>
          <t>Highlight House, 22-24 Great Portland Street</t>
        </is>
      </c>
    </row>
    <row r="14">
      <c r="A14" t="inlineStr">
        <is>
          <t>23-25 Great Portland Street &amp; 54-55 Margaret Street</t>
        </is>
      </c>
    </row>
    <row r="15">
      <c r="A15" t="inlineStr">
        <is>
          <t>39 Great Portland Street</t>
        </is>
      </c>
    </row>
    <row r="16">
      <c r="A16" t="inlineStr">
        <is>
          <t>41 Great Portland Street</t>
        </is>
      </c>
    </row>
    <row r="17">
      <c r="A17" t="inlineStr">
        <is>
          <t>42-48 Great Portland Street</t>
        </is>
      </c>
    </row>
    <row r="18">
      <c r="A18" t="inlineStr">
        <is>
          <t>45-49 Great Portland Street</t>
        </is>
      </c>
    </row>
    <row r="19">
      <c r="A19" t="inlineStr">
        <is>
          <t>50 Great Portland Street</t>
        </is>
      </c>
    </row>
    <row r="20">
      <c r="A20" t="inlineStr">
        <is>
          <t>51 Great Portland Street</t>
        </is>
      </c>
    </row>
    <row r="21">
      <c r="A21" t="inlineStr">
        <is>
          <t>53 Great Portland Street</t>
        </is>
      </c>
    </row>
    <row r="22">
      <c r="A22" t="inlineStr">
        <is>
          <t>76 Great Portland Street</t>
        </is>
      </c>
    </row>
    <row r="23">
      <c r="A23" t="inlineStr">
        <is>
          <t>1 Great Titchfield Street</t>
        </is>
      </c>
    </row>
    <row r="24">
      <c r="A24" t="inlineStr">
        <is>
          <t>3 Great Titchfield Street</t>
        </is>
      </c>
    </row>
    <row r="25">
      <c r="A25" t="inlineStr">
        <is>
          <t>Great Titchfield House,  14-18 Great Titchfield Street</t>
        </is>
      </c>
    </row>
    <row r="26">
      <c r="A26" t="inlineStr">
        <is>
          <t>Golderbrock House,  15-19 Great Titchfield Street</t>
        </is>
      </c>
    </row>
    <row r="27">
      <c r="A27" t="inlineStr">
        <is>
          <t>Circus House,  21 Great Titchfield Street</t>
        </is>
      </c>
    </row>
    <row r="28">
      <c r="A28" t="inlineStr">
        <is>
          <t>Moray House, 23-35 Great Titchfield Street &amp; 63-65 Mortimer Street</t>
        </is>
      </c>
    </row>
    <row r="29">
      <c r="A29" t="inlineStr">
        <is>
          <t>56 Great Titchfield Street</t>
        </is>
      </c>
    </row>
    <row r="30">
      <c r="A30" t="inlineStr">
        <is>
          <t>58 Great Titchfield Street</t>
        </is>
      </c>
    </row>
    <row r="31">
      <c r="A31" t="inlineStr">
        <is>
          <t>12 Hallam Street (The Hallam Hotel)</t>
        </is>
      </c>
    </row>
    <row r="32">
      <c r="A32" t="inlineStr">
        <is>
          <t>16-20 Hallam Street  (Astor Court Hotel)</t>
        </is>
      </c>
    </row>
    <row r="33">
      <c r="A33" t="inlineStr">
        <is>
          <t>Flat 1, 2 Little Portland Street</t>
        </is>
      </c>
    </row>
    <row r="34">
      <c r="A34" t="inlineStr">
        <is>
          <t>3/4/4a Little Portland Street</t>
        </is>
      </c>
    </row>
    <row r="35">
      <c r="A35" t="inlineStr">
        <is>
          <t>5 Little Portland Street</t>
        </is>
      </c>
    </row>
    <row r="36">
      <c r="A36" t="inlineStr">
        <is>
          <t>Alexandra House, 6 Little Portland Street</t>
        </is>
      </c>
    </row>
    <row r="37">
      <c r="A37" t="inlineStr">
        <is>
          <t>9 Little Portland Street</t>
        </is>
      </c>
    </row>
    <row r="38">
      <c r="A38" t="inlineStr">
        <is>
          <t>21 Little Portland Street</t>
        </is>
      </c>
    </row>
    <row r="39">
      <c r="A39" t="inlineStr">
        <is>
          <t>22 Little Portland Street (formerly 22-23 LPS)</t>
        </is>
      </c>
    </row>
    <row r="40">
      <c r="A40" t="inlineStr">
        <is>
          <t>9 Margaret Street</t>
        </is>
      </c>
    </row>
    <row r="41">
      <c r="A41" t="inlineStr">
        <is>
          <t>London House, 9a Margaret Street</t>
        </is>
      </c>
    </row>
    <row r="42">
      <c r="A42" t="inlineStr">
        <is>
          <t>10 Margaret Street</t>
        </is>
      </c>
    </row>
    <row r="43">
      <c r="A43" t="inlineStr">
        <is>
          <t>Audley House,  12 Margaret Street</t>
        </is>
      </c>
    </row>
    <row r="44">
      <c r="A44" t="inlineStr">
        <is>
          <t>13-14 Margaret Street</t>
        </is>
      </c>
    </row>
    <row r="45">
      <c r="A45" t="inlineStr">
        <is>
          <t>15-16 Margaret Street</t>
        </is>
      </c>
    </row>
    <row r="46">
      <c r="A46" t="inlineStr">
        <is>
          <t>17-18 Margaret Street</t>
        </is>
      </c>
    </row>
    <row r="47">
      <c r="A47" t="inlineStr">
        <is>
          <t>19 Margaret Street</t>
        </is>
      </c>
    </row>
    <row r="48">
      <c r="A48" t="inlineStr">
        <is>
          <t>20 Margaret Street</t>
        </is>
      </c>
    </row>
    <row r="49">
      <c r="A49" t="inlineStr">
        <is>
          <t>25 Margaret Street</t>
        </is>
      </c>
    </row>
    <row r="50">
      <c r="A50" t="inlineStr">
        <is>
          <t>47,48 &amp; 50 Margaret Street</t>
        </is>
      </c>
    </row>
    <row r="51">
      <c r="A51" t="inlineStr">
        <is>
          <t>51-53 Margaret Street</t>
        </is>
      </c>
    </row>
    <row r="52">
      <c r="A52" t="inlineStr">
        <is>
          <t>63-64 Margaret Street</t>
        </is>
      </c>
    </row>
    <row r="53">
      <c r="A53" t="inlineStr">
        <is>
          <t>65 Margaret Street</t>
        </is>
      </c>
    </row>
    <row r="54">
      <c r="A54" t="inlineStr">
        <is>
          <t>75-77 Margaret Street</t>
        </is>
      </c>
    </row>
    <row r="55">
      <c r="A55" t="inlineStr">
        <is>
          <t>Sackville House - 78 Margaret Street</t>
        </is>
      </c>
    </row>
    <row r="56">
      <c r="A56" t="inlineStr">
        <is>
          <t>Kenilworth House - 79-80 Margaret Street</t>
        </is>
      </c>
    </row>
    <row r="57">
      <c r="A57" t="inlineStr">
        <is>
          <t>4 Market Place</t>
        </is>
      </c>
    </row>
    <row r="58">
      <c r="A58" t="inlineStr">
        <is>
          <t>11-13 Market Place</t>
        </is>
      </c>
    </row>
    <row r="59">
      <c r="A59" t="inlineStr">
        <is>
          <t>Radiant House, 34-38 Mortimer Street &amp; 3-4 Bywell Place</t>
        </is>
      </c>
    </row>
    <row r="60">
      <c r="A60" t="inlineStr">
        <is>
          <t>Gilmoora House, 57-61 Mortimer Street</t>
        </is>
      </c>
    </row>
    <row r="61">
      <c r="A61" t="inlineStr">
        <is>
          <t>67 - 81 Mortimer Street</t>
        </is>
      </c>
    </row>
    <row r="62">
      <c r="A62" t="inlineStr">
        <is>
          <t>93 Mortimer Street &amp; 43 Great Portland Street</t>
        </is>
      </c>
    </row>
    <row r="63">
      <c r="A63" t="inlineStr">
        <is>
          <t>142-144 Oxford Street</t>
        </is>
      </c>
    </row>
    <row r="64">
      <c r="A64" t="inlineStr">
        <is>
          <t>146/148 Oxford Street</t>
        </is>
      </c>
    </row>
    <row r="65">
      <c r="A65" t="inlineStr">
        <is>
          <t>150/154 Oxford Street</t>
        </is>
      </c>
    </row>
    <row r="66">
      <c r="A66" t="inlineStr">
        <is>
          <t>50 Eastcastle Street</t>
        </is>
      </c>
    </row>
    <row r="67">
      <c r="A67" t="inlineStr">
        <is>
          <t>Mappin House, 156-162 Oxford Street</t>
        </is>
      </c>
    </row>
    <row r="68">
      <c r="A68" t="inlineStr">
        <is>
          <t>53 Wells Street</t>
        </is>
      </c>
    </row>
    <row r="69">
      <c r="A69" t="inlineStr">
        <is>
          <t>68 Wells Street</t>
        </is>
      </c>
    </row>
    <row r="70">
      <c r="A70" t="inlineStr">
        <is>
          <t>33 Eastcastle Street</t>
        </is>
      </c>
    </row>
    <row r="71">
      <c r="A71" t="inlineStr">
        <is>
          <t>Julco House, 26-28 Great Portland Street</t>
        </is>
      </c>
    </row>
    <row r="72">
      <c r="A72" t="inlineStr">
        <is>
          <t>5 Margaret Street</t>
        </is>
      </c>
    </row>
    <row r="73">
      <c r="A73" t="inlineStr">
        <is>
          <t>60/62 Margaret Street</t>
        </is>
      </c>
    </row>
    <row r="74">
      <c r="A74" t="inlineStr">
        <is>
          <t>85 Mortimer Street</t>
        </is>
      </c>
    </row>
    <row r="75">
      <c r="A75" t="inlineStr">
        <is>
          <t>Welbeck House, 66/67 Wells Street</t>
        </is>
      </c>
    </row>
    <row r="76">
      <c r="A76" t="inlineStr">
        <is>
          <t>32-36 Great Portland Street</t>
        </is>
      </c>
    </row>
    <row r="77">
      <c r="A77" t="inlineStr">
        <is>
          <t>184-190 Oxford Street &amp; 28/30 Market Place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I2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R2</f>
        <v/>
      </c>
      <c r="T2" s="591">
        <f>S2</f>
        <v/>
      </c>
      <c r="U2" s="591" t="n">
        <v>100600</v>
      </c>
      <c r="V2" s="842">
        <f>U2</f>
        <v/>
      </c>
      <c r="W2" s="591" t="n">
        <v>115000</v>
      </c>
      <c r="X2" s="842">
        <f>W2</f>
        <v/>
      </c>
      <c r="Y2" s="845">
        <f>W2/I2</f>
        <v/>
      </c>
      <c r="Z2" s="846">
        <f>SUM(W2-U2)/U2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I3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R3</f>
        <v/>
      </c>
      <c r="U3" s="848" t="n">
        <v>110000</v>
      </c>
      <c r="V3" s="842">
        <f>U3</f>
        <v/>
      </c>
      <c r="W3" s="848" t="n">
        <v>108100</v>
      </c>
      <c r="X3" s="842">
        <f>W3</f>
        <v/>
      </c>
      <c r="Y3" s="845">
        <f>W3/I3</f>
        <v/>
      </c>
      <c r="Z3" s="846">
        <f>SUM(W3-U3)/U3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I4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R4</f>
        <v/>
      </c>
      <c r="U4" s="848" t="n">
        <v>225000</v>
      </c>
      <c r="V4" s="842">
        <f>U4</f>
        <v/>
      </c>
      <c r="W4" s="848" t="n">
        <v>226100</v>
      </c>
      <c r="X4" s="842">
        <f>W4</f>
        <v/>
      </c>
      <c r="Y4" s="845">
        <f>W4/I4</f>
        <v/>
      </c>
      <c r="Z4" s="846">
        <f>SUM(W4-U4)/U4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I5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R5</f>
        <v/>
      </c>
      <c r="U5" s="848" t="n">
        <v>55700</v>
      </c>
      <c r="V5" s="842">
        <f>U5</f>
        <v/>
      </c>
      <c r="W5" s="848" t="n">
        <v>61100</v>
      </c>
      <c r="X5" s="842">
        <f>W5</f>
        <v/>
      </c>
      <c r="Y5" s="845">
        <f>W5/I5</f>
        <v/>
      </c>
      <c r="Z5" s="846">
        <f>SUM(W5-U5)/U5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I6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R6</f>
        <v/>
      </c>
      <c r="U6" s="848" t="n">
        <v>131100</v>
      </c>
      <c r="V6" s="842">
        <f>U6</f>
        <v/>
      </c>
      <c r="W6" s="848" t="n">
        <v>133200</v>
      </c>
      <c r="X6" s="842">
        <f>W6</f>
        <v/>
      </c>
      <c r="Y6" s="845">
        <f>W6/I6</f>
        <v/>
      </c>
      <c r="Z6" s="846">
        <f>SUM(W6-U6)/U6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I7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R7</f>
        <v/>
      </c>
      <c r="T7" s="842" t="n"/>
      <c r="U7" s="848" t="n">
        <v>60400</v>
      </c>
      <c r="V7" s="842">
        <f>U7</f>
        <v/>
      </c>
      <c r="W7" s="848" t="n">
        <v>61800</v>
      </c>
      <c r="X7" s="842">
        <f>W7</f>
        <v/>
      </c>
      <c r="Y7" s="845">
        <f>W7/I7</f>
        <v/>
      </c>
      <c r="Z7" s="846">
        <f>SUM(W7-U7)/U7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I8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R8</f>
        <v/>
      </c>
      <c r="U8" s="848" t="n">
        <v>134300</v>
      </c>
      <c r="V8" s="842">
        <f>U8</f>
        <v/>
      </c>
      <c r="W8" s="848" t="n">
        <v>134300</v>
      </c>
      <c r="X8" s="842">
        <f>W8</f>
        <v/>
      </c>
      <c r="Y8" s="845">
        <f>W8/I8</f>
        <v/>
      </c>
      <c r="Z8" s="846">
        <f>SUM(W8-U8)/U8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I9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R9</f>
        <v/>
      </c>
      <c r="U9" s="848" t="n">
        <v>20600</v>
      </c>
      <c r="V9" s="842">
        <f>U9</f>
        <v/>
      </c>
      <c r="W9" s="848" t="n">
        <v>23000</v>
      </c>
      <c r="X9" s="842">
        <f>W9</f>
        <v/>
      </c>
      <c r="Y9" s="845">
        <f>W9/I9</f>
        <v/>
      </c>
      <c r="Z9" s="846">
        <f>SUM(W9-U9)/U9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I10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R10</f>
        <v/>
      </c>
      <c r="U10" s="848" t="n">
        <v>109000</v>
      </c>
      <c r="V10" s="842">
        <f>U10</f>
        <v/>
      </c>
      <c r="W10" s="848" t="n">
        <v>111400</v>
      </c>
      <c r="X10" s="842">
        <f>W10</f>
        <v/>
      </c>
      <c r="Y10" s="845">
        <f>W10/I10</f>
        <v/>
      </c>
      <c r="Z10" s="846">
        <f>SUM(W10-U10)/U10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I11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R11</f>
        <v/>
      </c>
      <c r="U11" s="848" t="n">
        <v>21000</v>
      </c>
      <c r="V11" s="842">
        <f>U11</f>
        <v/>
      </c>
      <c r="W11" s="848" t="n">
        <v>24100</v>
      </c>
      <c r="X11" s="842">
        <f>W11</f>
        <v/>
      </c>
      <c r="Y11" s="845">
        <f>W11/I11</f>
        <v/>
      </c>
      <c r="Z11" s="846">
        <f>SUM(W11-U11)/U11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I12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R12</f>
        <v/>
      </c>
      <c r="U12" s="848" t="n">
        <v>49400</v>
      </c>
      <c r="V12" s="842">
        <f>U12</f>
        <v/>
      </c>
      <c r="W12" s="848" t="n">
        <v>58300</v>
      </c>
      <c r="X12" s="842">
        <f>W12</f>
        <v/>
      </c>
      <c r="Y12" s="845">
        <f>W12/I12</f>
        <v/>
      </c>
      <c r="Z12" s="846">
        <f>SUM(W12-U12)/U12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I13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R13</f>
        <v/>
      </c>
      <c r="U13" s="848" t="n">
        <v>47400</v>
      </c>
      <c r="V13" s="842">
        <f>U13</f>
        <v/>
      </c>
      <c r="W13" s="848" t="n">
        <v>58600</v>
      </c>
      <c r="X13" s="842">
        <f>W13</f>
        <v/>
      </c>
      <c r="Y13" s="845">
        <f>W13/I13</f>
        <v/>
      </c>
      <c r="Z13" s="846">
        <f>SUM(W13-U13)/U13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I14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R14</f>
        <v/>
      </c>
      <c r="U14" s="848" t="n">
        <v>34400</v>
      </c>
      <c r="V14" s="842">
        <f>U14</f>
        <v/>
      </c>
      <c r="W14" s="848" t="n">
        <v>47000</v>
      </c>
      <c r="X14" s="842">
        <f>W14</f>
        <v/>
      </c>
      <c r="Y14" s="845">
        <f>W14/I14</f>
        <v/>
      </c>
      <c r="Z14" s="846">
        <f>SUM(W14-U14)/U14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I15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R15</f>
        <v/>
      </c>
      <c r="U15" s="848" t="n">
        <v>3000</v>
      </c>
      <c r="V15" s="842">
        <f>U15</f>
        <v/>
      </c>
      <c r="W15" s="848" t="n">
        <v>4500</v>
      </c>
      <c r="X15" s="842">
        <f>W15</f>
        <v/>
      </c>
      <c r="Y15" s="845">
        <f>W15/I15</f>
        <v/>
      </c>
      <c r="Z15" s="846">
        <f>SUM(W15-U15)/U15</f>
        <v/>
      </c>
      <c r="AA15" s="842" t="n"/>
      <c r="AB15" s="590" t="n"/>
      <c r="AC15" s="847" t="n"/>
      <c r="AD15" s="841" t="inlineStr">
        <is>
          <t>No</t>
        </is>
      </c>
      <c r="AH15" s="312" t="n"/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I16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R16</f>
        <v/>
      </c>
      <c r="U16" s="848" t="n">
        <v>114600</v>
      </c>
      <c r="V16" s="842">
        <f>U16</f>
        <v/>
      </c>
      <c r="W16" s="848" t="n">
        <v>124500</v>
      </c>
      <c r="X16" s="842">
        <f>W16</f>
        <v/>
      </c>
      <c r="Y16" s="845">
        <f>W16/I16</f>
        <v/>
      </c>
      <c r="Z16" s="846">
        <f>SUM(W16-U16)/U16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I17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R17</f>
        <v/>
      </c>
      <c r="U17" s="848" t="n">
        <v>76900</v>
      </c>
      <c r="V17" s="842">
        <f>U17</f>
        <v/>
      </c>
      <c r="W17" s="848" t="n">
        <v>97900</v>
      </c>
      <c r="X17" s="842">
        <f>W17</f>
        <v/>
      </c>
      <c r="Y17" s="845">
        <f>W17/I17</f>
        <v/>
      </c>
      <c r="Z17" s="846">
        <f>SUM(W17-U17)/U17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I18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R18</f>
        <v/>
      </c>
      <c r="U18" s="848" t="n">
        <v>61100</v>
      </c>
      <c r="V18" s="842">
        <f>U18</f>
        <v/>
      </c>
      <c r="W18" s="848" t="n">
        <v>69400</v>
      </c>
      <c r="X18" s="842">
        <f>W18</f>
        <v/>
      </c>
      <c r="Y18" s="845">
        <f>W18/I18</f>
        <v/>
      </c>
      <c r="Z18" s="846">
        <f>SUM(W18-U18)/U18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I19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R19</f>
        <v/>
      </c>
      <c r="U19" s="848" t="n">
        <v>25300</v>
      </c>
      <c r="V19" s="842">
        <f>U19</f>
        <v/>
      </c>
      <c r="W19" s="848" t="n">
        <v>25300</v>
      </c>
      <c r="X19" s="842">
        <f>W19</f>
        <v/>
      </c>
      <c r="Y19" s="845">
        <f>W19/I19</f>
        <v/>
      </c>
      <c r="Z19" s="846">
        <f>SUM(W19-U19)/U19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I20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R20</f>
        <v/>
      </c>
      <c r="U20" s="848" t="n">
        <v>170000</v>
      </c>
      <c r="V20" s="842">
        <f>U20</f>
        <v/>
      </c>
      <c r="W20" s="848" t="n">
        <v>170000</v>
      </c>
      <c r="X20" s="842">
        <f>W20</f>
        <v/>
      </c>
      <c r="Y20" s="845">
        <f>W20/I20</f>
        <v/>
      </c>
      <c r="Z20" s="846">
        <f>SUM(W20-U20)/U20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I21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R21</f>
        <v/>
      </c>
      <c r="U21" s="848" t="n">
        <v>78000</v>
      </c>
      <c r="V21" s="842">
        <f>U21</f>
        <v/>
      </c>
      <c r="W21" s="848" t="n">
        <v>99300</v>
      </c>
      <c r="X21" s="842">
        <f>W21</f>
        <v/>
      </c>
      <c r="Y21" s="845">
        <f>W21/I21</f>
        <v/>
      </c>
      <c r="Z21" s="846">
        <f>SUM(W21-U21)/U21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I22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R22</f>
        <v/>
      </c>
      <c r="U22" s="848" t="n">
        <v>39400</v>
      </c>
      <c r="V22" s="842">
        <f>U22</f>
        <v/>
      </c>
      <c r="W22" s="848" t="n">
        <v>41200</v>
      </c>
      <c r="X22" s="842">
        <f>W22</f>
        <v/>
      </c>
      <c r="Y22" s="845">
        <f>W22/I22</f>
        <v/>
      </c>
      <c r="Z22" s="846">
        <f>SUM(W22-U22)/U22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I23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R23</f>
        <v/>
      </c>
      <c r="U23" s="848" t="n">
        <v>36600</v>
      </c>
      <c r="V23" s="842">
        <f>U23</f>
        <v/>
      </c>
      <c r="W23" s="848" t="n">
        <v>38200</v>
      </c>
      <c r="X23" s="842">
        <f>W23</f>
        <v/>
      </c>
      <c r="Y23" s="845">
        <f>W23/I23</f>
        <v/>
      </c>
      <c r="Z23" s="846">
        <f>SUM(W23-U23)/U23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I24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R24</f>
        <v/>
      </c>
      <c r="T24" s="591">
        <f>S24</f>
        <v/>
      </c>
      <c r="U24" s="591" t="n">
        <v>950000</v>
      </c>
      <c r="V24" s="842">
        <f>U24</f>
        <v/>
      </c>
      <c r="W24" s="591" t="n">
        <v>950000</v>
      </c>
      <c r="X24" s="842">
        <f>W24</f>
        <v/>
      </c>
      <c r="Y24" s="845">
        <f>W24/I24</f>
        <v/>
      </c>
      <c r="Z24" s="846">
        <f>SUM(W24-U24)/U24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I25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R25</f>
        <v/>
      </c>
      <c r="U25" s="842" t="n">
        <v>143000</v>
      </c>
      <c r="V25" s="842">
        <f>U25</f>
        <v/>
      </c>
      <c r="W25" s="842" t="n">
        <v>145000</v>
      </c>
      <c r="X25" s="842">
        <f>W25</f>
        <v/>
      </c>
      <c r="Y25" s="845">
        <f>W25/I25</f>
        <v/>
      </c>
      <c r="Z25" s="846">
        <f>SUM(W25-U25)/U25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I26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R26</f>
        <v/>
      </c>
      <c r="U26" s="842" t="n">
        <v>42000</v>
      </c>
      <c r="V26" s="842">
        <f>U26</f>
        <v/>
      </c>
      <c r="W26" s="842" t="n">
        <v>42000</v>
      </c>
      <c r="X26" s="842">
        <f>W26</f>
        <v/>
      </c>
      <c r="Y26" s="845">
        <f>W26/I26</f>
        <v/>
      </c>
      <c r="Z26" s="846">
        <f>SUM(W26-U26)/U26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I27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R27</f>
        <v/>
      </c>
      <c r="U27" s="842" t="n">
        <v>39700</v>
      </c>
      <c r="V27" s="842">
        <f>U27</f>
        <v/>
      </c>
      <c r="W27" s="842" t="n">
        <v>40000</v>
      </c>
      <c r="X27" s="842">
        <f>W27</f>
        <v/>
      </c>
      <c r="Y27" s="845">
        <f>W27/I27</f>
        <v/>
      </c>
      <c r="Z27" s="846">
        <f>SUM(W27-U27)/U27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I28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R28</f>
        <v/>
      </c>
      <c r="U28" s="842" t="n">
        <v>34100</v>
      </c>
      <c r="V28" s="842">
        <f>U28</f>
        <v/>
      </c>
      <c r="W28" s="842" t="n">
        <v>36000</v>
      </c>
      <c r="X28" s="842">
        <f>W28</f>
        <v/>
      </c>
      <c r="Y28" s="845">
        <f>W28/I28</f>
        <v/>
      </c>
      <c r="Z28" s="846">
        <f>SUM(W28-U28)/U28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I29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R29</f>
        <v/>
      </c>
      <c r="U29" s="842" t="n">
        <v>21600</v>
      </c>
      <c r="V29" s="842">
        <f>U29</f>
        <v/>
      </c>
      <c r="W29" s="842" t="n">
        <v>22000</v>
      </c>
      <c r="X29" s="842">
        <f>W29</f>
        <v/>
      </c>
      <c r="Y29" s="845">
        <f>W29/I29</f>
        <v/>
      </c>
      <c r="Z29" s="846">
        <f>SUM(W29-U29)/U29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I30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R30</f>
        <v/>
      </c>
      <c r="T30" s="591" t="n"/>
      <c r="U30" s="842" t="n">
        <v>0</v>
      </c>
      <c r="V30" s="591">
        <f>U30</f>
        <v/>
      </c>
      <c r="W30" s="842" t="n">
        <v>0</v>
      </c>
      <c r="X30" s="591">
        <f>W30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I31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R31</f>
        <v/>
      </c>
      <c r="U31" s="842" t="n">
        <v>147500</v>
      </c>
      <c r="V31" s="842">
        <f>U31</f>
        <v/>
      </c>
      <c r="W31" s="842" t="n">
        <v>147500</v>
      </c>
      <c r="X31" s="842">
        <f>W31</f>
        <v/>
      </c>
      <c r="Y31" s="845">
        <f>W31/I31</f>
        <v/>
      </c>
      <c r="Z31" s="846">
        <f>SUM(W31-U31)/U31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I32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R32</f>
        <v/>
      </c>
      <c r="U32" s="842" t="n">
        <v>176200</v>
      </c>
      <c r="V32" s="842">
        <f>U32</f>
        <v/>
      </c>
      <c r="W32" s="842" t="n">
        <v>220000</v>
      </c>
      <c r="X32" s="842">
        <f>W32</f>
        <v/>
      </c>
      <c r="Y32" s="845">
        <f>W32/I32</f>
        <v/>
      </c>
      <c r="Z32" s="846">
        <f>SUM(W32-U32)/U32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I33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R33</f>
        <v/>
      </c>
      <c r="U33" s="842" t="n">
        <v>255000</v>
      </c>
      <c r="V33" s="842">
        <f>U33</f>
        <v/>
      </c>
      <c r="W33" s="842" t="n">
        <v>300000</v>
      </c>
      <c r="X33" s="842">
        <f>W33</f>
        <v/>
      </c>
      <c r="Y33" s="845">
        <f>W33/I33</f>
        <v/>
      </c>
      <c r="Z33" s="846">
        <f>SUM(W33-U33)/U33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I34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R34</f>
        <v/>
      </c>
      <c r="U34" s="842" t="n">
        <v>99700</v>
      </c>
      <c r="V34" s="842">
        <f>U34</f>
        <v/>
      </c>
      <c r="W34" s="842" t="n">
        <v>120400</v>
      </c>
      <c r="X34" s="842">
        <f>W34</f>
        <v/>
      </c>
      <c r="Y34" s="845">
        <f>W34/I34</f>
        <v/>
      </c>
      <c r="Z34" s="846">
        <f>SUM(W34-U34)/U34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I35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R35</f>
        <v/>
      </c>
      <c r="U35" s="842" t="n">
        <v>114700</v>
      </c>
      <c r="V35" s="842">
        <f>U35</f>
        <v/>
      </c>
      <c r="W35" s="842" t="n">
        <v>140100</v>
      </c>
      <c r="X35" s="842">
        <f>W35</f>
        <v/>
      </c>
      <c r="Y35" s="845">
        <f>W35/I35</f>
        <v/>
      </c>
      <c r="Z35" s="846">
        <f>SUM(W35-U35)/U35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I36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R36</f>
        <v/>
      </c>
      <c r="U36" s="842" t="n">
        <v>120700</v>
      </c>
      <c r="V36" s="842">
        <f>U36</f>
        <v/>
      </c>
      <c r="W36" s="842" t="n">
        <v>139260</v>
      </c>
      <c r="X36" s="842">
        <f>W36</f>
        <v/>
      </c>
      <c r="Y36" s="845">
        <f>W36/I36</f>
        <v/>
      </c>
      <c r="Z36" s="846">
        <f>SUM(W36-U36)/U36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I37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R37</f>
        <v/>
      </c>
      <c r="U37" s="842" t="n">
        <v>87300</v>
      </c>
      <c r="V37" s="842">
        <f>U37</f>
        <v/>
      </c>
      <c r="W37" s="842" t="n">
        <v>121240</v>
      </c>
      <c r="X37" s="842">
        <f>W37</f>
        <v/>
      </c>
      <c r="Y37" s="845">
        <f>W37/I37</f>
        <v/>
      </c>
      <c r="Z37" s="846">
        <f>SUM(W37-U37)/U37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I38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R38</f>
        <v/>
      </c>
      <c r="U38" s="842" t="n">
        <v>102705</v>
      </c>
      <c r="V38" s="842">
        <f>U38</f>
        <v/>
      </c>
      <c r="W38" s="842" t="n">
        <v>114100</v>
      </c>
      <c r="X38" s="842">
        <f>W38</f>
        <v/>
      </c>
      <c r="Y38" s="845">
        <f>W38/I38</f>
        <v/>
      </c>
      <c r="Z38" s="846">
        <f>SUM(W38-U38)/U38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I39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R39</f>
        <v/>
      </c>
      <c r="U39" s="842" t="n">
        <v>125050</v>
      </c>
      <c r="V39" s="842">
        <f>U39</f>
        <v/>
      </c>
      <c r="W39" s="842" t="n">
        <v>138700</v>
      </c>
      <c r="X39" s="842">
        <f>W39</f>
        <v/>
      </c>
      <c r="Y39" s="845">
        <f>W39/I39</f>
        <v/>
      </c>
      <c r="Z39" s="846">
        <f>SUM(W39-U39)/U39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I40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R40</f>
        <v/>
      </c>
      <c r="T40" s="842" t="n"/>
      <c r="U40" s="842" t="n">
        <v>90100</v>
      </c>
      <c r="V40" s="842">
        <f>U40</f>
        <v/>
      </c>
      <c r="W40" s="842" t="n">
        <v>104500</v>
      </c>
      <c r="X40" s="842">
        <f>W40</f>
        <v/>
      </c>
      <c r="Y40" s="845">
        <f>W40/I40</f>
        <v/>
      </c>
      <c r="Z40" s="846">
        <f>SUM(W40-U40)/U40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I41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R41</f>
        <v/>
      </c>
      <c r="U41" s="842" t="n">
        <v>115800</v>
      </c>
      <c r="V41" s="842">
        <f>U41</f>
        <v/>
      </c>
      <c r="W41" s="842" t="n">
        <v>132100</v>
      </c>
      <c r="X41" s="842">
        <f>W41</f>
        <v/>
      </c>
      <c r="Y41" s="845">
        <f>W41/I41</f>
        <v/>
      </c>
      <c r="Z41" s="846">
        <f>SUM(W41-U41)/U41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I42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R42</f>
        <v/>
      </c>
      <c r="U42" s="842" t="n">
        <v>107400</v>
      </c>
      <c r="V42" s="842">
        <f>U42</f>
        <v/>
      </c>
      <c r="W42" s="842" t="n">
        <v>124500</v>
      </c>
      <c r="X42" s="842">
        <f>W42</f>
        <v/>
      </c>
      <c r="Y42" s="845">
        <f>W42/I42</f>
        <v/>
      </c>
      <c r="Z42" s="846">
        <f>SUM(W42-U42)/U42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I43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R43</f>
        <v/>
      </c>
      <c r="U43" s="842" t="n">
        <v>76600</v>
      </c>
      <c r="V43" s="842">
        <f>U43</f>
        <v/>
      </c>
      <c r="W43" s="842" t="n">
        <v>103100</v>
      </c>
      <c r="X43" s="842">
        <f>W43</f>
        <v/>
      </c>
      <c r="Y43" s="845">
        <f>W43/I43</f>
        <v/>
      </c>
      <c r="Z43" s="846">
        <f>SUM(W43-U43)/U43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I44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R44</f>
        <v/>
      </c>
      <c r="U44" s="842" t="n">
        <v>66700</v>
      </c>
      <c r="V44" s="842">
        <f>U44</f>
        <v/>
      </c>
      <c r="W44" s="842" t="n">
        <v>78300</v>
      </c>
      <c r="X44" s="842">
        <f>W44</f>
        <v/>
      </c>
      <c r="Y44" s="845">
        <f>W44/I44</f>
        <v/>
      </c>
      <c r="Z44" s="846">
        <f>SUM(W44-U44)/U44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I45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R45</f>
        <v/>
      </c>
      <c r="U45" s="842" t="n">
        <v>65750</v>
      </c>
      <c r="V45" s="842">
        <f>U45</f>
        <v/>
      </c>
      <c r="W45" s="842" t="n">
        <v>53700</v>
      </c>
      <c r="X45" s="842">
        <f>W45</f>
        <v/>
      </c>
      <c r="Y45" s="845">
        <f>W45/I45</f>
        <v/>
      </c>
      <c r="Z45" s="846">
        <f>SUM(W45-U45)/U45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I46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R46</f>
        <v/>
      </c>
      <c r="T46" s="842" t="n"/>
      <c r="U46" s="842" t="n">
        <v>1460</v>
      </c>
      <c r="V46" s="842">
        <f>U46</f>
        <v/>
      </c>
      <c r="W46" s="842" t="n">
        <v>0</v>
      </c>
      <c r="X46" s="842">
        <f>W46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I47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R47</f>
        <v/>
      </c>
      <c r="U47" s="842" t="n">
        <v>0</v>
      </c>
      <c r="V47" s="842">
        <f>U47</f>
        <v/>
      </c>
      <c r="W47" s="842" t="n">
        <v>0</v>
      </c>
      <c r="X47" s="842">
        <f>W47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I48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R48</f>
        <v/>
      </c>
      <c r="U48" s="842" t="n">
        <v>337100</v>
      </c>
      <c r="V48" s="842">
        <f>U48</f>
        <v/>
      </c>
      <c r="W48" s="842" t="n">
        <v>380000</v>
      </c>
      <c r="X48" s="842">
        <f>W48</f>
        <v/>
      </c>
      <c r="Y48" s="845">
        <f>W48/I48</f>
        <v/>
      </c>
      <c r="Z48" s="846">
        <f>SUM(W48-U48)/U48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I49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R49</f>
        <v/>
      </c>
      <c r="U49" s="842" t="n">
        <v>107200</v>
      </c>
      <c r="V49" s="842">
        <f>U49</f>
        <v/>
      </c>
      <c r="W49" s="842" t="n">
        <v>114500</v>
      </c>
      <c r="X49" s="842">
        <f>W49</f>
        <v/>
      </c>
      <c r="Y49" s="845">
        <f>W49/I49</f>
        <v/>
      </c>
      <c r="Z49" s="846">
        <f>SUM(W49-U49)/U49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I50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R50</f>
        <v/>
      </c>
      <c r="U50" s="842" t="n">
        <v>105500</v>
      </c>
      <c r="V50" s="842">
        <f>U50</f>
        <v/>
      </c>
      <c r="W50" s="842" t="n">
        <v>109100</v>
      </c>
      <c r="X50" s="842">
        <f>W50</f>
        <v/>
      </c>
      <c r="Y50" s="845">
        <f>W50/I50</f>
        <v/>
      </c>
      <c r="Z50" s="846">
        <f>SUM(W50-U50)/U50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I51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R51</f>
        <v/>
      </c>
      <c r="U51" s="842" t="n">
        <v>108800</v>
      </c>
      <c r="V51" s="842">
        <f>U51</f>
        <v/>
      </c>
      <c r="W51" s="842" t="n">
        <v>108500</v>
      </c>
      <c r="X51" s="842">
        <f>W51</f>
        <v/>
      </c>
      <c r="Y51" s="845">
        <f>W51/I51</f>
        <v/>
      </c>
      <c r="Z51" s="846">
        <f>SUM(W51-U51)/U51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I52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R52</f>
        <v/>
      </c>
      <c r="U52" s="842" t="n">
        <v>94400</v>
      </c>
      <c r="V52" s="842">
        <f>U52</f>
        <v/>
      </c>
      <c r="W52" s="842" t="n">
        <v>97800</v>
      </c>
      <c r="X52" s="842">
        <f>W52</f>
        <v/>
      </c>
      <c r="Y52" s="845">
        <f>W52/I52</f>
        <v/>
      </c>
      <c r="Z52" s="846">
        <f>SUM(W52-U52)/U52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I53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R53</f>
        <v/>
      </c>
      <c r="U53" s="848" t="n">
        <v>61200</v>
      </c>
      <c r="V53" s="842">
        <f>U53</f>
        <v/>
      </c>
      <c r="W53" s="848" t="n">
        <v>57200</v>
      </c>
      <c r="X53" s="842">
        <f>W53</f>
        <v/>
      </c>
      <c r="Y53" s="845">
        <f>W53/I53</f>
        <v/>
      </c>
      <c r="Z53" s="846">
        <f>SUM(W53-U53)/U53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I54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R54</f>
        <v/>
      </c>
      <c r="U54" s="848" t="n">
        <v>625</v>
      </c>
      <c r="V54" s="842">
        <f>U54</f>
        <v/>
      </c>
      <c r="W54" s="848" t="n">
        <v>625</v>
      </c>
      <c r="X54" s="842">
        <f>W54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I55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R55</f>
        <v/>
      </c>
      <c r="T55" s="591">
        <f>S55</f>
        <v/>
      </c>
      <c r="U55" s="591" t="n">
        <v>580000</v>
      </c>
      <c r="V55" s="842">
        <f>U55</f>
        <v/>
      </c>
      <c r="W55" s="591" t="n">
        <v>607100</v>
      </c>
      <c r="X55" s="842">
        <f>W55</f>
        <v/>
      </c>
      <c r="Y55" s="845">
        <f>W55/I55</f>
        <v/>
      </c>
      <c r="Z55" s="846">
        <f>SUM(W55-U55)/U55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I56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R56</f>
        <v/>
      </c>
      <c r="U56" s="842" t="n">
        <v>750000</v>
      </c>
      <c r="V56" s="842">
        <f>U56</f>
        <v/>
      </c>
      <c r="W56" s="842" t="n">
        <v>650000</v>
      </c>
      <c r="X56" s="842">
        <f>W56</f>
        <v/>
      </c>
      <c r="Y56" s="845">
        <f>W56/I56</f>
        <v/>
      </c>
      <c r="Z56" s="846">
        <f>SUM(W56-U56)/U56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I57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R57</f>
        <v/>
      </c>
      <c r="U57" s="842" t="n">
        <v>170000</v>
      </c>
      <c r="V57" s="842">
        <f>U57</f>
        <v/>
      </c>
      <c r="W57" s="842" t="n">
        <v>185100</v>
      </c>
      <c r="X57" s="842">
        <f>W57</f>
        <v/>
      </c>
      <c r="Y57" s="845">
        <f>W57/I57</f>
        <v/>
      </c>
      <c r="Z57" s="846">
        <f>SUM(W57-U57)/U57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I58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R58</f>
        <v/>
      </c>
      <c r="T58" s="842" t="n"/>
      <c r="U58" s="842" t="n">
        <v>172000</v>
      </c>
      <c r="V58" s="842">
        <f>U58</f>
        <v/>
      </c>
      <c r="W58" s="842" t="n">
        <v>181600</v>
      </c>
      <c r="X58" s="842">
        <f>W58</f>
        <v/>
      </c>
      <c r="Y58" s="845">
        <f>W58/I58</f>
        <v/>
      </c>
      <c r="Z58" s="846">
        <f>SUM(W58-U58)/U58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I59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R59</f>
        <v/>
      </c>
      <c r="T59" s="842" t="n"/>
      <c r="U59" s="842" t="n">
        <v>80000</v>
      </c>
      <c r="V59" s="842">
        <f>U59</f>
        <v/>
      </c>
      <c r="W59" s="842" t="n">
        <v>80800</v>
      </c>
      <c r="X59" s="842">
        <f>W59</f>
        <v/>
      </c>
      <c r="Y59" s="845">
        <f>W59/I59</f>
        <v/>
      </c>
      <c r="Z59" s="846">
        <f>SUM(W59-U59)/U59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I60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R60</f>
        <v/>
      </c>
      <c r="U60" s="842" t="n">
        <v>25000</v>
      </c>
      <c r="V60" s="842">
        <f>U60</f>
        <v/>
      </c>
      <c r="W60" s="842" t="n">
        <v>25000</v>
      </c>
      <c r="X60" s="842">
        <f>W60</f>
        <v/>
      </c>
      <c r="Y60" s="845">
        <f>W60/I60</f>
        <v/>
      </c>
      <c r="Z60" s="846">
        <f>SUM(W60-U60)/U60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I61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R61</f>
        <v/>
      </c>
      <c r="U61" s="842" t="n">
        <v>11700</v>
      </c>
      <c r="V61" s="842">
        <f>U61</f>
        <v/>
      </c>
      <c r="W61" s="842" t="n">
        <v>11700</v>
      </c>
      <c r="X61" s="842">
        <f>W61</f>
        <v/>
      </c>
      <c r="Y61" s="845">
        <f>W61/I61</f>
        <v/>
      </c>
      <c r="Z61" s="846">
        <f>SUM(W61-U61)/U61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I62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R62</f>
        <v/>
      </c>
      <c r="U62" s="842" t="n">
        <v>55000</v>
      </c>
      <c r="V62" s="842">
        <f>U62</f>
        <v/>
      </c>
      <c r="W62" s="842" t="n">
        <v>55000</v>
      </c>
      <c r="X62" s="842">
        <f>W62</f>
        <v/>
      </c>
      <c r="Y62" s="845">
        <f>W62/I62</f>
        <v/>
      </c>
      <c r="Z62" s="846">
        <f>SUM(W62-U62)/U62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I63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R63</f>
        <v/>
      </c>
      <c r="U63" s="842" t="n">
        <v>29300</v>
      </c>
      <c r="V63" s="842">
        <f>U63</f>
        <v/>
      </c>
      <c r="W63" s="842" t="n">
        <v>29300</v>
      </c>
      <c r="X63" s="842">
        <f>W63</f>
        <v/>
      </c>
      <c r="Y63" s="845">
        <f>W63/I63</f>
        <v/>
      </c>
      <c r="Z63" s="846">
        <f>SUM(W63-U63)/U63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I64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R64</f>
        <v/>
      </c>
      <c r="U64" s="842" t="n">
        <v>15500</v>
      </c>
      <c r="V64" s="842">
        <f>U64</f>
        <v/>
      </c>
      <c r="W64" s="842" t="n">
        <v>15500</v>
      </c>
      <c r="X64" s="842">
        <f>W64</f>
        <v/>
      </c>
      <c r="Y64" s="845">
        <f>W64/I64</f>
        <v/>
      </c>
      <c r="Z64" s="846">
        <f>SUM(W64-U64)/U64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I65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R65</f>
        <v/>
      </c>
      <c r="U65" s="842" t="n">
        <v>22800</v>
      </c>
      <c r="V65" s="842">
        <f>U65</f>
        <v/>
      </c>
      <c r="W65" s="842" t="n">
        <v>22800</v>
      </c>
      <c r="X65" s="842">
        <f>W65</f>
        <v/>
      </c>
      <c r="Y65" s="845">
        <f>W65/I65</f>
        <v/>
      </c>
      <c r="Z65" s="846">
        <f>SUM(W65-U65)/U65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I66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R66</f>
        <v/>
      </c>
      <c r="U66" s="842" t="n">
        <v>15500</v>
      </c>
      <c r="V66" s="842">
        <f>U66</f>
        <v/>
      </c>
      <c r="W66" s="842" t="n">
        <v>15500</v>
      </c>
      <c r="X66" s="842">
        <f>W66</f>
        <v/>
      </c>
      <c r="Y66" s="845">
        <f>W66/I66</f>
        <v/>
      </c>
      <c r="Z66" s="846">
        <f>SUM(W66-U66)/U66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I67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R67</f>
        <v/>
      </c>
      <c r="U67" s="842" t="n">
        <v>22838</v>
      </c>
      <c r="V67" s="842">
        <f>U67</f>
        <v/>
      </c>
      <c r="W67" s="842" t="n">
        <v>22500</v>
      </c>
      <c r="X67" s="842">
        <f>W67</f>
        <v/>
      </c>
      <c r="Y67" s="845">
        <f>W67/I67</f>
        <v/>
      </c>
      <c r="Z67" s="846">
        <f>SUM(W67-U67)/U67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I68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R68</f>
        <v/>
      </c>
      <c r="U68" s="842" t="n">
        <v>10200</v>
      </c>
      <c r="V68" s="842">
        <f>U68</f>
        <v/>
      </c>
      <c r="W68" s="842" t="n">
        <v>10200</v>
      </c>
      <c r="X68" s="842">
        <f>W68</f>
        <v/>
      </c>
      <c r="Y68" s="845">
        <f>W68/I68</f>
        <v/>
      </c>
      <c r="Z68" s="846">
        <f>SUM(W68-U68)/U68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I69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R69</f>
        <v/>
      </c>
      <c r="U69" s="842" t="n">
        <v>21100</v>
      </c>
      <c r="V69" s="842">
        <f>U69</f>
        <v/>
      </c>
      <c r="W69" s="842" t="n">
        <v>21100</v>
      </c>
      <c r="X69" s="842">
        <f>W69</f>
        <v/>
      </c>
      <c r="Y69" s="845">
        <f>W69/I69</f>
        <v/>
      </c>
      <c r="Z69" s="846">
        <f>SUM(W69-U69)/U69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I70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R70</f>
        <v/>
      </c>
      <c r="U70" s="842" t="n">
        <v>210000</v>
      </c>
      <c r="V70" s="842">
        <f>U70</f>
        <v/>
      </c>
      <c r="W70" s="842" t="n">
        <v>227900</v>
      </c>
      <c r="X70" s="842">
        <f>W70</f>
        <v/>
      </c>
      <c r="Y70" s="845">
        <f>W70/I70</f>
        <v/>
      </c>
      <c r="Z70" s="846">
        <f>SUM(W70-U70)/U70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I71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R71</f>
        <v/>
      </c>
      <c r="U71" s="842" t="n">
        <v>86600</v>
      </c>
      <c r="V71" s="842">
        <f>U71</f>
        <v/>
      </c>
      <c r="W71" s="842" t="n">
        <v>93300</v>
      </c>
      <c r="X71" s="842">
        <f>W71</f>
        <v/>
      </c>
      <c r="Y71" s="845">
        <f>W71/I71</f>
        <v/>
      </c>
      <c r="Z71" s="846">
        <f>SUM(W71-U71)/U71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I72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R72</f>
        <v/>
      </c>
      <c r="U72" s="842" t="n">
        <v>88100</v>
      </c>
      <c r="V72" s="842">
        <f>U72</f>
        <v/>
      </c>
      <c r="W72" s="842" t="n">
        <v>93900</v>
      </c>
      <c r="X72" s="842">
        <f>W72</f>
        <v/>
      </c>
      <c r="Y72" s="845">
        <f>W72/I72</f>
        <v/>
      </c>
      <c r="Z72" s="846">
        <f>SUM(W72-U72)/U72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I73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R73</f>
        <v/>
      </c>
      <c r="U73" s="842" t="n">
        <v>83100</v>
      </c>
      <c r="V73" s="842">
        <f>U73</f>
        <v/>
      </c>
      <c r="W73" s="842" t="n">
        <v>91100</v>
      </c>
      <c r="X73" s="842">
        <f>W73</f>
        <v/>
      </c>
      <c r="Y73" s="845">
        <f>W73/I73</f>
        <v/>
      </c>
      <c r="Z73" s="846">
        <f>SUM(W73-U73)/U73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I74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R74</f>
        <v/>
      </c>
      <c r="U74" s="842" t="n">
        <v>83800</v>
      </c>
      <c r="V74" s="842">
        <f>U74</f>
        <v/>
      </c>
      <c r="W74" s="842" t="n">
        <v>90300</v>
      </c>
      <c r="X74" s="842">
        <f>W74</f>
        <v/>
      </c>
      <c r="Y74" s="845">
        <f>W74/I74</f>
        <v/>
      </c>
      <c r="Z74" s="846">
        <f>SUM(W74-U74)/U74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I75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R75</f>
        <v/>
      </c>
      <c r="U75" s="842" t="n">
        <v>165000</v>
      </c>
      <c r="V75" s="842">
        <f>U75</f>
        <v/>
      </c>
      <c r="W75" s="842" t="n">
        <v>165000</v>
      </c>
      <c r="X75" s="842">
        <f>W75</f>
        <v/>
      </c>
      <c r="Y75" s="845">
        <f>W75/I75</f>
        <v/>
      </c>
      <c r="Z75" s="846">
        <f>SUM(W75-U75)/U75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I76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R76</f>
        <v/>
      </c>
      <c r="U76" s="842" t="n">
        <v>220000</v>
      </c>
      <c r="V76" s="842">
        <f>U76</f>
        <v/>
      </c>
      <c r="W76" s="842" t="n">
        <v>220000</v>
      </c>
      <c r="X76" s="842">
        <f>W76</f>
        <v/>
      </c>
      <c r="Y76" s="845">
        <f>W76/I76</f>
        <v/>
      </c>
      <c r="Z76" s="846">
        <f>SUM(W76-U76)/U76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I77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R77</f>
        <v/>
      </c>
      <c r="U77" s="842" t="n">
        <v>72000</v>
      </c>
      <c r="V77" s="842">
        <f>U77</f>
        <v/>
      </c>
      <c r="W77" s="842" t="n">
        <v>72038</v>
      </c>
      <c r="X77" s="842">
        <f>W77</f>
        <v/>
      </c>
      <c r="Y77" s="845">
        <f>W77/I77</f>
        <v/>
      </c>
      <c r="Z77" s="846">
        <f>SUM(W77-U77)/U77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I78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R78</f>
        <v/>
      </c>
      <c r="U78" s="842" t="n">
        <v>42000</v>
      </c>
      <c r="V78" s="842">
        <f>U78</f>
        <v/>
      </c>
      <c r="W78" s="842" t="n">
        <v>41975</v>
      </c>
      <c r="X78" s="842">
        <f>W78</f>
        <v/>
      </c>
      <c r="Y78" s="845">
        <f>W78/I78</f>
        <v/>
      </c>
      <c r="Z78" s="846">
        <f>SUM(W78-U78)/U78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I79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R79</f>
        <v/>
      </c>
      <c r="U79" s="842" t="n">
        <v>42000</v>
      </c>
      <c r="V79" s="842">
        <f>U79</f>
        <v/>
      </c>
      <c r="W79" s="842" t="n">
        <v>41975</v>
      </c>
      <c r="X79" s="842">
        <f>W79</f>
        <v/>
      </c>
      <c r="Y79" s="845">
        <f>W79/I79</f>
        <v/>
      </c>
      <c r="Z79" s="846">
        <f>SUM(W79-U79)/U79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I80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R80</f>
        <v/>
      </c>
      <c r="U80" s="842" t="n">
        <v>42000</v>
      </c>
      <c r="V80" s="842">
        <f>U80</f>
        <v/>
      </c>
      <c r="W80" s="842" t="n">
        <v>41975</v>
      </c>
      <c r="X80" s="842">
        <f>W80</f>
        <v/>
      </c>
      <c r="Y80" s="845">
        <f>W80/I80</f>
        <v/>
      </c>
      <c r="Z80" s="846">
        <f>SUM(W80-U80)/U80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I81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R81</f>
        <v/>
      </c>
      <c r="U81" s="842" t="n">
        <v>61360</v>
      </c>
      <c r="V81" s="842">
        <f>U81</f>
        <v/>
      </c>
      <c r="W81" s="842" t="n">
        <v>63177</v>
      </c>
      <c r="X81" s="842">
        <f>W81</f>
        <v/>
      </c>
      <c r="Y81" s="845">
        <f>W81/I81</f>
        <v/>
      </c>
      <c r="Z81" s="846">
        <f>SUM(W81-U81)/U81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I82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R82</f>
        <v/>
      </c>
      <c r="T82" s="591">
        <f>S82</f>
        <v/>
      </c>
      <c r="U82" s="18" t="n">
        <v>106600</v>
      </c>
      <c r="V82" s="842">
        <f>U82</f>
        <v/>
      </c>
      <c r="W82" s="18" t="n">
        <v>102100</v>
      </c>
      <c r="X82" s="842">
        <f>W82</f>
        <v/>
      </c>
      <c r="Y82" s="845">
        <f>W82/I82</f>
        <v/>
      </c>
      <c r="Z82" s="846">
        <f>SUM(W82-U82)/U82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I83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R83</f>
        <v/>
      </c>
      <c r="U83" s="848" t="n">
        <v>215000</v>
      </c>
      <c r="V83" s="842">
        <f>U83</f>
        <v/>
      </c>
      <c r="W83" s="848" t="n">
        <v>215000</v>
      </c>
      <c r="X83" s="842">
        <f>W83</f>
        <v/>
      </c>
      <c r="Y83" s="845">
        <f>W83/I83</f>
        <v/>
      </c>
      <c r="Z83" s="846">
        <f>SUM(W83-U83)/U83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I84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R84</f>
        <v/>
      </c>
      <c r="U84" s="848" t="n">
        <v>109620</v>
      </c>
      <c r="V84" s="842">
        <f>U84</f>
        <v/>
      </c>
      <c r="W84" s="848" t="n">
        <v>123600</v>
      </c>
      <c r="X84" s="842">
        <f>W84</f>
        <v/>
      </c>
      <c r="Y84" s="845">
        <f>W84/I84</f>
        <v/>
      </c>
      <c r="Z84" s="846">
        <f>SUM(W84-U84)/U84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I85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R85</f>
        <v/>
      </c>
      <c r="U85" s="848" t="n">
        <v>79800</v>
      </c>
      <c r="V85" s="842">
        <f>U85</f>
        <v/>
      </c>
      <c r="W85" s="848" t="n">
        <v>93600</v>
      </c>
      <c r="X85" s="842">
        <f>W85</f>
        <v/>
      </c>
      <c r="Y85" s="845">
        <f>W85/I85</f>
        <v/>
      </c>
      <c r="Z85" s="846">
        <f>SUM(W85-U85)/U85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I86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R86</f>
        <v/>
      </c>
      <c r="U86" s="848" t="n">
        <v>79750</v>
      </c>
      <c r="V86" s="842">
        <f>U86</f>
        <v/>
      </c>
      <c r="W86" s="848" t="n">
        <v>93100</v>
      </c>
      <c r="X86" s="842">
        <f>W86</f>
        <v/>
      </c>
      <c r="Y86" s="845">
        <f>W86/I86</f>
        <v/>
      </c>
      <c r="Z86" s="846">
        <f>SUM(W86-U86)/U86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I87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R87</f>
        <v/>
      </c>
      <c r="U87" s="848" t="n">
        <v>79800</v>
      </c>
      <c r="V87" s="842">
        <f>U87</f>
        <v/>
      </c>
      <c r="W87" s="848" t="n">
        <v>96200</v>
      </c>
      <c r="X87" s="842">
        <f>W87</f>
        <v/>
      </c>
      <c r="Y87" s="845">
        <f>W87/I87</f>
        <v/>
      </c>
      <c r="Z87" s="846">
        <f>SUM(W87-U87)/U87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I88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R88</f>
        <v/>
      </c>
      <c r="U88" s="848" t="n">
        <v>39030</v>
      </c>
      <c r="V88" s="842">
        <f>U88</f>
        <v/>
      </c>
      <c r="W88" s="848" t="n">
        <v>49000</v>
      </c>
      <c r="X88" s="842">
        <f>W88</f>
        <v/>
      </c>
      <c r="Y88" s="845">
        <f>W88/I88</f>
        <v/>
      </c>
      <c r="Z88" s="846">
        <f>SUM(W88-U88)/U88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I89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R89</f>
        <v/>
      </c>
      <c r="U89" s="842" t="n">
        <v>76500</v>
      </c>
      <c r="V89" s="842">
        <f>U89</f>
        <v/>
      </c>
      <c r="W89" s="842" t="n">
        <v>76800</v>
      </c>
      <c r="X89" s="842">
        <f>W89</f>
        <v/>
      </c>
      <c r="Y89" s="845">
        <f>W89/I89</f>
        <v/>
      </c>
      <c r="Z89" s="846">
        <f>SUM(W89-U89)/U89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I90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R90</f>
        <v/>
      </c>
      <c r="U90" s="842" t="n">
        <v>81000</v>
      </c>
      <c r="V90" s="842">
        <f>U90</f>
        <v/>
      </c>
      <c r="W90" s="842" t="n">
        <v>97300</v>
      </c>
      <c r="X90" s="842">
        <f>W90</f>
        <v/>
      </c>
      <c r="Y90" s="845">
        <f>W90/I90</f>
        <v/>
      </c>
      <c r="Z90" s="846">
        <f>SUM(W90-U90)/U90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I91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R91</f>
        <v/>
      </c>
      <c r="U91" s="842" t="n">
        <v>189300</v>
      </c>
      <c r="V91" s="842">
        <f>U91</f>
        <v/>
      </c>
      <c r="W91" s="842" t="n">
        <v>189300</v>
      </c>
      <c r="X91" s="842">
        <f>W91</f>
        <v/>
      </c>
      <c r="Y91" s="845">
        <f>W91/I91</f>
        <v/>
      </c>
      <c r="Z91" s="846">
        <f>SUM(W91-U91)/U91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I92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R92</f>
        <v/>
      </c>
      <c r="U92" s="842" t="n">
        <v>55600</v>
      </c>
      <c r="V92" s="842">
        <f>U92</f>
        <v/>
      </c>
      <c r="W92" s="842" t="n">
        <v>59000</v>
      </c>
      <c r="X92" s="842">
        <f>W92</f>
        <v/>
      </c>
      <c r="Y92" s="845">
        <f>W92/I92</f>
        <v/>
      </c>
      <c r="Z92" s="846">
        <f>SUM(W92-U92)/U92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I93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R93</f>
        <v/>
      </c>
      <c r="U93" s="842" t="n">
        <v>29700</v>
      </c>
      <c r="V93" s="842">
        <f>U93</f>
        <v/>
      </c>
      <c r="W93" s="842" t="n">
        <v>30400</v>
      </c>
      <c r="X93" s="842">
        <f>W93</f>
        <v/>
      </c>
      <c r="Y93" s="845">
        <f>W93/I93</f>
        <v/>
      </c>
      <c r="Z93" s="846">
        <f>SUM(W93-U93)/U93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I94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R94</f>
        <v/>
      </c>
      <c r="U94" s="842" t="n">
        <v>15800</v>
      </c>
      <c r="V94" s="842">
        <f>U94</f>
        <v/>
      </c>
      <c r="W94" s="842" t="n">
        <v>16700</v>
      </c>
      <c r="X94" s="842">
        <f>W94</f>
        <v/>
      </c>
      <c r="Y94" s="845">
        <f>W94/I94</f>
        <v/>
      </c>
      <c r="Z94" s="846">
        <f>SUM(W94-U94)/U94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I95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R95</f>
        <v/>
      </c>
      <c r="U95" s="842" t="n">
        <v>15000</v>
      </c>
      <c r="V95" s="842">
        <f>U95</f>
        <v/>
      </c>
      <c r="W95" s="842" t="n">
        <v>18100</v>
      </c>
      <c r="X95" s="842">
        <f>W95</f>
        <v/>
      </c>
      <c r="Y95" s="845">
        <f>W95/I95</f>
        <v/>
      </c>
      <c r="Z95" s="846">
        <f>SUM(W95-U95)/U95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I96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R96</f>
        <v/>
      </c>
      <c r="U96" s="842" t="n">
        <v>15500</v>
      </c>
      <c r="V96" s="842">
        <f>U96</f>
        <v/>
      </c>
      <c r="W96" s="842" t="n">
        <v>17300</v>
      </c>
      <c r="X96" s="842">
        <f>W96</f>
        <v/>
      </c>
      <c r="Y96" s="845">
        <f>W96/I96</f>
        <v/>
      </c>
      <c r="Z96" s="846">
        <f>SUM(W96-U96)/U96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I97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R97</f>
        <v/>
      </c>
      <c r="U97" s="842" t="n">
        <v>15000</v>
      </c>
      <c r="V97" s="842">
        <f>U97</f>
        <v/>
      </c>
      <c r="W97" s="842" t="n">
        <v>15500</v>
      </c>
      <c r="X97" s="842">
        <f>W97</f>
        <v/>
      </c>
      <c r="Y97" s="845">
        <f>W97/I97</f>
        <v/>
      </c>
      <c r="Z97" s="846">
        <f>SUM(W97-U97)/U97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I98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R98</f>
        <v/>
      </c>
      <c r="U98" s="842" t="n">
        <v>39000</v>
      </c>
      <c r="V98" s="842">
        <f>U98</f>
        <v/>
      </c>
      <c r="W98" s="842" t="n">
        <v>39000</v>
      </c>
      <c r="X98" s="842">
        <f>W98</f>
        <v/>
      </c>
      <c r="Y98" s="845">
        <f>W98/I98</f>
        <v/>
      </c>
      <c r="Z98" s="846">
        <f>SUM(W98-U98)/U98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I99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R99</f>
        <v/>
      </c>
      <c r="U99" s="842" t="n">
        <v>17100</v>
      </c>
      <c r="V99" s="842">
        <f>U99</f>
        <v/>
      </c>
      <c r="W99" s="842" t="n">
        <v>17100</v>
      </c>
      <c r="X99" s="842">
        <f>W99</f>
        <v/>
      </c>
      <c r="Y99" s="845">
        <f>W99/I99</f>
        <v/>
      </c>
      <c r="Z99" s="846">
        <f>SUM(W99-U99)/U99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I100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R100</f>
        <v/>
      </c>
      <c r="U100" s="842" t="n">
        <v>17100</v>
      </c>
      <c r="V100" s="842">
        <f>U100</f>
        <v/>
      </c>
      <c r="W100" s="842" t="n">
        <v>17100</v>
      </c>
      <c r="X100" s="842">
        <f>W100</f>
        <v/>
      </c>
      <c r="Y100" s="845">
        <f>W100/I100</f>
        <v/>
      </c>
      <c r="Z100" s="846">
        <f>SUM(W100-U100)/U100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I101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R101</f>
        <v/>
      </c>
      <c r="U101" s="842" t="n">
        <v>16300</v>
      </c>
      <c r="V101" s="842">
        <f>U101</f>
        <v/>
      </c>
      <c r="W101" s="842" t="n">
        <v>16300</v>
      </c>
      <c r="X101" s="842">
        <f>W101</f>
        <v/>
      </c>
      <c r="Y101" s="845">
        <f>W101/I101</f>
        <v/>
      </c>
      <c r="Z101" s="846">
        <f>SUM(W101-U101)/U101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I102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R102</f>
        <v/>
      </c>
      <c r="U102" s="842" t="n">
        <v>34320</v>
      </c>
      <c r="V102" s="842">
        <f>U102</f>
        <v/>
      </c>
      <c r="W102" s="842" t="n">
        <v>34481</v>
      </c>
      <c r="X102" s="842">
        <f>W102</f>
        <v/>
      </c>
      <c r="Y102" s="845">
        <f>W102/I102</f>
        <v/>
      </c>
      <c r="Z102" s="846">
        <f>SUM(W102-U102)/U102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I103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R103</f>
        <v/>
      </c>
      <c r="U103" s="842" t="n">
        <v>12000</v>
      </c>
      <c r="V103" s="842">
        <f>U103</f>
        <v/>
      </c>
      <c r="W103" s="842" t="n">
        <v>12000</v>
      </c>
      <c r="X103" s="842">
        <f>W103</f>
        <v/>
      </c>
      <c r="Y103" s="845">
        <f>W103/I103</f>
        <v/>
      </c>
      <c r="Z103" s="846">
        <f>SUM(W103-U103)/U103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I104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R104</f>
        <v/>
      </c>
      <c r="U104" s="842" t="n">
        <v>18500</v>
      </c>
      <c r="V104" s="842">
        <f>U104</f>
        <v/>
      </c>
      <c r="W104" s="842" t="n">
        <v>18500</v>
      </c>
      <c r="X104" s="842">
        <f>W104</f>
        <v/>
      </c>
      <c r="Y104" s="845">
        <f>W104/I104</f>
        <v/>
      </c>
      <c r="Z104" s="846">
        <f>SUM(W104-U104)/U104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I105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R105</f>
        <v/>
      </c>
      <c r="U105" s="842" t="n">
        <v>17000</v>
      </c>
      <c r="V105" s="842">
        <f>U105</f>
        <v/>
      </c>
      <c r="W105" s="842" t="n">
        <v>17062</v>
      </c>
      <c r="X105" s="842">
        <f>W105</f>
        <v/>
      </c>
      <c r="Y105" s="845">
        <f>W105/I105</f>
        <v/>
      </c>
      <c r="Z105" s="846">
        <f>SUM(W105-U105)/U105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I106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R106</f>
        <v/>
      </c>
      <c r="U106" s="842" t="n">
        <v>17000</v>
      </c>
      <c r="V106" s="842">
        <f>U106</f>
        <v/>
      </c>
      <c r="W106" s="842" t="n">
        <v>16852</v>
      </c>
      <c r="X106" s="842">
        <f>W106</f>
        <v/>
      </c>
      <c r="Y106" s="845">
        <f>W106/I106</f>
        <v/>
      </c>
      <c r="Z106" s="846">
        <f>SUM(W106-U106)/U106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I107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R107</f>
        <v/>
      </c>
      <c r="U107" s="842" t="n">
        <v>25000</v>
      </c>
      <c r="V107" s="842">
        <f>U107</f>
        <v/>
      </c>
      <c r="W107" s="842" t="n">
        <v>25000</v>
      </c>
      <c r="X107" s="842">
        <f>W107</f>
        <v/>
      </c>
      <c r="Y107" s="845">
        <f>W107/I107</f>
        <v/>
      </c>
      <c r="Z107" s="846">
        <f>SUM(W107-U107)/U107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I108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R108</f>
        <v/>
      </c>
      <c r="U108" s="842" t="n">
        <v>20000</v>
      </c>
      <c r="V108" s="842">
        <f>U108</f>
        <v/>
      </c>
      <c r="W108" s="842" t="n">
        <v>20000</v>
      </c>
      <c r="X108" s="842">
        <f>W108</f>
        <v/>
      </c>
      <c r="Y108" s="845">
        <f>W108/I108</f>
        <v/>
      </c>
      <c r="Z108" s="846">
        <f>SUM(W108-U108)/U108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I109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R109</f>
        <v/>
      </c>
      <c r="U109" s="842" t="n">
        <v>90000</v>
      </c>
      <c r="V109" s="842">
        <f>U109</f>
        <v/>
      </c>
      <c r="W109" s="842" t="n">
        <v>85000</v>
      </c>
      <c r="X109" s="842">
        <f>W109</f>
        <v/>
      </c>
      <c r="Y109" s="845">
        <f>W109/I109</f>
        <v/>
      </c>
      <c r="Z109" s="846">
        <f>SUM(W109-U109)/U109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I110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R110</f>
        <v/>
      </c>
      <c r="T110" s="591">
        <f>S110</f>
        <v/>
      </c>
      <c r="U110" s="591" t="n">
        <v>90000</v>
      </c>
      <c r="V110" s="842">
        <f>U110</f>
        <v/>
      </c>
      <c r="W110" s="591" t="n">
        <v>90000</v>
      </c>
      <c r="X110" s="842">
        <f>W110</f>
        <v/>
      </c>
      <c r="Y110" s="845">
        <f>W110/I110</f>
        <v/>
      </c>
      <c r="Z110" s="846">
        <f>SUM(W110-U110)/U110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I111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R111</f>
        <v/>
      </c>
      <c r="U111" s="842" t="n">
        <v>100000</v>
      </c>
      <c r="V111" s="842">
        <f>U111</f>
        <v/>
      </c>
      <c r="W111" s="842" t="n">
        <v>100000</v>
      </c>
      <c r="X111" s="842">
        <f>W111</f>
        <v/>
      </c>
      <c r="Y111" s="845">
        <f>W111/I111</f>
        <v/>
      </c>
      <c r="Z111" s="846">
        <f>SUM(W111-U111)/U111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I112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R112</f>
        <v/>
      </c>
      <c r="U112" s="842" t="n">
        <v>58968</v>
      </c>
      <c r="V112" s="842">
        <f>U112</f>
        <v/>
      </c>
      <c r="W112" s="842" t="n">
        <v>58968</v>
      </c>
      <c r="X112" s="842">
        <f>W112</f>
        <v/>
      </c>
      <c r="Y112" s="845">
        <f>W112/I112</f>
        <v/>
      </c>
      <c r="Z112" s="846">
        <f>SUM(W112-U112)/U112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I113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R113</f>
        <v/>
      </c>
      <c r="U113" s="842" t="n">
        <v>71800</v>
      </c>
      <c r="V113" s="842">
        <f>U113</f>
        <v/>
      </c>
      <c r="W113" s="842" t="n">
        <v>100000</v>
      </c>
      <c r="X113" s="842">
        <f>W113</f>
        <v/>
      </c>
      <c r="Y113" s="845">
        <f>W113/I113</f>
        <v/>
      </c>
      <c r="Z113" s="846">
        <f>SUM(W113-U113)/U113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I114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R114</f>
        <v/>
      </c>
      <c r="U114" s="842" t="n">
        <v>78600</v>
      </c>
      <c r="V114" s="842">
        <f>U114</f>
        <v/>
      </c>
      <c r="W114" s="842" t="n">
        <v>96000</v>
      </c>
      <c r="X114" s="842">
        <f>W114</f>
        <v/>
      </c>
      <c r="Y114" s="845">
        <f>W114/I114</f>
        <v/>
      </c>
      <c r="Z114" s="846">
        <f>SUM(W114-U114)/U114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I115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R115</f>
        <v/>
      </c>
      <c r="U115" s="842" t="n">
        <v>121900</v>
      </c>
      <c r="V115" s="842">
        <f>U115</f>
        <v/>
      </c>
      <c r="W115" s="842" t="n">
        <v>133400</v>
      </c>
      <c r="X115" s="842">
        <f>W115</f>
        <v/>
      </c>
      <c r="Y115" s="845">
        <f>W115/I115</f>
        <v/>
      </c>
      <c r="Z115" s="846">
        <f>SUM(W115-U115)/U115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I116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R116</f>
        <v/>
      </c>
      <c r="U116" s="842" t="n">
        <v>121800</v>
      </c>
      <c r="V116" s="842">
        <f>U116</f>
        <v/>
      </c>
      <c r="W116" s="842" t="n">
        <v>130800</v>
      </c>
      <c r="X116" s="842">
        <f>W116</f>
        <v/>
      </c>
      <c r="Y116" s="845">
        <f>W116/I116</f>
        <v/>
      </c>
      <c r="Z116" s="846">
        <f>SUM(W116-U116)/U116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I117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R117</f>
        <v/>
      </c>
      <c r="U117" s="842" t="n">
        <v>121800</v>
      </c>
      <c r="V117" s="842">
        <f>U117</f>
        <v/>
      </c>
      <c r="W117" s="842" t="n">
        <v>137035</v>
      </c>
      <c r="X117" s="842">
        <f>W117</f>
        <v/>
      </c>
      <c r="Y117" s="845">
        <f>W117/I117</f>
        <v/>
      </c>
      <c r="Z117" s="846">
        <f>SUM(W117-U117)/U117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I118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R118</f>
        <v/>
      </c>
      <c r="U118" s="842" t="n">
        <v>117300</v>
      </c>
      <c r="V118" s="842">
        <f>U118</f>
        <v/>
      </c>
      <c r="W118" s="842" t="n">
        <v>130325</v>
      </c>
      <c r="X118" s="842">
        <f>W118</f>
        <v/>
      </c>
      <c r="Y118" s="845">
        <f>W118/I118</f>
        <v/>
      </c>
      <c r="Z118" s="846">
        <f>SUM(W118-U118)/U118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I119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R119</f>
        <v/>
      </c>
      <c r="U119" s="842" t="n">
        <v>100400</v>
      </c>
      <c r="V119" s="842">
        <f>U119</f>
        <v/>
      </c>
      <c r="W119" s="842" t="n">
        <v>99100</v>
      </c>
      <c r="X119" s="842">
        <f>W119</f>
        <v/>
      </c>
      <c r="Y119" s="845">
        <f>W119/I119</f>
        <v/>
      </c>
      <c r="Z119" s="846">
        <f>SUM(W119-U119)/U119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I120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R120</f>
        <v/>
      </c>
      <c r="U120" s="842" t="n">
        <v>50400</v>
      </c>
      <c r="V120" s="842">
        <f>U120</f>
        <v/>
      </c>
      <c r="W120" s="842" t="n">
        <v>63500</v>
      </c>
      <c r="X120" s="842">
        <f>W120</f>
        <v/>
      </c>
      <c r="Y120" s="845">
        <f>W120/I120</f>
        <v/>
      </c>
      <c r="Z120" s="846">
        <f>SUM(W120-U120)/U120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I121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R121</f>
        <v/>
      </c>
      <c r="U121" s="842" t="n">
        <v>13100</v>
      </c>
      <c r="V121" s="842">
        <f>U121</f>
        <v/>
      </c>
      <c r="W121" s="842" t="n">
        <v>14600</v>
      </c>
      <c r="X121" s="842">
        <f>W121</f>
        <v/>
      </c>
      <c r="Y121" s="845">
        <f>W121/I121</f>
        <v/>
      </c>
      <c r="Z121" s="846">
        <f>SUM(W121-U121)/U121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I122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R122</f>
        <v/>
      </c>
      <c r="U122" s="842" t="n">
        <v>48000</v>
      </c>
      <c r="V122" s="842">
        <f>U122</f>
        <v/>
      </c>
      <c r="W122" s="842" t="n">
        <v>48000</v>
      </c>
      <c r="X122" s="842">
        <f>W122</f>
        <v/>
      </c>
      <c r="Y122" s="845">
        <f>W122/I122</f>
        <v/>
      </c>
      <c r="Z122" s="846">
        <f>SUM(W122-U122)/U122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I123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R123</f>
        <v/>
      </c>
      <c r="U123" s="842" t="n">
        <v>28000</v>
      </c>
      <c r="V123" s="842">
        <f>U123</f>
        <v/>
      </c>
      <c r="W123" s="842" t="n">
        <v>27600</v>
      </c>
      <c r="X123" s="842">
        <f>W123</f>
        <v/>
      </c>
      <c r="Y123" s="845">
        <f>W123/I123</f>
        <v/>
      </c>
      <c r="Z123" s="846">
        <f>SUM(W123-U123)/U123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I124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R124</f>
        <v/>
      </c>
      <c r="U124" s="842" t="n">
        <v>73700</v>
      </c>
      <c r="V124" s="842">
        <f>U124</f>
        <v/>
      </c>
      <c r="W124" s="842" t="n">
        <v>75710</v>
      </c>
      <c r="X124" s="842">
        <f>W124</f>
        <v/>
      </c>
      <c r="Y124" s="845">
        <f>W124/I124</f>
        <v/>
      </c>
      <c r="Z124" s="846">
        <f>SUM(W124-U124)/U124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I125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R125</f>
        <v/>
      </c>
      <c r="U125" s="842" t="n">
        <v>28900</v>
      </c>
      <c r="V125" s="842">
        <f>U125</f>
        <v/>
      </c>
      <c r="W125" s="842" t="n">
        <v>29300</v>
      </c>
      <c r="X125" s="842">
        <f>W125</f>
        <v/>
      </c>
      <c r="Y125" s="845">
        <f>W125/I125</f>
        <v/>
      </c>
      <c r="Z125" s="846">
        <f>SUM(W125-U125)/U125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I126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R126</f>
        <v/>
      </c>
      <c r="U126" s="842" t="n">
        <v>79100</v>
      </c>
      <c r="V126" s="842">
        <f>U126</f>
        <v/>
      </c>
      <c r="W126" s="842" t="n">
        <v>80700</v>
      </c>
      <c r="X126" s="842">
        <f>W126</f>
        <v/>
      </c>
      <c r="Y126" s="845">
        <f>W126/I126</f>
        <v/>
      </c>
      <c r="Z126" s="846">
        <f>SUM(W126-U126)/U126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I127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R127</f>
        <v/>
      </c>
      <c r="T127" s="842" t="n"/>
      <c r="U127" s="842" t="n">
        <v>79600</v>
      </c>
      <c r="V127" s="842">
        <f>U127</f>
        <v/>
      </c>
      <c r="W127" s="842" t="n">
        <v>80700</v>
      </c>
      <c r="X127" s="842">
        <f>W127</f>
        <v/>
      </c>
      <c r="Y127" s="845">
        <f>W127/I127</f>
        <v/>
      </c>
      <c r="Z127" s="846">
        <f>SUM(W127-U127)/U127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I128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R128</f>
        <v/>
      </c>
      <c r="T128" s="842" t="n"/>
      <c r="U128" s="842" t="n">
        <v>78200</v>
      </c>
      <c r="V128" s="842">
        <f>U128</f>
        <v/>
      </c>
      <c r="W128" s="842" t="n">
        <v>76500</v>
      </c>
      <c r="X128" s="842">
        <f>W128</f>
        <v/>
      </c>
      <c r="Y128" s="845">
        <f>W128/I128</f>
        <v/>
      </c>
      <c r="Z128" s="846">
        <f>SUM(W128-U128)/U128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I129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R129</f>
        <v/>
      </c>
      <c r="U129" s="842" t="n">
        <v>75800</v>
      </c>
      <c r="V129" s="842">
        <f>U129</f>
        <v/>
      </c>
      <c r="W129" s="842" t="n">
        <v>75000</v>
      </c>
      <c r="X129" s="842">
        <f>W129</f>
        <v/>
      </c>
      <c r="Y129" s="845">
        <f>W129/I129</f>
        <v/>
      </c>
      <c r="Z129" s="846">
        <f>SUM(W129-U129)/U129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I130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R130</f>
        <v/>
      </c>
      <c r="U130" s="842" t="n">
        <v>113900</v>
      </c>
      <c r="V130" s="842">
        <f>U130</f>
        <v/>
      </c>
      <c r="W130" s="842" t="n">
        <v>116800</v>
      </c>
      <c r="X130" s="842">
        <f>W130</f>
        <v/>
      </c>
      <c r="Y130" s="845">
        <f>W130/I130</f>
        <v/>
      </c>
      <c r="Z130" s="846">
        <f>SUM(W130-U130)/U130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I131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R131</f>
        <v/>
      </c>
      <c r="U131" s="842" t="n">
        <v>153600</v>
      </c>
      <c r="V131" s="842">
        <f>U131</f>
        <v/>
      </c>
      <c r="W131" s="842" t="n">
        <v>151900</v>
      </c>
      <c r="X131" s="842">
        <f>W131</f>
        <v/>
      </c>
      <c r="Y131" s="845">
        <f>W131/I131</f>
        <v/>
      </c>
      <c r="Z131" s="846">
        <f>SUM(W131-U131)/U131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I132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R132</f>
        <v/>
      </c>
      <c r="U132" s="842" t="n">
        <v>310800</v>
      </c>
      <c r="V132" s="842">
        <f>U132</f>
        <v/>
      </c>
      <c r="W132" s="842" t="n">
        <v>316400</v>
      </c>
      <c r="X132" s="842">
        <f>W132</f>
        <v/>
      </c>
      <c r="Y132" s="845">
        <f>W132/I132</f>
        <v/>
      </c>
      <c r="Z132" s="846">
        <f>SUM(W132-U132)/U132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I133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R133</f>
        <v/>
      </c>
      <c r="U133" s="842" t="n">
        <v>152900</v>
      </c>
      <c r="V133" s="842">
        <f>U133</f>
        <v/>
      </c>
      <c r="W133" s="842" t="n">
        <v>157500</v>
      </c>
      <c r="X133" s="842">
        <f>W133</f>
        <v/>
      </c>
      <c r="Y133" s="845">
        <f>W133/I133</f>
        <v/>
      </c>
      <c r="Z133" s="846">
        <f>SUM(W133-U133)/U133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I134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R134</f>
        <v/>
      </c>
      <c r="U134" s="842" t="n">
        <v>141800</v>
      </c>
      <c r="V134" s="842">
        <f>U134</f>
        <v/>
      </c>
      <c r="W134" s="842" t="n">
        <v>142500</v>
      </c>
      <c r="X134" s="842">
        <f>W134</f>
        <v/>
      </c>
      <c r="Y134" s="845">
        <f>W134/I134</f>
        <v/>
      </c>
      <c r="Z134" s="846">
        <f>SUM(W134-U134)/U134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I135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R135</f>
        <v/>
      </c>
      <c r="U135" s="842" t="n">
        <v>80000</v>
      </c>
      <c r="V135" s="842">
        <f>U135</f>
        <v/>
      </c>
      <c r="W135" s="842" t="n">
        <v>70000</v>
      </c>
      <c r="X135" s="842">
        <f>W135</f>
        <v/>
      </c>
      <c r="Y135" s="845">
        <f>W135/I135</f>
        <v/>
      </c>
      <c r="Z135" s="846">
        <f>SUM(W135-U135)/U135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I136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R136</f>
        <v/>
      </c>
      <c r="U136" s="842" t="n">
        <v>115000</v>
      </c>
      <c r="V136" s="842">
        <f>U136</f>
        <v/>
      </c>
      <c r="W136" s="842" t="n">
        <v>115000</v>
      </c>
      <c r="X136" s="842">
        <f>W136</f>
        <v/>
      </c>
      <c r="Y136" s="845">
        <f>W136/I136</f>
        <v/>
      </c>
      <c r="Z136" s="846">
        <f>SUM(W136-U136)/U136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I137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R137</f>
        <v/>
      </c>
      <c r="U137" s="842" t="n">
        <v>91000</v>
      </c>
      <c r="V137" s="842">
        <f>U137</f>
        <v/>
      </c>
      <c r="W137" s="842" t="n">
        <v>115000</v>
      </c>
      <c r="X137" s="842">
        <f>W137</f>
        <v/>
      </c>
      <c r="Y137" s="845">
        <f>W137/I137</f>
        <v/>
      </c>
      <c r="Z137" s="846">
        <f>SUM(W137-U137)/U137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I138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R138</f>
        <v/>
      </c>
      <c r="U138" s="842" t="n">
        <v>230000</v>
      </c>
      <c r="V138" s="842">
        <f>U138</f>
        <v/>
      </c>
      <c r="W138" s="842" t="n">
        <v>230000</v>
      </c>
      <c r="X138" s="842">
        <f>W138</f>
        <v/>
      </c>
      <c r="Y138" s="845">
        <f>W138/I138</f>
        <v/>
      </c>
      <c r="Z138" s="846">
        <f>SUM(W138-U138)/U138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I139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R139</f>
        <v/>
      </c>
      <c r="U139" s="842" t="n">
        <v>87800</v>
      </c>
      <c r="V139" s="842">
        <f>U139</f>
        <v/>
      </c>
      <c r="W139" s="842" t="n">
        <v>90200</v>
      </c>
      <c r="X139" s="842">
        <f>W139</f>
        <v/>
      </c>
      <c r="Y139" s="845">
        <f>W139/I139</f>
        <v/>
      </c>
      <c r="Z139" s="846">
        <f>SUM(W139-U139)/U139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I140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R140</f>
        <v/>
      </c>
      <c r="U140" s="842" t="n">
        <v>151300</v>
      </c>
      <c r="V140" s="842">
        <f>U140</f>
        <v/>
      </c>
      <c r="W140" s="842" t="n">
        <v>178200</v>
      </c>
      <c r="X140" s="842">
        <f>W140</f>
        <v/>
      </c>
      <c r="Y140" s="845">
        <f>W140/I140</f>
        <v/>
      </c>
      <c r="Z140" s="846">
        <f>SUM(W140-U140)/U140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I141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R141</f>
        <v/>
      </c>
      <c r="U141" s="842" t="n">
        <v>54900</v>
      </c>
      <c r="V141" s="842">
        <f>U141</f>
        <v/>
      </c>
      <c r="W141" s="842" t="n">
        <v>30200</v>
      </c>
      <c r="X141" s="842">
        <f>W141</f>
        <v/>
      </c>
      <c r="Y141" s="845">
        <f>W141/I141</f>
        <v/>
      </c>
      <c r="Z141" s="846">
        <f>SUM(W141-U141)/U141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I142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R142</f>
        <v/>
      </c>
      <c r="U142" s="842" t="n">
        <v>193200</v>
      </c>
      <c r="V142" s="842">
        <f>U142</f>
        <v/>
      </c>
      <c r="W142" s="842" t="n">
        <v>209500</v>
      </c>
      <c r="X142" s="842">
        <f>W142</f>
        <v/>
      </c>
      <c r="Y142" s="845">
        <f>W142/I142</f>
        <v/>
      </c>
      <c r="Z142" s="846">
        <f>SUM(W142-U142)/U142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I143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R143</f>
        <v/>
      </c>
      <c r="U143" s="842" t="n">
        <v>52800</v>
      </c>
      <c r="V143" s="842">
        <f>U143</f>
        <v/>
      </c>
      <c r="W143" s="842" t="n">
        <v>56225</v>
      </c>
      <c r="X143" s="842">
        <f>W143</f>
        <v/>
      </c>
      <c r="Y143" s="845">
        <f>W143/I143</f>
        <v/>
      </c>
      <c r="Z143" s="846">
        <f>SUM(W143-U143)/U143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I144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R144</f>
        <v/>
      </c>
      <c r="U144" s="842" t="n">
        <v>264100</v>
      </c>
      <c r="V144" s="842">
        <f>U144</f>
        <v/>
      </c>
      <c r="W144" s="842" t="n">
        <v>271000</v>
      </c>
      <c r="X144" s="842">
        <f>W144</f>
        <v/>
      </c>
      <c r="Y144" s="845">
        <f>W144/I144</f>
        <v/>
      </c>
      <c r="Z144" s="846">
        <f>SUM(W144-U144)/U144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I145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R145</f>
        <v/>
      </c>
      <c r="U145" s="842" t="n">
        <v>255600</v>
      </c>
      <c r="V145" s="842">
        <f>U145</f>
        <v/>
      </c>
      <c r="W145" s="842" t="n">
        <v>304500</v>
      </c>
      <c r="X145" s="842">
        <f>W145</f>
        <v/>
      </c>
      <c r="Y145" s="845">
        <f>W145/I145</f>
        <v/>
      </c>
      <c r="Z145" s="846">
        <f>SUM(W145-U145)/U145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I146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R146</f>
        <v/>
      </c>
      <c r="U146" s="842" t="n">
        <v>196883</v>
      </c>
      <c r="V146" s="842">
        <f>U146</f>
        <v/>
      </c>
      <c r="W146" s="842" t="n">
        <v>230500</v>
      </c>
      <c r="X146" s="842">
        <f>W146</f>
        <v/>
      </c>
      <c r="Y146" s="845">
        <f>W146/I146</f>
        <v/>
      </c>
      <c r="Z146" s="846">
        <f>SUM(W146-U146)/U146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I147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R147</f>
        <v/>
      </c>
      <c r="U147" s="842" t="n">
        <v>135167</v>
      </c>
      <c r="V147" s="842">
        <f>U147</f>
        <v/>
      </c>
      <c r="W147" s="842" t="n">
        <v>152200</v>
      </c>
      <c r="X147" s="842">
        <f>W147</f>
        <v/>
      </c>
      <c r="Y147" s="845">
        <f>W147/I147</f>
        <v/>
      </c>
      <c r="Z147" s="846">
        <f>SUM(W147-U147)/U147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I148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R148</f>
        <v/>
      </c>
      <c r="U148" s="842" t="n">
        <v>26496</v>
      </c>
      <c r="V148" s="842">
        <f>U148</f>
        <v/>
      </c>
      <c r="W148" s="842" t="n">
        <v>26496</v>
      </c>
      <c r="X148" s="842">
        <f>W148</f>
        <v/>
      </c>
      <c r="Y148" s="845">
        <f>W148/I148</f>
        <v/>
      </c>
      <c r="Z148" s="846">
        <f>SUM(W148-U148)/U148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I149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R149</f>
        <v/>
      </c>
      <c r="T149" s="591">
        <f>S149</f>
        <v/>
      </c>
      <c r="U149" s="591" t="n">
        <v>94400</v>
      </c>
      <c r="V149" s="842">
        <f>U149</f>
        <v/>
      </c>
      <c r="W149" s="591" t="n">
        <v>94400</v>
      </c>
      <c r="X149" s="842">
        <f>W149</f>
        <v/>
      </c>
      <c r="Y149" s="845">
        <f>W149/I149</f>
        <v/>
      </c>
      <c r="Z149" s="846">
        <f>SUM(W149-U149)/U149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I150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R150</f>
        <v/>
      </c>
      <c r="U150" s="842" t="n">
        <v>41000</v>
      </c>
      <c r="V150" s="842">
        <f>U150</f>
        <v/>
      </c>
      <c r="W150" s="842" t="n">
        <v>41000</v>
      </c>
      <c r="X150" s="842">
        <f>W150</f>
        <v/>
      </c>
      <c r="Y150" s="845">
        <f>W150/I150</f>
        <v/>
      </c>
      <c r="Z150" s="846">
        <f>SUM(W150-U150)/U150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I151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R151</f>
        <v/>
      </c>
      <c r="U151" s="842" t="n">
        <v>58800</v>
      </c>
      <c r="V151" s="842">
        <f>U151</f>
        <v/>
      </c>
      <c r="W151" s="842" t="n">
        <v>58800</v>
      </c>
      <c r="X151" s="842">
        <f>W151</f>
        <v/>
      </c>
      <c r="Y151" s="845">
        <f>W151/I151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I152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R152</f>
        <v/>
      </c>
      <c r="T152" s="591">
        <f>S152</f>
        <v/>
      </c>
      <c r="U152" s="591" t="n">
        <v>0</v>
      </c>
      <c r="V152" s="842">
        <f>U152</f>
        <v/>
      </c>
      <c r="W152" s="591" t="n">
        <v>0</v>
      </c>
      <c r="X152" s="842">
        <f>W152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I153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R153</f>
        <v/>
      </c>
      <c r="T153" s="591">
        <f>S153</f>
        <v/>
      </c>
      <c r="U153" s="591" t="n">
        <v>0</v>
      </c>
      <c r="V153" s="842">
        <f>U153</f>
        <v/>
      </c>
      <c r="W153" s="591" t="n">
        <v>0</v>
      </c>
      <c r="X153" s="842">
        <f>W153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I154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R154</f>
        <v/>
      </c>
      <c r="T154" s="591">
        <f>S154</f>
        <v/>
      </c>
      <c r="U154" s="591" t="n">
        <v>27000</v>
      </c>
      <c r="V154" s="842">
        <f>U154</f>
        <v/>
      </c>
      <c r="W154" s="591" t="n">
        <v>27000</v>
      </c>
      <c r="X154" s="842">
        <f>W154</f>
        <v/>
      </c>
      <c r="Y154" s="842" t="n"/>
      <c r="Z154" s="846">
        <f>SUM(W154-U154)/U154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I155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R155</f>
        <v/>
      </c>
      <c r="U155" s="842" t="n">
        <v>45700</v>
      </c>
      <c r="V155" s="842">
        <f>U155</f>
        <v/>
      </c>
      <c r="W155" s="842" t="n">
        <v>47800</v>
      </c>
      <c r="X155" s="842">
        <f>W155</f>
        <v/>
      </c>
      <c r="Y155" s="845">
        <f>W155/I155</f>
        <v/>
      </c>
      <c r="Z155" s="846">
        <f>SUM(W155-U155)/U155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I156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R156</f>
        <v/>
      </c>
      <c r="U156" s="842" t="n">
        <v>0</v>
      </c>
      <c r="V156" s="842">
        <f>U156</f>
        <v/>
      </c>
      <c r="W156" s="842" t="n">
        <v>0</v>
      </c>
      <c r="X156" s="842">
        <f>W156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I157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R157</f>
        <v/>
      </c>
      <c r="U157" s="842" t="n">
        <v>35400</v>
      </c>
      <c r="V157" s="842">
        <f>U157</f>
        <v/>
      </c>
      <c r="W157" s="842" t="n">
        <v>35000</v>
      </c>
      <c r="X157" s="842">
        <f>W157</f>
        <v/>
      </c>
      <c r="Y157" s="845">
        <f>W157/I157</f>
        <v/>
      </c>
      <c r="Z157" s="846">
        <f>SUM(W157-U157)/U157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I158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R158</f>
        <v/>
      </c>
      <c r="U158" s="842" t="n">
        <v>32000</v>
      </c>
      <c r="V158" s="842">
        <f>U158</f>
        <v/>
      </c>
      <c r="W158" s="842" t="n">
        <v>21000</v>
      </c>
      <c r="X158" s="842">
        <f>W158</f>
        <v/>
      </c>
      <c r="Y158" s="845">
        <f>W158/I158</f>
        <v/>
      </c>
      <c r="Z158" s="846">
        <f>SUM(W158-U158)/U158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I159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R159</f>
        <v/>
      </c>
      <c r="U159" s="842" t="n">
        <v>148600</v>
      </c>
      <c r="V159" s="842">
        <f>U159</f>
        <v/>
      </c>
      <c r="W159" s="842" t="n">
        <v>148590</v>
      </c>
      <c r="X159" s="842">
        <f>W159</f>
        <v/>
      </c>
      <c r="Y159" s="845">
        <f>W159/I159</f>
        <v/>
      </c>
      <c r="Z159" s="846">
        <f>SUM(W159-U159)/U159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I160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R160</f>
        <v/>
      </c>
      <c r="U160" s="842" t="n">
        <v>218300</v>
      </c>
      <c r="V160" s="842">
        <f>U160</f>
        <v/>
      </c>
      <c r="W160" s="842" t="n">
        <v>218325</v>
      </c>
      <c r="X160" s="842">
        <f>W160</f>
        <v/>
      </c>
      <c r="Y160" s="845">
        <f>W160/I160</f>
        <v/>
      </c>
      <c r="Z160" s="846">
        <f>SUM(W160-U160)/U160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I161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R161</f>
        <v/>
      </c>
      <c r="U161" s="842" t="n">
        <v>92300</v>
      </c>
      <c r="V161" s="842">
        <f>U161</f>
        <v/>
      </c>
      <c r="W161" s="842" t="n">
        <v>92250</v>
      </c>
      <c r="X161" s="842">
        <f>W161</f>
        <v/>
      </c>
      <c r="Y161" s="845">
        <f>W161/I161</f>
        <v/>
      </c>
      <c r="Z161" s="846">
        <f>SUM(W161-U161)/U161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I162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R162</f>
        <v/>
      </c>
      <c r="U162" s="842" t="n">
        <v>8120</v>
      </c>
      <c r="V162" s="842">
        <f>U162</f>
        <v/>
      </c>
      <c r="W162" s="842" t="n">
        <v>8000</v>
      </c>
      <c r="X162" s="842">
        <f>W162</f>
        <v/>
      </c>
      <c r="Y162" s="845">
        <f>W162/I162</f>
        <v/>
      </c>
      <c r="Z162" s="846">
        <f>SUM(W162-U162)/U162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I163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R163</f>
        <v/>
      </c>
      <c r="U163" s="842" t="n">
        <v>72100</v>
      </c>
      <c r="V163" s="842">
        <f>U163</f>
        <v/>
      </c>
      <c r="W163" s="842" t="n">
        <v>66100</v>
      </c>
      <c r="X163" s="842">
        <f>W163</f>
        <v/>
      </c>
      <c r="Y163" s="845">
        <f>W163/I163</f>
        <v/>
      </c>
      <c r="Z163" s="846">
        <f>SUM(W163-U163)/U163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I164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R164</f>
        <v/>
      </c>
      <c r="U164" s="842" t="n">
        <v>129800</v>
      </c>
      <c r="V164" s="842">
        <f>U164</f>
        <v/>
      </c>
      <c r="W164" s="842" t="n">
        <v>140315</v>
      </c>
      <c r="X164" s="842">
        <f>W164</f>
        <v/>
      </c>
      <c r="Y164" s="845">
        <f>W164/I164</f>
        <v/>
      </c>
      <c r="Z164" s="846">
        <f>SUM(W164-U164)/U164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I165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R165</f>
        <v/>
      </c>
      <c r="U165" s="842" t="n">
        <v>1000</v>
      </c>
      <c r="V165" s="842">
        <f>U165</f>
        <v/>
      </c>
      <c r="W165" s="842" t="n">
        <v>1000</v>
      </c>
      <c r="X165" s="842">
        <f>W165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I166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R166</f>
        <v/>
      </c>
      <c r="U166" s="842" t="n">
        <v>70000</v>
      </c>
      <c r="V166" s="842">
        <f>U166</f>
        <v/>
      </c>
      <c r="W166" s="842" t="n">
        <v>70000</v>
      </c>
      <c r="X166" s="842">
        <f>W166</f>
        <v/>
      </c>
      <c r="Y166" s="845">
        <f>W166/I166</f>
        <v/>
      </c>
      <c r="Z166" s="846">
        <f>SUM(W166-U166)/U166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I167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R167</f>
        <v/>
      </c>
      <c r="U167" s="842" t="n">
        <v>117100</v>
      </c>
      <c r="V167" s="842">
        <f>U167</f>
        <v/>
      </c>
      <c r="W167" s="842" t="n">
        <v>117100</v>
      </c>
      <c r="X167" s="842">
        <f>W167</f>
        <v/>
      </c>
      <c r="Y167" s="845">
        <f>W167/I167</f>
        <v/>
      </c>
      <c r="Z167" s="846">
        <f>SUM(W167-U167)/U167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I168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R168</f>
        <v/>
      </c>
      <c r="U168" s="842" t="n">
        <v>146900</v>
      </c>
      <c r="V168" s="842">
        <f>U168</f>
        <v/>
      </c>
      <c r="W168" s="842" t="n">
        <v>152100</v>
      </c>
      <c r="X168" s="842">
        <f>W168</f>
        <v/>
      </c>
      <c r="Y168" s="845">
        <f>W168/I168</f>
        <v/>
      </c>
      <c r="Z168" s="846">
        <f>SUM(W168-U168)/U168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I169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R169</f>
        <v/>
      </c>
      <c r="U169" s="842" t="n">
        <v>572700</v>
      </c>
      <c r="V169" s="842">
        <f>U169</f>
        <v/>
      </c>
      <c r="W169" s="842" t="n">
        <v>589700</v>
      </c>
      <c r="X169" s="842">
        <f>W169</f>
        <v/>
      </c>
      <c r="Y169" s="845">
        <f>W169/I169</f>
        <v/>
      </c>
      <c r="Z169" s="846">
        <f>SUM(W169-U169)/U169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I170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R170</f>
        <v/>
      </c>
      <c r="U170" s="842" t="n">
        <v>41700</v>
      </c>
      <c r="V170" s="842">
        <f>U170</f>
        <v/>
      </c>
      <c r="W170" s="842" t="n">
        <v>45000</v>
      </c>
      <c r="X170" s="842">
        <f>W170</f>
        <v/>
      </c>
      <c r="Y170" s="845">
        <f>W170/I170</f>
        <v/>
      </c>
      <c r="Z170" s="846">
        <f>SUM(W170-U170)/U170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I171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R171</f>
        <v/>
      </c>
      <c r="U171" s="842" t="n">
        <v>24900</v>
      </c>
      <c r="V171" s="842">
        <f>U171</f>
        <v/>
      </c>
      <c r="W171" s="842" t="n">
        <v>24900</v>
      </c>
      <c r="X171" s="842">
        <f>W171</f>
        <v/>
      </c>
      <c r="Y171" s="845">
        <f>W171/I171</f>
        <v/>
      </c>
      <c r="Z171" s="846">
        <f>SUM(W171-U171)/U171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I172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R172</f>
        <v/>
      </c>
      <c r="U172" s="842" t="n">
        <v>24000</v>
      </c>
      <c r="V172" s="842">
        <f>U172</f>
        <v/>
      </c>
      <c r="W172" s="842" t="n">
        <v>24000</v>
      </c>
      <c r="X172" s="842">
        <f>W172</f>
        <v/>
      </c>
      <c r="Y172" s="845">
        <f>W172/I172</f>
        <v/>
      </c>
      <c r="Z172" s="846">
        <f>SUM(W172-U172)/U172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I173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R173</f>
        <v/>
      </c>
      <c r="U173" s="842" t="n">
        <v>19300</v>
      </c>
      <c r="V173" s="842">
        <f>U173</f>
        <v/>
      </c>
      <c r="W173" s="842" t="n">
        <v>19300</v>
      </c>
      <c r="X173" s="842">
        <f>W173</f>
        <v/>
      </c>
      <c r="Y173" s="845">
        <f>W173/I173</f>
        <v/>
      </c>
      <c r="Z173" s="846">
        <f>SUM(W173-U173)/U173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I174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R174</f>
        <v/>
      </c>
      <c r="U174" s="842" t="n">
        <v>126900</v>
      </c>
      <c r="V174" s="842">
        <f>U174</f>
        <v/>
      </c>
      <c r="W174" s="842" t="n">
        <v>141000</v>
      </c>
      <c r="X174" s="842">
        <f>W174</f>
        <v/>
      </c>
      <c r="Y174" s="845">
        <f>W174/I174</f>
        <v/>
      </c>
      <c r="Z174" s="846">
        <f>SUM(W174-U174)/U174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I175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R175</f>
        <v/>
      </c>
      <c r="U175" s="842" t="n">
        <v>70500</v>
      </c>
      <c r="V175" s="842">
        <f>U175</f>
        <v/>
      </c>
      <c r="W175" s="842" t="n">
        <v>70500</v>
      </c>
      <c r="X175" s="842">
        <f>W175</f>
        <v/>
      </c>
      <c r="Y175" s="845">
        <f>W175/I175</f>
        <v/>
      </c>
      <c r="Z175" s="846">
        <f>SUM(W175-U175)/U175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I176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R176</f>
        <v/>
      </c>
      <c r="U176" s="842" t="n">
        <v>71000</v>
      </c>
      <c r="V176" s="842">
        <f>U176</f>
        <v/>
      </c>
      <c r="W176" s="842" t="n">
        <v>71000</v>
      </c>
      <c r="X176" s="842">
        <f>W176</f>
        <v/>
      </c>
      <c r="Y176" s="845">
        <f>W176/I176</f>
        <v/>
      </c>
      <c r="Z176" s="846">
        <f>SUM(W176-U176)/U176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I177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R177</f>
        <v/>
      </c>
      <c r="U177" s="842" t="n">
        <v>63100</v>
      </c>
      <c r="V177" s="842">
        <f>U177</f>
        <v/>
      </c>
      <c r="W177" s="842" t="n">
        <v>63100</v>
      </c>
      <c r="X177" s="842">
        <f>W177</f>
        <v/>
      </c>
      <c r="Y177" s="845">
        <f>W177/I177</f>
        <v/>
      </c>
      <c r="Z177" s="846">
        <f>SUM(W177-U177)/U177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I178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R178</f>
        <v/>
      </c>
      <c r="T178" s="591">
        <f>S178</f>
        <v/>
      </c>
      <c r="U178" s="591" t="n">
        <v>715000</v>
      </c>
      <c r="V178" s="842">
        <f>U178</f>
        <v/>
      </c>
      <c r="W178" s="591" t="n">
        <v>715000</v>
      </c>
      <c r="X178" s="842">
        <f>W178</f>
        <v/>
      </c>
      <c r="Y178" s="845">
        <f>W178/I178</f>
        <v/>
      </c>
      <c r="Z178" s="846">
        <f>SUM(W178-U178)/U178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I179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R179</f>
        <v/>
      </c>
      <c r="T179" s="591">
        <f>S179</f>
        <v/>
      </c>
      <c r="U179" s="591" t="n">
        <v>266600</v>
      </c>
      <c r="V179" s="842">
        <f>U179</f>
        <v/>
      </c>
      <c r="W179" s="591" t="n">
        <v>315000</v>
      </c>
      <c r="X179" s="842">
        <f>W179</f>
        <v/>
      </c>
      <c r="Y179" s="845">
        <f>W179/I179</f>
        <v/>
      </c>
      <c r="Z179" s="846">
        <f>SUM(W179-U179)/U179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I180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R180</f>
        <v/>
      </c>
      <c r="U180" s="842" t="n">
        <v>2000</v>
      </c>
      <c r="V180" s="842">
        <f>U180</f>
        <v/>
      </c>
      <c r="W180" s="842" t="n">
        <v>2000</v>
      </c>
      <c r="X180" s="842">
        <f>W180</f>
        <v/>
      </c>
      <c r="Y180" s="845">
        <f>W180/I180</f>
        <v/>
      </c>
      <c r="Z180" s="846">
        <f>SUM(W180-U180)/U180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I181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R181</f>
        <v/>
      </c>
      <c r="U181" s="842" t="n">
        <v>17500</v>
      </c>
      <c r="V181" s="842">
        <f>U181</f>
        <v/>
      </c>
      <c r="W181" s="842" t="n">
        <v>26200</v>
      </c>
      <c r="X181" s="842">
        <f>W181</f>
        <v/>
      </c>
      <c r="Y181" s="845">
        <f>W181/I181</f>
        <v/>
      </c>
      <c r="Z181" s="846">
        <f>SUM(W181-U181)/U181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I182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R182</f>
        <v/>
      </c>
      <c r="U182" s="842" t="n">
        <v>12500</v>
      </c>
      <c r="V182" s="842">
        <f>U182</f>
        <v/>
      </c>
      <c r="W182" s="842" t="n">
        <v>18700</v>
      </c>
      <c r="X182" s="842">
        <f>W182</f>
        <v/>
      </c>
      <c r="Y182" s="845">
        <f>W182/I182</f>
        <v/>
      </c>
      <c r="Z182" s="846">
        <f>SUM(W182-U182)/U182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I183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R183</f>
        <v/>
      </c>
      <c r="U183" s="842" t="n">
        <v>86100</v>
      </c>
      <c r="V183" s="842">
        <f>U183</f>
        <v/>
      </c>
      <c r="W183" s="842" t="n">
        <v>89800</v>
      </c>
      <c r="X183" s="842">
        <f>W183</f>
        <v/>
      </c>
      <c r="Y183" s="845">
        <f>W183/I183</f>
        <v/>
      </c>
      <c r="Z183" s="846">
        <f>SUM(W183-U183)/U183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I184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R184</f>
        <v/>
      </c>
      <c r="U184" s="842" t="n">
        <v>89300</v>
      </c>
      <c r="V184" s="842">
        <f>U184</f>
        <v/>
      </c>
      <c r="W184" s="842" t="n">
        <v>93200</v>
      </c>
      <c r="X184" s="842">
        <f>W184</f>
        <v/>
      </c>
      <c r="Y184" s="845">
        <f>W184/I184</f>
        <v/>
      </c>
      <c r="Z184" s="846">
        <f>SUM(W184-U184)/U184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I185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R185</f>
        <v/>
      </c>
      <c r="U185" s="842" t="n">
        <v>86700</v>
      </c>
      <c r="V185" s="842">
        <f>U185</f>
        <v/>
      </c>
      <c r="W185" s="842" t="n">
        <v>90300</v>
      </c>
      <c r="X185" s="842">
        <f>W185</f>
        <v/>
      </c>
      <c r="Y185" s="845">
        <f>W185/I185</f>
        <v/>
      </c>
      <c r="Z185" s="846">
        <f>SUM(W185-U185)/U185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I186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R186</f>
        <v/>
      </c>
      <c r="U186" s="842" t="n">
        <v>72000</v>
      </c>
      <c r="V186" s="842">
        <f>U186</f>
        <v/>
      </c>
      <c r="W186" s="842" t="n">
        <v>75000</v>
      </c>
      <c r="X186" s="842">
        <f>W186</f>
        <v/>
      </c>
      <c r="Y186" s="845">
        <f>W186/I186</f>
        <v/>
      </c>
      <c r="Z186" s="846">
        <f>SUM(W186-U186)/U186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I187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R187</f>
        <v/>
      </c>
      <c r="U187" s="842" t="n">
        <v>22400</v>
      </c>
      <c r="V187" s="842">
        <f>U187</f>
        <v/>
      </c>
      <c r="W187" s="842" t="n">
        <v>23300</v>
      </c>
      <c r="X187" s="842">
        <f>W187</f>
        <v/>
      </c>
      <c r="Y187" s="845">
        <f>W187/I187</f>
        <v/>
      </c>
      <c r="Z187" s="846">
        <f>SUM(W187-U187)/U187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I188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R188</f>
        <v/>
      </c>
      <c r="U188" s="842" t="n">
        <v>20800</v>
      </c>
      <c r="V188" s="842">
        <f>U188</f>
        <v/>
      </c>
      <c r="W188" s="842" t="n">
        <v>21600</v>
      </c>
      <c r="X188" s="842">
        <f>W188</f>
        <v/>
      </c>
      <c r="Y188" s="845">
        <f>W188/I188</f>
        <v/>
      </c>
      <c r="Z188" s="846">
        <f>SUM(W188-U188)/U188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I189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R189</f>
        <v/>
      </c>
      <c r="U189" s="842" t="n">
        <v>450500</v>
      </c>
      <c r="V189" s="842">
        <f>U189</f>
        <v/>
      </c>
      <c r="W189" s="842" t="n">
        <v>495300</v>
      </c>
      <c r="X189" s="842">
        <f>W189</f>
        <v/>
      </c>
      <c r="Y189" s="845">
        <f>W189/I189</f>
        <v/>
      </c>
      <c r="Z189" s="846">
        <f>SUM(W189-U189)/U189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I190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R190</f>
        <v/>
      </c>
      <c r="U190" s="842" t="n">
        <v>1100</v>
      </c>
      <c r="V190" s="842">
        <f>U190</f>
        <v/>
      </c>
      <c r="W190" s="842" t="n">
        <v>1100</v>
      </c>
      <c r="X190" s="842">
        <f>W190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I191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R191</f>
        <v/>
      </c>
      <c r="T191" s="591">
        <f>S191</f>
        <v/>
      </c>
      <c r="U191" s="591" t="n">
        <v>350000</v>
      </c>
      <c r="V191" s="842">
        <f>U191</f>
        <v/>
      </c>
      <c r="W191" s="591" t="n">
        <v>350000</v>
      </c>
      <c r="X191" s="842">
        <f>W191</f>
        <v/>
      </c>
      <c r="Y191" s="845">
        <f>W191/I191</f>
        <v/>
      </c>
      <c r="Z191" s="846">
        <f>SUM(W191-U191)/U191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I192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R192</f>
        <v/>
      </c>
      <c r="T192" s="591" t="n"/>
      <c r="U192" s="842" t="n">
        <v>258600</v>
      </c>
      <c r="V192" s="842">
        <f>U192</f>
        <v/>
      </c>
      <c r="W192" s="842" t="n">
        <v>282288</v>
      </c>
      <c r="X192" s="842">
        <f>W192</f>
        <v/>
      </c>
      <c r="Y192" s="845">
        <f>W192/I192</f>
        <v/>
      </c>
      <c r="Z192" s="846">
        <f>SUM(W192-U192)/U192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I193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R193</f>
        <v/>
      </c>
      <c r="T193" s="591" t="n"/>
      <c r="U193" s="842" t="n">
        <v>152400</v>
      </c>
      <c r="V193" s="842">
        <f>U193</f>
        <v/>
      </c>
      <c r="W193" s="842" t="n">
        <v>152400</v>
      </c>
      <c r="X193" s="842">
        <f>W193</f>
        <v/>
      </c>
      <c r="Y193" s="845">
        <f>W193/I193</f>
        <v/>
      </c>
      <c r="Z193" s="846">
        <f>SUM(W193-U193)/U193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I194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R194</f>
        <v/>
      </c>
      <c r="T194" s="591" t="n"/>
      <c r="U194" s="842" t="n">
        <v>158800</v>
      </c>
      <c r="V194" s="842">
        <f>U194</f>
        <v/>
      </c>
      <c r="W194" s="842" t="n">
        <v>159800</v>
      </c>
      <c r="X194" s="842">
        <f>W194</f>
        <v/>
      </c>
      <c r="Y194" s="845">
        <f>W194/I194</f>
        <v/>
      </c>
      <c r="Z194" s="846">
        <f>SUM(W194-U194)/U194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I195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R195</f>
        <v/>
      </c>
      <c r="T195" s="591" t="n"/>
      <c r="U195" s="842" t="n">
        <v>314300</v>
      </c>
      <c r="V195" s="842">
        <f>U195</f>
        <v/>
      </c>
      <c r="W195" s="842" t="n">
        <v>311300</v>
      </c>
      <c r="X195" s="842">
        <f>W195</f>
        <v/>
      </c>
      <c r="Y195" s="845">
        <f>W195/I195</f>
        <v/>
      </c>
      <c r="Z195" s="846">
        <f>SUM(W195-U195)/U195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I196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R196</f>
        <v/>
      </c>
      <c r="T196" s="591" t="n"/>
      <c r="U196" s="842" t="n">
        <v>138500</v>
      </c>
      <c r="V196" s="842">
        <f>U196</f>
        <v/>
      </c>
      <c r="W196" s="842" t="n">
        <v>140700</v>
      </c>
      <c r="X196" s="842">
        <f>W196</f>
        <v/>
      </c>
      <c r="Y196" s="845">
        <f>W196/I196</f>
        <v/>
      </c>
      <c r="Z196" s="846">
        <f>SUM(W196-U196)/U196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I197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R197</f>
        <v/>
      </c>
      <c r="U197" s="842" t="n">
        <v>53800</v>
      </c>
      <c r="V197" s="842">
        <f>U197</f>
        <v/>
      </c>
      <c r="W197" s="842" t="n">
        <v>54000</v>
      </c>
      <c r="X197" s="842">
        <f>W197</f>
        <v/>
      </c>
      <c r="Y197" s="845">
        <f>W197/I197</f>
        <v/>
      </c>
      <c r="Z197" s="846">
        <f>SUM(W197-U197)/U197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I198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R198</f>
        <v/>
      </c>
      <c r="U198" s="842" t="n">
        <v>130000</v>
      </c>
      <c r="V198" s="842">
        <f>U198</f>
        <v/>
      </c>
      <c r="W198" s="842" t="n">
        <v>132000</v>
      </c>
      <c r="X198" s="842">
        <f>W198</f>
        <v/>
      </c>
      <c r="Y198" s="845">
        <f>W198/I198</f>
        <v/>
      </c>
      <c r="Z198" s="846">
        <f>SUM(W198-U198)/U198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I199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R199</f>
        <v/>
      </c>
      <c r="U199" s="842" t="n">
        <v>85800</v>
      </c>
      <c r="V199" s="842">
        <f>U199</f>
        <v/>
      </c>
      <c r="W199" s="842" t="n">
        <v>100400</v>
      </c>
      <c r="X199" s="842">
        <f>W199</f>
        <v/>
      </c>
      <c r="Y199" s="845">
        <f>W199/I199</f>
        <v/>
      </c>
      <c r="Z199" s="846">
        <f>SUM(W199-U199)/U199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I200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R200</f>
        <v/>
      </c>
      <c r="U200" s="842" t="n">
        <v>73500</v>
      </c>
      <c r="V200" s="842">
        <f>U200</f>
        <v/>
      </c>
      <c r="W200" s="842" t="n">
        <v>81000</v>
      </c>
      <c r="X200" s="842">
        <f>W200</f>
        <v/>
      </c>
      <c r="Y200" s="845">
        <f>W200/I200</f>
        <v/>
      </c>
      <c r="Z200" s="846">
        <f>SUM(W200-U200)/U200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I201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R201</f>
        <v/>
      </c>
      <c r="U201" s="842" t="n">
        <v>65600</v>
      </c>
      <c r="V201" s="842">
        <f>U201</f>
        <v/>
      </c>
      <c r="W201" s="842" t="n">
        <v>70600</v>
      </c>
      <c r="X201" s="842">
        <f>W201</f>
        <v/>
      </c>
      <c r="Y201" s="845">
        <f>W201/I201</f>
        <v/>
      </c>
      <c r="Z201" s="846">
        <f>SUM(W201-U201)/U201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I202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R202</f>
        <v/>
      </c>
      <c r="U202" s="842" t="n">
        <v>45000</v>
      </c>
      <c r="V202" s="842">
        <f>U202</f>
        <v/>
      </c>
      <c r="W202" s="842" t="n">
        <v>53500</v>
      </c>
      <c r="X202" s="842">
        <f>W202</f>
        <v/>
      </c>
      <c r="Y202" s="845">
        <f>W202/I202</f>
        <v/>
      </c>
      <c r="Z202" s="846">
        <f>SUM(W202-U202)/U202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I203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R203</f>
        <v/>
      </c>
      <c r="U203" s="842" t="n">
        <v>39300</v>
      </c>
      <c r="V203" s="842">
        <f>U203</f>
        <v/>
      </c>
      <c r="W203" s="842" t="n">
        <v>43100</v>
      </c>
      <c r="X203" s="842">
        <f>W203</f>
        <v/>
      </c>
      <c r="Y203" s="845">
        <f>W203/I203</f>
        <v/>
      </c>
      <c r="Z203" s="846">
        <f>SUM(W203-U203)/U203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I204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R204</f>
        <v/>
      </c>
      <c r="U204" s="842" t="n">
        <v>69500</v>
      </c>
      <c r="V204" s="842">
        <f>U204</f>
        <v/>
      </c>
      <c r="W204" s="842" t="n">
        <v>69500</v>
      </c>
      <c r="X204" s="842">
        <f>W204</f>
        <v/>
      </c>
      <c r="Y204" s="845">
        <f>W204/I204</f>
        <v/>
      </c>
      <c r="Z204" s="846">
        <f>SUM(W204-U204)/U204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I205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R205</f>
        <v/>
      </c>
      <c r="U205" s="842" t="n">
        <v>84800</v>
      </c>
      <c r="V205" s="842">
        <f>U205</f>
        <v/>
      </c>
      <c r="W205" s="842" t="n">
        <v>85000</v>
      </c>
      <c r="X205" s="842">
        <f>W205</f>
        <v/>
      </c>
      <c r="Y205" s="845">
        <f>W205/I205</f>
        <v/>
      </c>
      <c r="Z205" s="846">
        <f>SUM(W205-U205)/U205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I206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R206</f>
        <v/>
      </c>
      <c r="U206" s="842" t="n">
        <v>78000</v>
      </c>
      <c r="V206" s="842">
        <f>U206</f>
        <v/>
      </c>
      <c r="W206" s="842" t="n">
        <v>90000</v>
      </c>
      <c r="X206" s="842">
        <f>W206</f>
        <v/>
      </c>
      <c r="Y206" s="845">
        <f>W206/I206</f>
        <v/>
      </c>
      <c r="Z206" s="846">
        <f>SUM(W206-U206)/U206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I207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R207</f>
        <v/>
      </c>
      <c r="U207" s="842" t="n">
        <v>106700</v>
      </c>
      <c r="V207" s="842">
        <f>U207</f>
        <v/>
      </c>
      <c r="W207" s="842" t="n">
        <v>106700</v>
      </c>
      <c r="X207" s="842">
        <f>W207</f>
        <v/>
      </c>
      <c r="Y207" s="845">
        <f>W207/I207</f>
        <v/>
      </c>
      <c r="Z207" s="846">
        <f>SUM(W207-U207)/U207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I208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R208</f>
        <v/>
      </c>
      <c r="U208" s="842" t="n">
        <v>41700</v>
      </c>
      <c r="V208" s="842">
        <f>U208</f>
        <v/>
      </c>
      <c r="W208" s="842" t="n">
        <v>41700</v>
      </c>
      <c r="X208" s="842">
        <f>W208</f>
        <v/>
      </c>
      <c r="Y208" s="845">
        <f>W208/I208</f>
        <v/>
      </c>
      <c r="Z208" s="846">
        <f>SUM(W208-U208)/U208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I209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R209</f>
        <v/>
      </c>
      <c r="U209" s="842" t="n">
        <v>70200</v>
      </c>
      <c r="V209" s="842">
        <f>U209</f>
        <v/>
      </c>
      <c r="W209" s="842" t="n">
        <v>70200</v>
      </c>
      <c r="X209" s="842">
        <f>W209</f>
        <v/>
      </c>
      <c r="Y209" s="845">
        <f>W209/I209</f>
        <v/>
      </c>
      <c r="Z209" s="846">
        <f>SUM(W209-U209)/U209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I210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R210</f>
        <v/>
      </c>
      <c r="U210" s="842" t="n">
        <v>108000</v>
      </c>
      <c r="V210" s="842">
        <f>U210</f>
        <v/>
      </c>
      <c r="W210" s="842" t="n">
        <v>108000</v>
      </c>
      <c r="X210" s="842">
        <f>W210</f>
        <v/>
      </c>
      <c r="Y210" s="845">
        <f>W210/I210</f>
        <v/>
      </c>
      <c r="Z210" s="846">
        <f>SUM(W210-U210)/U210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I211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R211</f>
        <v/>
      </c>
      <c r="U211" s="842" t="n">
        <v>5410</v>
      </c>
      <c r="V211" s="842">
        <f>U211</f>
        <v/>
      </c>
      <c r="W211" s="842" t="n">
        <v>5410</v>
      </c>
      <c r="X211" s="842">
        <f>W211</f>
        <v/>
      </c>
      <c r="Y211" s="845">
        <f>W211/I211</f>
        <v/>
      </c>
      <c r="Z211" s="846">
        <f>SUM(W211-U211)/U211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I212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R212</f>
        <v/>
      </c>
      <c r="U212" s="842" t="n">
        <v>16300</v>
      </c>
      <c r="V212" s="842">
        <f>U212</f>
        <v/>
      </c>
      <c r="W212" s="842" t="n">
        <v>16300</v>
      </c>
      <c r="X212" s="842">
        <f>W212</f>
        <v/>
      </c>
      <c r="Y212" s="845">
        <f>W212/I212</f>
        <v/>
      </c>
      <c r="Z212" s="846">
        <f>SUM(W212-U212)/U212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I213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R213</f>
        <v/>
      </c>
      <c r="U213" s="842" t="n">
        <v>35600</v>
      </c>
      <c r="V213" s="842">
        <f>U213</f>
        <v/>
      </c>
      <c r="W213" s="842" t="n">
        <v>35600</v>
      </c>
      <c r="X213" s="842">
        <f>W213</f>
        <v/>
      </c>
      <c r="Y213" s="845">
        <f>W213/I213</f>
        <v/>
      </c>
      <c r="Z213" s="846">
        <f>SUM(W213-U213)/U213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I214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R214</f>
        <v/>
      </c>
      <c r="U214" s="842" t="n">
        <v>37500</v>
      </c>
      <c r="V214" s="842">
        <f>U214</f>
        <v/>
      </c>
      <c r="W214" s="842" t="n">
        <v>37500</v>
      </c>
      <c r="X214" s="842">
        <f>W214</f>
        <v/>
      </c>
      <c r="Y214" s="845">
        <f>W214/I214</f>
        <v/>
      </c>
      <c r="Z214" s="846">
        <f>SUM(W214-U214)/U214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I215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R215</f>
        <v/>
      </c>
      <c r="U215" s="842" t="n">
        <v>100700</v>
      </c>
      <c r="V215" s="842">
        <f>U215</f>
        <v/>
      </c>
      <c r="W215" s="842" t="n">
        <v>100700</v>
      </c>
      <c r="X215" s="842">
        <f>W215</f>
        <v/>
      </c>
      <c r="Y215" s="845">
        <f>W215/I215</f>
        <v/>
      </c>
      <c r="Z215" s="846">
        <f>SUM(W215-U215)/U215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I216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R216</f>
        <v/>
      </c>
      <c r="U216" s="842" t="n">
        <v>53900</v>
      </c>
      <c r="V216" s="842">
        <f>U216</f>
        <v/>
      </c>
      <c r="W216" s="842" t="n">
        <v>56400</v>
      </c>
      <c r="X216" s="842">
        <f>W216</f>
        <v/>
      </c>
      <c r="Y216" s="845">
        <f>W216/I216</f>
        <v/>
      </c>
      <c r="Z216" s="846">
        <f>SUM(W216-U216)/U216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I217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R217</f>
        <v/>
      </c>
      <c r="U217" s="842" t="n">
        <v>53900</v>
      </c>
      <c r="V217" s="842">
        <f>U217</f>
        <v/>
      </c>
      <c r="W217" s="842" t="n">
        <v>56400</v>
      </c>
      <c r="X217" s="842">
        <f>W217</f>
        <v/>
      </c>
      <c r="Y217" s="845">
        <f>W217/I217</f>
        <v/>
      </c>
      <c r="Z217" s="846">
        <f>SUM(W217-U217)/U217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I218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R218</f>
        <v/>
      </c>
      <c r="U218" s="842" t="n">
        <v>46000</v>
      </c>
      <c r="V218" s="842">
        <f>U218</f>
        <v/>
      </c>
      <c r="W218" s="842" t="n">
        <v>48100</v>
      </c>
      <c r="X218" s="842">
        <f>W218</f>
        <v/>
      </c>
      <c r="Y218" s="845">
        <f>W218/I218</f>
        <v/>
      </c>
      <c r="Z218" s="846">
        <f>SUM(W218-U218)/U218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I219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R219</f>
        <v/>
      </c>
      <c r="U219" s="842" t="n">
        <v>45700</v>
      </c>
      <c r="V219" s="842">
        <f>U219</f>
        <v/>
      </c>
      <c r="W219" s="842" t="n">
        <v>47700</v>
      </c>
      <c r="X219" s="842">
        <f>W219</f>
        <v/>
      </c>
      <c r="Y219" s="845">
        <f>W219/I219</f>
        <v/>
      </c>
      <c r="Z219" s="846">
        <f>SUM(W219-U219)/U219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I220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R220</f>
        <v/>
      </c>
      <c r="U220" s="842" t="n">
        <v>37700</v>
      </c>
      <c r="V220" s="842">
        <f>U220</f>
        <v/>
      </c>
      <c r="W220" s="842" t="n">
        <v>39400</v>
      </c>
      <c r="X220" s="842">
        <f>W220</f>
        <v/>
      </c>
      <c r="Y220" s="845">
        <f>W220/I220</f>
        <v/>
      </c>
      <c r="Z220" s="846">
        <f>SUM(W220-U220)/U220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I221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R221</f>
        <v/>
      </c>
      <c r="U221" s="842" t="n">
        <v>86800</v>
      </c>
      <c r="V221" s="842">
        <f>U221</f>
        <v/>
      </c>
      <c r="W221" s="842" t="n">
        <v>94417</v>
      </c>
      <c r="X221" s="842">
        <f>W221</f>
        <v/>
      </c>
      <c r="Y221" s="845">
        <f>W221/I221</f>
        <v/>
      </c>
      <c r="Z221" s="846">
        <f>SUM(W221-U221)/U221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I222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R222</f>
        <v/>
      </c>
      <c r="U222" s="842" t="n">
        <v>44200</v>
      </c>
      <c r="V222" s="842">
        <f>U222</f>
        <v/>
      </c>
      <c r="W222" s="842" t="n">
        <v>46200</v>
      </c>
      <c r="X222" s="842">
        <f>W222</f>
        <v/>
      </c>
      <c r="Y222" s="845">
        <f>W222/I222</f>
        <v/>
      </c>
      <c r="Z222" s="846">
        <f>SUM(W222-U222)/U222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I223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R223</f>
        <v/>
      </c>
      <c r="T223" s="856" t="n"/>
      <c r="U223" s="842" t="n">
        <v>44700</v>
      </c>
      <c r="V223" s="842">
        <f>U223</f>
        <v/>
      </c>
      <c r="W223" s="842" t="n">
        <v>46700</v>
      </c>
      <c r="X223" s="842">
        <f>W223</f>
        <v/>
      </c>
      <c r="Y223" s="845">
        <f>W223/I223</f>
        <v/>
      </c>
      <c r="Z223" s="846">
        <f>SUM(W223-U223)/U223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I224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R224</f>
        <v/>
      </c>
      <c r="U224" s="842" t="n">
        <v>43500</v>
      </c>
      <c r="V224" s="842">
        <f>U224</f>
        <v/>
      </c>
      <c r="W224" s="842" t="n">
        <v>45500</v>
      </c>
      <c r="X224" s="842">
        <f>W224</f>
        <v/>
      </c>
      <c r="Y224" s="845">
        <f>W224/I224</f>
        <v/>
      </c>
      <c r="Z224" s="846">
        <f>SUM(W224-U224)/U224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I225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R225</f>
        <v/>
      </c>
      <c r="U225" s="842" t="n">
        <v>43800</v>
      </c>
      <c r="V225" s="842">
        <f>U225</f>
        <v/>
      </c>
      <c r="W225" s="842" t="n">
        <v>45800</v>
      </c>
      <c r="X225" s="842">
        <f>W225</f>
        <v/>
      </c>
      <c r="Y225" s="845">
        <f>W225/I225</f>
        <v/>
      </c>
      <c r="Z225" s="846">
        <f>SUM(W225-U225)/U225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I226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R226</f>
        <v/>
      </c>
      <c r="U226" s="842" t="n">
        <v>39200</v>
      </c>
      <c r="V226" s="842">
        <f>U226</f>
        <v/>
      </c>
      <c r="W226" s="842" t="n">
        <v>41100</v>
      </c>
      <c r="X226" s="842">
        <f>W226</f>
        <v/>
      </c>
      <c r="Y226" s="845">
        <f>W226/I226</f>
        <v/>
      </c>
      <c r="Z226" s="846">
        <f>SUM(W226-U226)/U226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I227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R227</f>
        <v/>
      </c>
      <c r="U227" s="842" t="n">
        <v>11660</v>
      </c>
      <c r="V227" s="842">
        <f>U227</f>
        <v/>
      </c>
      <c r="W227" s="842" t="n">
        <v>11660</v>
      </c>
      <c r="X227" s="842">
        <f>W227</f>
        <v/>
      </c>
      <c r="Y227" s="845">
        <f>W227/I227</f>
        <v/>
      </c>
      <c r="Z227" s="846">
        <f>SUM(W227-U227)/U227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I228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R228</f>
        <v/>
      </c>
      <c r="U228" s="842" t="n">
        <v>37502</v>
      </c>
      <c r="V228" s="842">
        <f>U228</f>
        <v/>
      </c>
      <c r="W228" s="842" t="n">
        <v>37500</v>
      </c>
      <c r="X228" s="842">
        <f>W228</f>
        <v/>
      </c>
      <c r="Y228" s="845">
        <f>W228/I228</f>
        <v/>
      </c>
      <c r="Z228" s="846">
        <f>SUM(W228-U228)/U228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I229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R229</f>
        <v/>
      </c>
      <c r="U229" s="842" t="n">
        <v>9460</v>
      </c>
      <c r="V229" s="842">
        <f>U229</f>
        <v/>
      </c>
      <c r="W229" s="842" t="n">
        <v>11180</v>
      </c>
      <c r="X229" s="842">
        <f>W229</f>
        <v/>
      </c>
      <c r="Y229" s="845">
        <f>W229/I229</f>
        <v/>
      </c>
      <c r="Z229" s="846">
        <f>SUM(W229-U229)/U229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I230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R230</f>
        <v/>
      </c>
      <c r="U230" s="842" t="n">
        <v>7000</v>
      </c>
      <c r="V230" s="842">
        <f>U230</f>
        <v/>
      </c>
      <c r="W230" s="842" t="n">
        <v>7605</v>
      </c>
      <c r="X230" s="842">
        <f>W230</f>
        <v/>
      </c>
      <c r="Y230" s="845">
        <f>W230/I230</f>
        <v/>
      </c>
      <c r="Z230" s="846">
        <f>SUM(W230-U230)/U230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I231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R231</f>
        <v/>
      </c>
      <c r="U231" s="842" t="n">
        <v>8925</v>
      </c>
      <c r="V231" s="842">
        <f>U231</f>
        <v/>
      </c>
      <c r="W231" s="842" t="n">
        <v>11050</v>
      </c>
      <c r="X231" s="842">
        <f>W231</f>
        <v/>
      </c>
      <c r="Y231" s="845">
        <f>W231/I231</f>
        <v/>
      </c>
      <c r="Z231" s="846">
        <f>SUM(W231-U231)/U231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I232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R232</f>
        <v/>
      </c>
      <c r="U232" s="842" t="n">
        <v>7605</v>
      </c>
      <c r="V232" s="842">
        <f>U232</f>
        <v/>
      </c>
      <c r="W232" s="842" t="n">
        <v>8450</v>
      </c>
      <c r="X232" s="842">
        <f>W232</f>
        <v/>
      </c>
      <c r="Y232" s="845">
        <f>W232/I232</f>
        <v/>
      </c>
      <c r="Z232" s="846">
        <f>SUM(W232-U232)/U232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I233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R233</f>
        <v/>
      </c>
      <c r="U233" s="842" t="n">
        <v>36140</v>
      </c>
      <c r="V233" s="842">
        <f>U233</f>
        <v/>
      </c>
      <c r="W233" s="842" t="n">
        <v>39000</v>
      </c>
      <c r="X233" s="842">
        <f>W233</f>
        <v/>
      </c>
      <c r="Y233" s="845">
        <f>W233/I233</f>
        <v/>
      </c>
      <c r="Z233" s="846">
        <f>SUM(W233-U233)/U233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I234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R234</f>
        <v/>
      </c>
      <c r="U234" s="842" t="n">
        <v>225000</v>
      </c>
      <c r="V234" s="842">
        <f>U234</f>
        <v/>
      </c>
      <c r="W234" s="842" t="n">
        <v>200000</v>
      </c>
      <c r="X234" s="842">
        <f>W234</f>
        <v/>
      </c>
      <c r="Y234" s="845">
        <f>W234/I234</f>
        <v/>
      </c>
      <c r="Z234" s="846">
        <f>SUM(W234-U234)/U234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I235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R235</f>
        <v/>
      </c>
      <c r="U235" s="842" t="n">
        <v>53200</v>
      </c>
      <c r="V235" s="842">
        <f>U235</f>
        <v/>
      </c>
      <c r="W235" s="842" t="n">
        <v>58000</v>
      </c>
      <c r="X235" s="842">
        <f>W235</f>
        <v/>
      </c>
      <c r="Y235" s="845">
        <f>W235/I235</f>
        <v/>
      </c>
      <c r="Z235" s="846">
        <f>SUM(W235-U235)/U235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I236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R236</f>
        <v/>
      </c>
      <c r="U236" s="842" t="n">
        <v>100500</v>
      </c>
      <c r="V236" s="842">
        <f>U236</f>
        <v/>
      </c>
      <c r="W236" s="842" t="n">
        <v>100000</v>
      </c>
      <c r="X236" s="842">
        <f>W236</f>
        <v/>
      </c>
      <c r="Y236" s="845">
        <f>W236/I236</f>
        <v/>
      </c>
      <c r="Z236" s="846">
        <f>SUM(W236-U236)/U236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I237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R237</f>
        <v/>
      </c>
      <c r="U237" s="842" t="n">
        <v>96300</v>
      </c>
      <c r="V237" s="842">
        <f>U237</f>
        <v/>
      </c>
      <c r="W237" s="842" t="n">
        <v>105000</v>
      </c>
      <c r="X237" s="842">
        <f>W237</f>
        <v/>
      </c>
      <c r="Y237" s="845">
        <f>W237/I237</f>
        <v/>
      </c>
      <c r="Z237" s="846">
        <f>SUM(W237-U237)/U237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I238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R238</f>
        <v/>
      </c>
      <c r="U238" s="842" t="n">
        <v>180000</v>
      </c>
      <c r="V238" s="842">
        <f>U238</f>
        <v/>
      </c>
      <c r="W238" s="842" t="n">
        <v>177300</v>
      </c>
      <c r="X238" s="842">
        <f>W238</f>
        <v/>
      </c>
      <c r="Y238" s="845">
        <f>W238/I238</f>
        <v/>
      </c>
      <c r="Z238" s="846">
        <f>SUM(W238-U238)/U238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I239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R239</f>
        <v/>
      </c>
      <c r="U239" s="842" t="n">
        <v>19000</v>
      </c>
      <c r="V239" s="842">
        <f>U239</f>
        <v/>
      </c>
      <c r="W239" s="842" t="n">
        <v>21000</v>
      </c>
      <c r="X239" s="842">
        <f>W239</f>
        <v/>
      </c>
      <c r="Y239" s="845">
        <f>W239/I239</f>
        <v/>
      </c>
      <c r="Z239" s="846">
        <f>SUM(W239-U239)/U239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I240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R240</f>
        <v/>
      </c>
      <c r="U240" s="842" t="n">
        <v>18900</v>
      </c>
      <c r="V240" s="842">
        <f>U240</f>
        <v/>
      </c>
      <c r="W240" s="842" t="n">
        <v>21850</v>
      </c>
      <c r="X240" s="842">
        <f>W240</f>
        <v/>
      </c>
      <c r="Y240" s="845">
        <f>W240/I240</f>
        <v/>
      </c>
      <c r="Z240" s="846">
        <f>SUM(W240-U240)/U240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I241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R241</f>
        <v/>
      </c>
      <c r="U241" s="842" t="n">
        <v>182500</v>
      </c>
      <c r="V241" s="842">
        <f>U241</f>
        <v/>
      </c>
      <c r="W241" s="842" t="n">
        <v>169700</v>
      </c>
      <c r="X241" s="842">
        <f>W241</f>
        <v/>
      </c>
      <c r="Y241" s="845">
        <f>W241/I241</f>
        <v/>
      </c>
      <c r="Z241" s="846">
        <f>SUM(W241-U241)/U241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I242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R242</f>
        <v/>
      </c>
      <c r="U242" s="842" t="n">
        <v>138800</v>
      </c>
      <c r="V242" s="842">
        <f>U242</f>
        <v/>
      </c>
      <c r="W242" s="842" t="n">
        <v>141700</v>
      </c>
      <c r="X242" s="842">
        <f>W242</f>
        <v/>
      </c>
      <c r="Y242" s="845">
        <f>W242/I242</f>
        <v/>
      </c>
      <c r="Z242" s="846">
        <f>SUM(W242-U242)/U242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I243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R243</f>
        <v/>
      </c>
      <c r="U243" s="842" t="n">
        <v>19500</v>
      </c>
      <c r="V243" s="842">
        <f>U243</f>
        <v/>
      </c>
      <c r="W243" s="842" t="n">
        <v>19500</v>
      </c>
      <c r="X243" s="842">
        <f>W243</f>
        <v/>
      </c>
      <c r="Y243" s="845">
        <f>W243/I243</f>
        <v/>
      </c>
      <c r="Z243" s="846">
        <f>SUM(W243-U243)/U243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I244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R244</f>
        <v/>
      </c>
      <c r="T244" s="842" t="n"/>
      <c r="U244" s="842" t="n">
        <v>0</v>
      </c>
      <c r="V244" s="842">
        <f>U244</f>
        <v/>
      </c>
      <c r="W244" s="842" t="n">
        <v>19500</v>
      </c>
      <c r="X244" s="842">
        <f>W244</f>
        <v/>
      </c>
      <c r="Y244" s="845">
        <f>W244/I244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I245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R245</f>
        <v/>
      </c>
      <c r="T245" s="842" t="n"/>
      <c r="U245" s="842" t="n">
        <v>42000</v>
      </c>
      <c r="V245" s="842">
        <f>U245</f>
        <v/>
      </c>
      <c r="W245" s="842" t="n">
        <v>41500</v>
      </c>
      <c r="X245" s="842">
        <f>W245</f>
        <v/>
      </c>
      <c r="Y245" s="845">
        <f>W245/I245</f>
        <v/>
      </c>
      <c r="Z245" s="846">
        <f>SUM(W245-U245)/U245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I246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R246</f>
        <v/>
      </c>
      <c r="U246" s="842" t="n">
        <v>0</v>
      </c>
      <c r="V246" s="842">
        <f>U246</f>
        <v/>
      </c>
      <c r="W246" s="842" t="n">
        <v>0</v>
      </c>
      <c r="X246" s="842">
        <f>W246</f>
        <v/>
      </c>
      <c r="Y246" s="845">
        <f>W246/I246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I247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R247</f>
        <v/>
      </c>
      <c r="U247" s="842" t="n">
        <v>57500</v>
      </c>
      <c r="V247" s="842">
        <f>U247</f>
        <v/>
      </c>
      <c r="W247" s="842" t="n">
        <v>57500</v>
      </c>
      <c r="X247" s="842">
        <f>W247</f>
        <v/>
      </c>
      <c r="Y247" s="845">
        <f>W247/I247</f>
        <v/>
      </c>
      <c r="Z247" s="846">
        <f>SUM(W247-U247)/U247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I248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R248</f>
        <v/>
      </c>
      <c r="U248" s="842" t="n">
        <v>36000</v>
      </c>
      <c r="V248" s="842">
        <f>U248</f>
        <v/>
      </c>
      <c r="W248" s="842" t="n">
        <v>35000</v>
      </c>
      <c r="X248" s="842">
        <f>W248</f>
        <v/>
      </c>
      <c r="Y248" s="845">
        <f>W248/I248</f>
        <v/>
      </c>
      <c r="Z248" s="846">
        <f>SUM(W248-U248)/U248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I249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R249</f>
        <v/>
      </c>
      <c r="U249" s="842" t="n">
        <v>5665</v>
      </c>
      <c r="V249" s="842">
        <f>U249</f>
        <v/>
      </c>
      <c r="W249" s="842" t="n">
        <v>900</v>
      </c>
      <c r="X249" s="842">
        <f>W249</f>
        <v/>
      </c>
      <c r="Y249" s="845">
        <f>W249/I249</f>
        <v/>
      </c>
      <c r="Z249" s="846">
        <f>SUM(W249-U249)/U249</f>
        <v/>
      </c>
      <c r="AA249" s="842" t="n"/>
      <c r="AB249" s="590" t="n"/>
      <c r="AC249" s="847" t="n"/>
      <c r="AD249" s="841" t="inlineStr">
        <is>
          <t>No</t>
        </is>
      </c>
      <c r="AH249" s="312" t="n"/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I250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R250</f>
        <v/>
      </c>
      <c r="U250" s="842" t="n">
        <v>90000</v>
      </c>
      <c r="V250" s="842">
        <f>U250</f>
        <v/>
      </c>
      <c r="W250" s="842" t="n">
        <v>100000</v>
      </c>
      <c r="X250" s="842">
        <f>W250</f>
        <v/>
      </c>
      <c r="Y250" s="845">
        <f>W250/I250</f>
        <v/>
      </c>
      <c r="Z250" s="846">
        <f>SUM(W250-U250)/U250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I251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R251</f>
        <v/>
      </c>
      <c r="U251" s="842" t="n">
        <v>36500</v>
      </c>
      <c r="V251" s="842">
        <f>U251</f>
        <v/>
      </c>
      <c r="W251" s="842" t="n">
        <v>36500</v>
      </c>
      <c r="X251" s="842">
        <f>W251</f>
        <v/>
      </c>
      <c r="Y251" s="845">
        <f>W251/I251</f>
        <v/>
      </c>
      <c r="Z251" s="846">
        <f>SUM(W251-U251)/U251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I252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R252</f>
        <v/>
      </c>
      <c r="U252" s="842" t="n">
        <v>23600</v>
      </c>
      <c r="V252" s="842">
        <f>U252</f>
        <v/>
      </c>
      <c r="W252" s="842" t="n">
        <v>24800</v>
      </c>
      <c r="X252" s="842">
        <f>W252</f>
        <v/>
      </c>
      <c r="Y252" s="845">
        <f>W252/I252</f>
        <v/>
      </c>
      <c r="Z252" s="846">
        <f>SUM(W252-U252)/U252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I253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R253</f>
        <v/>
      </c>
      <c r="U253" s="842" t="n">
        <v>32300</v>
      </c>
      <c r="V253" s="842">
        <f>U253</f>
        <v/>
      </c>
      <c r="W253" s="842" t="n">
        <v>35363</v>
      </c>
      <c r="X253" s="842">
        <f>W253</f>
        <v/>
      </c>
      <c r="Y253" s="845">
        <f>W253/I253</f>
        <v/>
      </c>
      <c r="Z253" s="846">
        <f>SUM(W253-U253)/U253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I254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R254</f>
        <v/>
      </c>
      <c r="U254" s="842" t="n">
        <v>26300</v>
      </c>
      <c r="V254" s="842">
        <f>U254</f>
        <v/>
      </c>
      <c r="W254" s="842" t="n">
        <v>27500</v>
      </c>
      <c r="X254" s="842">
        <f>W254</f>
        <v/>
      </c>
      <c r="Y254" s="845">
        <f>W254/I254</f>
        <v/>
      </c>
      <c r="Z254" s="846">
        <f>SUM(W254-U254)/U254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I255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R255</f>
        <v/>
      </c>
      <c r="U255" s="842" t="n">
        <v>26500</v>
      </c>
      <c r="V255" s="842">
        <f>U255</f>
        <v/>
      </c>
      <c r="W255" s="842" t="n">
        <v>27700</v>
      </c>
      <c r="X255" s="842">
        <f>W255</f>
        <v/>
      </c>
      <c r="Y255" s="845">
        <f>W255/I255</f>
        <v/>
      </c>
      <c r="Z255" s="846">
        <f>SUM(W255-U255)/U255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I256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R256</f>
        <v/>
      </c>
      <c r="U256" s="842" t="n">
        <v>31000</v>
      </c>
      <c r="V256" s="842">
        <f>U256</f>
        <v/>
      </c>
      <c r="W256" s="842" t="n">
        <v>32500</v>
      </c>
      <c r="X256" s="842">
        <f>W256</f>
        <v/>
      </c>
      <c r="Y256" s="845">
        <f>W256/I256</f>
        <v/>
      </c>
      <c r="Z256" s="846">
        <f>SUM(W256-U256)/U256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I257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R257</f>
        <v/>
      </c>
      <c r="U257" s="842" t="n">
        <v>23600</v>
      </c>
      <c r="V257" s="842">
        <f>U257</f>
        <v/>
      </c>
      <c r="W257" s="842" t="n">
        <v>24800</v>
      </c>
      <c r="X257" s="842">
        <f>W257</f>
        <v/>
      </c>
      <c r="Y257" s="845">
        <f>W257/I257</f>
        <v/>
      </c>
      <c r="Z257" s="846">
        <f>SUM(W257-U257)/U257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I258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R258</f>
        <v/>
      </c>
      <c r="U258" s="842" t="n">
        <v>34000</v>
      </c>
      <c r="V258" s="842">
        <f>U258</f>
        <v/>
      </c>
      <c r="W258" s="842" t="n">
        <v>34000</v>
      </c>
      <c r="X258" s="842">
        <f>W258</f>
        <v/>
      </c>
      <c r="Y258" s="845">
        <f>W258/I258</f>
        <v/>
      </c>
      <c r="Z258" s="846">
        <f>SUM(W258-U258)/U258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I259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R259</f>
        <v/>
      </c>
      <c r="U259" s="842" t="n">
        <v>100000</v>
      </c>
      <c r="V259" s="842">
        <f>U259</f>
        <v/>
      </c>
      <c r="W259" s="842" t="n">
        <v>105000</v>
      </c>
      <c r="X259" s="842">
        <f>W259</f>
        <v/>
      </c>
      <c r="Y259" s="845">
        <f>W259/I259</f>
        <v/>
      </c>
      <c r="Z259" s="846">
        <f>SUM(W259-U259)/U259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I260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R260</f>
        <v/>
      </c>
      <c r="U260" s="842" t="n">
        <v>90000</v>
      </c>
      <c r="V260" s="842">
        <f>U260</f>
        <v/>
      </c>
      <c r="W260" s="842" t="n">
        <v>100000</v>
      </c>
      <c r="X260" s="842">
        <f>W260</f>
        <v/>
      </c>
      <c r="Y260" s="845">
        <f>W260/I260</f>
        <v/>
      </c>
      <c r="Z260" s="846">
        <f>SUM(W260-U260)/U260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I261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R261</f>
        <v/>
      </c>
      <c r="U261" s="842" t="n">
        <v>40000</v>
      </c>
      <c r="V261" s="842">
        <f>U261</f>
        <v/>
      </c>
      <c r="W261" s="842" t="n">
        <v>41800</v>
      </c>
      <c r="X261" s="842">
        <f>W261</f>
        <v/>
      </c>
      <c r="Y261" s="845">
        <f>W261/I261</f>
        <v/>
      </c>
      <c r="Z261" s="846">
        <f>SUM(W261-U261)/U261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I262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R262</f>
        <v/>
      </c>
      <c r="U262" s="842" t="n">
        <v>35000</v>
      </c>
      <c r="V262" s="842">
        <f>U262</f>
        <v/>
      </c>
      <c r="W262" s="842" t="n">
        <v>40800</v>
      </c>
      <c r="X262" s="842">
        <f>W262</f>
        <v/>
      </c>
      <c r="Y262" s="845">
        <f>W262/I262</f>
        <v/>
      </c>
      <c r="Z262" s="846">
        <f>SUM(W262-U262)/U262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I263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R263</f>
        <v/>
      </c>
      <c r="U263" s="842" t="n">
        <v>7000</v>
      </c>
      <c r="V263" s="842">
        <f>U263</f>
        <v/>
      </c>
      <c r="W263" s="842" t="n">
        <v>7360</v>
      </c>
      <c r="X263" s="842">
        <f>W263</f>
        <v/>
      </c>
      <c r="Y263" s="845">
        <f>W263/I263</f>
        <v/>
      </c>
      <c r="Z263" s="846">
        <f>SUM(W263-U263)/U263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I264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R264</f>
        <v/>
      </c>
      <c r="U264" s="842" t="n">
        <v>38700</v>
      </c>
      <c r="V264" s="842">
        <f>U264</f>
        <v/>
      </c>
      <c r="W264" s="842" t="n">
        <v>40800</v>
      </c>
      <c r="X264" s="842">
        <f>W264</f>
        <v/>
      </c>
      <c r="Y264" s="845">
        <f>W264/I264</f>
        <v/>
      </c>
      <c r="Z264" s="846">
        <f>SUM(W264-U264)/U264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I265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R265</f>
        <v/>
      </c>
      <c r="U265" s="842" t="n">
        <v>6300</v>
      </c>
      <c r="V265" s="842">
        <f>U265</f>
        <v/>
      </c>
      <c r="W265" s="842" t="n">
        <v>7500</v>
      </c>
      <c r="X265" s="842">
        <f>W265</f>
        <v/>
      </c>
      <c r="Y265" s="845">
        <f>W265/I265</f>
        <v/>
      </c>
      <c r="Z265" s="846">
        <f>SUM(W265-U265)/U265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I266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R266</f>
        <v/>
      </c>
      <c r="U266" s="842" t="n">
        <v>35000</v>
      </c>
      <c r="V266" s="842">
        <f>U266</f>
        <v/>
      </c>
      <c r="W266" s="842" t="n">
        <v>41800</v>
      </c>
      <c r="X266" s="842">
        <f>W266</f>
        <v/>
      </c>
      <c r="Y266" s="845">
        <f>W266/I266</f>
        <v/>
      </c>
      <c r="Z266" s="846">
        <f>SUM(W266-U266)/U266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I267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R267</f>
        <v/>
      </c>
      <c r="U267" s="842" t="n">
        <v>40000</v>
      </c>
      <c r="V267" s="842">
        <f>U267</f>
        <v/>
      </c>
      <c r="W267" s="842" t="n">
        <v>43700</v>
      </c>
      <c r="X267" s="842">
        <f>W267</f>
        <v/>
      </c>
      <c r="Y267" s="845">
        <f>W267/I267</f>
        <v/>
      </c>
      <c r="Z267" s="846">
        <f>SUM(W267-U267)/U267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I268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R268</f>
        <v/>
      </c>
      <c r="U268" s="842" t="n">
        <v>35000</v>
      </c>
      <c r="V268" s="842">
        <f>U268</f>
        <v/>
      </c>
      <c r="W268" s="842" t="n">
        <v>38300</v>
      </c>
      <c r="X268" s="842">
        <f>W268</f>
        <v/>
      </c>
      <c r="Y268" s="845">
        <f>W268/I268</f>
        <v/>
      </c>
      <c r="Z268" s="846">
        <f>SUM(W268-U268)/U268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I269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R269</f>
        <v/>
      </c>
      <c r="U269" s="842" t="n">
        <v>40000</v>
      </c>
      <c r="V269" s="842">
        <f>U269</f>
        <v/>
      </c>
      <c r="W269" s="842" t="n">
        <v>44100</v>
      </c>
      <c r="X269" s="842">
        <f>W269</f>
        <v/>
      </c>
      <c r="Y269" s="845">
        <f>W269/I269</f>
        <v/>
      </c>
      <c r="Z269" s="846">
        <f>SUM(W269-U269)/U269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I270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R270</f>
        <v/>
      </c>
      <c r="U270" s="842" t="n">
        <v>35000</v>
      </c>
      <c r="V270" s="842">
        <f>U270</f>
        <v/>
      </c>
      <c r="W270" s="842" t="n">
        <v>37100</v>
      </c>
      <c r="X270" s="842">
        <f>W270</f>
        <v/>
      </c>
      <c r="Y270" s="845">
        <f>W270/I270</f>
        <v/>
      </c>
      <c r="Z270" s="846">
        <f>SUM(W270-U270)/U270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I271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R271</f>
        <v/>
      </c>
      <c r="U271" s="842" t="n">
        <v>40000</v>
      </c>
      <c r="V271" s="842">
        <f>U271</f>
        <v/>
      </c>
      <c r="W271" s="842" t="n">
        <v>44100</v>
      </c>
      <c r="X271" s="842">
        <f>W271</f>
        <v/>
      </c>
      <c r="Y271" s="845">
        <f>W271/I271</f>
        <v/>
      </c>
      <c r="Z271" s="846">
        <f>SUM(W271-U271)/U271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I272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R272</f>
        <v/>
      </c>
      <c r="U272" s="842" t="n">
        <v>30500</v>
      </c>
      <c r="V272" s="842">
        <f>U272</f>
        <v/>
      </c>
      <c r="W272" s="842" t="n">
        <v>30700</v>
      </c>
      <c r="X272" s="842">
        <f>W272</f>
        <v/>
      </c>
      <c r="Y272" s="845">
        <f>W272/I272</f>
        <v/>
      </c>
      <c r="Z272" s="846">
        <f>SUM(W272-U272)/U272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I273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R273</f>
        <v/>
      </c>
      <c r="U273" s="842" t="n">
        <v>45350</v>
      </c>
      <c r="V273" s="842">
        <f>U273</f>
        <v/>
      </c>
      <c r="W273" s="842" t="n">
        <v>45350</v>
      </c>
      <c r="X273" s="842">
        <f>W273</f>
        <v/>
      </c>
      <c r="Y273" s="845">
        <f>W273/I273</f>
        <v/>
      </c>
      <c r="Z273" s="846">
        <f>SUM(W273-U273)/U273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I274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R274</f>
        <v/>
      </c>
      <c r="U274" s="842" t="n">
        <v>20200</v>
      </c>
      <c r="V274" s="842">
        <f>U274</f>
        <v/>
      </c>
      <c r="W274" s="842" t="n">
        <v>20700</v>
      </c>
      <c r="X274" s="842">
        <f>W274</f>
        <v/>
      </c>
      <c r="Y274" s="845">
        <f>W274/I274</f>
        <v/>
      </c>
      <c r="Z274" s="846">
        <f>SUM(W274-U274)/U274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I275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R275</f>
        <v/>
      </c>
      <c r="U275" s="842" t="n">
        <v>21000</v>
      </c>
      <c r="V275" s="842">
        <f>U275</f>
        <v/>
      </c>
      <c r="W275" s="842" t="n">
        <v>21600</v>
      </c>
      <c r="X275" s="842">
        <f>W275</f>
        <v/>
      </c>
      <c r="Y275" s="845">
        <f>W275/I275</f>
        <v/>
      </c>
      <c r="Z275" s="846">
        <f>SUM(W275-U275)/U275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I276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R276</f>
        <v/>
      </c>
      <c r="U276" s="842" t="n">
        <v>19600</v>
      </c>
      <c r="V276" s="842">
        <f>U276</f>
        <v/>
      </c>
      <c r="W276" s="842" t="n">
        <v>20100</v>
      </c>
      <c r="X276" s="842">
        <f>W276</f>
        <v/>
      </c>
      <c r="Y276" s="845">
        <f>W276/I276</f>
        <v/>
      </c>
      <c r="Z276" s="846">
        <f>SUM(W276-U276)/U276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I277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R277</f>
        <v/>
      </c>
      <c r="U277" s="842" t="n">
        <v>17500</v>
      </c>
      <c r="V277" s="842">
        <f>U277</f>
        <v/>
      </c>
      <c r="W277" s="842" t="n">
        <v>19600</v>
      </c>
      <c r="X277" s="842">
        <f>W277</f>
        <v/>
      </c>
      <c r="Y277" s="845">
        <f>W277/I277</f>
        <v/>
      </c>
      <c r="Z277" s="846">
        <f>SUM(W277-U277)/U277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I278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R278</f>
        <v/>
      </c>
      <c r="U278" s="842" t="n">
        <v>17500</v>
      </c>
      <c r="V278" s="842">
        <f>U278</f>
        <v/>
      </c>
      <c r="W278" s="842" t="n">
        <v>19600</v>
      </c>
      <c r="X278" s="842">
        <f>W278</f>
        <v/>
      </c>
      <c r="Y278" s="845">
        <f>W278/I278</f>
        <v/>
      </c>
      <c r="Z278" s="846">
        <f>SUM(W278-U278)/U278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I279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R279</f>
        <v/>
      </c>
      <c r="U279" s="842" t="n">
        <v>95000</v>
      </c>
      <c r="V279" s="842">
        <f>U279</f>
        <v/>
      </c>
      <c r="W279" s="842" t="n">
        <v>95000</v>
      </c>
      <c r="X279" s="842">
        <f>W279</f>
        <v/>
      </c>
      <c r="Y279" s="845">
        <f>W279/I279</f>
        <v/>
      </c>
      <c r="Z279" s="846">
        <f>SUM(W279-U279)/U279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I280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R280</f>
        <v/>
      </c>
      <c r="U280" s="842" t="n">
        <v>379100</v>
      </c>
      <c r="V280" s="842">
        <f>U280</f>
        <v/>
      </c>
      <c r="W280" s="842" t="n">
        <v>424275</v>
      </c>
      <c r="X280" s="842">
        <f>W280</f>
        <v/>
      </c>
      <c r="Y280" s="845">
        <f>W280/I280</f>
        <v/>
      </c>
      <c r="Z280" s="846">
        <f>SUM(W280-U280)/U280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I281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R281</f>
        <v/>
      </c>
      <c r="U281" s="842" t="n">
        <v>120700</v>
      </c>
      <c r="V281" s="842">
        <f>U281</f>
        <v/>
      </c>
      <c r="W281" s="842" t="n">
        <v>121100</v>
      </c>
      <c r="X281" s="842">
        <f>W281</f>
        <v/>
      </c>
      <c r="Y281" s="845">
        <f>W281/I281</f>
        <v/>
      </c>
      <c r="Z281" s="846">
        <f>SUM(W281-U281)/U281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I282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R282</f>
        <v/>
      </c>
      <c r="U282" s="842" t="n">
        <v>61500</v>
      </c>
      <c r="V282" s="842">
        <f>U282</f>
        <v/>
      </c>
      <c r="W282" s="842" t="n">
        <v>63900</v>
      </c>
      <c r="X282" s="842">
        <f>W282</f>
        <v/>
      </c>
      <c r="Y282" s="845">
        <f>W282/I282</f>
        <v/>
      </c>
      <c r="Z282" s="846">
        <f>SUM(W282-U282)/U282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I283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R283</f>
        <v/>
      </c>
      <c r="U283" s="842" t="n">
        <v>129200</v>
      </c>
      <c r="V283" s="842">
        <f>U283</f>
        <v/>
      </c>
      <c r="W283" s="842" t="n">
        <v>129700</v>
      </c>
      <c r="X283" s="842">
        <f>W283</f>
        <v/>
      </c>
      <c r="Y283" s="845">
        <f>W283/I283</f>
        <v/>
      </c>
      <c r="Z283" s="846">
        <f>SUM(W283-U283)/U283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I284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R284</f>
        <v/>
      </c>
      <c r="U284" s="842" t="n">
        <v>59700</v>
      </c>
      <c r="V284" s="842">
        <f>U284</f>
        <v/>
      </c>
      <c r="W284" s="842" t="n">
        <v>63900</v>
      </c>
      <c r="X284" s="842">
        <f>W284</f>
        <v/>
      </c>
      <c r="Y284" s="845">
        <f>W284/I284</f>
        <v/>
      </c>
      <c r="Z284" s="846">
        <f>SUM(W284-U284)/U284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I285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R285</f>
        <v/>
      </c>
      <c r="U285" s="842" t="n">
        <v>122200</v>
      </c>
      <c r="V285" s="842">
        <f>U285</f>
        <v/>
      </c>
      <c r="W285" s="842" t="n">
        <v>126200</v>
      </c>
      <c r="X285" s="842">
        <f>W285</f>
        <v/>
      </c>
      <c r="Y285" s="845">
        <f>W285/I285</f>
        <v/>
      </c>
      <c r="Z285" s="846">
        <f>SUM(W285-U285)/U285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I286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R286</f>
        <v/>
      </c>
      <c r="U286" s="842" t="n">
        <v>117900</v>
      </c>
      <c r="V286" s="842">
        <f>U286</f>
        <v/>
      </c>
      <c r="W286" s="842" t="n">
        <v>119600</v>
      </c>
      <c r="X286" s="842">
        <f>W286</f>
        <v/>
      </c>
      <c r="Y286" s="845">
        <f>W286/I286</f>
        <v/>
      </c>
      <c r="Z286" s="846">
        <f>SUM(W286-U286)/U286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I287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R287</f>
        <v/>
      </c>
      <c r="U287" s="842" t="n">
        <v>94300</v>
      </c>
      <c r="V287" s="842">
        <f>U287</f>
        <v/>
      </c>
      <c r="W287" s="842" t="n">
        <v>98500</v>
      </c>
      <c r="X287" s="842">
        <f>W287</f>
        <v/>
      </c>
      <c r="Y287" s="845">
        <f>W287/I287</f>
        <v/>
      </c>
      <c r="Z287" s="846">
        <f>SUM(W287-U287)/U287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I288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R288</f>
        <v/>
      </c>
      <c r="U288" s="842" t="n">
        <v>13900</v>
      </c>
      <c r="V288" s="842">
        <f>U288</f>
        <v/>
      </c>
      <c r="W288" s="842" t="n">
        <v>13900</v>
      </c>
      <c r="X288" s="842">
        <f>W288</f>
        <v/>
      </c>
      <c r="Y288" s="845">
        <f>W288/I288</f>
        <v/>
      </c>
      <c r="Z288" s="846">
        <f>SUM(W288-U288)/U288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I289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R289</f>
        <v/>
      </c>
      <c r="U289" s="842" t="n">
        <v>55600</v>
      </c>
      <c r="V289" s="842">
        <f>U289</f>
        <v/>
      </c>
      <c r="W289" s="842" t="n">
        <v>58100</v>
      </c>
      <c r="X289" s="842">
        <f>W289</f>
        <v/>
      </c>
      <c r="Y289" s="845">
        <f>W289/I289</f>
        <v/>
      </c>
      <c r="Z289" s="846">
        <f>SUM(W289-U289)/U289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I290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R290</f>
        <v/>
      </c>
      <c r="U290" s="842" t="n">
        <v>53400</v>
      </c>
      <c r="V290" s="842">
        <f>U290</f>
        <v/>
      </c>
      <c r="W290" s="842" t="n">
        <v>55800</v>
      </c>
      <c r="X290" s="842">
        <f>W290</f>
        <v/>
      </c>
      <c r="Y290" s="845">
        <f>W290/I290</f>
        <v/>
      </c>
      <c r="Z290" s="846">
        <f>SUM(W290-U290)/U290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I291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R291</f>
        <v/>
      </c>
      <c r="U291" s="842" t="n">
        <v>52500</v>
      </c>
      <c r="V291" s="842">
        <f>U291</f>
        <v/>
      </c>
      <c r="W291" s="842" t="n">
        <v>55000</v>
      </c>
      <c r="X291" s="842">
        <f>W291</f>
        <v/>
      </c>
      <c r="Y291" s="845">
        <f>W291/I291</f>
        <v/>
      </c>
      <c r="Z291" s="846">
        <f>SUM(W291-U291)/U291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I292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R292</f>
        <v/>
      </c>
      <c r="U292" s="842" t="n">
        <v>53600</v>
      </c>
      <c r="V292" s="842">
        <f>U292</f>
        <v/>
      </c>
      <c r="W292" s="842" t="n">
        <v>54700</v>
      </c>
      <c r="X292" s="842">
        <f>W292</f>
        <v/>
      </c>
      <c r="Y292" s="845">
        <f>W292/I292</f>
        <v/>
      </c>
      <c r="Z292" s="846">
        <f>SUM(W292-U292)/U292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I293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R293</f>
        <v/>
      </c>
      <c r="U293" s="842" t="n">
        <v>90600</v>
      </c>
      <c r="V293" s="842">
        <f>U293</f>
        <v/>
      </c>
      <c r="W293" s="842" t="n">
        <v>91500</v>
      </c>
      <c r="X293" s="842">
        <f>W293</f>
        <v/>
      </c>
      <c r="Y293" s="845">
        <f>W293/I293</f>
        <v/>
      </c>
      <c r="Z293" s="846">
        <f>SUM(W293-U293)/U293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I294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R294</f>
        <v/>
      </c>
      <c r="U294" s="842" t="n">
        <v>75000</v>
      </c>
      <c r="V294" s="842">
        <f>U294</f>
        <v/>
      </c>
      <c r="W294" s="842" t="n">
        <v>87300</v>
      </c>
      <c r="X294" s="842">
        <f>W294</f>
        <v/>
      </c>
      <c r="Y294" s="845">
        <f>W294/I294</f>
        <v/>
      </c>
      <c r="Z294" s="846">
        <f>SUM(W294-U294)/U294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I295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R295</f>
        <v/>
      </c>
      <c r="U295" s="842" t="n">
        <v>73600</v>
      </c>
      <c r="V295" s="842">
        <f>U295</f>
        <v/>
      </c>
      <c r="W295" s="842" t="n">
        <v>74300</v>
      </c>
      <c r="X295" s="842">
        <f>W295</f>
        <v/>
      </c>
      <c r="Y295" s="845">
        <f>W295/I295</f>
        <v/>
      </c>
      <c r="Z295" s="846">
        <f>SUM(W295-U295)/U295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I296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R296</f>
        <v/>
      </c>
      <c r="U296" s="842" t="n">
        <v>45600</v>
      </c>
      <c r="V296" s="842">
        <f>U296</f>
        <v/>
      </c>
      <c r="W296" s="842" t="n">
        <v>52300</v>
      </c>
      <c r="X296" s="842">
        <f>W296</f>
        <v/>
      </c>
      <c r="Y296" s="845">
        <f>W296/I296</f>
        <v/>
      </c>
      <c r="Z296" s="846">
        <f>SUM(W296-U296)/U296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I297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R297</f>
        <v/>
      </c>
      <c r="U297" s="842" t="n">
        <v>72300</v>
      </c>
      <c r="V297" s="842">
        <f>U297</f>
        <v/>
      </c>
      <c r="W297" s="842" t="n">
        <v>76100</v>
      </c>
      <c r="X297" s="842">
        <f>W297</f>
        <v/>
      </c>
      <c r="Y297" s="845">
        <f>W297/I297</f>
        <v/>
      </c>
      <c r="Z297" s="846">
        <f>SUM(W297-U297)/U297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I298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R298</f>
        <v/>
      </c>
      <c r="U298" s="842" t="n">
        <v>46300</v>
      </c>
      <c r="V298" s="842">
        <f>U298</f>
        <v/>
      </c>
      <c r="W298" s="842" t="n">
        <v>51500</v>
      </c>
      <c r="X298" s="842">
        <f>W298</f>
        <v/>
      </c>
      <c r="Y298" s="845">
        <f>W298/I298</f>
        <v/>
      </c>
      <c r="Z298" s="846">
        <f>SUM(W298-U298)/U298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I299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R299</f>
        <v/>
      </c>
      <c r="U299" s="842" t="n">
        <v>63800</v>
      </c>
      <c r="V299" s="842">
        <f>U299</f>
        <v/>
      </c>
      <c r="W299" s="842" t="n">
        <v>67000</v>
      </c>
      <c r="X299" s="842">
        <f>W299</f>
        <v/>
      </c>
      <c r="Y299" s="845">
        <f>W299/I299</f>
        <v/>
      </c>
      <c r="Z299" s="846">
        <f>SUM(W299-U299)/U299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I300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R300</f>
        <v/>
      </c>
      <c r="U300" s="842" t="n">
        <v>46100</v>
      </c>
      <c r="V300" s="842">
        <f>U300</f>
        <v/>
      </c>
      <c r="W300" s="842" t="n">
        <v>47500</v>
      </c>
      <c r="X300" s="842">
        <f>W300</f>
        <v/>
      </c>
      <c r="Y300" s="845">
        <f>W300/I300</f>
        <v/>
      </c>
      <c r="Z300" s="846">
        <f>SUM(W300-U300)/U300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I301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R301</f>
        <v/>
      </c>
      <c r="U301" s="842" t="n">
        <v>55600</v>
      </c>
      <c r="V301" s="842">
        <f>U301</f>
        <v/>
      </c>
      <c r="W301" s="842" t="n">
        <v>59300</v>
      </c>
      <c r="X301" s="842">
        <f>W301</f>
        <v/>
      </c>
      <c r="Y301" s="845">
        <f>W301/I301</f>
        <v/>
      </c>
      <c r="Z301" s="846">
        <f>SUM(W301-U301)/U301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I302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R302</f>
        <v/>
      </c>
      <c r="U302" s="842" t="n">
        <v>36800</v>
      </c>
      <c r="V302" s="842">
        <f>U302</f>
        <v/>
      </c>
      <c r="W302" s="842" t="n">
        <v>37600</v>
      </c>
      <c r="X302" s="842">
        <f>W302</f>
        <v/>
      </c>
      <c r="Y302" s="845">
        <f>W302/I302</f>
        <v/>
      </c>
      <c r="Z302" s="846">
        <f>SUM(W302-U302)/U302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I303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R303</f>
        <v/>
      </c>
      <c r="U303" s="842" t="n">
        <v>44700</v>
      </c>
      <c r="V303" s="842">
        <f>U303</f>
        <v/>
      </c>
      <c r="W303" s="842" t="n">
        <v>45600</v>
      </c>
      <c r="X303" s="842">
        <f>W303</f>
        <v/>
      </c>
      <c r="Y303" s="845">
        <f>W303/I303</f>
        <v/>
      </c>
      <c r="Z303" s="846">
        <f>SUM(W303-U303)/U303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I304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R304</f>
        <v/>
      </c>
      <c r="U304" s="842" t="n">
        <v>27300</v>
      </c>
      <c r="V304" s="842">
        <f>U304</f>
        <v/>
      </c>
      <c r="W304" s="842" t="n">
        <v>28900</v>
      </c>
      <c r="X304" s="842">
        <f>W304</f>
        <v/>
      </c>
      <c r="Y304" s="845">
        <f>W304/I304</f>
        <v/>
      </c>
      <c r="Z304" s="846">
        <f>SUM(W304-U304)/U304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I305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R305</f>
        <v/>
      </c>
      <c r="U305" s="842" t="n">
        <v>106000</v>
      </c>
      <c r="V305" s="842">
        <f>U305</f>
        <v/>
      </c>
      <c r="W305" s="842" t="n">
        <v>106000</v>
      </c>
      <c r="X305" s="842">
        <f>W305</f>
        <v/>
      </c>
      <c r="Y305" s="845">
        <f>W305/I305</f>
        <v/>
      </c>
      <c r="Z305" s="846">
        <f>SUM(W305-U305)/U305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I306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R306</f>
        <v/>
      </c>
      <c r="U306" s="842" t="n">
        <v>53800</v>
      </c>
      <c r="V306" s="842">
        <f>U306</f>
        <v/>
      </c>
      <c r="W306" s="842" t="n">
        <v>53800</v>
      </c>
      <c r="X306" s="842">
        <f>W306</f>
        <v/>
      </c>
      <c r="Y306" s="845">
        <f>W306/I306</f>
        <v/>
      </c>
      <c r="Z306" s="846">
        <f>SUM(W306-U306)/U306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I307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R307</f>
        <v/>
      </c>
      <c r="T307" s="591">
        <f>S307</f>
        <v/>
      </c>
      <c r="U307" s="591" t="n">
        <v>364600</v>
      </c>
      <c r="V307" s="842">
        <f>U307</f>
        <v/>
      </c>
      <c r="W307" s="591" t="n">
        <v>414100</v>
      </c>
      <c r="X307" s="842">
        <f>W307</f>
        <v/>
      </c>
      <c r="Y307" s="845">
        <f>W307/I307</f>
        <v/>
      </c>
      <c r="Z307" s="846">
        <f>SUM(W307-U307)/U307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I308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R308</f>
        <v/>
      </c>
      <c r="U308" s="848" t="n">
        <v>100000</v>
      </c>
      <c r="V308" s="842">
        <f>U308</f>
        <v/>
      </c>
      <c r="W308" s="848" t="n">
        <v>100000</v>
      </c>
      <c r="X308" s="842">
        <f>W308</f>
        <v/>
      </c>
      <c r="Y308" s="845">
        <f>W308/I308</f>
        <v/>
      </c>
      <c r="Z308" s="846">
        <f>SUM(W308-U308)/U308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I309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R309</f>
        <v/>
      </c>
      <c r="U309" s="848" t="n">
        <v>109600</v>
      </c>
      <c r="V309" s="842">
        <f>U309</f>
        <v/>
      </c>
      <c r="W309" s="848" t="n">
        <v>112000</v>
      </c>
      <c r="X309" s="842">
        <f>W309</f>
        <v/>
      </c>
      <c r="Y309" s="845">
        <f>W309/I309</f>
        <v/>
      </c>
      <c r="Z309" s="846">
        <f>SUM(W309-U309)/U309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I310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R310</f>
        <v/>
      </c>
      <c r="U310" s="848" t="n">
        <v>124700</v>
      </c>
      <c r="V310" s="842">
        <f>U310</f>
        <v/>
      </c>
      <c r="W310" s="848" t="n">
        <v>125100</v>
      </c>
      <c r="X310" s="842">
        <f>W310</f>
        <v/>
      </c>
      <c r="Y310" s="845">
        <f>W310/I310</f>
        <v/>
      </c>
      <c r="Z310" s="846">
        <f>SUM(W310-U310)/U310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I311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R311</f>
        <v/>
      </c>
      <c r="U311" s="848" t="n">
        <v>64100</v>
      </c>
      <c r="V311" s="842">
        <f>U311</f>
        <v/>
      </c>
      <c r="W311" s="848" t="n">
        <v>63100</v>
      </c>
      <c r="X311" s="842">
        <f>W311</f>
        <v/>
      </c>
      <c r="Y311" s="845">
        <f>W311/I311</f>
        <v/>
      </c>
      <c r="Z311" s="846">
        <f>SUM(W311-U311)/U311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I312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R312</f>
        <v/>
      </c>
      <c r="U312" s="848" t="n">
        <v>67300</v>
      </c>
      <c r="V312" s="842">
        <f>U312</f>
        <v/>
      </c>
      <c r="W312" s="848" t="n">
        <v>69000</v>
      </c>
      <c r="X312" s="842">
        <f>W312</f>
        <v/>
      </c>
      <c r="Y312" s="845">
        <f>W312/I312</f>
        <v/>
      </c>
      <c r="Z312" s="846">
        <f>SUM(W312-U312)/U312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I313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R313</f>
        <v/>
      </c>
      <c r="U313" s="848" t="n">
        <v>67600</v>
      </c>
      <c r="V313" s="842">
        <f>U313</f>
        <v/>
      </c>
      <c r="W313" s="848" t="n">
        <v>68900</v>
      </c>
      <c r="X313" s="842">
        <f>W313</f>
        <v/>
      </c>
      <c r="Y313" s="845">
        <f>W313/I313</f>
        <v/>
      </c>
      <c r="Z313" s="846">
        <f>SUM(W313-U313)/U313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I314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R314</f>
        <v/>
      </c>
      <c r="U314" s="848" t="n">
        <v>61000</v>
      </c>
      <c r="V314" s="842">
        <f>U314</f>
        <v/>
      </c>
      <c r="W314" s="848" t="n">
        <v>60700</v>
      </c>
      <c r="X314" s="842">
        <f>W314</f>
        <v/>
      </c>
      <c r="Y314" s="845">
        <f>W314/I314</f>
        <v/>
      </c>
      <c r="Z314" s="846">
        <f>SUM(W314-U314)/U314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I315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R315</f>
        <v/>
      </c>
      <c r="U315" s="848" t="n">
        <v>37700</v>
      </c>
      <c r="V315" s="842">
        <f>U315</f>
        <v/>
      </c>
      <c r="W315" s="848" t="n">
        <v>46800</v>
      </c>
      <c r="X315" s="842">
        <f>W315</f>
        <v/>
      </c>
      <c r="Y315" s="845">
        <f>W315/I315</f>
        <v/>
      </c>
      <c r="Z315" s="846">
        <f>SUM(W315-U315)/U315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I316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R316</f>
        <v/>
      </c>
      <c r="U316" s="848" t="n">
        <v>39100</v>
      </c>
      <c r="V316" s="842">
        <f>U316</f>
        <v/>
      </c>
      <c r="W316" s="848" t="n">
        <v>39200</v>
      </c>
      <c r="X316" s="842">
        <f>W316</f>
        <v/>
      </c>
      <c r="Y316" s="845">
        <f>W316/I316</f>
        <v/>
      </c>
      <c r="Z316" s="846">
        <f>SUM(W316-U316)/U316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I317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R317</f>
        <v/>
      </c>
      <c r="U317" s="848" t="n">
        <v>37300</v>
      </c>
      <c r="V317" s="842">
        <f>U317</f>
        <v/>
      </c>
      <c r="W317" s="848" t="n">
        <v>33200</v>
      </c>
      <c r="X317" s="842">
        <f>W317</f>
        <v/>
      </c>
      <c r="Y317" s="845">
        <f>W317/I317</f>
        <v/>
      </c>
      <c r="Z317" s="846">
        <f>SUM(W317-U317)/U317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I318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R318</f>
        <v/>
      </c>
      <c r="U318" s="634" t="n">
        <v>210000</v>
      </c>
      <c r="V318" s="842">
        <f>U318</f>
        <v/>
      </c>
      <c r="W318" s="634" t="n">
        <v>232000</v>
      </c>
      <c r="X318" s="842">
        <f>W318</f>
        <v/>
      </c>
      <c r="Y318" s="845">
        <f>W318/I318</f>
        <v/>
      </c>
      <c r="Z318" s="846">
        <f>SUM(W318-U318)/U318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I319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R319</f>
        <v/>
      </c>
      <c r="U319" s="842" t="n">
        <v>1688000</v>
      </c>
      <c r="V319" s="842">
        <f>U319</f>
        <v/>
      </c>
      <c r="W319" s="842" t="n">
        <v>1953000</v>
      </c>
      <c r="X319" s="842">
        <f>W319</f>
        <v/>
      </c>
      <c r="Y319" s="845">
        <f>W319/I319</f>
        <v/>
      </c>
      <c r="Z319" s="846">
        <f>SUM(W319-U319)/U319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I320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R320</f>
        <v/>
      </c>
      <c r="U320" s="842" t="n">
        <v>69900</v>
      </c>
      <c r="V320" s="842">
        <f>U320</f>
        <v/>
      </c>
      <c r="W320" s="842" t="n">
        <v>69900</v>
      </c>
      <c r="X320" s="842">
        <f>W320</f>
        <v/>
      </c>
      <c r="Y320" s="845">
        <f>W320/I320</f>
        <v/>
      </c>
      <c r="Z320" s="846">
        <f>SUM(W320-U320)/U320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I321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R321</f>
        <v/>
      </c>
      <c r="U321" s="842" t="n">
        <v>64900</v>
      </c>
      <c r="V321" s="842">
        <f>U321</f>
        <v/>
      </c>
      <c r="W321" s="842" t="n">
        <v>64900</v>
      </c>
      <c r="X321" s="842">
        <f>W321</f>
        <v/>
      </c>
      <c r="Y321" s="845">
        <f>W321/I321</f>
        <v/>
      </c>
      <c r="Z321" s="846">
        <f>SUM(W321-U321)/U321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I322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R322</f>
        <v/>
      </c>
      <c r="U322" s="842" t="n">
        <v>53100</v>
      </c>
      <c r="V322" s="842">
        <f>U322</f>
        <v/>
      </c>
      <c r="W322" s="842" t="n">
        <v>53100</v>
      </c>
      <c r="X322" s="842">
        <f>W322</f>
        <v/>
      </c>
      <c r="Y322" s="845">
        <f>W322/I322</f>
        <v/>
      </c>
      <c r="Z322" s="846">
        <f>SUM(W322-U322)/U322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I323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R323</f>
        <v/>
      </c>
      <c r="U323" s="842" t="n">
        <v>51200</v>
      </c>
      <c r="V323" s="842">
        <f>U323</f>
        <v/>
      </c>
      <c r="W323" s="842" t="n">
        <v>51200</v>
      </c>
      <c r="X323" s="842">
        <f>W323</f>
        <v/>
      </c>
      <c r="Y323" s="845">
        <f>W323/I323</f>
        <v/>
      </c>
      <c r="Z323" s="846">
        <f>SUM(W323-U323)/U323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I324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R324</f>
        <v/>
      </c>
      <c r="U324" s="842" t="n">
        <v>146200</v>
      </c>
      <c r="V324" s="842">
        <f>U324</f>
        <v/>
      </c>
      <c r="W324" s="842" t="n">
        <v>146200</v>
      </c>
      <c r="X324" s="842">
        <f>W324</f>
        <v/>
      </c>
      <c r="Y324" s="845">
        <f>W324/I324</f>
        <v/>
      </c>
      <c r="Z324" s="846">
        <f>SUM(W324-U324)/U324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I325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R325</f>
        <v/>
      </c>
      <c r="U325" s="842" t="n">
        <v>85800</v>
      </c>
      <c r="V325" s="842">
        <f>U325</f>
        <v/>
      </c>
      <c r="W325" s="842" t="n">
        <v>85800</v>
      </c>
      <c r="X325" s="842">
        <f>W325</f>
        <v/>
      </c>
      <c r="Y325" s="845">
        <f>W325/I325</f>
        <v/>
      </c>
      <c r="Z325" s="846">
        <f>SUM(W325-U325)/U325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I326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R326</f>
        <v/>
      </c>
      <c r="U326" s="842" t="n">
        <v>80000</v>
      </c>
      <c r="V326" s="842">
        <f>U326</f>
        <v/>
      </c>
      <c r="W326" s="842" t="n">
        <v>80000</v>
      </c>
      <c r="X326" s="842">
        <f>W326</f>
        <v/>
      </c>
      <c r="Y326" s="845">
        <f>W326/I326</f>
        <v/>
      </c>
      <c r="Z326" s="846">
        <f>SUM(W326-U326)/U326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I327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R327</f>
        <v/>
      </c>
      <c r="U327" s="842" t="n">
        <v>76700</v>
      </c>
      <c r="V327" s="842">
        <f>U327</f>
        <v/>
      </c>
      <c r="W327" s="842" t="n">
        <v>76700</v>
      </c>
      <c r="X327" s="842">
        <f>W327</f>
        <v/>
      </c>
      <c r="Y327" s="845">
        <f>W327/I327</f>
        <v/>
      </c>
      <c r="Z327" s="846">
        <f>SUM(W327-U327)/U327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I328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R328</f>
        <v/>
      </c>
      <c r="U328" s="842" t="n">
        <v>70500</v>
      </c>
      <c r="V328" s="842">
        <f>U328</f>
        <v/>
      </c>
      <c r="W328" s="842" t="n">
        <v>70500</v>
      </c>
      <c r="X328" s="842">
        <f>W328</f>
        <v/>
      </c>
      <c r="Y328" s="845">
        <f>W328/I328</f>
        <v/>
      </c>
      <c r="Z328" s="846">
        <f>SUM(W328-U328)/U328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I329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R329</f>
        <v/>
      </c>
      <c r="U329" s="842" t="n">
        <v>75400</v>
      </c>
      <c r="V329" s="842">
        <f>U329</f>
        <v/>
      </c>
      <c r="W329" s="842" t="n">
        <v>75400</v>
      </c>
      <c r="X329" s="842">
        <f>W329</f>
        <v/>
      </c>
      <c r="Y329" s="845">
        <f>W329/I329</f>
        <v/>
      </c>
      <c r="Z329" s="846">
        <f>SUM(W329-U329)/U329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I330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R330</f>
        <v/>
      </c>
      <c r="U330" s="842" t="n">
        <v>66200</v>
      </c>
      <c r="V330" s="842">
        <f>U330</f>
        <v/>
      </c>
      <c r="W330" s="842" t="n">
        <v>66200</v>
      </c>
      <c r="X330" s="842">
        <f>W330</f>
        <v/>
      </c>
      <c r="Y330" s="845">
        <f>W330/I330</f>
        <v/>
      </c>
      <c r="Z330" s="846">
        <f>SUM(W330-U330)/U330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I331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R331</f>
        <v/>
      </c>
      <c r="T331" s="591">
        <f>S331</f>
        <v/>
      </c>
      <c r="U331" s="591" t="n">
        <v>750000</v>
      </c>
      <c r="V331" s="591">
        <f>U331</f>
        <v/>
      </c>
      <c r="W331" s="591" t="n">
        <v>685000</v>
      </c>
      <c r="X331" s="591">
        <f>W331</f>
        <v/>
      </c>
      <c r="Y331" s="845">
        <f>W331/I331</f>
        <v/>
      </c>
      <c r="Z331" s="846">
        <f>SUM(W331-U331)/U331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I332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R332</f>
        <v/>
      </c>
      <c r="U332" s="848" t="n">
        <v>616000</v>
      </c>
      <c r="V332" s="842">
        <f>U332</f>
        <v/>
      </c>
      <c r="W332" s="848" t="n">
        <v>617000</v>
      </c>
      <c r="X332" s="842">
        <f>W332</f>
        <v/>
      </c>
      <c r="Y332" s="845">
        <f>W332/I332</f>
        <v/>
      </c>
      <c r="Z332" s="846">
        <f>SUM(W332-U332)/U332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I333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R333</f>
        <v/>
      </c>
      <c r="U333" s="848" t="n">
        <v>65000</v>
      </c>
      <c r="V333" s="842">
        <f>U333</f>
        <v/>
      </c>
      <c r="W333" s="848" t="n">
        <v>0</v>
      </c>
      <c r="X333" s="842">
        <f>W333</f>
        <v/>
      </c>
      <c r="Y333" s="845">
        <f>W333/I333</f>
        <v/>
      </c>
      <c r="Z333" s="846">
        <f>SUM(W333-U333)/U333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I334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R334</f>
        <v/>
      </c>
      <c r="U334" s="848" t="n">
        <v>130000</v>
      </c>
      <c r="V334" s="842">
        <f>U334</f>
        <v/>
      </c>
      <c r="W334" s="848" t="n">
        <v>130000</v>
      </c>
      <c r="X334" s="842">
        <f>W334</f>
        <v/>
      </c>
      <c r="Y334" s="845">
        <f>W334/I334</f>
        <v/>
      </c>
      <c r="Z334" s="846">
        <f>SUM(W334-U334)/U334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I335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R335</f>
        <v/>
      </c>
      <c r="U335" s="842" t="n">
        <v>522500</v>
      </c>
      <c r="V335" s="842">
        <f>U335</f>
        <v/>
      </c>
      <c r="W335" s="842" t="n">
        <v>522500</v>
      </c>
      <c r="X335" s="842">
        <f>W335</f>
        <v/>
      </c>
      <c r="Y335" s="845">
        <f>W335/I335</f>
        <v/>
      </c>
      <c r="Z335" s="846">
        <f>SUM(W335-U335)/U335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I336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R336</f>
        <v/>
      </c>
      <c r="U336" s="842" t="n">
        <v>115000</v>
      </c>
      <c r="V336" s="842">
        <f>U336</f>
        <v/>
      </c>
      <c r="W336" s="842" t="n">
        <v>115000</v>
      </c>
      <c r="X336" s="842">
        <f>W336</f>
        <v/>
      </c>
      <c r="Y336" s="845">
        <f>W336/I336</f>
        <v/>
      </c>
      <c r="Z336" s="846">
        <f>SUM(W336-U336)/U336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I337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R337</f>
        <v/>
      </c>
      <c r="T337" s="591">
        <f>S337</f>
        <v/>
      </c>
      <c r="U337" s="591" t="n">
        <v>2569000</v>
      </c>
      <c r="V337" s="842">
        <f>U337</f>
        <v/>
      </c>
      <c r="W337" s="591" t="n">
        <v>3039000</v>
      </c>
      <c r="X337" s="842">
        <f>W337</f>
        <v/>
      </c>
      <c r="Y337" s="845">
        <f>W337/I337</f>
        <v/>
      </c>
      <c r="Z337" s="846">
        <f>SUM(W337-U337)/U337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I338</f>
        <v/>
      </c>
      <c r="L338" s="840" t="inlineStr">
        <is>
          <t>Building Workshop</t>
        </is>
      </c>
      <c r="R338" s="842" t="n">
        <v>0</v>
      </c>
      <c r="S338" s="842">
        <f>R338</f>
        <v/>
      </c>
      <c r="U338" s="842" t="n">
        <v>2007</v>
      </c>
      <c r="V338" s="842">
        <f>U338</f>
        <v/>
      </c>
      <c r="W338" s="842" t="n">
        <v>2007</v>
      </c>
      <c r="X338" s="842">
        <f>W338</f>
        <v/>
      </c>
      <c r="Y338" s="845">
        <f>W338/I338</f>
        <v/>
      </c>
      <c r="Z338" s="846">
        <f>SUM(W338-U338)/U338</f>
        <v/>
      </c>
      <c r="AA338" s="842" t="n"/>
      <c r="AB338" s="590" t="n"/>
      <c r="AC338" s="847" t="n"/>
      <c r="AD338" s="841" t="inlineStr">
        <is>
          <t>No</t>
        </is>
      </c>
      <c r="AH338" s="312" t="n"/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I339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R339</f>
        <v/>
      </c>
      <c r="U339" s="842" t="n">
        <v>7993</v>
      </c>
      <c r="V339" s="842" t="n"/>
      <c r="W339" s="842" t="n">
        <v>7993</v>
      </c>
      <c r="X339" s="842" t="n"/>
      <c r="Y339" s="845">
        <f>W339/I339</f>
        <v/>
      </c>
      <c r="Z339" s="846">
        <f>SUM(W339-U339)/U339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I340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R340</f>
        <v/>
      </c>
      <c r="U340" s="842" t="n">
        <v>12500</v>
      </c>
      <c r="V340" s="842">
        <f>U340</f>
        <v/>
      </c>
      <c r="W340" s="842" t="n">
        <v>12500</v>
      </c>
      <c r="X340" s="842">
        <f>W340</f>
        <v/>
      </c>
      <c r="Y340" s="845">
        <f>W340/I340</f>
        <v/>
      </c>
      <c r="Z340" s="846">
        <f>SUM(W340-U340)/U340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I341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R341</f>
        <v/>
      </c>
      <c r="U341" s="842" t="n">
        <v>216700</v>
      </c>
      <c r="V341" s="842">
        <f>U341</f>
        <v/>
      </c>
      <c r="W341" s="842" t="n">
        <v>216700</v>
      </c>
      <c r="X341" s="842">
        <f>W341</f>
        <v/>
      </c>
      <c r="Y341" s="845">
        <f>W341/I341</f>
        <v/>
      </c>
      <c r="Z341" s="846">
        <f>SUM(W341-U341)/U341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I342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R342</f>
        <v/>
      </c>
      <c r="U342" s="842" t="n">
        <v>107600</v>
      </c>
      <c r="V342" s="842">
        <f>U342</f>
        <v/>
      </c>
      <c r="W342" s="842" t="n">
        <v>107600</v>
      </c>
      <c r="X342" s="842">
        <f>W342</f>
        <v/>
      </c>
      <c r="Y342" s="845">
        <f>W342/I342</f>
        <v/>
      </c>
      <c r="Z342" s="846">
        <f>SUM(W342-U342)/U342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I343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R343</f>
        <v/>
      </c>
      <c r="U343" s="842" t="n">
        <v>122400</v>
      </c>
      <c r="V343" s="842">
        <f>U343</f>
        <v/>
      </c>
      <c r="W343" s="842" t="n">
        <v>122400</v>
      </c>
      <c r="X343" s="842">
        <f>W343</f>
        <v/>
      </c>
      <c r="Y343" s="845">
        <f>W343/I343</f>
        <v/>
      </c>
      <c r="Z343" s="846">
        <f>SUM(W343-U343)/U343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I344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R344</f>
        <v/>
      </c>
      <c r="U344" s="842" t="n">
        <v>85500</v>
      </c>
      <c r="V344" s="842">
        <f>U344</f>
        <v/>
      </c>
      <c r="W344" s="842" t="n">
        <v>100000</v>
      </c>
      <c r="X344" s="842">
        <f>W344</f>
        <v/>
      </c>
      <c r="Y344" s="845">
        <f>W344/I344</f>
        <v/>
      </c>
      <c r="Z344" s="846">
        <f>SUM(W344-U344)/U344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I345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R345</f>
        <v/>
      </c>
      <c r="U345" s="842" t="n">
        <v>144000</v>
      </c>
      <c r="V345" s="842">
        <f>U345</f>
        <v/>
      </c>
      <c r="W345" s="842" t="n">
        <v>167400</v>
      </c>
      <c r="X345" s="842">
        <f>W345</f>
        <v/>
      </c>
      <c r="Y345" s="845">
        <f>W345/I345</f>
        <v/>
      </c>
      <c r="Z345" s="846">
        <f>SUM(W345-U345)/U345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I346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R346</f>
        <v/>
      </c>
      <c r="U346" s="842" t="n">
        <v>390000</v>
      </c>
      <c r="V346" s="842">
        <f>U346</f>
        <v/>
      </c>
      <c r="W346" s="842" t="n">
        <v>390000</v>
      </c>
      <c r="X346" s="842">
        <f>W346</f>
        <v/>
      </c>
      <c r="Y346" s="845">
        <f>W346/I346</f>
        <v/>
      </c>
      <c r="Z346" s="846">
        <f>SUM(W346-U346)/U346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I347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R347</f>
        <v/>
      </c>
      <c r="U347" s="842" t="n">
        <v>72000</v>
      </c>
      <c r="V347" s="842">
        <f>U347</f>
        <v/>
      </c>
      <c r="W347" s="842" t="n">
        <v>69000</v>
      </c>
      <c r="X347" s="842">
        <f>W347</f>
        <v/>
      </c>
      <c r="Y347" s="845">
        <f>W347/I347</f>
        <v/>
      </c>
      <c r="Z347" s="846">
        <f>SUM(W347-U347)/U347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I348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R348</f>
        <v/>
      </c>
      <c r="U348" s="842" t="n">
        <v>82300</v>
      </c>
      <c r="V348" s="842">
        <f>U348</f>
        <v/>
      </c>
      <c r="W348" s="842" t="n">
        <v>78900</v>
      </c>
      <c r="X348" s="842">
        <f>W348</f>
        <v/>
      </c>
      <c r="Y348" s="845">
        <f>W348/I348</f>
        <v/>
      </c>
      <c r="Z348" s="846">
        <f>SUM(W348-U348)/U348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I349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R349</f>
        <v/>
      </c>
      <c r="U349" s="842" t="n">
        <v>61200</v>
      </c>
      <c r="V349" s="842">
        <f>U349</f>
        <v/>
      </c>
      <c r="W349" s="842" t="n">
        <v>58700</v>
      </c>
      <c r="X349" s="842">
        <f>W349</f>
        <v/>
      </c>
      <c r="Y349" s="845">
        <f>W349/I349</f>
        <v/>
      </c>
      <c r="Z349" s="846">
        <f>SUM(W349-U349)/U349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I350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R350</f>
        <v/>
      </c>
      <c r="U350" s="842" t="n">
        <v>398200</v>
      </c>
      <c r="V350" s="842">
        <f>U350</f>
        <v/>
      </c>
      <c r="W350" s="842" t="n">
        <v>381600</v>
      </c>
      <c r="X350" s="842">
        <f>W350</f>
        <v/>
      </c>
      <c r="Y350" s="845">
        <f>W350/I350</f>
        <v/>
      </c>
      <c r="Z350" s="846">
        <f>SUM(W350-U350)/U350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I351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R351</f>
        <v/>
      </c>
      <c r="U351" s="842" t="n">
        <v>57000</v>
      </c>
      <c r="V351" s="842">
        <f>U351</f>
        <v/>
      </c>
      <c r="W351" s="842" t="n">
        <v>54600</v>
      </c>
      <c r="X351" s="842">
        <f>W351</f>
        <v/>
      </c>
      <c r="Y351" s="845">
        <f>W351/I351</f>
        <v/>
      </c>
      <c r="Z351" s="846">
        <f>SUM(W351-U351)/U351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I352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R352</f>
        <v/>
      </c>
      <c r="U352" s="842" t="n">
        <v>926700</v>
      </c>
      <c r="V352" s="842">
        <f>U352</f>
        <v/>
      </c>
      <c r="W352" s="842" t="n">
        <v>810900</v>
      </c>
      <c r="X352" s="842">
        <f>W352</f>
        <v/>
      </c>
      <c r="Y352" s="845">
        <f>W352/I352</f>
        <v/>
      </c>
      <c r="Z352" s="846">
        <f>SUM(W352-U352)/U352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I353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R353</f>
        <v/>
      </c>
      <c r="U353" s="842" t="n">
        <v>321000</v>
      </c>
      <c r="V353" s="842">
        <f>U353</f>
        <v/>
      </c>
      <c r="W353" s="842" t="n">
        <v>307600</v>
      </c>
      <c r="X353" s="842">
        <f>W353</f>
        <v/>
      </c>
      <c r="Y353" s="845">
        <f>W353/I353</f>
        <v/>
      </c>
      <c r="Z353" s="846">
        <f>SUM(W353-U353)/U353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I354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R354</f>
        <v/>
      </c>
      <c r="U354" s="842" t="n">
        <v>207700</v>
      </c>
      <c r="V354" s="842">
        <f>U354</f>
        <v/>
      </c>
      <c r="W354" s="842" t="n">
        <v>199000</v>
      </c>
      <c r="X354" s="842">
        <f>W354</f>
        <v/>
      </c>
      <c r="Y354" s="845">
        <f>W354/I354</f>
        <v/>
      </c>
      <c r="Z354" s="846">
        <f>SUM(W354-U354)/U354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I355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R355</f>
        <v/>
      </c>
      <c r="T355" s="842" t="n"/>
      <c r="U355" s="842" t="n">
        <v>26700</v>
      </c>
      <c r="V355" s="842">
        <f>U355</f>
        <v/>
      </c>
      <c r="W355" s="842" t="n">
        <v>25600</v>
      </c>
      <c r="X355" s="842">
        <f>W355</f>
        <v/>
      </c>
      <c r="Y355" s="845">
        <f>W355/I355</f>
        <v/>
      </c>
      <c r="Z355" s="846">
        <f>SUM(W355-U355)/U355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I356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R356</f>
        <v/>
      </c>
      <c r="U356" s="842" t="n">
        <v>45000</v>
      </c>
      <c r="V356" s="842">
        <f>U356</f>
        <v/>
      </c>
      <c r="W356" s="842" t="n">
        <v>45000</v>
      </c>
      <c r="X356" s="842">
        <f>W356</f>
        <v/>
      </c>
      <c r="Y356" s="845">
        <f>W356/I356</f>
        <v/>
      </c>
      <c r="Z356" s="846">
        <f>SUM(W356-U356)/U356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I357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R357</f>
        <v/>
      </c>
      <c r="U357" s="842" t="n">
        <v>110900</v>
      </c>
      <c r="V357" s="842">
        <f>U357</f>
        <v/>
      </c>
      <c r="W357" s="842" t="n">
        <v>110900</v>
      </c>
      <c r="X357" s="842">
        <f>W357</f>
        <v/>
      </c>
      <c r="Y357" s="845">
        <f>W357/I357</f>
        <v/>
      </c>
      <c r="Z357" s="846">
        <f>SUM(W357-U357)/U357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I358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R358</f>
        <v/>
      </c>
      <c r="U358" s="842" t="n">
        <v>396300</v>
      </c>
      <c r="V358" s="842">
        <f>U358</f>
        <v/>
      </c>
      <c r="W358" s="842" t="n">
        <v>396300</v>
      </c>
      <c r="X358" s="842">
        <f>W358</f>
        <v/>
      </c>
      <c r="Y358" s="845">
        <f>W358/I358</f>
        <v/>
      </c>
      <c r="Z358" s="846">
        <f>SUM(W358-U358)/U358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I359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R359</f>
        <v/>
      </c>
      <c r="U359" s="842" t="n">
        <v>20900</v>
      </c>
      <c r="V359" s="842">
        <f>U359</f>
        <v/>
      </c>
      <c r="W359" s="842" t="n">
        <v>20900</v>
      </c>
      <c r="X359" s="842">
        <f>W359</f>
        <v/>
      </c>
      <c r="Y359" s="845">
        <f>W359/I359</f>
        <v/>
      </c>
      <c r="Z359" s="846">
        <f>SUM(W359-U359)/U359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I360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R360</f>
        <v/>
      </c>
      <c r="U360" s="842" t="n">
        <v>53600</v>
      </c>
      <c r="V360" s="842">
        <f>U360</f>
        <v/>
      </c>
      <c r="W360" s="842" t="n">
        <v>53600</v>
      </c>
      <c r="X360" s="842">
        <f>W360</f>
        <v/>
      </c>
      <c r="Y360" s="845">
        <f>W360/I360</f>
        <v/>
      </c>
      <c r="Z360" s="846">
        <f>SUM(W360-U360)/U360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I361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R361</f>
        <v/>
      </c>
      <c r="U361" s="848" t="n">
        <v>77600</v>
      </c>
      <c r="V361" s="842">
        <f>U361</f>
        <v/>
      </c>
      <c r="W361" s="842" t="n">
        <v>77600</v>
      </c>
      <c r="X361" s="842">
        <f>W361</f>
        <v/>
      </c>
      <c r="Y361" s="845">
        <f>W361/I361</f>
        <v/>
      </c>
      <c r="Z361" s="846">
        <f>SUM(W361-U361)/U361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I362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R362</f>
        <v/>
      </c>
      <c r="U362" s="842" t="n">
        <v>39600</v>
      </c>
      <c r="V362" s="842">
        <f>U362</f>
        <v/>
      </c>
      <c r="W362" s="842" t="n">
        <v>39600</v>
      </c>
      <c r="X362" s="842">
        <f>W362</f>
        <v/>
      </c>
      <c r="Y362" s="845">
        <f>W362/I362</f>
        <v/>
      </c>
      <c r="Z362" s="846">
        <f>SUM(W362-U362)/U362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I363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R363</f>
        <v/>
      </c>
      <c r="U363" s="842" t="n">
        <v>18700</v>
      </c>
      <c r="V363" s="842">
        <f>U363</f>
        <v/>
      </c>
      <c r="W363" s="842" t="n">
        <v>18700</v>
      </c>
      <c r="X363" s="842">
        <f>W363</f>
        <v/>
      </c>
      <c r="Y363" s="845">
        <f>W363/I363</f>
        <v/>
      </c>
      <c r="Z363" s="846">
        <f>SUM(W363-U363)/U363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I364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R364</f>
        <v/>
      </c>
      <c r="U364" s="842" t="n">
        <v>28100</v>
      </c>
      <c r="V364" s="842">
        <f>U364</f>
        <v/>
      </c>
      <c r="W364" s="842" t="n">
        <v>28100</v>
      </c>
      <c r="X364" s="842">
        <f>W364</f>
        <v/>
      </c>
      <c r="Y364" s="845">
        <f>W364/I364</f>
        <v/>
      </c>
      <c r="Z364" s="846">
        <f>SUM(W364-U364)/U364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I365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R365</f>
        <v/>
      </c>
      <c r="U365" s="842" t="n">
        <v>204600</v>
      </c>
      <c r="V365" s="842">
        <f>U365</f>
        <v/>
      </c>
      <c r="W365" s="842" t="n">
        <v>204600</v>
      </c>
      <c r="X365" s="842">
        <f>W365</f>
        <v/>
      </c>
      <c r="Y365" s="845">
        <f>W365/I365</f>
        <v/>
      </c>
      <c r="Z365" s="846">
        <f>SUM(W365-U365)/U365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I366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R366</f>
        <v/>
      </c>
      <c r="U366" s="842" t="n">
        <v>201300</v>
      </c>
      <c r="V366" s="842">
        <f>U366</f>
        <v/>
      </c>
      <c r="W366" s="842" t="n">
        <v>201300</v>
      </c>
      <c r="X366" s="842">
        <f>W366</f>
        <v/>
      </c>
      <c r="Y366" s="845">
        <f>W366/I366</f>
        <v/>
      </c>
      <c r="Z366" s="846">
        <f>SUM(W366-U366)/U366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I367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R367</f>
        <v/>
      </c>
      <c r="U367" s="842" t="n">
        <v>23900</v>
      </c>
      <c r="V367" s="842">
        <f>U367</f>
        <v/>
      </c>
      <c r="W367" s="842" t="n">
        <v>23900</v>
      </c>
      <c r="X367" s="842">
        <f>W367</f>
        <v/>
      </c>
      <c r="Y367" s="845">
        <f>W367/I367</f>
        <v/>
      </c>
      <c r="Z367" s="846">
        <f>SUM(W367-U367)/U367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I368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R368</f>
        <v/>
      </c>
      <c r="U368" s="842" t="n">
        <v>80500</v>
      </c>
      <c r="V368" s="842">
        <f>U368</f>
        <v/>
      </c>
      <c r="W368" s="842" t="n">
        <v>80500</v>
      </c>
      <c r="X368" s="842">
        <f>W368</f>
        <v/>
      </c>
      <c r="Y368" s="845">
        <f>W368/I368</f>
        <v/>
      </c>
      <c r="Z368" s="846">
        <f>SUM(W368-U368)/U368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I369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R369</f>
        <v/>
      </c>
      <c r="U369" s="842" t="n">
        <v>73400</v>
      </c>
      <c r="V369" s="842">
        <f>U369</f>
        <v/>
      </c>
      <c r="W369" s="842" t="n">
        <v>73400</v>
      </c>
      <c r="X369" s="842">
        <f>W369</f>
        <v/>
      </c>
      <c r="Y369" s="845">
        <f>W369/I369</f>
        <v/>
      </c>
      <c r="Z369" s="846">
        <f>SUM(W369-U369)/U369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I370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R370</f>
        <v/>
      </c>
      <c r="U370" s="842" t="n">
        <v>700</v>
      </c>
      <c r="V370" s="842">
        <f>U370</f>
        <v/>
      </c>
      <c r="W370" s="842" t="n">
        <v>700</v>
      </c>
      <c r="X370" s="842">
        <f>W370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I371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R371</f>
        <v/>
      </c>
      <c r="U371" s="842" t="n">
        <v>700</v>
      </c>
      <c r="V371" s="842">
        <f>U371</f>
        <v/>
      </c>
      <c r="W371" s="842" t="n">
        <v>700</v>
      </c>
      <c r="X371" s="842">
        <f>W371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I372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R372</f>
        <v/>
      </c>
      <c r="U372" s="842" t="n">
        <v>1000</v>
      </c>
      <c r="V372" s="842">
        <f>U372</f>
        <v/>
      </c>
      <c r="W372" s="842" t="n">
        <v>0</v>
      </c>
      <c r="X372" s="842">
        <f>W372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I373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R373</f>
        <v/>
      </c>
      <c r="U373" s="842" t="n">
        <v>447350</v>
      </c>
      <c r="V373" s="842">
        <f>U373</f>
        <v/>
      </c>
      <c r="W373" s="842" t="n">
        <v>360100</v>
      </c>
      <c r="X373" s="842">
        <f>W373</f>
        <v/>
      </c>
      <c r="Y373" s="845">
        <f>W373/I373</f>
        <v/>
      </c>
      <c r="Z373" s="846">
        <f>SUM(W373-U373)/U373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I374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R374</f>
        <v/>
      </c>
      <c r="U374" s="842" t="n">
        <v>21000</v>
      </c>
      <c r="V374" s="842">
        <f>U374</f>
        <v/>
      </c>
      <c r="W374" s="842" t="n">
        <v>0</v>
      </c>
      <c r="X374" s="842">
        <f>W374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I375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R375</f>
        <v/>
      </c>
      <c r="U375" s="842" t="n">
        <v>393300</v>
      </c>
      <c r="V375" s="842">
        <f>U375</f>
        <v/>
      </c>
      <c r="W375" s="842" t="n">
        <v>500000</v>
      </c>
      <c r="X375" s="842">
        <f>W375</f>
        <v/>
      </c>
      <c r="Y375" s="845">
        <f>W375/I375</f>
        <v/>
      </c>
      <c r="Z375" s="846">
        <f>SUM(W375-U375)/U375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I376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R376</f>
        <v/>
      </c>
      <c r="U376" s="842" t="n">
        <v>275300</v>
      </c>
      <c r="V376" s="842">
        <f>U376</f>
        <v/>
      </c>
      <c r="W376" s="842" t="n">
        <v>333100</v>
      </c>
      <c r="X376" s="842">
        <f>W376</f>
        <v/>
      </c>
      <c r="Y376" s="845">
        <f>W376/I376</f>
        <v/>
      </c>
      <c r="Z376" s="846">
        <f>SUM(W376-U376)/U376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I377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R377</f>
        <v/>
      </c>
      <c r="U377" s="842" t="n">
        <v>337700</v>
      </c>
      <c r="V377" s="842">
        <f>U377</f>
        <v/>
      </c>
      <c r="W377" s="842" t="n">
        <v>415900</v>
      </c>
      <c r="X377" s="842">
        <f>W377</f>
        <v/>
      </c>
      <c r="Y377" s="845">
        <f>W377/I377</f>
        <v/>
      </c>
      <c r="Z377" s="846">
        <f>SUM(W377-U377)/U377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I378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R378</f>
        <v/>
      </c>
      <c r="U378" s="842" t="n">
        <v>371300</v>
      </c>
      <c r="V378" s="842">
        <f>U378</f>
        <v/>
      </c>
      <c r="W378" s="842" t="n">
        <v>426800</v>
      </c>
      <c r="X378" s="842">
        <f>W378</f>
        <v/>
      </c>
      <c r="Y378" s="845">
        <f>W378/I378</f>
        <v/>
      </c>
      <c r="Z378" s="846">
        <f>SUM(W378-U378)/U378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I379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R379</f>
        <v/>
      </c>
      <c r="T379" s="861" t="n"/>
      <c r="U379" s="842" t="n">
        <v>489500</v>
      </c>
      <c r="V379" s="842">
        <f>U379</f>
        <v/>
      </c>
      <c r="W379" s="842" t="n">
        <v>469900</v>
      </c>
      <c r="X379" s="842">
        <f>W379</f>
        <v/>
      </c>
      <c r="Y379" s="845">
        <f>W379/I379</f>
        <v/>
      </c>
      <c r="Z379" s="846">
        <f>SUM(W379-U379)/U379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I380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R380</f>
        <v/>
      </c>
      <c r="T380" s="852" t="n"/>
      <c r="U380" s="842" t="n">
        <v>438000</v>
      </c>
      <c r="V380" s="842">
        <f>U380</f>
        <v/>
      </c>
      <c r="W380" s="842" t="n">
        <v>430600</v>
      </c>
      <c r="X380" s="842">
        <f>W380</f>
        <v/>
      </c>
      <c r="Y380" s="845">
        <f>W380/I380</f>
        <v/>
      </c>
      <c r="Z380" s="846">
        <f>SUM(W380-U380)/U380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I381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R381</f>
        <v/>
      </c>
      <c r="T381" s="852" t="n"/>
      <c r="U381" s="842" t="n">
        <v>438900</v>
      </c>
      <c r="V381" s="842">
        <f>U381</f>
        <v/>
      </c>
      <c r="W381" s="842" t="n">
        <v>435800</v>
      </c>
      <c r="X381" s="842">
        <f>W381</f>
        <v/>
      </c>
      <c r="Y381" s="845">
        <f>W381/I381</f>
        <v/>
      </c>
      <c r="Z381" s="846">
        <f>SUM(W381-U381)/U381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I382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R382</f>
        <v/>
      </c>
      <c r="T382" s="852" t="n"/>
      <c r="U382" s="842" t="n">
        <v>448100</v>
      </c>
      <c r="V382" s="842">
        <f>U382</f>
        <v/>
      </c>
      <c r="W382" s="842" t="n">
        <v>437400</v>
      </c>
      <c r="X382" s="842">
        <f>W382</f>
        <v/>
      </c>
      <c r="Y382" s="845">
        <f>W382/I382</f>
        <v/>
      </c>
      <c r="Z382" s="846">
        <f>SUM(W382-U382)/U382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I383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R383</f>
        <v/>
      </c>
      <c r="T383" s="852" t="n"/>
      <c r="U383" s="842" t="n">
        <v>458100</v>
      </c>
      <c r="V383" s="842">
        <f>U383</f>
        <v/>
      </c>
      <c r="W383" s="842" t="n">
        <v>437900</v>
      </c>
      <c r="X383" s="842">
        <f>W383</f>
        <v/>
      </c>
      <c r="Y383" s="845">
        <f>W383/I383</f>
        <v/>
      </c>
      <c r="Z383" s="846">
        <f>SUM(W383-U383)/U383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I384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R384</f>
        <v/>
      </c>
      <c r="T384" s="852" t="n"/>
      <c r="U384" s="842" t="n">
        <v>434600</v>
      </c>
      <c r="V384" s="842">
        <f>U384</f>
        <v/>
      </c>
      <c r="W384" s="842" t="n">
        <v>416400</v>
      </c>
      <c r="X384" s="842">
        <f>W384</f>
        <v/>
      </c>
      <c r="Y384" s="845">
        <f>W384/I384</f>
        <v/>
      </c>
      <c r="Z384" s="846">
        <f>SUM(W384-U384)/U384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I385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R385</f>
        <v/>
      </c>
      <c r="U385" s="842" t="n">
        <v>27200</v>
      </c>
      <c r="V385" s="842">
        <f>U385</f>
        <v/>
      </c>
      <c r="W385" s="842" t="n">
        <v>33000</v>
      </c>
      <c r="X385" s="842">
        <f>W385</f>
        <v/>
      </c>
      <c r="Y385" s="845">
        <f>W385/I385</f>
        <v/>
      </c>
      <c r="Z385" s="846">
        <f>SUM(W385-U385)/U385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I386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R386</f>
        <v/>
      </c>
      <c r="U386" s="842" t="n">
        <v>150</v>
      </c>
      <c r="V386" s="842">
        <f>U386</f>
        <v/>
      </c>
      <c r="W386" s="842" t="n">
        <v>150</v>
      </c>
      <c r="X386" s="842">
        <f>W386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I387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R387</f>
        <v/>
      </c>
      <c r="U387" s="842" t="n">
        <v>150</v>
      </c>
      <c r="V387" s="842">
        <f>U387</f>
        <v/>
      </c>
      <c r="W387" s="842" t="n">
        <v>150</v>
      </c>
      <c r="X387" s="842">
        <f>W387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I388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R388</f>
        <v/>
      </c>
      <c r="U388" s="842" t="n">
        <v>150</v>
      </c>
      <c r="V388" s="842">
        <f>U388</f>
        <v/>
      </c>
      <c r="W388" s="842" t="n">
        <v>150</v>
      </c>
      <c r="X388" s="842">
        <f>W388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I389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R389</f>
        <v/>
      </c>
      <c r="U389" s="842" t="n">
        <v>150</v>
      </c>
      <c r="V389" s="842">
        <f>U389</f>
        <v/>
      </c>
      <c r="W389" s="842" t="n">
        <v>150</v>
      </c>
      <c r="X389" s="842">
        <f>W389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I390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R390</f>
        <v/>
      </c>
      <c r="T390" s="591">
        <f>S390</f>
        <v/>
      </c>
      <c r="U390" s="591" t="n">
        <v>80000</v>
      </c>
      <c r="V390" s="842">
        <f>U390</f>
        <v/>
      </c>
      <c r="W390" s="591" t="n">
        <v>79600</v>
      </c>
      <c r="X390" s="842">
        <f>W390</f>
        <v/>
      </c>
      <c r="Y390" s="845">
        <f>W390/I390</f>
        <v/>
      </c>
      <c r="Z390" s="846">
        <f>SUM(W390-U390)/U390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I391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R391</f>
        <v/>
      </c>
      <c r="T391" s="842" t="n"/>
      <c r="U391" s="660" t="n">
        <v>124100</v>
      </c>
      <c r="V391" s="661">
        <f>U391</f>
        <v/>
      </c>
      <c r="W391" s="660" t="n">
        <v>124100</v>
      </c>
      <c r="X391" s="661">
        <f>W391</f>
        <v/>
      </c>
      <c r="Y391" s="845">
        <f>W391/I391</f>
        <v/>
      </c>
      <c r="Z391" s="846">
        <f>SUM(W391-U391)/U391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I392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R392</f>
        <v/>
      </c>
      <c r="T392" s="842" t="n"/>
      <c r="U392" s="661" t="n">
        <v>290500</v>
      </c>
      <c r="V392" s="661">
        <f>U392</f>
        <v/>
      </c>
      <c r="W392" s="661" t="n">
        <v>290500</v>
      </c>
      <c r="X392" s="661">
        <f>W392</f>
        <v/>
      </c>
      <c r="Y392" s="845">
        <f>W392/I392</f>
        <v/>
      </c>
      <c r="Z392" s="846">
        <f>SUM(W392-U392)/U392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I393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R393</f>
        <v/>
      </c>
      <c r="T393" s="842" t="n"/>
      <c r="U393" s="661" t="n">
        <v>111800</v>
      </c>
      <c r="V393" s="661">
        <f>U393</f>
        <v/>
      </c>
      <c r="W393" s="661" t="n">
        <v>118200</v>
      </c>
      <c r="X393" s="661">
        <f>W393</f>
        <v/>
      </c>
      <c r="Y393" s="845">
        <f>W393/I393</f>
        <v/>
      </c>
      <c r="Z393" s="846">
        <f>SUM(W393-U393)/U393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I394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R394</f>
        <v/>
      </c>
      <c r="T394" s="842" t="n"/>
      <c r="U394" s="661" t="n">
        <v>112500</v>
      </c>
      <c r="V394" s="661">
        <f>U394</f>
        <v/>
      </c>
      <c r="W394" s="661" t="n">
        <v>118900</v>
      </c>
      <c r="X394" s="661">
        <f>W394</f>
        <v/>
      </c>
      <c r="Y394" s="845">
        <f>W394/I394</f>
        <v/>
      </c>
      <c r="Z394" s="846">
        <f>SUM(W394-U394)/U394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I395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R395</f>
        <v/>
      </c>
      <c r="T395" s="842" t="n"/>
      <c r="U395" s="661" t="n">
        <v>116600</v>
      </c>
      <c r="V395" s="661">
        <f>U395</f>
        <v/>
      </c>
      <c r="W395" s="661" t="n">
        <v>123100</v>
      </c>
      <c r="X395" s="661">
        <f>W395</f>
        <v/>
      </c>
      <c r="Y395" s="845">
        <f>W395/I395</f>
        <v/>
      </c>
      <c r="Z395" s="846">
        <f>SUM(W395-U395)/U395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I396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R396</f>
        <v/>
      </c>
      <c r="T396" s="842" t="n"/>
      <c r="U396" s="661" t="n">
        <v>115300</v>
      </c>
      <c r="V396" s="661">
        <f>U396</f>
        <v/>
      </c>
      <c r="W396" s="661" t="n">
        <v>121600</v>
      </c>
      <c r="X396" s="661">
        <f>W396</f>
        <v/>
      </c>
      <c r="Y396" s="845">
        <f>W396/I396</f>
        <v/>
      </c>
      <c r="Z396" s="846">
        <f>SUM(W396-U396)/U396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I397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R397</f>
        <v/>
      </c>
      <c r="T397" s="842" t="n"/>
      <c r="U397" s="661" t="n">
        <v>115300</v>
      </c>
      <c r="V397" s="661">
        <f>U397</f>
        <v/>
      </c>
      <c r="W397" s="661" t="n">
        <v>121600</v>
      </c>
      <c r="X397" s="661">
        <f>W397</f>
        <v/>
      </c>
      <c r="Y397" s="845">
        <f>W397/I397</f>
        <v/>
      </c>
      <c r="Z397" s="846">
        <f>SUM(W397-U397)/U397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I398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R398</f>
        <v/>
      </c>
      <c r="T398" s="842" t="n"/>
      <c r="U398" s="661" t="n">
        <v>46200</v>
      </c>
      <c r="V398" s="661">
        <f>U398</f>
        <v/>
      </c>
      <c r="W398" s="661" t="n">
        <v>48600</v>
      </c>
      <c r="X398" s="661">
        <f>W398</f>
        <v/>
      </c>
      <c r="Y398" s="845">
        <f>W398/I398</f>
        <v/>
      </c>
      <c r="Z398" s="846">
        <f>SUM(W398-U398)/U398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I399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R399</f>
        <v/>
      </c>
      <c r="T399" s="842" t="n"/>
      <c r="U399" s="661" t="n">
        <v>1160</v>
      </c>
      <c r="V399" s="661">
        <f>U399</f>
        <v/>
      </c>
      <c r="W399" s="661" t="n">
        <v>1160</v>
      </c>
      <c r="X399" s="661">
        <f>W399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I400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R400</f>
        <v/>
      </c>
      <c r="T400" s="842" t="n"/>
      <c r="U400" s="660" t="n">
        <v>118500</v>
      </c>
      <c r="V400" s="661">
        <f>U400</f>
        <v/>
      </c>
      <c r="W400" s="660" t="n">
        <v>121500</v>
      </c>
      <c r="X400" s="661">
        <f>W400</f>
        <v/>
      </c>
      <c r="Y400" s="845">
        <f>W400/I400</f>
        <v/>
      </c>
      <c r="Z400" s="846">
        <f>SUM(W400-U400)/U400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I401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R401</f>
        <v/>
      </c>
      <c r="U401" s="660" t="n">
        <v>1250000</v>
      </c>
      <c r="V401" s="661">
        <f>U401</f>
        <v/>
      </c>
      <c r="W401" s="660" t="n">
        <v>1250000</v>
      </c>
      <c r="X401" s="661">
        <f>W401</f>
        <v/>
      </c>
      <c r="Y401" s="845">
        <f>W401/I401</f>
        <v/>
      </c>
      <c r="Z401" s="846">
        <f>SUM(W401-U401)/U401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I402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R402</f>
        <v/>
      </c>
      <c r="T402" s="842" t="n"/>
      <c r="U402" s="661" t="n">
        <v>63300</v>
      </c>
      <c r="V402" s="661">
        <f>U402</f>
        <v/>
      </c>
      <c r="W402" s="661" t="n">
        <v>63300</v>
      </c>
      <c r="X402" s="661">
        <f>W402</f>
        <v/>
      </c>
      <c r="Y402" s="845">
        <f>W402/I402</f>
        <v/>
      </c>
      <c r="Z402" s="846">
        <f>SUM(W402-U402)/U402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I403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R403</f>
        <v/>
      </c>
      <c r="T403" s="842" t="n"/>
      <c r="U403" s="661" t="n">
        <v>66800</v>
      </c>
      <c r="V403" s="661">
        <f>U403</f>
        <v/>
      </c>
      <c r="W403" s="661" t="n">
        <v>66800</v>
      </c>
      <c r="X403" s="661">
        <f>W403</f>
        <v/>
      </c>
      <c r="Y403" s="845">
        <f>W403/I403</f>
        <v/>
      </c>
      <c r="Z403" s="846">
        <f>SUM(W403-U403)/U403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I404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R404</f>
        <v/>
      </c>
      <c r="T404" s="842" t="n"/>
      <c r="U404" s="661" t="n">
        <v>0</v>
      </c>
      <c r="V404" s="661">
        <f>U404</f>
        <v/>
      </c>
      <c r="W404" s="661" t="n">
        <v>0</v>
      </c>
      <c r="X404" s="661">
        <f>W404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I405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R405</f>
        <v/>
      </c>
      <c r="T405" s="842" t="n"/>
      <c r="U405" s="661" t="n">
        <v>174600</v>
      </c>
      <c r="V405" s="661">
        <f>U405</f>
        <v/>
      </c>
      <c r="W405" s="661" t="n">
        <v>174600</v>
      </c>
      <c r="X405" s="661">
        <f>W405</f>
        <v/>
      </c>
      <c r="Y405" s="845">
        <f>W405/I405</f>
        <v/>
      </c>
      <c r="Z405" s="846">
        <f>SUM(W405-U405)/U405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I406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R406</f>
        <v/>
      </c>
      <c r="T406" s="842" t="n"/>
      <c r="U406" s="661" t="n">
        <v>52800</v>
      </c>
      <c r="V406" s="661">
        <f>U406</f>
        <v/>
      </c>
      <c r="W406" s="661" t="n">
        <v>52800</v>
      </c>
      <c r="X406" s="661">
        <f>W406</f>
        <v/>
      </c>
      <c r="Y406" s="845">
        <f>W406/I406</f>
        <v/>
      </c>
      <c r="Z406" s="846">
        <f>SUM(W406-U406)/U406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I407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R407</f>
        <v/>
      </c>
      <c r="T407" s="842" t="n"/>
      <c r="U407" s="661" t="n">
        <v>53300</v>
      </c>
      <c r="V407" s="661">
        <f>U407</f>
        <v/>
      </c>
      <c r="W407" s="661" t="n">
        <v>53300</v>
      </c>
      <c r="X407" s="661">
        <f>W407</f>
        <v/>
      </c>
      <c r="Y407" s="845">
        <f>W407/I407</f>
        <v/>
      </c>
      <c r="Z407" s="846">
        <f>SUM(W407-U407)/U407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I408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R408</f>
        <v/>
      </c>
      <c r="T408" s="842" t="n"/>
      <c r="U408" s="661" t="n">
        <v>14500</v>
      </c>
      <c r="V408" s="661">
        <f>U408</f>
        <v/>
      </c>
      <c r="W408" s="661" t="n">
        <v>14500</v>
      </c>
      <c r="X408" s="661">
        <f>W408</f>
        <v/>
      </c>
      <c r="Y408" s="845">
        <f>W408/I408</f>
        <v/>
      </c>
      <c r="Z408" s="846">
        <f>SUM(W408-U408)/U408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I409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R409</f>
        <v/>
      </c>
      <c r="T409" s="842" t="n"/>
      <c r="U409" s="661" t="n">
        <v>53900</v>
      </c>
      <c r="V409" s="661">
        <f>U409</f>
        <v/>
      </c>
      <c r="W409" s="661" t="n">
        <v>53900</v>
      </c>
      <c r="X409" s="661">
        <f>W409</f>
        <v/>
      </c>
      <c r="Y409" s="845">
        <f>W409/I409</f>
        <v/>
      </c>
      <c r="Z409" s="846">
        <f>SUM(W409-U409)/U409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I410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R410</f>
        <v/>
      </c>
      <c r="T410" s="842" t="n"/>
      <c r="U410" s="661" t="n">
        <v>14000</v>
      </c>
      <c r="V410" s="661">
        <f>U410</f>
        <v/>
      </c>
      <c r="W410" s="661" t="n">
        <v>14000</v>
      </c>
      <c r="X410" s="661">
        <f>W410</f>
        <v/>
      </c>
      <c r="Y410" s="845">
        <f>W410/I410</f>
        <v/>
      </c>
      <c r="Z410" s="846">
        <f>SUM(W410-U410)/U410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I411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R411</f>
        <v/>
      </c>
      <c r="T411" s="842" t="n"/>
      <c r="U411" s="661" t="n">
        <v>51400</v>
      </c>
      <c r="V411" s="661">
        <f>U411</f>
        <v/>
      </c>
      <c r="W411" s="661" t="n">
        <v>51400</v>
      </c>
      <c r="X411" s="661">
        <f>W411</f>
        <v/>
      </c>
      <c r="Y411" s="845">
        <f>W411/I411</f>
        <v/>
      </c>
      <c r="Z411" s="846">
        <f>SUM(W411-U411)/U411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I412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R412</f>
        <v/>
      </c>
      <c r="T412" s="842" t="n"/>
      <c r="U412" s="661" t="n">
        <v>43800</v>
      </c>
      <c r="V412" s="661">
        <f>U412</f>
        <v/>
      </c>
      <c r="W412" s="661" t="n">
        <v>43800</v>
      </c>
      <c r="X412" s="661">
        <f>W412</f>
        <v/>
      </c>
      <c r="Y412" s="845">
        <f>W412/I412</f>
        <v/>
      </c>
      <c r="Z412" s="846">
        <f>SUM(W412-U412)/U412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I413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R413</f>
        <v/>
      </c>
      <c r="T413" s="842" t="n"/>
      <c r="U413" s="661" t="n">
        <v>220100</v>
      </c>
      <c r="V413" s="661">
        <f>U413</f>
        <v/>
      </c>
      <c r="W413" s="661" t="n">
        <v>220100</v>
      </c>
      <c r="X413" s="661">
        <f>W413</f>
        <v/>
      </c>
      <c r="Y413" s="845">
        <f>W413/I413</f>
        <v/>
      </c>
      <c r="Z413" s="846">
        <f>SUM(W413-U413)/U413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I414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R414</f>
        <v/>
      </c>
      <c r="T414" s="842" t="n"/>
      <c r="U414" s="661" t="n">
        <v>150000</v>
      </c>
      <c r="V414" s="661">
        <f>U414</f>
        <v/>
      </c>
      <c r="W414" s="661" t="n">
        <v>167500</v>
      </c>
      <c r="X414" s="661">
        <f>W414</f>
        <v/>
      </c>
      <c r="Y414" s="845">
        <f>W414/I414</f>
        <v/>
      </c>
      <c r="Z414" s="846">
        <f>SUM(W414-U414)/U414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I415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R415</f>
        <v/>
      </c>
      <c r="T415" s="842" t="n"/>
      <c r="U415" s="661" t="n">
        <v>104100</v>
      </c>
      <c r="V415" s="661">
        <f>U415</f>
        <v/>
      </c>
      <c r="W415" s="661" t="n">
        <v>114800</v>
      </c>
      <c r="X415" s="661">
        <f>W415</f>
        <v/>
      </c>
      <c r="Y415" s="845">
        <f>W415/I415</f>
        <v/>
      </c>
      <c r="Z415" s="846">
        <f>SUM(W415-U415)/U415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I416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R416</f>
        <v/>
      </c>
      <c r="T416" s="842" t="n"/>
      <c r="U416" s="661" t="n">
        <v>120000</v>
      </c>
      <c r="V416" s="661">
        <f>U416</f>
        <v/>
      </c>
      <c r="W416" s="661" t="n">
        <v>114900</v>
      </c>
      <c r="X416" s="661">
        <f>W416</f>
        <v/>
      </c>
      <c r="Y416" s="845">
        <f>W416/I416</f>
        <v/>
      </c>
      <c r="Z416" s="846">
        <f>SUM(W416-U416)/U416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I417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R417</f>
        <v/>
      </c>
      <c r="T417" s="842" t="n"/>
      <c r="U417" s="661" t="n">
        <v>103900</v>
      </c>
      <c r="V417" s="661">
        <f>U417</f>
        <v/>
      </c>
      <c r="W417" s="661" t="n">
        <v>118600</v>
      </c>
      <c r="X417" s="661">
        <f>W417</f>
        <v/>
      </c>
      <c r="Y417" s="845">
        <f>W417/I417</f>
        <v/>
      </c>
      <c r="Z417" s="846">
        <f>SUM(W417-U417)/U417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I418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R418</f>
        <v/>
      </c>
      <c r="T418" s="842" t="n"/>
      <c r="U418" s="661" t="n">
        <v>97500</v>
      </c>
      <c r="V418" s="661">
        <f>U418</f>
        <v/>
      </c>
      <c r="W418" s="661" t="n">
        <v>105200</v>
      </c>
      <c r="X418" s="661">
        <f>W418</f>
        <v/>
      </c>
      <c r="Y418" s="845">
        <f>W418/I418</f>
        <v/>
      </c>
      <c r="Z418" s="846">
        <f>SUM(W418-U418)/U418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I419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R419</f>
        <v/>
      </c>
      <c r="T419" s="661" t="n"/>
      <c r="U419" s="661" t="n">
        <v>650000</v>
      </c>
      <c r="V419" s="661">
        <f>U419</f>
        <v/>
      </c>
      <c r="W419" s="661" t="n">
        <v>758000</v>
      </c>
      <c r="X419" s="661">
        <f>W419</f>
        <v/>
      </c>
      <c r="Y419" s="845">
        <f>W419/I419</f>
        <v/>
      </c>
      <c r="Z419" s="846">
        <f>SUM(W419-U419)/U419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I420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R420</f>
        <v/>
      </c>
      <c r="T420" s="661" t="n"/>
      <c r="U420" s="661" t="n">
        <v>400000</v>
      </c>
      <c r="V420" s="661">
        <f>U420</f>
        <v/>
      </c>
      <c r="W420" s="661" t="n">
        <v>450000</v>
      </c>
      <c r="X420" s="661">
        <f>W420</f>
        <v/>
      </c>
      <c r="Y420" s="845">
        <f>W420/I420</f>
        <v/>
      </c>
      <c r="Z420" s="846">
        <f>SUM(W420-U420)/U420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I421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R421</f>
        <v/>
      </c>
      <c r="T421" s="661" t="n"/>
      <c r="U421" s="661" t="n">
        <v>110000</v>
      </c>
      <c r="V421" s="661">
        <f>U421</f>
        <v/>
      </c>
      <c r="W421" s="661" t="n">
        <v>112000</v>
      </c>
      <c r="X421" s="661">
        <f>W421</f>
        <v/>
      </c>
      <c r="Y421" s="845">
        <f>W421/I421</f>
        <v/>
      </c>
      <c r="Z421" s="846">
        <f>SUM(W421-U421)/U421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I422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R422</f>
        <v/>
      </c>
      <c r="T422" s="661" t="n"/>
      <c r="U422" s="661" t="n">
        <v>345000</v>
      </c>
      <c r="V422" s="661">
        <f>U422</f>
        <v/>
      </c>
      <c r="W422" s="661" t="n">
        <v>368000</v>
      </c>
      <c r="X422" s="661">
        <f>W422</f>
        <v/>
      </c>
      <c r="Y422" s="845">
        <f>W422/I422</f>
        <v/>
      </c>
      <c r="Z422" s="846">
        <f>SUM(W422-U422)/U422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I423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R423</f>
        <v/>
      </c>
      <c r="T423" s="661" t="n"/>
      <c r="U423" s="661" t="n">
        <v>357800</v>
      </c>
      <c r="V423" s="661">
        <f>U423</f>
        <v/>
      </c>
      <c r="W423" s="661" t="n">
        <v>379000</v>
      </c>
      <c r="X423" s="661">
        <f>W423</f>
        <v/>
      </c>
      <c r="Y423" s="845">
        <f>W423/I423</f>
        <v/>
      </c>
      <c r="Z423" s="846">
        <f>SUM(W423-U423)/U423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I424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R424</f>
        <v/>
      </c>
      <c r="T424" s="661" t="n"/>
      <c r="U424" s="661" t="n">
        <v>358600</v>
      </c>
      <c r="V424" s="661">
        <f>U424</f>
        <v/>
      </c>
      <c r="W424" s="661" t="n">
        <v>361000</v>
      </c>
      <c r="X424" s="661">
        <f>W424</f>
        <v/>
      </c>
      <c r="Y424" s="845">
        <f>W424/I424</f>
        <v/>
      </c>
      <c r="Z424" s="846">
        <f>SUM(W424-U424)/U424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I425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R425</f>
        <v/>
      </c>
      <c r="T425" s="661" t="n"/>
      <c r="U425" s="661" t="n">
        <v>352000</v>
      </c>
      <c r="V425" s="661">
        <f>U425</f>
        <v/>
      </c>
      <c r="W425" s="661" t="n">
        <v>350000</v>
      </c>
      <c r="X425" s="661">
        <f>W425</f>
        <v/>
      </c>
      <c r="Y425" s="845">
        <f>W425/I425</f>
        <v/>
      </c>
      <c r="Z425" s="846">
        <f>SUM(W425-U425)/U425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I426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R426</f>
        <v/>
      </c>
      <c r="T426" s="661" t="n"/>
      <c r="U426" s="661" t="n">
        <v>284800</v>
      </c>
      <c r="V426" s="661">
        <f>U426</f>
        <v/>
      </c>
      <c r="W426" s="661" t="n">
        <v>283000</v>
      </c>
      <c r="X426" s="661">
        <f>W426</f>
        <v/>
      </c>
      <c r="Y426" s="845">
        <f>W426/I426</f>
        <v/>
      </c>
      <c r="Z426" s="846">
        <f>SUM(W426-U426)/U426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I427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R427</f>
        <v/>
      </c>
      <c r="T427" s="661" t="n"/>
      <c r="U427" s="661" t="n">
        <v>0</v>
      </c>
      <c r="V427" s="661">
        <f>U427</f>
        <v/>
      </c>
      <c r="W427" s="661" t="n">
        <v>0</v>
      </c>
      <c r="X427" s="661">
        <f>W427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</row>
  </sheetData>
  <autoFilter ref="A1:A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2025-11-17T15:05:52Z</dcterms:modified>
  <cp:lastModifiedBy>William Spencer</cp:lastModifiedBy>
  <cp:lastPrinted>2025-06-30T15:43:09Z</cp:lastPrinted>
</cp:coreProperties>
</file>