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Buildings" sheetId="6" state="visible" r:id="rId6"/>
    <sheet name="Units" sheetId="7" state="visible" r:id="rId7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'Buildings'!$A$1:$H$1</definedName>
    <definedName name="_xlnm._FilterDatabase" localSheetId="6" hidden="1">'Units'!$A$1:$AI$1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yyyy-mm-dd h:mm:ss"/>
  </numFmts>
  <fonts count="73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6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4" customWidth="1" min="4" max="4"/>
    <col width="14" customWidth="1" min="5" max="5"/>
    <col width="18" customWidth="1" min="6" max="6"/>
    <col width="15" customWidth="1" min="7" max="7"/>
    <col width="20" customWidth="1" min="8" max="8"/>
  </cols>
  <sheetData>
    <row r="1">
      <c r="A1" t="inlineStr">
        <is>
          <t>Building</t>
        </is>
      </c>
      <c r="B1" t="inlineStr">
        <is>
          <t>Net Area</t>
        </is>
      </c>
      <c r="C1" t="inlineStr">
        <is>
          <t>Rent PA (£)</t>
        </is>
      </c>
      <c r="D1" t="inlineStr">
        <is>
          <t>2023 ERV (£)</t>
        </is>
      </c>
      <c r="E1" t="inlineStr">
        <is>
          <t>2024 ERV (£)</t>
        </is>
      </c>
      <c r="F1" t="inlineStr">
        <is>
          <t>ERV 2024 £.Sq.ft</t>
        </is>
      </c>
      <c r="G1" t="inlineStr">
        <is>
          <t>ERV Variation</t>
        </is>
      </c>
      <c r="H1" t="inlineStr">
        <is>
          <t>2024 Cap Valn. (£)</t>
        </is>
      </c>
    </row>
    <row r="2">
      <c r="A2" t="inlineStr">
        <is>
          <t>5-6 Bywell Place</t>
        </is>
      </c>
    </row>
    <row r="3">
      <c r="A3" t="inlineStr">
        <is>
          <t>22 and 23-25 Eastcastle Street</t>
        </is>
      </c>
    </row>
    <row r="4">
      <c r="A4" t="inlineStr">
        <is>
          <t>26 Eastcastle Street</t>
        </is>
      </c>
    </row>
    <row r="5">
      <c r="A5" t="inlineStr">
        <is>
          <t>27 - 28 Eastcastle Street</t>
        </is>
      </c>
    </row>
    <row r="6">
      <c r="A6" t="inlineStr">
        <is>
          <t>10 Great Castle Street</t>
        </is>
      </c>
    </row>
    <row r="7">
      <c r="A7" t="inlineStr">
        <is>
          <t>Windsor House, 40-41 Great Castle Street</t>
        </is>
      </c>
    </row>
    <row r="8">
      <c r="A8" t="inlineStr">
        <is>
          <t>Portland House, 4 Great Portland Street</t>
        </is>
      </c>
    </row>
    <row r="9">
      <c r="A9" t="inlineStr">
        <is>
          <t>6-10a Great Portland Street</t>
        </is>
      </c>
    </row>
    <row r="10">
      <c r="A10" t="inlineStr">
        <is>
          <t>15-17 Great Portland Street &amp; 6-7 Great Castle Street</t>
        </is>
      </c>
    </row>
    <row r="11">
      <c r="A11" t="inlineStr">
        <is>
          <t>19-21 Great Portland Street</t>
        </is>
      </c>
    </row>
    <row r="12">
      <c r="A12" t="inlineStr">
        <is>
          <t>20 Great Portland Street</t>
        </is>
      </c>
    </row>
    <row r="13">
      <c r="A13" t="inlineStr">
        <is>
          <t>Highlight House, 22-24 Great Portland Street</t>
        </is>
      </c>
    </row>
    <row r="14">
      <c r="A14" t="inlineStr">
        <is>
          <t>23-25 Great Portland Street &amp; 54-55 Margaret Street</t>
        </is>
      </c>
    </row>
    <row r="15">
      <c r="A15" t="inlineStr">
        <is>
          <t>39 Great Portland Street</t>
        </is>
      </c>
    </row>
    <row r="16">
      <c r="A16" t="inlineStr">
        <is>
          <t>41 Great Portland Street</t>
        </is>
      </c>
    </row>
    <row r="17">
      <c r="A17" t="inlineStr">
        <is>
          <t>42-48 Great Portland Street</t>
        </is>
      </c>
    </row>
    <row r="18">
      <c r="A18" t="inlineStr">
        <is>
          <t>45-49 Great Portland Street</t>
        </is>
      </c>
    </row>
    <row r="19">
      <c r="A19" t="inlineStr">
        <is>
          <t>50 Great Portland Street</t>
        </is>
      </c>
    </row>
    <row r="20">
      <c r="A20" t="inlineStr">
        <is>
          <t>51 Great Portland Street</t>
        </is>
      </c>
    </row>
    <row r="21">
      <c r="A21" t="inlineStr">
        <is>
          <t>53 Great Portland Street</t>
        </is>
      </c>
    </row>
    <row r="22">
      <c r="A22" t="inlineStr">
        <is>
          <t>76 Great Portland Street</t>
        </is>
      </c>
    </row>
    <row r="23">
      <c r="A23" t="inlineStr">
        <is>
          <t>1 Great Titchfield Street</t>
        </is>
      </c>
    </row>
    <row r="24">
      <c r="A24" t="inlineStr">
        <is>
          <t>3 Great Titchfield Street</t>
        </is>
      </c>
    </row>
    <row r="25">
      <c r="A25" t="inlineStr">
        <is>
          <t>Great Titchfield House,  14-18 Great Titchfield Street</t>
        </is>
      </c>
    </row>
    <row r="26">
      <c r="A26" t="inlineStr">
        <is>
          <t>Golderbrock House,  15-19 Great Titchfield Street</t>
        </is>
      </c>
    </row>
    <row r="27">
      <c r="A27" t="inlineStr">
        <is>
          <t>Circus House,  21 Great Titchfield Street</t>
        </is>
      </c>
    </row>
    <row r="28">
      <c r="A28" t="inlineStr">
        <is>
          <t>Moray House, 23-35 Great Titchfield Street &amp; 63-65 Mortimer Street</t>
        </is>
      </c>
    </row>
    <row r="29">
      <c r="A29" t="inlineStr">
        <is>
          <t>56 Great Titchfield Street</t>
        </is>
      </c>
    </row>
    <row r="30">
      <c r="A30" t="inlineStr">
        <is>
          <t>58 Great Titchfield Street</t>
        </is>
      </c>
    </row>
    <row r="31">
      <c r="A31" t="inlineStr">
        <is>
          <t>12 Hallam Street (The Hallam Hotel)</t>
        </is>
      </c>
    </row>
    <row r="32">
      <c r="A32" t="inlineStr">
        <is>
          <t>16-20 Hallam Street  (Astor Court Hotel)</t>
        </is>
      </c>
    </row>
    <row r="33">
      <c r="A33" t="inlineStr">
        <is>
          <t>Flat 1, 2 Little Portland Street</t>
        </is>
      </c>
    </row>
    <row r="34">
      <c r="A34" t="inlineStr">
        <is>
          <t>3/4/4a Little Portland Street</t>
        </is>
      </c>
    </row>
    <row r="35">
      <c r="A35" t="inlineStr">
        <is>
          <t>5 Little Portland Street</t>
        </is>
      </c>
    </row>
    <row r="36">
      <c r="A36" t="inlineStr">
        <is>
          <t>Alexandra House, 6 Little Portland Street</t>
        </is>
      </c>
    </row>
    <row r="37">
      <c r="A37" t="inlineStr">
        <is>
          <t>9 Little Portland Street</t>
        </is>
      </c>
    </row>
    <row r="38">
      <c r="A38" t="inlineStr">
        <is>
          <t>21 Little Portland Street</t>
        </is>
      </c>
    </row>
    <row r="39">
      <c r="A39" t="inlineStr">
        <is>
          <t>22 Little Portland Street (formerly 22-23 LPS)</t>
        </is>
      </c>
    </row>
    <row r="40">
      <c r="A40" t="inlineStr">
        <is>
          <t>9 Margaret Street</t>
        </is>
      </c>
    </row>
    <row r="41">
      <c r="A41" t="inlineStr">
        <is>
          <t>London House, 9a Margaret Street</t>
        </is>
      </c>
    </row>
    <row r="42">
      <c r="A42" t="inlineStr">
        <is>
          <t>10 Margaret Street</t>
        </is>
      </c>
    </row>
    <row r="43">
      <c r="A43" t="inlineStr">
        <is>
          <t>Audley House,  12 Margaret Street</t>
        </is>
      </c>
    </row>
    <row r="44">
      <c r="A44" t="inlineStr">
        <is>
          <t>13-14 Margaret Street</t>
        </is>
      </c>
    </row>
    <row r="45">
      <c r="A45" t="inlineStr">
        <is>
          <t>15-16 Margaret Street</t>
        </is>
      </c>
    </row>
    <row r="46">
      <c r="A46" t="inlineStr">
        <is>
          <t>17-18 Margaret Street</t>
        </is>
      </c>
    </row>
    <row r="47">
      <c r="A47" t="inlineStr">
        <is>
          <t>19 Margaret Street</t>
        </is>
      </c>
    </row>
    <row r="48">
      <c r="A48" t="inlineStr">
        <is>
          <t>20 Margaret Street</t>
        </is>
      </c>
    </row>
    <row r="49">
      <c r="A49" t="inlineStr">
        <is>
          <t>25 Margaret Street</t>
        </is>
      </c>
    </row>
    <row r="50">
      <c r="A50" t="inlineStr">
        <is>
          <t>47,48 &amp; 50 Margaret Street</t>
        </is>
      </c>
    </row>
    <row r="51">
      <c r="A51" t="inlineStr">
        <is>
          <t>51-53 Margaret Street</t>
        </is>
      </c>
    </row>
    <row r="52">
      <c r="A52" t="inlineStr">
        <is>
          <t>63-64 Margaret Street</t>
        </is>
      </c>
    </row>
    <row r="53">
      <c r="A53" t="inlineStr">
        <is>
          <t>65 Margaret Street</t>
        </is>
      </c>
    </row>
    <row r="54">
      <c r="A54" t="inlineStr">
        <is>
          <t>75-77 Margaret Street</t>
        </is>
      </c>
    </row>
    <row r="55">
      <c r="A55" t="inlineStr">
        <is>
          <t>Sackville House - 78 Margaret Street</t>
        </is>
      </c>
    </row>
    <row r="56">
      <c r="A56" t="inlineStr">
        <is>
          <t>Kenilworth House - 79-80 Margaret Street</t>
        </is>
      </c>
    </row>
    <row r="57">
      <c r="A57" t="inlineStr">
        <is>
          <t>4 Market Place</t>
        </is>
      </c>
    </row>
    <row r="58">
      <c r="A58" t="inlineStr">
        <is>
          <t>11-13 Market Place</t>
        </is>
      </c>
    </row>
    <row r="59">
      <c r="A59" t="inlineStr">
        <is>
          <t>Radiant House, 34-38 Mortimer Street &amp; 3-4 Bywell Place</t>
        </is>
      </c>
    </row>
    <row r="60">
      <c r="A60" t="inlineStr">
        <is>
          <t>Gilmoora House, 57-61 Mortimer Street</t>
        </is>
      </c>
    </row>
    <row r="61">
      <c r="A61" t="inlineStr">
        <is>
          <t>67 - 81 Mortimer Street</t>
        </is>
      </c>
    </row>
    <row r="62">
      <c r="A62" t="inlineStr">
        <is>
          <t>93 Mortimer Street &amp; 43 Great Portland Street</t>
        </is>
      </c>
    </row>
    <row r="63">
      <c r="A63" t="inlineStr">
        <is>
          <t>142-144 Oxford Street</t>
        </is>
      </c>
    </row>
    <row r="64">
      <c r="A64" t="inlineStr">
        <is>
          <t>146/148 Oxford Street</t>
        </is>
      </c>
    </row>
    <row r="65">
      <c r="A65" t="inlineStr">
        <is>
          <t>150/154 Oxford Street</t>
        </is>
      </c>
    </row>
    <row r="66">
      <c r="A66" t="inlineStr">
        <is>
          <t>50 Eastcastle Street</t>
        </is>
      </c>
    </row>
    <row r="67">
      <c r="A67" t="inlineStr">
        <is>
          <t>Mappin House, 156-162 Oxford Street</t>
        </is>
      </c>
    </row>
    <row r="68">
      <c r="A68" t="inlineStr">
        <is>
          <t>53 Wells Street</t>
        </is>
      </c>
    </row>
    <row r="69">
      <c r="A69" t="inlineStr">
        <is>
          <t>68 Wells Street</t>
        </is>
      </c>
    </row>
    <row r="70">
      <c r="A70" t="inlineStr">
        <is>
          <t>33 Eastcastle Street</t>
        </is>
      </c>
    </row>
    <row r="71">
      <c r="A71" t="inlineStr">
        <is>
          <t>Julco House, 26-28 Great Portland Street</t>
        </is>
      </c>
    </row>
    <row r="72">
      <c r="A72" t="inlineStr">
        <is>
          <t>5 Margaret Street</t>
        </is>
      </c>
    </row>
    <row r="73">
      <c r="A73" t="inlineStr">
        <is>
          <t>60/62 Margaret Street</t>
        </is>
      </c>
    </row>
    <row r="74">
      <c r="A74" t="inlineStr">
        <is>
          <t>85 Mortimer Street</t>
        </is>
      </c>
    </row>
    <row r="75">
      <c r="A75" t="inlineStr">
        <is>
          <t>Welbeck House, 66/67 Wells Street</t>
        </is>
      </c>
    </row>
    <row r="76">
      <c r="A76" t="inlineStr">
        <is>
          <t>32-36 Great Portland Street</t>
        </is>
      </c>
    </row>
    <row r="77">
      <c r="A77" t="inlineStr">
        <is>
          <t>184-190 Oxford Street &amp; 28/30 Market Place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H7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Q7</f>
        <v/>
      </c>
      <c r="T2" s="591">
        <f>R7</f>
        <v/>
      </c>
      <c r="U2" s="591" t="n">
        <v>100600</v>
      </c>
      <c r="V2" s="842">
        <f>T7</f>
        <v/>
      </c>
      <c r="W2" s="591" t="n">
        <v>115000</v>
      </c>
      <c r="X2" s="842">
        <f>V7</f>
        <v/>
      </c>
      <c r="Y2" s="845">
        <f>V7/H7</f>
        <v/>
      </c>
      <c r="Z2" s="846">
        <f>SUM(V7-T7)/T7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H11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Q11</f>
        <v/>
      </c>
      <c r="U3" s="848" t="n">
        <v>110000</v>
      </c>
      <c r="V3" s="842">
        <f>T11</f>
        <v/>
      </c>
      <c r="W3" s="848" t="n">
        <v>108100</v>
      </c>
      <c r="X3" s="842">
        <f>V11</f>
        <v/>
      </c>
      <c r="Y3" s="845">
        <f>V11/H11</f>
        <v/>
      </c>
      <c r="Z3" s="846">
        <f>SUM(V11-T11)/T11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H12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Q12</f>
        <v/>
      </c>
      <c r="U4" s="848" t="n">
        <v>225000</v>
      </c>
      <c r="V4" s="842">
        <f>T12</f>
        <v/>
      </c>
      <c r="W4" s="848" t="n">
        <v>226100</v>
      </c>
      <c r="X4" s="842">
        <f>V12</f>
        <v/>
      </c>
      <c r="Y4" s="845">
        <f>V12/H12</f>
        <v/>
      </c>
      <c r="Z4" s="846">
        <f>SUM(V12-T12)/T12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H13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Q13</f>
        <v/>
      </c>
      <c r="U5" s="848" t="n">
        <v>55700</v>
      </c>
      <c r="V5" s="842">
        <f>T13</f>
        <v/>
      </c>
      <c r="W5" s="848" t="n">
        <v>61100</v>
      </c>
      <c r="X5" s="842">
        <f>V13</f>
        <v/>
      </c>
      <c r="Y5" s="845">
        <f>V13/H13</f>
        <v/>
      </c>
      <c r="Z5" s="846">
        <f>SUM(V13-T13)/T13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H14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Q14</f>
        <v/>
      </c>
      <c r="U6" s="848" t="n">
        <v>131100</v>
      </c>
      <c r="V6" s="842">
        <f>T14</f>
        <v/>
      </c>
      <c r="W6" s="848" t="n">
        <v>133200</v>
      </c>
      <c r="X6" s="842">
        <f>V14</f>
        <v/>
      </c>
      <c r="Y6" s="845">
        <f>V14/H14</f>
        <v/>
      </c>
      <c r="Z6" s="846">
        <f>SUM(V14-T14)/T14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H15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Q15</f>
        <v/>
      </c>
      <c r="T7" s="842" t="n"/>
      <c r="U7" s="848" t="n">
        <v>60400</v>
      </c>
      <c r="V7" s="842">
        <f>T15</f>
        <v/>
      </c>
      <c r="W7" s="848" t="n">
        <v>61800</v>
      </c>
      <c r="X7" s="842">
        <f>V15</f>
        <v/>
      </c>
      <c r="Y7" s="845">
        <f>V15/H15</f>
        <v/>
      </c>
      <c r="Z7" s="846">
        <f>SUM(V15-T15)/T15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H16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Q16</f>
        <v/>
      </c>
      <c r="U8" s="848" t="n">
        <v>134300</v>
      </c>
      <c r="V8" s="842">
        <f>T16</f>
        <v/>
      </c>
      <c r="W8" s="848" t="n">
        <v>134300</v>
      </c>
      <c r="X8" s="842">
        <f>V16</f>
        <v/>
      </c>
      <c r="Y8" s="845">
        <f>V16/H16</f>
        <v/>
      </c>
      <c r="Z8" s="846">
        <f>SUM(V16-T16)/T16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H17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Q17</f>
        <v/>
      </c>
      <c r="U9" s="848" t="n">
        <v>20600</v>
      </c>
      <c r="V9" s="842">
        <f>T17</f>
        <v/>
      </c>
      <c r="W9" s="848" t="n">
        <v>23000</v>
      </c>
      <c r="X9" s="842">
        <f>V17</f>
        <v/>
      </c>
      <c r="Y9" s="845">
        <f>V17/H17</f>
        <v/>
      </c>
      <c r="Z9" s="846">
        <f>SUM(V17-T17)/T17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H18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Q18</f>
        <v/>
      </c>
      <c r="U10" s="848" t="n">
        <v>109000</v>
      </c>
      <c r="V10" s="842">
        <f>T18</f>
        <v/>
      </c>
      <c r="W10" s="848" t="n">
        <v>111400</v>
      </c>
      <c r="X10" s="842">
        <f>V18</f>
        <v/>
      </c>
      <c r="Y10" s="845">
        <f>V18/H18</f>
        <v/>
      </c>
      <c r="Z10" s="846">
        <f>SUM(V18-T18)/T18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H19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Q19</f>
        <v/>
      </c>
      <c r="U11" s="848" t="n">
        <v>21000</v>
      </c>
      <c r="V11" s="842">
        <f>T19</f>
        <v/>
      </c>
      <c r="W11" s="848" t="n">
        <v>24100</v>
      </c>
      <c r="X11" s="842">
        <f>V19</f>
        <v/>
      </c>
      <c r="Y11" s="845">
        <f>V19/H19</f>
        <v/>
      </c>
      <c r="Z11" s="846">
        <f>SUM(V19-T19)/T19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H20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Q20</f>
        <v/>
      </c>
      <c r="U12" s="848" t="n">
        <v>49400</v>
      </c>
      <c r="V12" s="842">
        <f>T20</f>
        <v/>
      </c>
      <c r="W12" s="848" t="n">
        <v>58300</v>
      </c>
      <c r="X12" s="842">
        <f>V20</f>
        <v/>
      </c>
      <c r="Y12" s="845">
        <f>V20/H20</f>
        <v/>
      </c>
      <c r="Z12" s="846">
        <f>SUM(V20-T20)/T20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H21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Q21</f>
        <v/>
      </c>
      <c r="U13" s="848" t="n">
        <v>47400</v>
      </c>
      <c r="V13" s="842">
        <f>T21</f>
        <v/>
      </c>
      <c r="W13" s="848" t="n">
        <v>58600</v>
      </c>
      <c r="X13" s="842">
        <f>V21</f>
        <v/>
      </c>
      <c r="Y13" s="845">
        <f>V21/H21</f>
        <v/>
      </c>
      <c r="Z13" s="846">
        <f>SUM(V21-T21)/T21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H22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Q22</f>
        <v/>
      </c>
      <c r="U14" s="848" t="n">
        <v>34400</v>
      </c>
      <c r="V14" s="842">
        <f>T22</f>
        <v/>
      </c>
      <c r="W14" s="848" t="n">
        <v>47000</v>
      </c>
      <c r="X14" s="842">
        <f>V22</f>
        <v/>
      </c>
      <c r="Y14" s="845">
        <f>V22/H22</f>
        <v/>
      </c>
      <c r="Z14" s="846">
        <f>SUM(V22-T22)/T22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H23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Q23</f>
        <v/>
      </c>
      <c r="U15" s="848" t="n">
        <v>3000</v>
      </c>
      <c r="V15" s="842">
        <f>T23</f>
        <v/>
      </c>
      <c r="W15" s="848" t="n">
        <v>4500</v>
      </c>
      <c r="X15" s="842">
        <f>V23</f>
        <v/>
      </c>
      <c r="Y15" s="845">
        <f>V23/H23</f>
        <v/>
      </c>
      <c r="Z15" s="846">
        <f>SUM(V23-T23)/T23</f>
        <v/>
      </c>
      <c r="AA15" s="842" t="n"/>
      <c r="AB15" s="590" t="n"/>
      <c r="AC15" s="847" t="n"/>
      <c r="AD15" s="841" t="inlineStr">
        <is>
          <t>No</t>
        </is>
      </c>
      <c r="AH15" s="312" t="n"/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H29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Q29</f>
        <v/>
      </c>
      <c r="U16" s="848" t="n">
        <v>114600</v>
      </c>
      <c r="V16" s="842">
        <f>T29</f>
        <v/>
      </c>
      <c r="W16" s="848" t="n">
        <v>124500</v>
      </c>
      <c r="X16" s="842">
        <f>V29</f>
        <v/>
      </c>
      <c r="Y16" s="845">
        <f>V29/H29</f>
        <v/>
      </c>
      <c r="Z16" s="846">
        <f>SUM(V29-T29)/T29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H30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Q30</f>
        <v/>
      </c>
      <c r="U17" s="848" t="n">
        <v>76900</v>
      </c>
      <c r="V17" s="842">
        <f>T30</f>
        <v/>
      </c>
      <c r="W17" s="848" t="n">
        <v>97900</v>
      </c>
      <c r="X17" s="842">
        <f>V30</f>
        <v/>
      </c>
      <c r="Y17" s="845">
        <f>V30/H30</f>
        <v/>
      </c>
      <c r="Z17" s="846">
        <f>SUM(V30-T30)/T30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H31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Q31</f>
        <v/>
      </c>
      <c r="U18" s="848" t="n">
        <v>61100</v>
      </c>
      <c r="V18" s="842">
        <f>T31</f>
        <v/>
      </c>
      <c r="W18" s="848" t="n">
        <v>69400</v>
      </c>
      <c r="X18" s="842">
        <f>V31</f>
        <v/>
      </c>
      <c r="Y18" s="845">
        <f>V31/H31</f>
        <v/>
      </c>
      <c r="Z18" s="846">
        <f>SUM(V31-T31)/T31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H32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Q32</f>
        <v/>
      </c>
      <c r="U19" s="848" t="n">
        <v>25300</v>
      </c>
      <c r="V19" s="842">
        <f>T32</f>
        <v/>
      </c>
      <c r="W19" s="848" t="n">
        <v>25300</v>
      </c>
      <c r="X19" s="842">
        <f>V32</f>
        <v/>
      </c>
      <c r="Y19" s="845">
        <f>V32/H32</f>
        <v/>
      </c>
      <c r="Z19" s="846">
        <f>SUM(V32-T32)/T32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H38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Q38</f>
        <v/>
      </c>
      <c r="U20" s="848" t="n">
        <v>170000</v>
      </c>
      <c r="V20" s="842">
        <f>T38</f>
        <v/>
      </c>
      <c r="W20" s="848" t="n">
        <v>170000</v>
      </c>
      <c r="X20" s="842">
        <f>V38</f>
        <v/>
      </c>
      <c r="Y20" s="845">
        <f>V38/H38</f>
        <v/>
      </c>
      <c r="Z20" s="846">
        <f>SUM(V38-T38)/T38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H39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Q39</f>
        <v/>
      </c>
      <c r="U21" s="848" t="n">
        <v>78000</v>
      </c>
      <c r="V21" s="842">
        <f>T39</f>
        <v/>
      </c>
      <c r="W21" s="848" t="n">
        <v>99300</v>
      </c>
      <c r="X21" s="842">
        <f>V39</f>
        <v/>
      </c>
      <c r="Y21" s="845">
        <f>V39/H39</f>
        <v/>
      </c>
      <c r="Z21" s="846">
        <f>SUM(V39-T39)/T39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H40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Q40</f>
        <v/>
      </c>
      <c r="U22" s="848" t="n">
        <v>39400</v>
      </c>
      <c r="V22" s="842">
        <f>T40</f>
        <v/>
      </c>
      <c r="W22" s="848" t="n">
        <v>41200</v>
      </c>
      <c r="X22" s="842">
        <f>V40</f>
        <v/>
      </c>
      <c r="Y22" s="845">
        <f>V40/H40</f>
        <v/>
      </c>
      <c r="Z22" s="846">
        <f>SUM(V40-T40)/T40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H41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Q41</f>
        <v/>
      </c>
      <c r="U23" s="848" t="n">
        <v>36600</v>
      </c>
      <c r="V23" s="842">
        <f>T41</f>
        <v/>
      </c>
      <c r="W23" s="848" t="n">
        <v>38200</v>
      </c>
      <c r="X23" s="842">
        <f>V41</f>
        <v/>
      </c>
      <c r="Y23" s="845">
        <f>V41/H41</f>
        <v/>
      </c>
      <c r="Z23" s="846">
        <f>SUM(V41-T41)/T41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H47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Q47</f>
        <v/>
      </c>
      <c r="T24" s="591">
        <f>R47</f>
        <v/>
      </c>
      <c r="U24" s="591" t="n">
        <v>950000</v>
      </c>
      <c r="V24" s="842">
        <f>T47</f>
        <v/>
      </c>
      <c r="W24" s="591" t="n">
        <v>950000</v>
      </c>
      <c r="X24" s="842">
        <f>V47</f>
        <v/>
      </c>
      <c r="Y24" s="845">
        <f>V47/H47</f>
        <v/>
      </c>
      <c r="Z24" s="846">
        <f>SUM(V47-T47)/T47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H51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Q51</f>
        <v/>
      </c>
      <c r="U25" s="842" t="n">
        <v>143000</v>
      </c>
      <c r="V25" s="842">
        <f>T51</f>
        <v/>
      </c>
      <c r="W25" s="842" t="n">
        <v>145000</v>
      </c>
      <c r="X25" s="842">
        <f>V51</f>
        <v/>
      </c>
      <c r="Y25" s="845">
        <f>V51/H51</f>
        <v/>
      </c>
      <c r="Z25" s="846">
        <f>SUM(V51-T51)/T51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H52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Q52</f>
        <v/>
      </c>
      <c r="U26" s="842" t="n">
        <v>42000</v>
      </c>
      <c r="V26" s="842">
        <f>T52</f>
        <v/>
      </c>
      <c r="W26" s="842" t="n">
        <v>42000</v>
      </c>
      <c r="X26" s="842">
        <f>V52</f>
        <v/>
      </c>
      <c r="Y26" s="845">
        <f>V52/H52</f>
        <v/>
      </c>
      <c r="Z26" s="846">
        <f>SUM(V52-T52)/T52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H53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Q53</f>
        <v/>
      </c>
      <c r="U27" s="842" t="n">
        <v>39700</v>
      </c>
      <c r="V27" s="842">
        <f>T53</f>
        <v/>
      </c>
      <c r="W27" s="842" t="n">
        <v>40000</v>
      </c>
      <c r="X27" s="842">
        <f>V53</f>
        <v/>
      </c>
      <c r="Y27" s="845">
        <f>V53/H53</f>
        <v/>
      </c>
      <c r="Z27" s="846">
        <f>SUM(V53-T53)/T53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H54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Q54</f>
        <v/>
      </c>
      <c r="U28" s="842" t="n">
        <v>34100</v>
      </c>
      <c r="V28" s="842">
        <f>T54</f>
        <v/>
      </c>
      <c r="W28" s="842" t="n">
        <v>36000</v>
      </c>
      <c r="X28" s="842">
        <f>V54</f>
        <v/>
      </c>
      <c r="Y28" s="845">
        <f>V54/H54</f>
        <v/>
      </c>
      <c r="Z28" s="846">
        <f>SUM(V54-T54)/T54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H55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Q55</f>
        <v/>
      </c>
      <c r="U29" s="842" t="n">
        <v>21600</v>
      </c>
      <c r="V29" s="842">
        <f>T55</f>
        <v/>
      </c>
      <c r="W29" s="842" t="n">
        <v>22000</v>
      </c>
      <c r="X29" s="842">
        <f>V55</f>
        <v/>
      </c>
      <c r="Y29" s="845">
        <f>V55/H55</f>
        <v/>
      </c>
      <c r="Z29" s="846">
        <f>SUM(V55-T55)/T55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H56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Q56</f>
        <v/>
      </c>
      <c r="T30" s="591" t="n"/>
      <c r="U30" s="842" t="n">
        <v>0</v>
      </c>
      <c r="V30" s="591">
        <f>T56</f>
        <v/>
      </c>
      <c r="W30" s="842" t="n">
        <v>0</v>
      </c>
      <c r="X30" s="591">
        <f>V56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H62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Q62</f>
        <v/>
      </c>
      <c r="U31" s="842" t="n">
        <v>147500</v>
      </c>
      <c r="V31" s="842">
        <f>T62</f>
        <v/>
      </c>
      <c r="W31" s="842" t="n">
        <v>147500</v>
      </c>
      <c r="X31" s="842">
        <f>V62</f>
        <v/>
      </c>
      <c r="Y31" s="845">
        <f>V62/H62</f>
        <v/>
      </c>
      <c r="Z31" s="846">
        <f>SUM(V62-T62)/T62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H63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Q63</f>
        <v/>
      </c>
      <c r="U32" s="842" t="n">
        <v>176200</v>
      </c>
      <c r="V32" s="842">
        <f>T63</f>
        <v/>
      </c>
      <c r="W32" s="842" t="n">
        <v>220000</v>
      </c>
      <c r="X32" s="842">
        <f>V63</f>
        <v/>
      </c>
      <c r="Y32" s="845">
        <f>V63/H63</f>
        <v/>
      </c>
      <c r="Z32" s="846">
        <f>SUM(V63-T63)/T63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H64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Q64</f>
        <v/>
      </c>
      <c r="U33" s="842" t="n">
        <v>255000</v>
      </c>
      <c r="V33" s="842">
        <f>T64</f>
        <v/>
      </c>
      <c r="W33" s="842" t="n">
        <v>300000</v>
      </c>
      <c r="X33" s="842">
        <f>V64</f>
        <v/>
      </c>
      <c r="Y33" s="845">
        <f>V64/H64</f>
        <v/>
      </c>
      <c r="Z33" s="846">
        <f>SUM(V64-T64)/T64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H65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Q65</f>
        <v/>
      </c>
      <c r="U34" s="842" t="n">
        <v>99700</v>
      </c>
      <c r="V34" s="842">
        <f>T65</f>
        <v/>
      </c>
      <c r="W34" s="842" t="n">
        <v>120400</v>
      </c>
      <c r="X34" s="842">
        <f>V65</f>
        <v/>
      </c>
      <c r="Y34" s="845">
        <f>V65/H65</f>
        <v/>
      </c>
      <c r="Z34" s="846">
        <f>SUM(V65-T65)/T65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H66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Q66</f>
        <v/>
      </c>
      <c r="U35" s="842" t="n">
        <v>114700</v>
      </c>
      <c r="V35" s="842">
        <f>T66</f>
        <v/>
      </c>
      <c r="W35" s="842" t="n">
        <v>140100</v>
      </c>
      <c r="X35" s="842">
        <f>V66</f>
        <v/>
      </c>
      <c r="Y35" s="845">
        <f>V66/H66</f>
        <v/>
      </c>
      <c r="Z35" s="846">
        <f>SUM(V66-T66)/T66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H67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Q67</f>
        <v/>
      </c>
      <c r="U36" s="842" t="n">
        <v>120700</v>
      </c>
      <c r="V36" s="842">
        <f>T67</f>
        <v/>
      </c>
      <c r="W36" s="842" t="n">
        <v>139260</v>
      </c>
      <c r="X36" s="842">
        <f>V67</f>
        <v/>
      </c>
      <c r="Y36" s="845">
        <f>V67/H67</f>
        <v/>
      </c>
      <c r="Z36" s="846">
        <f>SUM(V67-T67)/T67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H68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Q68</f>
        <v/>
      </c>
      <c r="U37" s="842" t="n">
        <v>87300</v>
      </c>
      <c r="V37" s="842">
        <f>T68</f>
        <v/>
      </c>
      <c r="W37" s="842" t="n">
        <v>121240</v>
      </c>
      <c r="X37" s="842">
        <f>V68</f>
        <v/>
      </c>
      <c r="Y37" s="845">
        <f>V68/H68</f>
        <v/>
      </c>
      <c r="Z37" s="846">
        <f>SUM(V68-T68)/T68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H69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Q69</f>
        <v/>
      </c>
      <c r="U38" s="842" t="n">
        <v>102705</v>
      </c>
      <c r="V38" s="842">
        <f>T69</f>
        <v/>
      </c>
      <c r="W38" s="842" t="n">
        <v>114100</v>
      </c>
      <c r="X38" s="842">
        <f>V69</f>
        <v/>
      </c>
      <c r="Y38" s="845">
        <f>V69/H69</f>
        <v/>
      </c>
      <c r="Z38" s="846">
        <f>SUM(V69-T69)/T69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H70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Q70</f>
        <v/>
      </c>
      <c r="U39" s="842" t="n">
        <v>125050</v>
      </c>
      <c r="V39" s="842">
        <f>T70</f>
        <v/>
      </c>
      <c r="W39" s="842" t="n">
        <v>138700</v>
      </c>
      <c r="X39" s="842">
        <f>V70</f>
        <v/>
      </c>
      <c r="Y39" s="845">
        <f>V70/H70</f>
        <v/>
      </c>
      <c r="Z39" s="846">
        <f>SUM(V70-T70)/T70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H71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Q71</f>
        <v/>
      </c>
      <c r="T40" s="842" t="n"/>
      <c r="U40" s="842" t="n">
        <v>90100</v>
      </c>
      <c r="V40" s="842">
        <f>T71</f>
        <v/>
      </c>
      <c r="W40" s="842" t="n">
        <v>104500</v>
      </c>
      <c r="X40" s="842">
        <f>V71</f>
        <v/>
      </c>
      <c r="Y40" s="845">
        <f>V71/H71</f>
        <v/>
      </c>
      <c r="Z40" s="846">
        <f>SUM(V71-T71)/T71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H72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Q72</f>
        <v/>
      </c>
      <c r="U41" s="842" t="n">
        <v>115800</v>
      </c>
      <c r="V41" s="842">
        <f>T72</f>
        <v/>
      </c>
      <c r="W41" s="842" t="n">
        <v>132100</v>
      </c>
      <c r="X41" s="842">
        <f>V72</f>
        <v/>
      </c>
      <c r="Y41" s="845">
        <f>V72/H72</f>
        <v/>
      </c>
      <c r="Z41" s="846">
        <f>SUM(V72-T72)/T72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H73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Q73</f>
        <v/>
      </c>
      <c r="U42" s="842" t="n">
        <v>107400</v>
      </c>
      <c r="V42" s="842">
        <f>T73</f>
        <v/>
      </c>
      <c r="W42" s="842" t="n">
        <v>124500</v>
      </c>
      <c r="X42" s="842">
        <f>V73</f>
        <v/>
      </c>
      <c r="Y42" s="845">
        <f>V73/H73</f>
        <v/>
      </c>
      <c r="Z42" s="846">
        <f>SUM(V73-T73)/T73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H74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Q74</f>
        <v/>
      </c>
      <c r="U43" s="842" t="n">
        <v>76600</v>
      </c>
      <c r="V43" s="842">
        <f>T74</f>
        <v/>
      </c>
      <c r="W43" s="842" t="n">
        <v>103100</v>
      </c>
      <c r="X43" s="842">
        <f>V74</f>
        <v/>
      </c>
      <c r="Y43" s="845">
        <f>V74/H74</f>
        <v/>
      </c>
      <c r="Z43" s="846">
        <f>SUM(V74-T74)/T74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H75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Q75</f>
        <v/>
      </c>
      <c r="U44" s="842" t="n">
        <v>66700</v>
      </c>
      <c r="V44" s="842">
        <f>T75</f>
        <v/>
      </c>
      <c r="W44" s="842" t="n">
        <v>78300</v>
      </c>
      <c r="X44" s="842">
        <f>V75</f>
        <v/>
      </c>
      <c r="Y44" s="845">
        <f>V75/H75</f>
        <v/>
      </c>
      <c r="Z44" s="846">
        <f>SUM(V75-T75)/T75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H76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Q76</f>
        <v/>
      </c>
      <c r="U45" s="842" t="n">
        <v>65750</v>
      </c>
      <c r="V45" s="842">
        <f>T76</f>
        <v/>
      </c>
      <c r="W45" s="842" t="n">
        <v>53700</v>
      </c>
      <c r="X45" s="842">
        <f>V76</f>
        <v/>
      </c>
      <c r="Y45" s="845">
        <f>V76/H76</f>
        <v/>
      </c>
      <c r="Z45" s="846">
        <f>SUM(V76-T76)/T76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H77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Q77</f>
        <v/>
      </c>
      <c r="T46" s="842" t="n"/>
      <c r="U46" s="842" t="n">
        <v>1460</v>
      </c>
      <c r="V46" s="842">
        <f>T77</f>
        <v/>
      </c>
      <c r="W46" s="842" t="n">
        <v>0</v>
      </c>
      <c r="X46" s="842">
        <f>V77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H78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Q78</f>
        <v/>
      </c>
      <c r="U47" s="842" t="n">
        <v>0</v>
      </c>
      <c r="V47" s="842">
        <f>T78</f>
        <v/>
      </c>
      <c r="W47" s="842" t="n">
        <v>0</v>
      </c>
      <c r="X47" s="842">
        <f>V78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H84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Q84</f>
        <v/>
      </c>
      <c r="U48" s="842" t="n">
        <v>337100</v>
      </c>
      <c r="V48" s="842">
        <f>T84</f>
        <v/>
      </c>
      <c r="W48" s="842" t="n">
        <v>380000</v>
      </c>
      <c r="X48" s="842">
        <f>V84</f>
        <v/>
      </c>
      <c r="Y48" s="845">
        <f>V84/H84</f>
        <v/>
      </c>
      <c r="Z48" s="846">
        <f>SUM(V84-T84)/T84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H85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Q85</f>
        <v/>
      </c>
      <c r="U49" s="842" t="n">
        <v>107200</v>
      </c>
      <c r="V49" s="842">
        <f>T85</f>
        <v/>
      </c>
      <c r="W49" s="842" t="n">
        <v>114500</v>
      </c>
      <c r="X49" s="842">
        <f>V85</f>
        <v/>
      </c>
      <c r="Y49" s="845">
        <f>V85/H85</f>
        <v/>
      </c>
      <c r="Z49" s="846">
        <f>SUM(V85-T85)/T85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H86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Q86</f>
        <v/>
      </c>
      <c r="U50" s="842" t="n">
        <v>105500</v>
      </c>
      <c r="V50" s="842">
        <f>T86</f>
        <v/>
      </c>
      <c r="W50" s="842" t="n">
        <v>109100</v>
      </c>
      <c r="X50" s="842">
        <f>V86</f>
        <v/>
      </c>
      <c r="Y50" s="845">
        <f>V86/H86</f>
        <v/>
      </c>
      <c r="Z50" s="846">
        <f>SUM(V86-T86)/T86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H87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Q87</f>
        <v/>
      </c>
      <c r="U51" s="842" t="n">
        <v>108800</v>
      </c>
      <c r="V51" s="842">
        <f>T87</f>
        <v/>
      </c>
      <c r="W51" s="842" t="n">
        <v>108500</v>
      </c>
      <c r="X51" s="842">
        <f>V87</f>
        <v/>
      </c>
      <c r="Y51" s="845">
        <f>V87/H87</f>
        <v/>
      </c>
      <c r="Z51" s="846">
        <f>SUM(V87-T87)/T87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H88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Q88</f>
        <v/>
      </c>
      <c r="U52" s="842" t="n">
        <v>94400</v>
      </c>
      <c r="V52" s="842">
        <f>T88</f>
        <v/>
      </c>
      <c r="W52" s="842" t="n">
        <v>97800</v>
      </c>
      <c r="X52" s="842">
        <f>V88</f>
        <v/>
      </c>
      <c r="Y52" s="845">
        <f>V88/H88</f>
        <v/>
      </c>
      <c r="Z52" s="846">
        <f>SUM(V88-T88)/T88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H89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Q89</f>
        <v/>
      </c>
      <c r="U53" s="848" t="n">
        <v>61200</v>
      </c>
      <c r="V53" s="842">
        <f>T89</f>
        <v/>
      </c>
      <c r="W53" s="848" t="n">
        <v>57200</v>
      </c>
      <c r="X53" s="842">
        <f>V89</f>
        <v/>
      </c>
      <c r="Y53" s="845">
        <f>V89/H89</f>
        <v/>
      </c>
      <c r="Z53" s="846">
        <f>SUM(V89-T89)/T89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H90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Q90</f>
        <v/>
      </c>
      <c r="U54" s="848" t="n">
        <v>625</v>
      </c>
      <c r="V54" s="842">
        <f>T90</f>
        <v/>
      </c>
      <c r="W54" s="848" t="n">
        <v>625</v>
      </c>
      <c r="X54" s="842">
        <f>V90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H96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Q96</f>
        <v/>
      </c>
      <c r="T55" s="591">
        <f>R96</f>
        <v/>
      </c>
      <c r="U55" s="591" t="n">
        <v>580000</v>
      </c>
      <c r="V55" s="842">
        <f>T96</f>
        <v/>
      </c>
      <c r="W55" s="591" t="n">
        <v>607100</v>
      </c>
      <c r="X55" s="842">
        <f>V96</f>
        <v/>
      </c>
      <c r="Y55" s="845">
        <f>V96/H96</f>
        <v/>
      </c>
      <c r="Z55" s="846">
        <f>SUM(V96-T96)/T96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H101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Q101</f>
        <v/>
      </c>
      <c r="U56" s="842" t="n">
        <v>750000</v>
      </c>
      <c r="V56" s="842">
        <f>T101</f>
        <v/>
      </c>
      <c r="W56" s="842" t="n">
        <v>650000</v>
      </c>
      <c r="X56" s="842">
        <f>V101</f>
        <v/>
      </c>
      <c r="Y56" s="845">
        <f>V101/H101</f>
        <v/>
      </c>
      <c r="Z56" s="846">
        <f>SUM(V101-T101)/T101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H102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Q102</f>
        <v/>
      </c>
      <c r="U57" s="842" t="n">
        <v>170000</v>
      </c>
      <c r="V57" s="842">
        <f>T102</f>
        <v/>
      </c>
      <c r="W57" s="842" t="n">
        <v>185100</v>
      </c>
      <c r="X57" s="842">
        <f>V102</f>
        <v/>
      </c>
      <c r="Y57" s="845">
        <f>V102/H102</f>
        <v/>
      </c>
      <c r="Z57" s="846">
        <f>SUM(V102-T102)/T102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H103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Q103</f>
        <v/>
      </c>
      <c r="T58" s="842" t="n"/>
      <c r="U58" s="842" t="n">
        <v>172000</v>
      </c>
      <c r="V58" s="842">
        <f>T103</f>
        <v/>
      </c>
      <c r="W58" s="842" t="n">
        <v>181600</v>
      </c>
      <c r="X58" s="842">
        <f>V103</f>
        <v/>
      </c>
      <c r="Y58" s="845">
        <f>V103/H103</f>
        <v/>
      </c>
      <c r="Z58" s="846">
        <f>SUM(V103-T103)/T103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H104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Q104</f>
        <v/>
      </c>
      <c r="T59" s="842" t="n"/>
      <c r="U59" s="842" t="n">
        <v>80000</v>
      </c>
      <c r="V59" s="842">
        <f>T104</f>
        <v/>
      </c>
      <c r="W59" s="842" t="n">
        <v>80800</v>
      </c>
      <c r="X59" s="842">
        <f>V104</f>
        <v/>
      </c>
      <c r="Y59" s="845">
        <f>V104/H104</f>
        <v/>
      </c>
      <c r="Z59" s="846">
        <f>SUM(V104-T104)/T104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H110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Q110</f>
        <v/>
      </c>
      <c r="U60" s="842" t="n">
        <v>25000</v>
      </c>
      <c r="V60" s="842">
        <f>T110</f>
        <v/>
      </c>
      <c r="W60" s="842" t="n">
        <v>25000</v>
      </c>
      <c r="X60" s="842">
        <f>V110</f>
        <v/>
      </c>
      <c r="Y60" s="845">
        <f>V110/H110</f>
        <v/>
      </c>
      <c r="Z60" s="846">
        <f>SUM(V110-T110)/T110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H111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Q111</f>
        <v/>
      </c>
      <c r="U61" s="842" t="n">
        <v>11700</v>
      </c>
      <c r="V61" s="842">
        <f>T111</f>
        <v/>
      </c>
      <c r="W61" s="842" t="n">
        <v>11700</v>
      </c>
      <c r="X61" s="842">
        <f>V111</f>
        <v/>
      </c>
      <c r="Y61" s="845">
        <f>V111/H111</f>
        <v/>
      </c>
      <c r="Z61" s="846">
        <f>SUM(V111-T111)/T111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H112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Q112</f>
        <v/>
      </c>
      <c r="U62" s="842" t="n">
        <v>55000</v>
      </c>
      <c r="V62" s="842">
        <f>T112</f>
        <v/>
      </c>
      <c r="W62" s="842" t="n">
        <v>55000</v>
      </c>
      <c r="X62" s="842">
        <f>V112</f>
        <v/>
      </c>
      <c r="Y62" s="845">
        <f>V112/H112</f>
        <v/>
      </c>
      <c r="Z62" s="846">
        <f>SUM(V112-T112)/T112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H113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Q113</f>
        <v/>
      </c>
      <c r="U63" s="842" t="n">
        <v>29300</v>
      </c>
      <c r="V63" s="842">
        <f>T113</f>
        <v/>
      </c>
      <c r="W63" s="842" t="n">
        <v>29300</v>
      </c>
      <c r="X63" s="842">
        <f>V113</f>
        <v/>
      </c>
      <c r="Y63" s="845">
        <f>V113/H113</f>
        <v/>
      </c>
      <c r="Z63" s="846">
        <f>SUM(V113-T113)/T113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H114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Q114</f>
        <v/>
      </c>
      <c r="U64" s="842" t="n">
        <v>15500</v>
      </c>
      <c r="V64" s="842">
        <f>T114</f>
        <v/>
      </c>
      <c r="W64" s="842" t="n">
        <v>15500</v>
      </c>
      <c r="X64" s="842">
        <f>V114</f>
        <v/>
      </c>
      <c r="Y64" s="845">
        <f>V114/H114</f>
        <v/>
      </c>
      <c r="Z64" s="846">
        <f>SUM(V114-T114)/T114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H115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Q115</f>
        <v/>
      </c>
      <c r="U65" s="842" t="n">
        <v>22800</v>
      </c>
      <c r="V65" s="842">
        <f>T115</f>
        <v/>
      </c>
      <c r="W65" s="842" t="n">
        <v>22800</v>
      </c>
      <c r="X65" s="842">
        <f>V115</f>
        <v/>
      </c>
      <c r="Y65" s="845">
        <f>V115/H115</f>
        <v/>
      </c>
      <c r="Z65" s="846">
        <f>SUM(V115-T115)/T115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H116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Q116</f>
        <v/>
      </c>
      <c r="U66" s="842" t="n">
        <v>15500</v>
      </c>
      <c r="V66" s="842">
        <f>T116</f>
        <v/>
      </c>
      <c r="W66" s="842" t="n">
        <v>15500</v>
      </c>
      <c r="X66" s="842">
        <f>V116</f>
        <v/>
      </c>
      <c r="Y66" s="845">
        <f>V116/H116</f>
        <v/>
      </c>
      <c r="Z66" s="846">
        <f>SUM(V116-T116)/T116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H117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Q117</f>
        <v/>
      </c>
      <c r="U67" s="842" t="n">
        <v>22838</v>
      </c>
      <c r="V67" s="842">
        <f>T117</f>
        <v/>
      </c>
      <c r="W67" s="842" t="n">
        <v>22500</v>
      </c>
      <c r="X67" s="842">
        <f>V117</f>
        <v/>
      </c>
      <c r="Y67" s="845">
        <f>V117/H117</f>
        <v/>
      </c>
      <c r="Z67" s="846">
        <f>SUM(V117-T117)/T117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H118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Q118</f>
        <v/>
      </c>
      <c r="U68" s="842" t="n">
        <v>10200</v>
      </c>
      <c r="V68" s="842">
        <f>T118</f>
        <v/>
      </c>
      <c r="W68" s="842" t="n">
        <v>10200</v>
      </c>
      <c r="X68" s="842">
        <f>V118</f>
        <v/>
      </c>
      <c r="Y68" s="845">
        <f>V118/H118</f>
        <v/>
      </c>
      <c r="Z68" s="846">
        <f>SUM(V118-T118)/T118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H119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Q119</f>
        <v/>
      </c>
      <c r="U69" s="842" t="n">
        <v>21100</v>
      </c>
      <c r="V69" s="842">
        <f>T119</f>
        <v/>
      </c>
      <c r="W69" s="842" t="n">
        <v>21100</v>
      </c>
      <c r="X69" s="842">
        <f>V119</f>
        <v/>
      </c>
      <c r="Y69" s="845">
        <f>V119/H119</f>
        <v/>
      </c>
      <c r="Z69" s="846">
        <f>SUM(V119-T119)/T119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H125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Q125</f>
        <v/>
      </c>
      <c r="U70" s="842" t="n">
        <v>210000</v>
      </c>
      <c r="V70" s="842">
        <f>T125</f>
        <v/>
      </c>
      <c r="W70" s="842" t="n">
        <v>227900</v>
      </c>
      <c r="X70" s="842">
        <f>V125</f>
        <v/>
      </c>
      <c r="Y70" s="845">
        <f>V125/H125</f>
        <v/>
      </c>
      <c r="Z70" s="846">
        <f>SUM(V125-T125)/T125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H126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Q126</f>
        <v/>
      </c>
      <c r="U71" s="842" t="n">
        <v>86600</v>
      </c>
      <c r="V71" s="842">
        <f>T126</f>
        <v/>
      </c>
      <c r="W71" s="842" t="n">
        <v>93300</v>
      </c>
      <c r="X71" s="842">
        <f>V126</f>
        <v/>
      </c>
      <c r="Y71" s="845">
        <f>V126/H126</f>
        <v/>
      </c>
      <c r="Z71" s="846">
        <f>SUM(V126-T126)/T126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H127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Q127</f>
        <v/>
      </c>
      <c r="U72" s="842" t="n">
        <v>88100</v>
      </c>
      <c r="V72" s="842">
        <f>T127</f>
        <v/>
      </c>
      <c r="W72" s="842" t="n">
        <v>93900</v>
      </c>
      <c r="X72" s="842">
        <f>V127</f>
        <v/>
      </c>
      <c r="Y72" s="845">
        <f>V127/H127</f>
        <v/>
      </c>
      <c r="Z72" s="846">
        <f>SUM(V127-T127)/T127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H128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Q128</f>
        <v/>
      </c>
      <c r="U73" s="842" t="n">
        <v>83100</v>
      </c>
      <c r="V73" s="842">
        <f>T128</f>
        <v/>
      </c>
      <c r="W73" s="842" t="n">
        <v>91100</v>
      </c>
      <c r="X73" s="842">
        <f>V128</f>
        <v/>
      </c>
      <c r="Y73" s="845">
        <f>V128/H128</f>
        <v/>
      </c>
      <c r="Z73" s="846">
        <f>SUM(V128-T128)/T128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H129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Q129</f>
        <v/>
      </c>
      <c r="U74" s="842" t="n">
        <v>83800</v>
      </c>
      <c r="V74" s="842">
        <f>T129</f>
        <v/>
      </c>
      <c r="W74" s="842" t="n">
        <v>90300</v>
      </c>
      <c r="X74" s="842">
        <f>V129</f>
        <v/>
      </c>
      <c r="Y74" s="845">
        <f>V129/H129</f>
        <v/>
      </c>
      <c r="Z74" s="846">
        <f>SUM(V129-T129)/T129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H135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Q135</f>
        <v/>
      </c>
      <c r="U75" s="842" t="n">
        <v>165000</v>
      </c>
      <c r="V75" s="842">
        <f>T135</f>
        <v/>
      </c>
      <c r="W75" s="842" t="n">
        <v>165000</v>
      </c>
      <c r="X75" s="842">
        <f>V135</f>
        <v/>
      </c>
      <c r="Y75" s="845">
        <f>V135/H135</f>
        <v/>
      </c>
      <c r="Z75" s="846">
        <f>SUM(V135-T135)/T135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H136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Q136</f>
        <v/>
      </c>
      <c r="U76" s="842" t="n">
        <v>220000</v>
      </c>
      <c r="V76" s="842">
        <f>T136</f>
        <v/>
      </c>
      <c r="W76" s="842" t="n">
        <v>220000</v>
      </c>
      <c r="X76" s="842">
        <f>V136</f>
        <v/>
      </c>
      <c r="Y76" s="845">
        <f>V136/H136</f>
        <v/>
      </c>
      <c r="Z76" s="846">
        <f>SUM(V136-T136)/T136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H142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Q142</f>
        <v/>
      </c>
      <c r="U77" s="842" t="n">
        <v>72000</v>
      </c>
      <c r="V77" s="842">
        <f>T142</f>
        <v/>
      </c>
      <c r="W77" s="842" t="n">
        <v>72038</v>
      </c>
      <c r="X77" s="842">
        <f>V142</f>
        <v/>
      </c>
      <c r="Y77" s="845">
        <f>V142/H142</f>
        <v/>
      </c>
      <c r="Z77" s="846">
        <f>SUM(V142-T142)/T142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H143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Q143</f>
        <v/>
      </c>
      <c r="U78" s="842" t="n">
        <v>42000</v>
      </c>
      <c r="V78" s="842">
        <f>T143</f>
        <v/>
      </c>
      <c r="W78" s="842" t="n">
        <v>41975</v>
      </c>
      <c r="X78" s="842">
        <f>V143</f>
        <v/>
      </c>
      <c r="Y78" s="845">
        <f>V143/H143</f>
        <v/>
      </c>
      <c r="Z78" s="846">
        <f>SUM(V143-T143)/T143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H144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Q144</f>
        <v/>
      </c>
      <c r="U79" s="842" t="n">
        <v>42000</v>
      </c>
      <c r="V79" s="842">
        <f>T144</f>
        <v/>
      </c>
      <c r="W79" s="842" t="n">
        <v>41975</v>
      </c>
      <c r="X79" s="842">
        <f>V144</f>
        <v/>
      </c>
      <c r="Y79" s="845">
        <f>V144/H144</f>
        <v/>
      </c>
      <c r="Z79" s="846">
        <f>SUM(V144-T144)/T144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H145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Q145</f>
        <v/>
      </c>
      <c r="U80" s="842" t="n">
        <v>42000</v>
      </c>
      <c r="V80" s="842">
        <f>T145</f>
        <v/>
      </c>
      <c r="W80" s="842" t="n">
        <v>41975</v>
      </c>
      <c r="X80" s="842">
        <f>V145</f>
        <v/>
      </c>
      <c r="Y80" s="845">
        <f>V145/H145</f>
        <v/>
      </c>
      <c r="Z80" s="846">
        <f>SUM(V145-T145)/T145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H146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Q146</f>
        <v/>
      </c>
      <c r="U81" s="842" t="n">
        <v>61360</v>
      </c>
      <c r="V81" s="842">
        <f>T146</f>
        <v/>
      </c>
      <c r="W81" s="842" t="n">
        <v>63177</v>
      </c>
      <c r="X81" s="842">
        <f>V146</f>
        <v/>
      </c>
      <c r="Y81" s="845">
        <f>V146/H146</f>
        <v/>
      </c>
      <c r="Z81" s="846">
        <f>SUM(V146-T146)/T146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H152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Q152</f>
        <v/>
      </c>
      <c r="T82" s="591">
        <f>R152</f>
        <v/>
      </c>
      <c r="U82" s="18" t="n">
        <v>106600</v>
      </c>
      <c r="V82" s="842">
        <f>T152</f>
        <v/>
      </c>
      <c r="W82" s="18" t="n">
        <v>102100</v>
      </c>
      <c r="X82" s="842">
        <f>V152</f>
        <v/>
      </c>
      <c r="Y82" s="845">
        <f>V152/H152</f>
        <v/>
      </c>
      <c r="Z82" s="846">
        <f>SUM(V152-T152)/T152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H156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Q156</f>
        <v/>
      </c>
      <c r="U83" s="848" t="n">
        <v>215000</v>
      </c>
      <c r="V83" s="842">
        <f>T156</f>
        <v/>
      </c>
      <c r="W83" s="848" t="n">
        <v>215000</v>
      </c>
      <c r="X83" s="842">
        <f>V156</f>
        <v/>
      </c>
      <c r="Y83" s="845">
        <f>V156/H156</f>
        <v/>
      </c>
      <c r="Z83" s="846">
        <f>SUM(V156-T156)/T156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H157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Q157</f>
        <v/>
      </c>
      <c r="U84" s="848" t="n">
        <v>109620</v>
      </c>
      <c r="V84" s="842">
        <f>T157</f>
        <v/>
      </c>
      <c r="W84" s="848" t="n">
        <v>123600</v>
      </c>
      <c r="X84" s="842">
        <f>V157</f>
        <v/>
      </c>
      <c r="Y84" s="845">
        <f>V157/H157</f>
        <v/>
      </c>
      <c r="Z84" s="846">
        <f>SUM(V157-T157)/T157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H158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Q158</f>
        <v/>
      </c>
      <c r="U85" s="848" t="n">
        <v>79800</v>
      </c>
      <c r="V85" s="842">
        <f>T158</f>
        <v/>
      </c>
      <c r="W85" s="848" t="n">
        <v>93600</v>
      </c>
      <c r="X85" s="842">
        <f>V158</f>
        <v/>
      </c>
      <c r="Y85" s="845">
        <f>V158/H158</f>
        <v/>
      </c>
      <c r="Z85" s="846">
        <f>SUM(V158-T158)/T158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H159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Q159</f>
        <v/>
      </c>
      <c r="U86" s="848" t="n">
        <v>79750</v>
      </c>
      <c r="V86" s="842">
        <f>T159</f>
        <v/>
      </c>
      <c r="W86" s="848" t="n">
        <v>93100</v>
      </c>
      <c r="X86" s="842">
        <f>V159</f>
        <v/>
      </c>
      <c r="Y86" s="845">
        <f>V159/H159</f>
        <v/>
      </c>
      <c r="Z86" s="846">
        <f>SUM(V159-T159)/T159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H160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Q160</f>
        <v/>
      </c>
      <c r="U87" s="848" t="n">
        <v>79800</v>
      </c>
      <c r="V87" s="842">
        <f>T160</f>
        <v/>
      </c>
      <c r="W87" s="848" t="n">
        <v>96200</v>
      </c>
      <c r="X87" s="842">
        <f>V160</f>
        <v/>
      </c>
      <c r="Y87" s="845">
        <f>V160/H160</f>
        <v/>
      </c>
      <c r="Z87" s="846">
        <f>SUM(V160-T160)/T160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H161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Q161</f>
        <v/>
      </c>
      <c r="U88" s="848" t="n">
        <v>39030</v>
      </c>
      <c r="V88" s="842">
        <f>T161</f>
        <v/>
      </c>
      <c r="W88" s="848" t="n">
        <v>49000</v>
      </c>
      <c r="X88" s="842">
        <f>V161</f>
        <v/>
      </c>
      <c r="Y88" s="845">
        <f>V161/H161</f>
        <v/>
      </c>
      <c r="Z88" s="846">
        <f>SUM(V161-T161)/T161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H167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Q167</f>
        <v/>
      </c>
      <c r="U89" s="842" t="n">
        <v>76500</v>
      </c>
      <c r="V89" s="842">
        <f>T167</f>
        <v/>
      </c>
      <c r="W89" s="842" t="n">
        <v>76800</v>
      </c>
      <c r="X89" s="842">
        <f>V167</f>
        <v/>
      </c>
      <c r="Y89" s="845">
        <f>V167/H167</f>
        <v/>
      </c>
      <c r="Z89" s="846">
        <f>SUM(V167-T167)/T167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H168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Q168</f>
        <v/>
      </c>
      <c r="U90" s="842" t="n">
        <v>81000</v>
      </c>
      <c r="V90" s="842">
        <f>T168</f>
        <v/>
      </c>
      <c r="W90" s="842" t="n">
        <v>97300</v>
      </c>
      <c r="X90" s="842">
        <f>V168</f>
        <v/>
      </c>
      <c r="Y90" s="845">
        <f>V168/H168</f>
        <v/>
      </c>
      <c r="Z90" s="846">
        <f>SUM(V168-T168)/T168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H169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Q169</f>
        <v/>
      </c>
      <c r="U91" s="842" t="n">
        <v>189300</v>
      </c>
      <c r="V91" s="842">
        <f>T169</f>
        <v/>
      </c>
      <c r="W91" s="842" t="n">
        <v>189300</v>
      </c>
      <c r="X91" s="842">
        <f>V169</f>
        <v/>
      </c>
      <c r="Y91" s="845">
        <f>V169/H169</f>
        <v/>
      </c>
      <c r="Z91" s="846">
        <f>SUM(V169-T169)/T169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H175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Q175</f>
        <v/>
      </c>
      <c r="U92" s="842" t="n">
        <v>55600</v>
      </c>
      <c r="V92" s="842">
        <f>T175</f>
        <v/>
      </c>
      <c r="W92" s="842" t="n">
        <v>59000</v>
      </c>
      <c r="X92" s="842">
        <f>V175</f>
        <v/>
      </c>
      <c r="Y92" s="845">
        <f>V175/H175</f>
        <v/>
      </c>
      <c r="Z92" s="846">
        <f>SUM(V175-T175)/T175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H176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Q176</f>
        <v/>
      </c>
      <c r="U93" s="842" t="n">
        <v>29700</v>
      </c>
      <c r="V93" s="842">
        <f>T176</f>
        <v/>
      </c>
      <c r="W93" s="842" t="n">
        <v>30400</v>
      </c>
      <c r="X93" s="842">
        <f>V176</f>
        <v/>
      </c>
      <c r="Y93" s="845">
        <f>V176/H176</f>
        <v/>
      </c>
      <c r="Z93" s="846">
        <f>SUM(V176-T176)/T176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H177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Q177</f>
        <v/>
      </c>
      <c r="U94" s="842" t="n">
        <v>15800</v>
      </c>
      <c r="V94" s="842">
        <f>T177</f>
        <v/>
      </c>
      <c r="W94" s="842" t="n">
        <v>16700</v>
      </c>
      <c r="X94" s="842">
        <f>V177</f>
        <v/>
      </c>
      <c r="Y94" s="845">
        <f>V177/H177</f>
        <v/>
      </c>
      <c r="Z94" s="846">
        <f>SUM(V177-T177)/T177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H178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Q178</f>
        <v/>
      </c>
      <c r="U95" s="842" t="n">
        <v>15000</v>
      </c>
      <c r="V95" s="842">
        <f>T178</f>
        <v/>
      </c>
      <c r="W95" s="842" t="n">
        <v>18100</v>
      </c>
      <c r="X95" s="842">
        <f>V178</f>
        <v/>
      </c>
      <c r="Y95" s="845">
        <f>V178/H178</f>
        <v/>
      </c>
      <c r="Z95" s="846">
        <f>SUM(V178-T178)/T178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H179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Q179</f>
        <v/>
      </c>
      <c r="U96" s="842" t="n">
        <v>15500</v>
      </c>
      <c r="V96" s="842">
        <f>T179</f>
        <v/>
      </c>
      <c r="W96" s="842" t="n">
        <v>17300</v>
      </c>
      <c r="X96" s="842">
        <f>V179</f>
        <v/>
      </c>
      <c r="Y96" s="845">
        <f>V179/H179</f>
        <v/>
      </c>
      <c r="Z96" s="846">
        <f>SUM(V179-T179)/T179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H180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Q180</f>
        <v/>
      </c>
      <c r="U97" s="842" t="n">
        <v>15000</v>
      </c>
      <c r="V97" s="842">
        <f>T180</f>
        <v/>
      </c>
      <c r="W97" s="842" t="n">
        <v>15500</v>
      </c>
      <c r="X97" s="842">
        <f>V180</f>
        <v/>
      </c>
      <c r="Y97" s="845">
        <f>V180/H180</f>
        <v/>
      </c>
      <c r="Z97" s="846">
        <f>SUM(V180-T180)/T180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H186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Q186</f>
        <v/>
      </c>
      <c r="U98" s="842" t="n">
        <v>39000</v>
      </c>
      <c r="V98" s="842">
        <f>T186</f>
        <v/>
      </c>
      <c r="W98" s="842" t="n">
        <v>39000</v>
      </c>
      <c r="X98" s="842">
        <f>V186</f>
        <v/>
      </c>
      <c r="Y98" s="845">
        <f>V186/H186</f>
        <v/>
      </c>
      <c r="Z98" s="846">
        <f>SUM(V186-T186)/T186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H187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Q187</f>
        <v/>
      </c>
      <c r="U99" s="842" t="n">
        <v>17100</v>
      </c>
      <c r="V99" s="842">
        <f>T187</f>
        <v/>
      </c>
      <c r="W99" s="842" t="n">
        <v>17100</v>
      </c>
      <c r="X99" s="842">
        <f>V187</f>
        <v/>
      </c>
      <c r="Y99" s="845">
        <f>V187/H187</f>
        <v/>
      </c>
      <c r="Z99" s="846">
        <f>SUM(V187-T187)/T187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H188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Q188</f>
        <v/>
      </c>
      <c r="U100" s="842" t="n">
        <v>17100</v>
      </c>
      <c r="V100" s="842">
        <f>T188</f>
        <v/>
      </c>
      <c r="W100" s="842" t="n">
        <v>17100</v>
      </c>
      <c r="X100" s="842">
        <f>V188</f>
        <v/>
      </c>
      <c r="Y100" s="845">
        <f>V188/H188</f>
        <v/>
      </c>
      <c r="Z100" s="846">
        <f>SUM(V188-T188)/T188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H189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Q189</f>
        <v/>
      </c>
      <c r="U101" s="842" t="n">
        <v>16300</v>
      </c>
      <c r="V101" s="842">
        <f>T189</f>
        <v/>
      </c>
      <c r="W101" s="842" t="n">
        <v>16300</v>
      </c>
      <c r="X101" s="842">
        <f>V189</f>
        <v/>
      </c>
      <c r="Y101" s="845">
        <f>V189/H189</f>
        <v/>
      </c>
      <c r="Z101" s="846">
        <f>SUM(V189-T189)/T189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H195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Q195</f>
        <v/>
      </c>
      <c r="U102" s="842" t="n">
        <v>34320</v>
      </c>
      <c r="V102" s="842">
        <f>T195</f>
        <v/>
      </c>
      <c r="W102" s="842" t="n">
        <v>34481</v>
      </c>
      <c r="X102" s="842">
        <f>V195</f>
        <v/>
      </c>
      <c r="Y102" s="845">
        <f>V195/H195</f>
        <v/>
      </c>
      <c r="Z102" s="846">
        <f>SUM(V195-T195)/T195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H196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Q196</f>
        <v/>
      </c>
      <c r="U103" s="842" t="n">
        <v>12000</v>
      </c>
      <c r="V103" s="842">
        <f>T196</f>
        <v/>
      </c>
      <c r="W103" s="842" t="n">
        <v>12000</v>
      </c>
      <c r="X103" s="842">
        <f>V196</f>
        <v/>
      </c>
      <c r="Y103" s="845">
        <f>V196/H196</f>
        <v/>
      </c>
      <c r="Z103" s="846">
        <f>SUM(V196-T196)/T196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H197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Q197</f>
        <v/>
      </c>
      <c r="U104" s="842" t="n">
        <v>18500</v>
      </c>
      <c r="V104" s="842">
        <f>T197</f>
        <v/>
      </c>
      <c r="W104" s="842" t="n">
        <v>18500</v>
      </c>
      <c r="X104" s="842">
        <f>V197</f>
        <v/>
      </c>
      <c r="Y104" s="845">
        <f>V197/H197</f>
        <v/>
      </c>
      <c r="Z104" s="846">
        <f>SUM(V197-T197)/T197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H198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Q198</f>
        <v/>
      </c>
      <c r="U105" s="842" t="n">
        <v>17000</v>
      </c>
      <c r="V105" s="842">
        <f>T198</f>
        <v/>
      </c>
      <c r="W105" s="842" t="n">
        <v>17062</v>
      </c>
      <c r="X105" s="842">
        <f>V198</f>
        <v/>
      </c>
      <c r="Y105" s="845">
        <f>V198/H198</f>
        <v/>
      </c>
      <c r="Z105" s="846">
        <f>SUM(V198-T198)/T198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H199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Q199</f>
        <v/>
      </c>
      <c r="U106" s="842" t="n">
        <v>17000</v>
      </c>
      <c r="V106" s="842">
        <f>T199</f>
        <v/>
      </c>
      <c r="W106" s="842" t="n">
        <v>16852</v>
      </c>
      <c r="X106" s="842">
        <f>V199</f>
        <v/>
      </c>
      <c r="Y106" s="845">
        <f>V199/H199</f>
        <v/>
      </c>
      <c r="Z106" s="846">
        <f>SUM(V199-T199)/T199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H205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Q205</f>
        <v/>
      </c>
      <c r="U107" s="842" t="n">
        <v>25000</v>
      </c>
      <c r="V107" s="842">
        <f>T205</f>
        <v/>
      </c>
      <c r="W107" s="842" t="n">
        <v>25000</v>
      </c>
      <c r="X107" s="842">
        <f>V205</f>
        <v/>
      </c>
      <c r="Y107" s="845">
        <f>V205/H205</f>
        <v/>
      </c>
      <c r="Z107" s="846">
        <f>SUM(V205-T205)/T205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H206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Q206</f>
        <v/>
      </c>
      <c r="U108" s="842" t="n">
        <v>20000</v>
      </c>
      <c r="V108" s="842">
        <f>T206</f>
        <v/>
      </c>
      <c r="W108" s="842" t="n">
        <v>20000</v>
      </c>
      <c r="X108" s="842">
        <f>V206</f>
        <v/>
      </c>
      <c r="Y108" s="845">
        <f>V206/H206</f>
        <v/>
      </c>
      <c r="Z108" s="846">
        <f>SUM(V206-T206)/T206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H207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Q207</f>
        <v/>
      </c>
      <c r="U109" s="842" t="n">
        <v>90000</v>
      </c>
      <c r="V109" s="842">
        <f>T207</f>
        <v/>
      </c>
      <c r="W109" s="842" t="n">
        <v>85000</v>
      </c>
      <c r="X109" s="842">
        <f>V207</f>
        <v/>
      </c>
      <c r="Y109" s="845">
        <f>V207/H207</f>
        <v/>
      </c>
      <c r="Z109" s="846">
        <f>SUM(V207-T207)/T207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H213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Q213</f>
        <v/>
      </c>
      <c r="T110" s="591">
        <f>R213</f>
        <v/>
      </c>
      <c r="U110" s="591" t="n">
        <v>90000</v>
      </c>
      <c r="V110" s="842">
        <f>T213</f>
        <v/>
      </c>
      <c r="W110" s="591" t="n">
        <v>90000</v>
      </c>
      <c r="X110" s="842">
        <f>V213</f>
        <v/>
      </c>
      <c r="Y110" s="845">
        <f>V213/H213</f>
        <v/>
      </c>
      <c r="Z110" s="846">
        <f>SUM(V213-T213)/T213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H218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Q218</f>
        <v/>
      </c>
      <c r="U111" s="842" t="n">
        <v>100000</v>
      </c>
      <c r="V111" s="842">
        <f>T218</f>
        <v/>
      </c>
      <c r="W111" s="842" t="n">
        <v>100000</v>
      </c>
      <c r="X111" s="842">
        <f>V218</f>
        <v/>
      </c>
      <c r="Y111" s="845">
        <f>V218/H218</f>
        <v/>
      </c>
      <c r="Z111" s="846">
        <f>SUM(V218-T218)/T218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H219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Q219</f>
        <v/>
      </c>
      <c r="U112" s="842" t="n">
        <v>58968</v>
      </c>
      <c r="V112" s="842">
        <f>T219</f>
        <v/>
      </c>
      <c r="W112" s="842" t="n">
        <v>58968</v>
      </c>
      <c r="X112" s="842">
        <f>V219</f>
        <v/>
      </c>
      <c r="Y112" s="845">
        <f>V219/H219</f>
        <v/>
      </c>
      <c r="Z112" s="846">
        <f>SUM(V219-T219)/T219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H225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Q225</f>
        <v/>
      </c>
      <c r="U113" s="842" t="n">
        <v>71800</v>
      </c>
      <c r="V113" s="842">
        <f>T225</f>
        <v/>
      </c>
      <c r="W113" s="842" t="n">
        <v>100000</v>
      </c>
      <c r="X113" s="842">
        <f>V225</f>
        <v/>
      </c>
      <c r="Y113" s="845">
        <f>V225/H225</f>
        <v/>
      </c>
      <c r="Z113" s="846">
        <f>SUM(V225-T225)/T225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H226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Q226</f>
        <v/>
      </c>
      <c r="U114" s="842" t="n">
        <v>78600</v>
      </c>
      <c r="V114" s="842">
        <f>T226</f>
        <v/>
      </c>
      <c r="W114" s="842" t="n">
        <v>96000</v>
      </c>
      <c r="X114" s="842">
        <f>V226</f>
        <v/>
      </c>
      <c r="Y114" s="845">
        <f>V226/H226</f>
        <v/>
      </c>
      <c r="Z114" s="846">
        <f>SUM(V226-T226)/T226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H227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Q227</f>
        <v/>
      </c>
      <c r="U115" s="842" t="n">
        <v>121900</v>
      </c>
      <c r="V115" s="842">
        <f>T227</f>
        <v/>
      </c>
      <c r="W115" s="842" t="n">
        <v>133400</v>
      </c>
      <c r="X115" s="842">
        <f>V227</f>
        <v/>
      </c>
      <c r="Y115" s="845">
        <f>V227/H227</f>
        <v/>
      </c>
      <c r="Z115" s="846">
        <f>SUM(V227-T227)/T227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H228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Q228</f>
        <v/>
      </c>
      <c r="U116" s="842" t="n">
        <v>121800</v>
      </c>
      <c r="V116" s="842">
        <f>T228</f>
        <v/>
      </c>
      <c r="W116" s="842" t="n">
        <v>130800</v>
      </c>
      <c r="X116" s="842">
        <f>V228</f>
        <v/>
      </c>
      <c r="Y116" s="845">
        <f>V228/H228</f>
        <v/>
      </c>
      <c r="Z116" s="846">
        <f>SUM(V228-T228)/T228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H229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Q229</f>
        <v/>
      </c>
      <c r="U117" s="842" t="n">
        <v>121800</v>
      </c>
      <c r="V117" s="842">
        <f>T229</f>
        <v/>
      </c>
      <c r="W117" s="842" t="n">
        <v>137035</v>
      </c>
      <c r="X117" s="842">
        <f>V229</f>
        <v/>
      </c>
      <c r="Y117" s="845">
        <f>V229/H229</f>
        <v/>
      </c>
      <c r="Z117" s="846">
        <f>SUM(V229-T229)/T229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H230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Q230</f>
        <v/>
      </c>
      <c r="U118" s="842" t="n">
        <v>117300</v>
      </c>
      <c r="V118" s="842">
        <f>T230</f>
        <v/>
      </c>
      <c r="W118" s="842" t="n">
        <v>130325</v>
      </c>
      <c r="X118" s="842">
        <f>V230</f>
        <v/>
      </c>
      <c r="Y118" s="845">
        <f>V230/H230</f>
        <v/>
      </c>
      <c r="Z118" s="846">
        <f>SUM(V230-T230)/T230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H231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Q231</f>
        <v/>
      </c>
      <c r="U119" s="842" t="n">
        <v>100400</v>
      </c>
      <c r="V119" s="842">
        <f>T231</f>
        <v/>
      </c>
      <c r="W119" s="842" t="n">
        <v>99100</v>
      </c>
      <c r="X119" s="842">
        <f>V231</f>
        <v/>
      </c>
      <c r="Y119" s="845">
        <f>V231/H231</f>
        <v/>
      </c>
      <c r="Z119" s="846">
        <f>SUM(V231-T231)/T231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H237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Q237</f>
        <v/>
      </c>
      <c r="U120" s="842" t="n">
        <v>50400</v>
      </c>
      <c r="V120" s="842">
        <f>T237</f>
        <v/>
      </c>
      <c r="W120" s="842" t="n">
        <v>63500</v>
      </c>
      <c r="X120" s="842">
        <f>V237</f>
        <v/>
      </c>
      <c r="Y120" s="845">
        <f>V237/H237</f>
        <v/>
      </c>
      <c r="Z120" s="846">
        <f>SUM(V237-T237)/T237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H238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Q238</f>
        <v/>
      </c>
      <c r="U121" s="842" t="n">
        <v>13100</v>
      </c>
      <c r="V121" s="842">
        <f>T238</f>
        <v/>
      </c>
      <c r="W121" s="842" t="n">
        <v>14600</v>
      </c>
      <c r="X121" s="842">
        <f>V238</f>
        <v/>
      </c>
      <c r="Y121" s="845">
        <f>V238/H238</f>
        <v/>
      </c>
      <c r="Z121" s="846">
        <f>SUM(V238-T238)/T238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H239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Q239</f>
        <v/>
      </c>
      <c r="U122" s="842" t="n">
        <v>48000</v>
      </c>
      <c r="V122" s="842">
        <f>T239</f>
        <v/>
      </c>
      <c r="W122" s="842" t="n">
        <v>48000</v>
      </c>
      <c r="X122" s="842">
        <f>V239</f>
        <v/>
      </c>
      <c r="Y122" s="845">
        <f>V239/H239</f>
        <v/>
      </c>
      <c r="Z122" s="846">
        <f>SUM(V239-T239)/T239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H240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Q240</f>
        <v/>
      </c>
      <c r="U123" s="842" t="n">
        <v>28000</v>
      </c>
      <c r="V123" s="842">
        <f>T240</f>
        <v/>
      </c>
      <c r="W123" s="842" t="n">
        <v>27600</v>
      </c>
      <c r="X123" s="842">
        <f>V240</f>
        <v/>
      </c>
      <c r="Y123" s="845">
        <f>V240/H240</f>
        <v/>
      </c>
      <c r="Z123" s="846">
        <f>SUM(V240-T240)/T240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H241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Q241</f>
        <v/>
      </c>
      <c r="U124" s="842" t="n">
        <v>73700</v>
      </c>
      <c r="V124" s="842">
        <f>T241</f>
        <v/>
      </c>
      <c r="W124" s="842" t="n">
        <v>75710</v>
      </c>
      <c r="X124" s="842">
        <f>V241</f>
        <v/>
      </c>
      <c r="Y124" s="845">
        <f>V241/H241</f>
        <v/>
      </c>
      <c r="Z124" s="846">
        <f>SUM(V241-T241)/T241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H242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Q242</f>
        <v/>
      </c>
      <c r="U125" s="842" t="n">
        <v>28900</v>
      </c>
      <c r="V125" s="842">
        <f>T242</f>
        <v/>
      </c>
      <c r="W125" s="842" t="n">
        <v>29300</v>
      </c>
      <c r="X125" s="842">
        <f>V242</f>
        <v/>
      </c>
      <c r="Y125" s="845">
        <f>V242/H242</f>
        <v/>
      </c>
      <c r="Z125" s="846">
        <f>SUM(V242-T242)/T242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H243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Q243</f>
        <v/>
      </c>
      <c r="U126" s="842" t="n">
        <v>79100</v>
      </c>
      <c r="V126" s="842">
        <f>T243</f>
        <v/>
      </c>
      <c r="W126" s="842" t="n">
        <v>80700</v>
      </c>
      <c r="X126" s="842">
        <f>V243</f>
        <v/>
      </c>
      <c r="Y126" s="845">
        <f>V243/H243</f>
        <v/>
      </c>
      <c r="Z126" s="846">
        <f>SUM(V243-T243)/T243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H244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Q244</f>
        <v/>
      </c>
      <c r="T127" s="842" t="n"/>
      <c r="U127" s="842" t="n">
        <v>79600</v>
      </c>
      <c r="V127" s="842">
        <f>T244</f>
        <v/>
      </c>
      <c r="W127" s="842" t="n">
        <v>80700</v>
      </c>
      <c r="X127" s="842">
        <f>V244</f>
        <v/>
      </c>
      <c r="Y127" s="845">
        <f>V244/H244</f>
        <v/>
      </c>
      <c r="Z127" s="846">
        <f>SUM(V244-T244)/T244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H245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Q245</f>
        <v/>
      </c>
      <c r="T128" s="842" t="n"/>
      <c r="U128" s="842" t="n">
        <v>78200</v>
      </c>
      <c r="V128" s="842">
        <f>T245</f>
        <v/>
      </c>
      <c r="W128" s="842" t="n">
        <v>76500</v>
      </c>
      <c r="X128" s="842">
        <f>V245</f>
        <v/>
      </c>
      <c r="Y128" s="845">
        <f>V245/H245</f>
        <v/>
      </c>
      <c r="Z128" s="846">
        <f>SUM(V245-T245)/T245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H251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Q251</f>
        <v/>
      </c>
      <c r="U129" s="842" t="n">
        <v>75800</v>
      </c>
      <c r="V129" s="842">
        <f>T251</f>
        <v/>
      </c>
      <c r="W129" s="842" t="n">
        <v>75000</v>
      </c>
      <c r="X129" s="842">
        <f>V251</f>
        <v/>
      </c>
      <c r="Y129" s="845">
        <f>V251/H251</f>
        <v/>
      </c>
      <c r="Z129" s="846">
        <f>SUM(V251-T251)/T251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H252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Q252</f>
        <v/>
      </c>
      <c r="U130" s="842" t="n">
        <v>113900</v>
      </c>
      <c r="V130" s="842">
        <f>T252</f>
        <v/>
      </c>
      <c r="W130" s="842" t="n">
        <v>116800</v>
      </c>
      <c r="X130" s="842">
        <f>V252</f>
        <v/>
      </c>
      <c r="Y130" s="845">
        <f>V252/H252</f>
        <v/>
      </c>
      <c r="Z130" s="846">
        <f>SUM(V252-T252)/T252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H253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Q253</f>
        <v/>
      </c>
      <c r="U131" s="842" t="n">
        <v>153600</v>
      </c>
      <c r="V131" s="842">
        <f>T253</f>
        <v/>
      </c>
      <c r="W131" s="842" t="n">
        <v>151900</v>
      </c>
      <c r="X131" s="842">
        <f>V253</f>
        <v/>
      </c>
      <c r="Y131" s="845">
        <f>V253/H253</f>
        <v/>
      </c>
      <c r="Z131" s="846">
        <f>SUM(V253-T253)/T253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H254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Q254</f>
        <v/>
      </c>
      <c r="U132" s="842" t="n">
        <v>310800</v>
      </c>
      <c r="V132" s="842">
        <f>T254</f>
        <v/>
      </c>
      <c r="W132" s="842" t="n">
        <v>316400</v>
      </c>
      <c r="X132" s="842">
        <f>V254</f>
        <v/>
      </c>
      <c r="Y132" s="845">
        <f>V254/H254</f>
        <v/>
      </c>
      <c r="Z132" s="846">
        <f>SUM(V254-T254)/T254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H255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Q255</f>
        <v/>
      </c>
      <c r="U133" s="842" t="n">
        <v>152900</v>
      </c>
      <c r="V133" s="842">
        <f>T255</f>
        <v/>
      </c>
      <c r="W133" s="842" t="n">
        <v>157500</v>
      </c>
      <c r="X133" s="842">
        <f>V255</f>
        <v/>
      </c>
      <c r="Y133" s="845">
        <f>V255/H255</f>
        <v/>
      </c>
      <c r="Z133" s="846">
        <f>SUM(V255-T255)/T255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H256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Q256</f>
        <v/>
      </c>
      <c r="U134" s="842" t="n">
        <v>141800</v>
      </c>
      <c r="V134" s="842">
        <f>T256</f>
        <v/>
      </c>
      <c r="W134" s="842" t="n">
        <v>142500</v>
      </c>
      <c r="X134" s="842">
        <f>V256</f>
        <v/>
      </c>
      <c r="Y134" s="845">
        <f>V256/H256</f>
        <v/>
      </c>
      <c r="Z134" s="846">
        <f>SUM(V256-T256)/T256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H262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Q262</f>
        <v/>
      </c>
      <c r="U135" s="842" t="n">
        <v>80000</v>
      </c>
      <c r="V135" s="842">
        <f>T262</f>
        <v/>
      </c>
      <c r="W135" s="842" t="n">
        <v>70000</v>
      </c>
      <c r="X135" s="842">
        <f>V262</f>
        <v/>
      </c>
      <c r="Y135" s="845">
        <f>V262/H262</f>
        <v/>
      </c>
      <c r="Z135" s="846">
        <f>SUM(V262-T262)/T262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H263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Q263</f>
        <v/>
      </c>
      <c r="U136" s="842" t="n">
        <v>115000</v>
      </c>
      <c r="V136" s="842">
        <f>T263</f>
        <v/>
      </c>
      <c r="W136" s="842" t="n">
        <v>115000</v>
      </c>
      <c r="X136" s="842">
        <f>V263</f>
        <v/>
      </c>
      <c r="Y136" s="845">
        <f>V263/H263</f>
        <v/>
      </c>
      <c r="Z136" s="846">
        <f>SUM(V263-T263)/T263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H264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Q264</f>
        <v/>
      </c>
      <c r="U137" s="842" t="n">
        <v>91000</v>
      </c>
      <c r="V137" s="842">
        <f>T264</f>
        <v/>
      </c>
      <c r="W137" s="842" t="n">
        <v>115000</v>
      </c>
      <c r="X137" s="842">
        <f>V264</f>
        <v/>
      </c>
      <c r="Y137" s="845">
        <f>V264/H264</f>
        <v/>
      </c>
      <c r="Z137" s="846">
        <f>SUM(V264-T264)/T264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H265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Q265</f>
        <v/>
      </c>
      <c r="U138" s="842" t="n">
        <v>230000</v>
      </c>
      <c r="V138" s="842">
        <f>T265</f>
        <v/>
      </c>
      <c r="W138" s="842" t="n">
        <v>230000</v>
      </c>
      <c r="X138" s="842">
        <f>V265</f>
        <v/>
      </c>
      <c r="Y138" s="845">
        <f>V265/H265</f>
        <v/>
      </c>
      <c r="Z138" s="846">
        <f>SUM(V265-T265)/T265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H266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Q266</f>
        <v/>
      </c>
      <c r="U139" s="842" t="n">
        <v>87800</v>
      </c>
      <c r="V139" s="842">
        <f>T266</f>
        <v/>
      </c>
      <c r="W139" s="842" t="n">
        <v>90200</v>
      </c>
      <c r="X139" s="842">
        <f>V266</f>
        <v/>
      </c>
      <c r="Y139" s="845">
        <f>V266/H266</f>
        <v/>
      </c>
      <c r="Z139" s="846">
        <f>SUM(V266-T266)/T266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H267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Q267</f>
        <v/>
      </c>
      <c r="U140" s="842" t="n">
        <v>151300</v>
      </c>
      <c r="V140" s="842">
        <f>T267</f>
        <v/>
      </c>
      <c r="W140" s="842" t="n">
        <v>178200</v>
      </c>
      <c r="X140" s="842">
        <f>V267</f>
        <v/>
      </c>
      <c r="Y140" s="845">
        <f>V267/H267</f>
        <v/>
      </c>
      <c r="Z140" s="846">
        <f>SUM(V267-T267)/T267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H268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Q268</f>
        <v/>
      </c>
      <c r="U141" s="842" t="n">
        <v>54900</v>
      </c>
      <c r="V141" s="842">
        <f>T268</f>
        <v/>
      </c>
      <c r="W141" s="842" t="n">
        <v>30200</v>
      </c>
      <c r="X141" s="842">
        <f>V268</f>
        <v/>
      </c>
      <c r="Y141" s="845">
        <f>V268/H268</f>
        <v/>
      </c>
      <c r="Z141" s="846">
        <f>SUM(V268-T268)/T268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H269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Q269</f>
        <v/>
      </c>
      <c r="U142" s="842" t="n">
        <v>193200</v>
      </c>
      <c r="V142" s="842">
        <f>T269</f>
        <v/>
      </c>
      <c r="W142" s="842" t="n">
        <v>209500</v>
      </c>
      <c r="X142" s="842">
        <f>V269</f>
        <v/>
      </c>
      <c r="Y142" s="845">
        <f>V269/H269</f>
        <v/>
      </c>
      <c r="Z142" s="846">
        <f>SUM(V269-T269)/T269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H270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Q270</f>
        <v/>
      </c>
      <c r="U143" s="842" t="n">
        <v>52800</v>
      </c>
      <c r="V143" s="842">
        <f>T270</f>
        <v/>
      </c>
      <c r="W143" s="842" t="n">
        <v>56225</v>
      </c>
      <c r="X143" s="842">
        <f>V270</f>
        <v/>
      </c>
      <c r="Y143" s="845">
        <f>V270/H270</f>
        <v/>
      </c>
      <c r="Z143" s="846">
        <f>SUM(V270-T270)/T270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H271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Q271</f>
        <v/>
      </c>
      <c r="U144" s="842" t="n">
        <v>264100</v>
      </c>
      <c r="V144" s="842">
        <f>T271</f>
        <v/>
      </c>
      <c r="W144" s="842" t="n">
        <v>271000</v>
      </c>
      <c r="X144" s="842">
        <f>V271</f>
        <v/>
      </c>
      <c r="Y144" s="845">
        <f>V271/H271</f>
        <v/>
      </c>
      <c r="Z144" s="846">
        <f>SUM(V271-T271)/T271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H272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Q272</f>
        <v/>
      </c>
      <c r="U145" s="842" t="n">
        <v>255600</v>
      </c>
      <c r="V145" s="842">
        <f>T272</f>
        <v/>
      </c>
      <c r="W145" s="842" t="n">
        <v>304500</v>
      </c>
      <c r="X145" s="842">
        <f>V272</f>
        <v/>
      </c>
      <c r="Y145" s="845">
        <f>V272/H272</f>
        <v/>
      </c>
      <c r="Z145" s="846">
        <f>SUM(V272-T272)/T272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H273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Q273</f>
        <v/>
      </c>
      <c r="U146" s="842" t="n">
        <v>196883</v>
      </c>
      <c r="V146" s="842">
        <f>T273</f>
        <v/>
      </c>
      <c r="W146" s="842" t="n">
        <v>230500</v>
      </c>
      <c r="X146" s="842">
        <f>V273</f>
        <v/>
      </c>
      <c r="Y146" s="845">
        <f>V273/H273</f>
        <v/>
      </c>
      <c r="Z146" s="846">
        <f>SUM(V273-T273)/T273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H274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Q274</f>
        <v/>
      </c>
      <c r="U147" s="842" t="n">
        <v>135167</v>
      </c>
      <c r="V147" s="842">
        <f>T274</f>
        <v/>
      </c>
      <c r="W147" s="842" t="n">
        <v>152200</v>
      </c>
      <c r="X147" s="842">
        <f>V274</f>
        <v/>
      </c>
      <c r="Y147" s="845">
        <f>V274/H274</f>
        <v/>
      </c>
      <c r="Z147" s="846">
        <f>SUM(V274-T274)/T274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H275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Q275</f>
        <v/>
      </c>
      <c r="U148" s="842" t="n">
        <v>26496</v>
      </c>
      <c r="V148" s="842">
        <f>T275</f>
        <v/>
      </c>
      <c r="W148" s="842" t="n">
        <v>26496</v>
      </c>
      <c r="X148" s="842">
        <f>V275</f>
        <v/>
      </c>
      <c r="Y148" s="845">
        <f>V275/H275</f>
        <v/>
      </c>
      <c r="Z148" s="846">
        <f>SUM(V275-T275)/T275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H281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Q281</f>
        <v/>
      </c>
      <c r="T149" s="591">
        <f>R281</f>
        <v/>
      </c>
      <c r="U149" s="591" t="n">
        <v>94400</v>
      </c>
      <c r="V149" s="842">
        <f>T281</f>
        <v/>
      </c>
      <c r="W149" s="591" t="n">
        <v>94400</v>
      </c>
      <c r="X149" s="842">
        <f>V281</f>
        <v/>
      </c>
      <c r="Y149" s="845">
        <f>V281/H281</f>
        <v/>
      </c>
      <c r="Z149" s="846">
        <f>SUM(V281-T281)/T281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H285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Q285</f>
        <v/>
      </c>
      <c r="U150" s="842" t="n">
        <v>41000</v>
      </c>
      <c r="V150" s="842">
        <f>T285</f>
        <v/>
      </c>
      <c r="W150" s="842" t="n">
        <v>41000</v>
      </c>
      <c r="X150" s="842">
        <f>V285</f>
        <v/>
      </c>
      <c r="Y150" s="845">
        <f>V285/H285</f>
        <v/>
      </c>
      <c r="Z150" s="846">
        <f>SUM(V285-T285)/T285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H286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Q286</f>
        <v/>
      </c>
      <c r="U151" s="842" t="n">
        <v>58800</v>
      </c>
      <c r="V151" s="842">
        <f>T286</f>
        <v/>
      </c>
      <c r="W151" s="842" t="n">
        <v>58800</v>
      </c>
      <c r="X151" s="842">
        <f>V286</f>
        <v/>
      </c>
      <c r="Y151" s="845">
        <f>V286/H286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H292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Q292</f>
        <v/>
      </c>
      <c r="T152" s="591">
        <f>R292</f>
        <v/>
      </c>
      <c r="U152" s="591" t="n">
        <v>0</v>
      </c>
      <c r="V152" s="842">
        <f>T292</f>
        <v/>
      </c>
      <c r="W152" s="591" t="n">
        <v>0</v>
      </c>
      <c r="X152" s="842">
        <f>V292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H297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Q297</f>
        <v/>
      </c>
      <c r="T153" s="591">
        <f>R297</f>
        <v/>
      </c>
      <c r="U153" s="591" t="n">
        <v>0</v>
      </c>
      <c r="V153" s="842">
        <f>T297</f>
        <v/>
      </c>
      <c r="W153" s="591" t="n">
        <v>0</v>
      </c>
      <c r="X153" s="842">
        <f>V297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H301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Q301</f>
        <v/>
      </c>
      <c r="T154" s="591">
        <f>R301</f>
        <v/>
      </c>
      <c r="U154" s="591" t="n">
        <v>27000</v>
      </c>
      <c r="V154" s="842">
        <f>T301</f>
        <v/>
      </c>
      <c r="W154" s="591" t="n">
        <v>27000</v>
      </c>
      <c r="X154" s="842">
        <f>V301</f>
        <v/>
      </c>
      <c r="Y154" s="842" t="n"/>
      <c r="Z154" s="846">
        <f>SUM(V301-T301)/T301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H306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Q306</f>
        <v/>
      </c>
      <c r="U155" s="842" t="n">
        <v>45700</v>
      </c>
      <c r="V155" s="842">
        <f>T306</f>
        <v/>
      </c>
      <c r="W155" s="842" t="n">
        <v>47800</v>
      </c>
      <c r="X155" s="842">
        <f>V306</f>
        <v/>
      </c>
      <c r="Y155" s="845">
        <f>V306/H306</f>
        <v/>
      </c>
      <c r="Z155" s="846">
        <f>SUM(V306-T306)/T306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H307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Q307</f>
        <v/>
      </c>
      <c r="U156" s="842" t="n">
        <v>0</v>
      </c>
      <c r="V156" s="842">
        <f>T307</f>
        <v/>
      </c>
      <c r="W156" s="842" t="n">
        <v>0</v>
      </c>
      <c r="X156" s="842">
        <f>V307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H308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Q308</f>
        <v/>
      </c>
      <c r="U157" s="842" t="n">
        <v>35400</v>
      </c>
      <c r="V157" s="842">
        <f>T308</f>
        <v/>
      </c>
      <c r="W157" s="842" t="n">
        <v>35000</v>
      </c>
      <c r="X157" s="842">
        <f>V308</f>
        <v/>
      </c>
      <c r="Y157" s="845">
        <f>V308/H308</f>
        <v/>
      </c>
      <c r="Z157" s="846">
        <f>SUM(V308-T308)/T308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H309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Q309</f>
        <v/>
      </c>
      <c r="U158" s="842" t="n">
        <v>32000</v>
      </c>
      <c r="V158" s="842">
        <f>T309</f>
        <v/>
      </c>
      <c r="W158" s="842" t="n">
        <v>21000</v>
      </c>
      <c r="X158" s="842">
        <f>V309</f>
        <v/>
      </c>
      <c r="Y158" s="845">
        <f>V309/H309</f>
        <v/>
      </c>
      <c r="Z158" s="846">
        <f>SUM(V309-T309)/T309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H310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Q310</f>
        <v/>
      </c>
      <c r="U159" s="842" t="n">
        <v>148600</v>
      </c>
      <c r="V159" s="842">
        <f>T310</f>
        <v/>
      </c>
      <c r="W159" s="842" t="n">
        <v>148590</v>
      </c>
      <c r="X159" s="842">
        <f>V310</f>
        <v/>
      </c>
      <c r="Y159" s="845">
        <f>V310/H310</f>
        <v/>
      </c>
      <c r="Z159" s="846">
        <f>SUM(V310-T310)/T310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H311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Q311</f>
        <v/>
      </c>
      <c r="U160" s="842" t="n">
        <v>218300</v>
      </c>
      <c r="V160" s="842">
        <f>T311</f>
        <v/>
      </c>
      <c r="W160" s="842" t="n">
        <v>218325</v>
      </c>
      <c r="X160" s="842">
        <f>V311</f>
        <v/>
      </c>
      <c r="Y160" s="845">
        <f>V311/H311</f>
        <v/>
      </c>
      <c r="Z160" s="846">
        <f>SUM(V311-T311)/T311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H312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Q312</f>
        <v/>
      </c>
      <c r="U161" s="842" t="n">
        <v>92300</v>
      </c>
      <c r="V161" s="842">
        <f>T312</f>
        <v/>
      </c>
      <c r="W161" s="842" t="n">
        <v>92250</v>
      </c>
      <c r="X161" s="842">
        <f>V312</f>
        <v/>
      </c>
      <c r="Y161" s="845">
        <f>V312/H312</f>
        <v/>
      </c>
      <c r="Z161" s="846">
        <f>SUM(V312-T312)/T312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H313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Q313</f>
        <v/>
      </c>
      <c r="U162" s="842" t="n">
        <v>8120</v>
      </c>
      <c r="V162" s="842">
        <f>T313</f>
        <v/>
      </c>
      <c r="W162" s="842" t="n">
        <v>8000</v>
      </c>
      <c r="X162" s="842">
        <f>V313</f>
        <v/>
      </c>
      <c r="Y162" s="845">
        <f>V313/H313</f>
        <v/>
      </c>
      <c r="Z162" s="846">
        <f>SUM(V313-T313)/T313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H314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Q314</f>
        <v/>
      </c>
      <c r="U163" s="842" t="n">
        <v>72100</v>
      </c>
      <c r="V163" s="842">
        <f>T314</f>
        <v/>
      </c>
      <c r="W163" s="842" t="n">
        <v>66100</v>
      </c>
      <c r="X163" s="842">
        <f>V314</f>
        <v/>
      </c>
      <c r="Y163" s="845">
        <f>V314/H314</f>
        <v/>
      </c>
      <c r="Z163" s="846">
        <f>SUM(V314-T314)/T314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H315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Q315</f>
        <v/>
      </c>
      <c r="U164" s="842" t="n">
        <v>129800</v>
      </c>
      <c r="V164" s="842">
        <f>T315</f>
        <v/>
      </c>
      <c r="W164" s="842" t="n">
        <v>140315</v>
      </c>
      <c r="X164" s="842">
        <f>V315</f>
        <v/>
      </c>
      <c r="Y164" s="845">
        <f>V315/H315</f>
        <v/>
      </c>
      <c r="Z164" s="846">
        <f>SUM(V315-T315)/T315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H316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Q316</f>
        <v/>
      </c>
      <c r="U165" s="842" t="n">
        <v>1000</v>
      </c>
      <c r="V165" s="842">
        <f>T316</f>
        <v/>
      </c>
      <c r="W165" s="842" t="n">
        <v>1000</v>
      </c>
      <c r="X165" s="842">
        <f>V316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H322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Q322</f>
        <v/>
      </c>
      <c r="U166" s="842" t="n">
        <v>70000</v>
      </c>
      <c r="V166" s="842">
        <f>T322</f>
        <v/>
      </c>
      <c r="W166" s="842" t="n">
        <v>70000</v>
      </c>
      <c r="X166" s="842">
        <f>V322</f>
        <v/>
      </c>
      <c r="Y166" s="845">
        <f>V322/H322</f>
        <v/>
      </c>
      <c r="Z166" s="846">
        <f>SUM(V322-T322)/T322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H323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Q323</f>
        <v/>
      </c>
      <c r="U167" s="842" t="n">
        <v>117100</v>
      </c>
      <c r="V167" s="842">
        <f>T323</f>
        <v/>
      </c>
      <c r="W167" s="842" t="n">
        <v>117100</v>
      </c>
      <c r="X167" s="842">
        <f>V323</f>
        <v/>
      </c>
      <c r="Y167" s="845">
        <f>V323/H323</f>
        <v/>
      </c>
      <c r="Z167" s="846">
        <f>SUM(V323-T323)/T323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H329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Q329</f>
        <v/>
      </c>
      <c r="U168" s="842" t="n">
        <v>146900</v>
      </c>
      <c r="V168" s="842">
        <f>T329</f>
        <v/>
      </c>
      <c r="W168" s="842" t="n">
        <v>152100</v>
      </c>
      <c r="X168" s="842">
        <f>V329</f>
        <v/>
      </c>
      <c r="Y168" s="845">
        <f>V329/H329</f>
        <v/>
      </c>
      <c r="Z168" s="846">
        <f>SUM(V329-T329)/T329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H330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Q330</f>
        <v/>
      </c>
      <c r="U169" s="842" t="n">
        <v>572700</v>
      </c>
      <c r="V169" s="842">
        <f>T330</f>
        <v/>
      </c>
      <c r="W169" s="842" t="n">
        <v>589700</v>
      </c>
      <c r="X169" s="842">
        <f>V330</f>
        <v/>
      </c>
      <c r="Y169" s="845">
        <f>V330/H330</f>
        <v/>
      </c>
      <c r="Z169" s="846">
        <f>SUM(V330-T330)/T330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H336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Q336</f>
        <v/>
      </c>
      <c r="U170" s="842" t="n">
        <v>41700</v>
      </c>
      <c r="V170" s="842">
        <f>T336</f>
        <v/>
      </c>
      <c r="W170" s="842" t="n">
        <v>45000</v>
      </c>
      <c r="X170" s="842">
        <f>V336</f>
        <v/>
      </c>
      <c r="Y170" s="845">
        <f>V336/H336</f>
        <v/>
      </c>
      <c r="Z170" s="846">
        <f>SUM(V336-T336)/T336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H337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Q337</f>
        <v/>
      </c>
      <c r="U171" s="842" t="n">
        <v>24900</v>
      </c>
      <c r="V171" s="842">
        <f>T337</f>
        <v/>
      </c>
      <c r="W171" s="842" t="n">
        <v>24900</v>
      </c>
      <c r="X171" s="842">
        <f>V337</f>
        <v/>
      </c>
      <c r="Y171" s="845">
        <f>V337/H337</f>
        <v/>
      </c>
      <c r="Z171" s="846">
        <f>SUM(V337-T337)/T337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H338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Q338</f>
        <v/>
      </c>
      <c r="U172" s="842" t="n">
        <v>24000</v>
      </c>
      <c r="V172" s="842">
        <f>T338</f>
        <v/>
      </c>
      <c r="W172" s="842" t="n">
        <v>24000</v>
      </c>
      <c r="X172" s="842">
        <f>V338</f>
        <v/>
      </c>
      <c r="Y172" s="845">
        <f>V338/H338</f>
        <v/>
      </c>
      <c r="Z172" s="846">
        <f>SUM(V338-T338)/T338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H339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Q339</f>
        <v/>
      </c>
      <c r="U173" s="842" t="n">
        <v>19300</v>
      </c>
      <c r="V173" s="842">
        <f>T339</f>
        <v/>
      </c>
      <c r="W173" s="842" t="n">
        <v>19300</v>
      </c>
      <c r="X173" s="842">
        <f>V339</f>
        <v/>
      </c>
      <c r="Y173" s="845">
        <f>V339/H339</f>
        <v/>
      </c>
      <c r="Z173" s="846">
        <f>SUM(V339-T339)/T339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H347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Q347</f>
        <v/>
      </c>
      <c r="U174" s="842" t="n">
        <v>126900</v>
      </c>
      <c r="V174" s="842">
        <f>T347</f>
        <v/>
      </c>
      <c r="W174" s="842" t="n">
        <v>141000</v>
      </c>
      <c r="X174" s="842">
        <f>V347</f>
        <v/>
      </c>
      <c r="Y174" s="845">
        <f>V347/H347</f>
        <v/>
      </c>
      <c r="Z174" s="846">
        <f>SUM(V347-T347)/T347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H348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Q348</f>
        <v/>
      </c>
      <c r="U175" s="842" t="n">
        <v>70500</v>
      </c>
      <c r="V175" s="842">
        <f>T348</f>
        <v/>
      </c>
      <c r="W175" s="842" t="n">
        <v>70500</v>
      </c>
      <c r="X175" s="842">
        <f>V348</f>
        <v/>
      </c>
      <c r="Y175" s="845">
        <f>V348/H348</f>
        <v/>
      </c>
      <c r="Z175" s="846">
        <f>SUM(V348-T348)/T348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H349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Q349</f>
        <v/>
      </c>
      <c r="U176" s="842" t="n">
        <v>71000</v>
      </c>
      <c r="V176" s="842">
        <f>T349</f>
        <v/>
      </c>
      <c r="W176" s="842" t="n">
        <v>71000</v>
      </c>
      <c r="X176" s="842">
        <f>V349</f>
        <v/>
      </c>
      <c r="Y176" s="845">
        <f>V349/H349</f>
        <v/>
      </c>
      <c r="Z176" s="846">
        <f>SUM(V349-T349)/T349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H350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Q350</f>
        <v/>
      </c>
      <c r="U177" s="842" t="n">
        <v>63100</v>
      </c>
      <c r="V177" s="842">
        <f>T350</f>
        <v/>
      </c>
      <c r="W177" s="842" t="n">
        <v>63100</v>
      </c>
      <c r="X177" s="842">
        <f>V350</f>
        <v/>
      </c>
      <c r="Y177" s="845">
        <f>V350/H350</f>
        <v/>
      </c>
      <c r="Z177" s="846">
        <f>SUM(V350-T350)/T350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H356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Q356</f>
        <v/>
      </c>
      <c r="T178" s="591">
        <f>R356</f>
        <v/>
      </c>
      <c r="U178" s="591" t="n">
        <v>715000</v>
      </c>
      <c r="V178" s="842">
        <f>T356</f>
        <v/>
      </c>
      <c r="W178" s="591" t="n">
        <v>715000</v>
      </c>
      <c r="X178" s="842">
        <f>V356</f>
        <v/>
      </c>
      <c r="Y178" s="845">
        <f>V356/H356</f>
        <v/>
      </c>
      <c r="Z178" s="846">
        <f>SUM(V356-T356)/T356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H360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Q360</f>
        <v/>
      </c>
      <c r="T179" s="591">
        <f>R360</f>
        <v/>
      </c>
      <c r="U179" s="591" t="n">
        <v>266600</v>
      </c>
      <c r="V179" s="842">
        <f>T360</f>
        <v/>
      </c>
      <c r="W179" s="591" t="n">
        <v>315000</v>
      </c>
      <c r="X179" s="842">
        <f>V360</f>
        <v/>
      </c>
      <c r="Y179" s="845">
        <f>V360/H360</f>
        <v/>
      </c>
      <c r="Z179" s="846">
        <f>SUM(V360-T360)/T360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H364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Q364</f>
        <v/>
      </c>
      <c r="U180" s="842" t="n">
        <v>2000</v>
      </c>
      <c r="V180" s="842">
        <f>T364</f>
        <v/>
      </c>
      <c r="W180" s="842" t="n">
        <v>2000</v>
      </c>
      <c r="X180" s="842">
        <f>V364</f>
        <v/>
      </c>
      <c r="Y180" s="845">
        <f>V364/H364</f>
        <v/>
      </c>
      <c r="Z180" s="846">
        <f>SUM(V364-T364)/T364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H365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Q365</f>
        <v/>
      </c>
      <c r="U181" s="842" t="n">
        <v>17500</v>
      </c>
      <c r="V181" s="842">
        <f>T365</f>
        <v/>
      </c>
      <c r="W181" s="842" t="n">
        <v>26200</v>
      </c>
      <c r="X181" s="842">
        <f>V365</f>
        <v/>
      </c>
      <c r="Y181" s="845">
        <f>V365/H365</f>
        <v/>
      </c>
      <c r="Z181" s="846">
        <f>SUM(V365-T365)/T365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H366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Q366</f>
        <v/>
      </c>
      <c r="U182" s="842" t="n">
        <v>12500</v>
      </c>
      <c r="V182" s="842">
        <f>T366</f>
        <v/>
      </c>
      <c r="W182" s="842" t="n">
        <v>18700</v>
      </c>
      <c r="X182" s="842">
        <f>V366</f>
        <v/>
      </c>
      <c r="Y182" s="845">
        <f>V366/H366</f>
        <v/>
      </c>
      <c r="Z182" s="846">
        <f>SUM(V366-T366)/T366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H367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Q367</f>
        <v/>
      </c>
      <c r="U183" s="842" t="n">
        <v>86100</v>
      </c>
      <c r="V183" s="842">
        <f>T367</f>
        <v/>
      </c>
      <c r="W183" s="842" t="n">
        <v>89800</v>
      </c>
      <c r="X183" s="842">
        <f>V367</f>
        <v/>
      </c>
      <c r="Y183" s="845">
        <f>V367/H367</f>
        <v/>
      </c>
      <c r="Z183" s="846">
        <f>SUM(V367-T367)/T367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H368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Q368</f>
        <v/>
      </c>
      <c r="U184" s="842" t="n">
        <v>89300</v>
      </c>
      <c r="V184" s="842">
        <f>T368</f>
        <v/>
      </c>
      <c r="W184" s="842" t="n">
        <v>93200</v>
      </c>
      <c r="X184" s="842">
        <f>V368</f>
        <v/>
      </c>
      <c r="Y184" s="845">
        <f>V368/H368</f>
        <v/>
      </c>
      <c r="Z184" s="846">
        <f>SUM(V368-T368)/T368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H369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Q369</f>
        <v/>
      </c>
      <c r="U185" s="842" t="n">
        <v>86700</v>
      </c>
      <c r="V185" s="842">
        <f>T369</f>
        <v/>
      </c>
      <c r="W185" s="842" t="n">
        <v>90300</v>
      </c>
      <c r="X185" s="842">
        <f>V369</f>
        <v/>
      </c>
      <c r="Y185" s="845">
        <f>V369/H369</f>
        <v/>
      </c>
      <c r="Z185" s="846">
        <f>SUM(V369-T369)/T369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H370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Q370</f>
        <v/>
      </c>
      <c r="U186" s="842" t="n">
        <v>72000</v>
      </c>
      <c r="V186" s="842">
        <f>T370</f>
        <v/>
      </c>
      <c r="W186" s="842" t="n">
        <v>75000</v>
      </c>
      <c r="X186" s="842">
        <f>V370</f>
        <v/>
      </c>
      <c r="Y186" s="845">
        <f>V370/H370</f>
        <v/>
      </c>
      <c r="Z186" s="846">
        <f>SUM(V370-T370)/T370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H371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Q371</f>
        <v/>
      </c>
      <c r="U187" s="842" t="n">
        <v>22400</v>
      </c>
      <c r="V187" s="842">
        <f>T371</f>
        <v/>
      </c>
      <c r="W187" s="842" t="n">
        <v>23300</v>
      </c>
      <c r="X187" s="842">
        <f>V371</f>
        <v/>
      </c>
      <c r="Y187" s="845">
        <f>V371/H371</f>
        <v/>
      </c>
      <c r="Z187" s="846">
        <f>SUM(V371-T371)/T371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H372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Q372</f>
        <v/>
      </c>
      <c r="U188" s="842" t="n">
        <v>20800</v>
      </c>
      <c r="V188" s="842">
        <f>T372</f>
        <v/>
      </c>
      <c r="W188" s="842" t="n">
        <v>21600</v>
      </c>
      <c r="X188" s="842">
        <f>V372</f>
        <v/>
      </c>
      <c r="Y188" s="845">
        <f>V372/H372</f>
        <v/>
      </c>
      <c r="Z188" s="846">
        <f>SUM(V372-T372)/T372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H378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Q378</f>
        <v/>
      </c>
      <c r="U189" s="842" t="n">
        <v>450500</v>
      </c>
      <c r="V189" s="842">
        <f>T378</f>
        <v/>
      </c>
      <c r="W189" s="842" t="n">
        <v>495300</v>
      </c>
      <c r="X189" s="842">
        <f>V378</f>
        <v/>
      </c>
      <c r="Y189" s="845">
        <f>V378/H378</f>
        <v/>
      </c>
      <c r="Z189" s="846">
        <f>SUM(V378-T378)/T378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H379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Q379</f>
        <v/>
      </c>
      <c r="U190" s="842" t="n">
        <v>1100</v>
      </c>
      <c r="V190" s="842">
        <f>T379</f>
        <v/>
      </c>
      <c r="W190" s="842" t="n">
        <v>1100</v>
      </c>
      <c r="X190" s="842">
        <f>V379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H385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Q385</f>
        <v/>
      </c>
      <c r="T191" s="591">
        <f>R385</f>
        <v/>
      </c>
      <c r="U191" s="591" t="n">
        <v>350000</v>
      </c>
      <c r="V191" s="842">
        <f>T385</f>
        <v/>
      </c>
      <c r="W191" s="591" t="n">
        <v>350000</v>
      </c>
      <c r="X191" s="842">
        <f>V385</f>
        <v/>
      </c>
      <c r="Y191" s="845">
        <f>V385/H385</f>
        <v/>
      </c>
      <c r="Z191" s="846">
        <f>SUM(V385-T385)/T385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H391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Q391</f>
        <v/>
      </c>
      <c r="T192" s="591" t="n"/>
      <c r="U192" s="842" t="n">
        <v>258600</v>
      </c>
      <c r="V192" s="842">
        <f>T391</f>
        <v/>
      </c>
      <c r="W192" s="842" t="n">
        <v>282288</v>
      </c>
      <c r="X192" s="842">
        <f>V391</f>
        <v/>
      </c>
      <c r="Y192" s="845">
        <f>V391/H391</f>
        <v/>
      </c>
      <c r="Z192" s="846">
        <f>SUM(V391-T391)/T391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H392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Q392</f>
        <v/>
      </c>
      <c r="T193" s="591" t="n"/>
      <c r="U193" s="842" t="n">
        <v>152400</v>
      </c>
      <c r="V193" s="842">
        <f>T392</f>
        <v/>
      </c>
      <c r="W193" s="842" t="n">
        <v>152400</v>
      </c>
      <c r="X193" s="842">
        <f>V392</f>
        <v/>
      </c>
      <c r="Y193" s="845">
        <f>V392/H392</f>
        <v/>
      </c>
      <c r="Z193" s="846">
        <f>SUM(V392-T392)/T392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H393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Q393</f>
        <v/>
      </c>
      <c r="T194" s="591" t="n"/>
      <c r="U194" s="842" t="n">
        <v>158800</v>
      </c>
      <c r="V194" s="842">
        <f>T393</f>
        <v/>
      </c>
      <c r="W194" s="842" t="n">
        <v>159800</v>
      </c>
      <c r="X194" s="842">
        <f>V393</f>
        <v/>
      </c>
      <c r="Y194" s="845">
        <f>V393/H393</f>
        <v/>
      </c>
      <c r="Z194" s="846">
        <f>SUM(V393-T393)/T393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H394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Q394</f>
        <v/>
      </c>
      <c r="T195" s="591" t="n"/>
      <c r="U195" s="842" t="n">
        <v>314300</v>
      </c>
      <c r="V195" s="842">
        <f>T394</f>
        <v/>
      </c>
      <c r="W195" s="842" t="n">
        <v>311300</v>
      </c>
      <c r="X195" s="842">
        <f>V394</f>
        <v/>
      </c>
      <c r="Y195" s="845">
        <f>V394/H394</f>
        <v/>
      </c>
      <c r="Z195" s="846">
        <f>SUM(V394-T394)/T394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H395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Q395</f>
        <v/>
      </c>
      <c r="T196" s="591" t="n"/>
      <c r="U196" s="842" t="n">
        <v>138500</v>
      </c>
      <c r="V196" s="842">
        <f>T395</f>
        <v/>
      </c>
      <c r="W196" s="842" t="n">
        <v>140700</v>
      </c>
      <c r="X196" s="842">
        <f>V395</f>
        <v/>
      </c>
      <c r="Y196" s="845">
        <f>V395/H395</f>
        <v/>
      </c>
      <c r="Z196" s="846">
        <f>SUM(V395-T395)/T395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H401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Q401</f>
        <v/>
      </c>
      <c r="U197" s="842" t="n">
        <v>53800</v>
      </c>
      <c r="V197" s="842">
        <f>T401</f>
        <v/>
      </c>
      <c r="W197" s="842" t="n">
        <v>54000</v>
      </c>
      <c r="X197" s="842">
        <f>V401</f>
        <v/>
      </c>
      <c r="Y197" s="845">
        <f>V401/H401</f>
        <v/>
      </c>
      <c r="Z197" s="846">
        <f>SUM(V401-T401)/T401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H402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Q402</f>
        <v/>
      </c>
      <c r="U198" s="842" t="n">
        <v>130000</v>
      </c>
      <c r="V198" s="842">
        <f>T402</f>
        <v/>
      </c>
      <c r="W198" s="842" t="n">
        <v>132000</v>
      </c>
      <c r="X198" s="842">
        <f>V402</f>
        <v/>
      </c>
      <c r="Y198" s="845">
        <f>V402/H402</f>
        <v/>
      </c>
      <c r="Z198" s="846">
        <f>SUM(V402-T402)/T402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H403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Q403</f>
        <v/>
      </c>
      <c r="U199" s="842" t="n">
        <v>85800</v>
      </c>
      <c r="V199" s="842">
        <f>T403</f>
        <v/>
      </c>
      <c r="W199" s="842" t="n">
        <v>100400</v>
      </c>
      <c r="X199" s="842">
        <f>V403</f>
        <v/>
      </c>
      <c r="Y199" s="845">
        <f>V403/H403</f>
        <v/>
      </c>
      <c r="Z199" s="846">
        <f>SUM(V403-T403)/T403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H404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Q404</f>
        <v/>
      </c>
      <c r="U200" s="842" t="n">
        <v>73500</v>
      </c>
      <c r="V200" s="842">
        <f>T404</f>
        <v/>
      </c>
      <c r="W200" s="842" t="n">
        <v>81000</v>
      </c>
      <c r="X200" s="842">
        <f>V404</f>
        <v/>
      </c>
      <c r="Y200" s="845">
        <f>V404/H404</f>
        <v/>
      </c>
      <c r="Z200" s="846">
        <f>SUM(V404-T404)/T404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H405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Q405</f>
        <v/>
      </c>
      <c r="U201" s="842" t="n">
        <v>65600</v>
      </c>
      <c r="V201" s="842">
        <f>T405</f>
        <v/>
      </c>
      <c r="W201" s="842" t="n">
        <v>70600</v>
      </c>
      <c r="X201" s="842">
        <f>V405</f>
        <v/>
      </c>
      <c r="Y201" s="845">
        <f>V405/H405</f>
        <v/>
      </c>
      <c r="Z201" s="846">
        <f>SUM(V405-T405)/T405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H406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Q406</f>
        <v/>
      </c>
      <c r="U202" s="842" t="n">
        <v>45000</v>
      </c>
      <c r="V202" s="842">
        <f>T406</f>
        <v/>
      </c>
      <c r="W202" s="842" t="n">
        <v>53500</v>
      </c>
      <c r="X202" s="842">
        <f>V406</f>
        <v/>
      </c>
      <c r="Y202" s="845">
        <f>V406/H406</f>
        <v/>
      </c>
      <c r="Z202" s="846">
        <f>SUM(V406-T406)/T406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H407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Q407</f>
        <v/>
      </c>
      <c r="U203" s="842" t="n">
        <v>39300</v>
      </c>
      <c r="V203" s="842">
        <f>T407</f>
        <v/>
      </c>
      <c r="W203" s="842" t="n">
        <v>43100</v>
      </c>
      <c r="X203" s="842">
        <f>V407</f>
        <v/>
      </c>
      <c r="Y203" s="845">
        <f>V407/H407</f>
        <v/>
      </c>
      <c r="Z203" s="846">
        <f>SUM(V407-T407)/T407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H413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Q413</f>
        <v/>
      </c>
      <c r="U204" s="842" t="n">
        <v>69500</v>
      </c>
      <c r="V204" s="842">
        <f>T413</f>
        <v/>
      </c>
      <c r="W204" s="842" t="n">
        <v>69500</v>
      </c>
      <c r="X204" s="842">
        <f>V413</f>
        <v/>
      </c>
      <c r="Y204" s="845">
        <f>V413/H413</f>
        <v/>
      </c>
      <c r="Z204" s="846">
        <f>SUM(V413-T413)/T413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H414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Q414</f>
        <v/>
      </c>
      <c r="U205" s="842" t="n">
        <v>84800</v>
      </c>
      <c r="V205" s="842">
        <f>T414</f>
        <v/>
      </c>
      <c r="W205" s="842" t="n">
        <v>85000</v>
      </c>
      <c r="X205" s="842">
        <f>V414</f>
        <v/>
      </c>
      <c r="Y205" s="845">
        <f>V414/H414</f>
        <v/>
      </c>
      <c r="Z205" s="846">
        <f>SUM(V414-T414)/T414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H415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Q415</f>
        <v/>
      </c>
      <c r="U206" s="842" t="n">
        <v>78000</v>
      </c>
      <c r="V206" s="842">
        <f>T415</f>
        <v/>
      </c>
      <c r="W206" s="842" t="n">
        <v>90000</v>
      </c>
      <c r="X206" s="842">
        <f>V415</f>
        <v/>
      </c>
      <c r="Y206" s="845">
        <f>V415/H415</f>
        <v/>
      </c>
      <c r="Z206" s="846">
        <f>SUM(V415-T415)/T415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H416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Q416</f>
        <v/>
      </c>
      <c r="U207" s="842" t="n">
        <v>106700</v>
      </c>
      <c r="V207" s="842">
        <f>T416</f>
        <v/>
      </c>
      <c r="W207" s="842" t="n">
        <v>106700</v>
      </c>
      <c r="X207" s="842">
        <f>V416</f>
        <v/>
      </c>
      <c r="Y207" s="845">
        <f>V416/H416</f>
        <v/>
      </c>
      <c r="Z207" s="846">
        <f>SUM(V416-T416)/T416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H417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Q417</f>
        <v/>
      </c>
      <c r="U208" s="842" t="n">
        <v>41700</v>
      </c>
      <c r="V208" s="842">
        <f>T417</f>
        <v/>
      </c>
      <c r="W208" s="842" t="n">
        <v>41700</v>
      </c>
      <c r="X208" s="842">
        <f>V417</f>
        <v/>
      </c>
      <c r="Y208" s="845">
        <f>V417/H417</f>
        <v/>
      </c>
      <c r="Z208" s="846">
        <f>SUM(V417-T417)/T417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H418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Q418</f>
        <v/>
      </c>
      <c r="U209" s="842" t="n">
        <v>70200</v>
      </c>
      <c r="V209" s="842">
        <f>T418</f>
        <v/>
      </c>
      <c r="W209" s="842" t="n">
        <v>70200</v>
      </c>
      <c r="X209" s="842">
        <f>V418</f>
        <v/>
      </c>
      <c r="Y209" s="845">
        <f>V418/H418</f>
        <v/>
      </c>
      <c r="Z209" s="846">
        <f>SUM(V418-T418)/T418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H419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Q419</f>
        <v/>
      </c>
      <c r="U210" s="842" t="n">
        <v>108000</v>
      </c>
      <c r="V210" s="842">
        <f>T419</f>
        <v/>
      </c>
      <c r="W210" s="842" t="n">
        <v>108000</v>
      </c>
      <c r="X210" s="842">
        <f>V419</f>
        <v/>
      </c>
      <c r="Y210" s="845">
        <f>V419/H419</f>
        <v/>
      </c>
      <c r="Z210" s="846">
        <f>SUM(V419-T419)/T419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H420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Q420</f>
        <v/>
      </c>
      <c r="U211" s="842" t="n">
        <v>5410</v>
      </c>
      <c r="V211" s="842">
        <f>T420</f>
        <v/>
      </c>
      <c r="W211" s="842" t="n">
        <v>5410</v>
      </c>
      <c r="X211" s="842">
        <f>V420</f>
        <v/>
      </c>
      <c r="Y211" s="845">
        <f>V420/H420</f>
        <v/>
      </c>
      <c r="Z211" s="846">
        <f>SUM(V420-T420)/T420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H421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Q421</f>
        <v/>
      </c>
      <c r="U212" s="842" t="n">
        <v>16300</v>
      </c>
      <c r="V212" s="842">
        <f>T421</f>
        <v/>
      </c>
      <c r="W212" s="842" t="n">
        <v>16300</v>
      </c>
      <c r="X212" s="842">
        <f>V421</f>
        <v/>
      </c>
      <c r="Y212" s="845">
        <f>V421/H421</f>
        <v/>
      </c>
      <c r="Z212" s="846">
        <f>SUM(V421-T421)/T421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H422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Q422</f>
        <v/>
      </c>
      <c r="U213" s="842" t="n">
        <v>35600</v>
      </c>
      <c r="V213" s="842">
        <f>T422</f>
        <v/>
      </c>
      <c r="W213" s="842" t="n">
        <v>35600</v>
      </c>
      <c r="X213" s="842">
        <f>V422</f>
        <v/>
      </c>
      <c r="Y213" s="845">
        <f>V422/H422</f>
        <v/>
      </c>
      <c r="Z213" s="846">
        <f>SUM(V422-T422)/T422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H423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Q423</f>
        <v/>
      </c>
      <c r="U214" s="842" t="n">
        <v>37500</v>
      </c>
      <c r="V214" s="842">
        <f>T423</f>
        <v/>
      </c>
      <c r="W214" s="842" t="n">
        <v>37500</v>
      </c>
      <c r="X214" s="842">
        <f>V423</f>
        <v/>
      </c>
      <c r="Y214" s="845">
        <f>V423/H423</f>
        <v/>
      </c>
      <c r="Z214" s="846">
        <f>SUM(V423-T423)/T423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H429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Q429</f>
        <v/>
      </c>
      <c r="U215" s="842" t="n">
        <v>100700</v>
      </c>
      <c r="V215" s="842">
        <f>T429</f>
        <v/>
      </c>
      <c r="W215" s="842" t="n">
        <v>100700</v>
      </c>
      <c r="X215" s="842">
        <f>V429</f>
        <v/>
      </c>
      <c r="Y215" s="845">
        <f>V429/H429</f>
        <v/>
      </c>
      <c r="Z215" s="846">
        <f>SUM(V429-T429)/T429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H430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Q430</f>
        <v/>
      </c>
      <c r="U216" s="842" t="n">
        <v>53900</v>
      </c>
      <c r="V216" s="842">
        <f>T430</f>
        <v/>
      </c>
      <c r="W216" s="842" t="n">
        <v>56400</v>
      </c>
      <c r="X216" s="842">
        <f>V430</f>
        <v/>
      </c>
      <c r="Y216" s="845">
        <f>V430/H430</f>
        <v/>
      </c>
      <c r="Z216" s="846">
        <f>SUM(V430-T430)/T430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H431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Q431</f>
        <v/>
      </c>
      <c r="U217" s="842" t="n">
        <v>53900</v>
      </c>
      <c r="V217" s="842">
        <f>T431</f>
        <v/>
      </c>
      <c r="W217" s="842" t="n">
        <v>56400</v>
      </c>
      <c r="X217" s="842">
        <f>V431</f>
        <v/>
      </c>
      <c r="Y217" s="845">
        <f>V431/H431</f>
        <v/>
      </c>
      <c r="Z217" s="846">
        <f>SUM(V431-T431)/T431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H432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Q432</f>
        <v/>
      </c>
      <c r="U218" s="842" t="n">
        <v>46000</v>
      </c>
      <c r="V218" s="842">
        <f>T432</f>
        <v/>
      </c>
      <c r="W218" s="842" t="n">
        <v>48100</v>
      </c>
      <c r="X218" s="842">
        <f>V432</f>
        <v/>
      </c>
      <c r="Y218" s="845">
        <f>V432/H432</f>
        <v/>
      </c>
      <c r="Z218" s="846">
        <f>SUM(V432-T432)/T432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H433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Q433</f>
        <v/>
      </c>
      <c r="U219" s="842" t="n">
        <v>45700</v>
      </c>
      <c r="V219" s="842">
        <f>T433</f>
        <v/>
      </c>
      <c r="W219" s="842" t="n">
        <v>47700</v>
      </c>
      <c r="X219" s="842">
        <f>V433</f>
        <v/>
      </c>
      <c r="Y219" s="845">
        <f>V433/H433</f>
        <v/>
      </c>
      <c r="Z219" s="846">
        <f>SUM(V433-T433)/T433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H434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Q434</f>
        <v/>
      </c>
      <c r="U220" s="842" t="n">
        <v>37700</v>
      </c>
      <c r="V220" s="842">
        <f>T434</f>
        <v/>
      </c>
      <c r="W220" s="842" t="n">
        <v>39400</v>
      </c>
      <c r="X220" s="842">
        <f>V434</f>
        <v/>
      </c>
      <c r="Y220" s="845">
        <f>V434/H434</f>
        <v/>
      </c>
      <c r="Z220" s="846">
        <f>SUM(V434-T434)/T434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H440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Q440</f>
        <v/>
      </c>
      <c r="U221" s="842" t="n">
        <v>86800</v>
      </c>
      <c r="V221" s="842">
        <f>T440</f>
        <v/>
      </c>
      <c r="W221" s="842" t="n">
        <v>94417</v>
      </c>
      <c r="X221" s="842">
        <f>V440</f>
        <v/>
      </c>
      <c r="Y221" s="845">
        <f>V440/H440</f>
        <v/>
      </c>
      <c r="Z221" s="846">
        <f>SUM(V440-T440)/T440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H441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Q441</f>
        <v/>
      </c>
      <c r="U222" s="842" t="n">
        <v>44200</v>
      </c>
      <c r="V222" s="842">
        <f>T441</f>
        <v/>
      </c>
      <c r="W222" s="842" t="n">
        <v>46200</v>
      </c>
      <c r="X222" s="842">
        <f>V441</f>
        <v/>
      </c>
      <c r="Y222" s="845">
        <f>V441/H441</f>
        <v/>
      </c>
      <c r="Z222" s="846">
        <f>SUM(V441-T441)/T441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H442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Q442</f>
        <v/>
      </c>
      <c r="T223" s="856" t="n"/>
      <c r="U223" s="842" t="n">
        <v>44700</v>
      </c>
      <c r="V223" s="842">
        <f>T442</f>
        <v/>
      </c>
      <c r="W223" s="842" t="n">
        <v>46700</v>
      </c>
      <c r="X223" s="842">
        <f>V442</f>
        <v/>
      </c>
      <c r="Y223" s="845">
        <f>V442/H442</f>
        <v/>
      </c>
      <c r="Z223" s="846">
        <f>SUM(V442-T442)/T442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H443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Q443</f>
        <v/>
      </c>
      <c r="U224" s="842" t="n">
        <v>43500</v>
      </c>
      <c r="V224" s="842">
        <f>T443</f>
        <v/>
      </c>
      <c r="W224" s="842" t="n">
        <v>45500</v>
      </c>
      <c r="X224" s="842">
        <f>V443</f>
        <v/>
      </c>
      <c r="Y224" s="845">
        <f>V443/H443</f>
        <v/>
      </c>
      <c r="Z224" s="846">
        <f>SUM(V443-T443)/T443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H444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Q444</f>
        <v/>
      </c>
      <c r="U225" s="842" t="n">
        <v>43800</v>
      </c>
      <c r="V225" s="842">
        <f>T444</f>
        <v/>
      </c>
      <c r="W225" s="842" t="n">
        <v>45800</v>
      </c>
      <c r="X225" s="842">
        <f>V444</f>
        <v/>
      </c>
      <c r="Y225" s="845">
        <f>V444/H444</f>
        <v/>
      </c>
      <c r="Z225" s="846">
        <f>SUM(V444-T444)/T444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H445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Q445</f>
        <v/>
      </c>
      <c r="U226" s="842" t="n">
        <v>39200</v>
      </c>
      <c r="V226" s="842">
        <f>T445</f>
        <v/>
      </c>
      <c r="W226" s="842" t="n">
        <v>41100</v>
      </c>
      <c r="X226" s="842">
        <f>V445</f>
        <v/>
      </c>
      <c r="Y226" s="845">
        <f>V445/H445</f>
        <v/>
      </c>
      <c r="Z226" s="846">
        <f>SUM(V445-T445)/T445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H451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Q451</f>
        <v/>
      </c>
      <c r="U227" s="842" t="n">
        <v>11660</v>
      </c>
      <c r="V227" s="842">
        <f>T451</f>
        <v/>
      </c>
      <c r="W227" s="842" t="n">
        <v>11660</v>
      </c>
      <c r="X227" s="842">
        <f>V451</f>
        <v/>
      </c>
      <c r="Y227" s="845">
        <f>V451/H451</f>
        <v/>
      </c>
      <c r="Z227" s="846">
        <f>SUM(V451-T451)/T451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H452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Q452</f>
        <v/>
      </c>
      <c r="U228" s="842" t="n">
        <v>37502</v>
      </c>
      <c r="V228" s="842">
        <f>T452</f>
        <v/>
      </c>
      <c r="W228" s="842" t="n">
        <v>37500</v>
      </c>
      <c r="X228" s="842">
        <f>V452</f>
        <v/>
      </c>
      <c r="Y228" s="845">
        <f>V452/H452</f>
        <v/>
      </c>
      <c r="Z228" s="846">
        <f>SUM(V452-T452)/T452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H453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Q453</f>
        <v/>
      </c>
      <c r="U229" s="842" t="n">
        <v>9460</v>
      </c>
      <c r="V229" s="842">
        <f>T453</f>
        <v/>
      </c>
      <c r="W229" s="842" t="n">
        <v>11180</v>
      </c>
      <c r="X229" s="842">
        <f>V453</f>
        <v/>
      </c>
      <c r="Y229" s="845">
        <f>V453/H453</f>
        <v/>
      </c>
      <c r="Z229" s="846">
        <f>SUM(V453-T453)/T453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H454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Q454</f>
        <v/>
      </c>
      <c r="U230" s="842" t="n">
        <v>7000</v>
      </c>
      <c r="V230" s="842">
        <f>T454</f>
        <v/>
      </c>
      <c r="W230" s="842" t="n">
        <v>7605</v>
      </c>
      <c r="X230" s="842">
        <f>V454</f>
        <v/>
      </c>
      <c r="Y230" s="845">
        <f>V454/H454</f>
        <v/>
      </c>
      <c r="Z230" s="846">
        <f>SUM(V454-T454)/T454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H455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Q455</f>
        <v/>
      </c>
      <c r="U231" s="842" t="n">
        <v>8925</v>
      </c>
      <c r="V231" s="842">
        <f>T455</f>
        <v/>
      </c>
      <c r="W231" s="842" t="n">
        <v>11050</v>
      </c>
      <c r="X231" s="842">
        <f>V455</f>
        <v/>
      </c>
      <c r="Y231" s="845">
        <f>V455/H455</f>
        <v/>
      </c>
      <c r="Z231" s="846">
        <f>SUM(V455-T455)/T455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H456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Q456</f>
        <v/>
      </c>
      <c r="U232" s="842" t="n">
        <v>7605</v>
      </c>
      <c r="V232" s="842">
        <f>T456</f>
        <v/>
      </c>
      <c r="W232" s="842" t="n">
        <v>8450</v>
      </c>
      <c r="X232" s="842">
        <f>V456</f>
        <v/>
      </c>
      <c r="Y232" s="845">
        <f>V456/H456</f>
        <v/>
      </c>
      <c r="Z232" s="846">
        <f>SUM(V456-T456)/T456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H457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Q457</f>
        <v/>
      </c>
      <c r="U233" s="842" t="n">
        <v>36140</v>
      </c>
      <c r="V233" s="842">
        <f>T457</f>
        <v/>
      </c>
      <c r="W233" s="842" t="n">
        <v>39000</v>
      </c>
      <c r="X233" s="842">
        <f>V457</f>
        <v/>
      </c>
      <c r="Y233" s="845">
        <f>V457/H457</f>
        <v/>
      </c>
      <c r="Z233" s="846">
        <f>SUM(V457-T457)/T457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H463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Q463</f>
        <v/>
      </c>
      <c r="U234" s="842" t="n">
        <v>225000</v>
      </c>
      <c r="V234" s="842">
        <f>T463</f>
        <v/>
      </c>
      <c r="W234" s="842" t="n">
        <v>200000</v>
      </c>
      <c r="X234" s="842">
        <f>V463</f>
        <v/>
      </c>
      <c r="Y234" s="845">
        <f>V463/H463</f>
        <v/>
      </c>
      <c r="Z234" s="846">
        <f>SUM(V463-T463)/T463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H464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Q464</f>
        <v/>
      </c>
      <c r="U235" s="842" t="n">
        <v>53200</v>
      </c>
      <c r="V235" s="842">
        <f>T464</f>
        <v/>
      </c>
      <c r="W235" s="842" t="n">
        <v>58000</v>
      </c>
      <c r="X235" s="842">
        <f>V464</f>
        <v/>
      </c>
      <c r="Y235" s="845">
        <f>V464/H464</f>
        <v/>
      </c>
      <c r="Z235" s="846">
        <f>SUM(V464-T464)/T464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H465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Q465</f>
        <v/>
      </c>
      <c r="U236" s="842" t="n">
        <v>100500</v>
      </c>
      <c r="V236" s="842">
        <f>T465</f>
        <v/>
      </c>
      <c r="W236" s="842" t="n">
        <v>100000</v>
      </c>
      <c r="X236" s="842">
        <f>V465</f>
        <v/>
      </c>
      <c r="Y236" s="845">
        <f>V465/H465</f>
        <v/>
      </c>
      <c r="Z236" s="846">
        <f>SUM(V465-T465)/T465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H466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Q466</f>
        <v/>
      </c>
      <c r="U237" s="842" t="n">
        <v>96300</v>
      </c>
      <c r="V237" s="842">
        <f>T466</f>
        <v/>
      </c>
      <c r="W237" s="842" t="n">
        <v>105000</v>
      </c>
      <c r="X237" s="842">
        <f>V466</f>
        <v/>
      </c>
      <c r="Y237" s="845">
        <f>V466/H466</f>
        <v/>
      </c>
      <c r="Z237" s="846">
        <f>SUM(V466-T466)/T466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H467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Q467</f>
        <v/>
      </c>
      <c r="U238" s="842" t="n">
        <v>180000</v>
      </c>
      <c r="V238" s="842">
        <f>T467</f>
        <v/>
      </c>
      <c r="W238" s="842" t="n">
        <v>177300</v>
      </c>
      <c r="X238" s="842">
        <f>V467</f>
        <v/>
      </c>
      <c r="Y238" s="845">
        <f>V467/H467</f>
        <v/>
      </c>
      <c r="Z238" s="846">
        <f>SUM(V467-T467)/T467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H468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Q468</f>
        <v/>
      </c>
      <c r="U239" s="842" t="n">
        <v>19000</v>
      </c>
      <c r="V239" s="842">
        <f>T468</f>
        <v/>
      </c>
      <c r="W239" s="842" t="n">
        <v>21000</v>
      </c>
      <c r="X239" s="842">
        <f>V468</f>
        <v/>
      </c>
      <c r="Y239" s="845">
        <f>V468/H468</f>
        <v/>
      </c>
      <c r="Z239" s="846">
        <f>SUM(V468-T468)/T468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H469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Q469</f>
        <v/>
      </c>
      <c r="U240" s="842" t="n">
        <v>18900</v>
      </c>
      <c r="V240" s="842">
        <f>T469</f>
        <v/>
      </c>
      <c r="W240" s="842" t="n">
        <v>21850</v>
      </c>
      <c r="X240" s="842">
        <f>V469</f>
        <v/>
      </c>
      <c r="Y240" s="845">
        <f>V469/H469</f>
        <v/>
      </c>
      <c r="Z240" s="846">
        <f>SUM(V469-T469)/T469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H470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Q470</f>
        <v/>
      </c>
      <c r="U241" s="842" t="n">
        <v>182500</v>
      </c>
      <c r="V241" s="842">
        <f>T470</f>
        <v/>
      </c>
      <c r="W241" s="842" t="n">
        <v>169700</v>
      </c>
      <c r="X241" s="842">
        <f>V470</f>
        <v/>
      </c>
      <c r="Y241" s="845">
        <f>V470/H470</f>
        <v/>
      </c>
      <c r="Z241" s="846">
        <f>SUM(V470-T470)/T470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H471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Q471</f>
        <v/>
      </c>
      <c r="U242" s="842" t="n">
        <v>138800</v>
      </c>
      <c r="V242" s="842">
        <f>T471</f>
        <v/>
      </c>
      <c r="W242" s="842" t="n">
        <v>141700</v>
      </c>
      <c r="X242" s="842">
        <f>V471</f>
        <v/>
      </c>
      <c r="Y242" s="845">
        <f>V471/H471</f>
        <v/>
      </c>
      <c r="Z242" s="846">
        <f>SUM(V471-T471)/T471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H472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Q472</f>
        <v/>
      </c>
      <c r="U243" s="842" t="n">
        <v>19500</v>
      </c>
      <c r="V243" s="842">
        <f>T472</f>
        <v/>
      </c>
      <c r="W243" s="842" t="n">
        <v>19500</v>
      </c>
      <c r="X243" s="842">
        <f>V472</f>
        <v/>
      </c>
      <c r="Y243" s="845">
        <f>V472/H472</f>
        <v/>
      </c>
      <c r="Z243" s="846">
        <f>SUM(V472-T472)/T472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H473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Q473</f>
        <v/>
      </c>
      <c r="T244" s="842" t="n"/>
      <c r="U244" s="842" t="n">
        <v>0</v>
      </c>
      <c r="V244" s="842">
        <f>T473</f>
        <v/>
      </c>
      <c r="W244" s="842" t="n">
        <v>19500</v>
      </c>
      <c r="X244" s="842">
        <f>V473</f>
        <v/>
      </c>
      <c r="Y244" s="845">
        <f>V473/H473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H474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Q474</f>
        <v/>
      </c>
      <c r="T245" s="842" t="n"/>
      <c r="U245" s="842" t="n">
        <v>42000</v>
      </c>
      <c r="V245" s="842">
        <f>T474</f>
        <v/>
      </c>
      <c r="W245" s="842" t="n">
        <v>41500</v>
      </c>
      <c r="X245" s="842">
        <f>V474</f>
        <v/>
      </c>
      <c r="Y245" s="845">
        <f>V474/H474</f>
        <v/>
      </c>
      <c r="Z245" s="846">
        <f>SUM(V474-T474)/T474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H480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Q480</f>
        <v/>
      </c>
      <c r="U246" s="842" t="n">
        <v>0</v>
      </c>
      <c r="V246" s="842">
        <f>T480</f>
        <v/>
      </c>
      <c r="W246" s="842" t="n">
        <v>0</v>
      </c>
      <c r="X246" s="842">
        <f>V480</f>
        <v/>
      </c>
      <c r="Y246" s="845">
        <f>V480/H480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H481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Q481</f>
        <v/>
      </c>
      <c r="U247" s="842" t="n">
        <v>57500</v>
      </c>
      <c r="V247" s="842">
        <f>T481</f>
        <v/>
      </c>
      <c r="W247" s="842" t="n">
        <v>57500</v>
      </c>
      <c r="X247" s="842">
        <f>V481</f>
        <v/>
      </c>
      <c r="Y247" s="845">
        <f>V481/H481</f>
        <v/>
      </c>
      <c r="Z247" s="846">
        <f>SUM(V481-T481)/T481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H482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Q482</f>
        <v/>
      </c>
      <c r="U248" s="842" t="n">
        <v>36000</v>
      </c>
      <c r="V248" s="842">
        <f>T482</f>
        <v/>
      </c>
      <c r="W248" s="842" t="n">
        <v>35000</v>
      </c>
      <c r="X248" s="842">
        <f>V482</f>
        <v/>
      </c>
      <c r="Y248" s="845">
        <f>V482/H482</f>
        <v/>
      </c>
      <c r="Z248" s="846">
        <f>SUM(V482-T482)/T482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H483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Q483</f>
        <v/>
      </c>
      <c r="U249" s="842" t="n">
        <v>5665</v>
      </c>
      <c r="V249" s="842">
        <f>T483</f>
        <v/>
      </c>
      <c r="W249" s="842" t="n">
        <v>900</v>
      </c>
      <c r="X249" s="842">
        <f>V483</f>
        <v/>
      </c>
      <c r="Y249" s="845">
        <f>V483/H483</f>
        <v/>
      </c>
      <c r="Z249" s="846">
        <f>SUM(V483-T483)/T483</f>
        <v/>
      </c>
      <c r="AA249" s="842" t="n"/>
      <c r="AB249" s="590" t="n"/>
      <c r="AC249" s="847" t="n"/>
      <c r="AD249" s="841" t="inlineStr">
        <is>
          <t>No</t>
        </is>
      </c>
      <c r="AH249" s="312" t="n"/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H484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Q484</f>
        <v/>
      </c>
      <c r="U250" s="842" t="n">
        <v>90000</v>
      </c>
      <c r="V250" s="842">
        <f>T484</f>
        <v/>
      </c>
      <c r="W250" s="842" t="n">
        <v>100000</v>
      </c>
      <c r="X250" s="842">
        <f>V484</f>
        <v/>
      </c>
      <c r="Y250" s="845">
        <f>V484/H484</f>
        <v/>
      </c>
      <c r="Z250" s="846">
        <f>SUM(V484-T484)/T484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H485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Q485</f>
        <v/>
      </c>
      <c r="U251" s="842" t="n">
        <v>36500</v>
      </c>
      <c r="V251" s="842">
        <f>T485</f>
        <v/>
      </c>
      <c r="W251" s="842" t="n">
        <v>36500</v>
      </c>
      <c r="X251" s="842">
        <f>V485</f>
        <v/>
      </c>
      <c r="Y251" s="845">
        <f>V485/H485</f>
        <v/>
      </c>
      <c r="Z251" s="846">
        <f>SUM(V485-T485)/T485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H486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Q486</f>
        <v/>
      </c>
      <c r="U252" s="842" t="n">
        <v>23600</v>
      </c>
      <c r="V252" s="842">
        <f>T486</f>
        <v/>
      </c>
      <c r="W252" s="842" t="n">
        <v>24800</v>
      </c>
      <c r="X252" s="842">
        <f>V486</f>
        <v/>
      </c>
      <c r="Y252" s="845">
        <f>V486/H486</f>
        <v/>
      </c>
      <c r="Z252" s="846">
        <f>SUM(V486-T486)/T486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H487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Q487</f>
        <v/>
      </c>
      <c r="U253" s="842" t="n">
        <v>32300</v>
      </c>
      <c r="V253" s="842">
        <f>T487</f>
        <v/>
      </c>
      <c r="W253" s="842" t="n">
        <v>35363</v>
      </c>
      <c r="X253" s="842">
        <f>V487</f>
        <v/>
      </c>
      <c r="Y253" s="845">
        <f>V487/H487</f>
        <v/>
      </c>
      <c r="Z253" s="846">
        <f>SUM(V487-T487)/T487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H488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Q488</f>
        <v/>
      </c>
      <c r="U254" s="842" t="n">
        <v>26300</v>
      </c>
      <c r="V254" s="842">
        <f>T488</f>
        <v/>
      </c>
      <c r="W254" s="842" t="n">
        <v>27500</v>
      </c>
      <c r="X254" s="842">
        <f>V488</f>
        <v/>
      </c>
      <c r="Y254" s="845">
        <f>V488/H488</f>
        <v/>
      </c>
      <c r="Z254" s="846">
        <f>SUM(V488-T488)/T488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H489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Q489</f>
        <v/>
      </c>
      <c r="U255" s="842" t="n">
        <v>26500</v>
      </c>
      <c r="V255" s="842">
        <f>T489</f>
        <v/>
      </c>
      <c r="W255" s="842" t="n">
        <v>27700</v>
      </c>
      <c r="X255" s="842">
        <f>V489</f>
        <v/>
      </c>
      <c r="Y255" s="845">
        <f>V489/H489</f>
        <v/>
      </c>
      <c r="Z255" s="846">
        <f>SUM(V489-T489)/T489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H490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Q490</f>
        <v/>
      </c>
      <c r="U256" s="842" t="n">
        <v>31000</v>
      </c>
      <c r="V256" s="842">
        <f>T490</f>
        <v/>
      </c>
      <c r="W256" s="842" t="n">
        <v>32500</v>
      </c>
      <c r="X256" s="842">
        <f>V490</f>
        <v/>
      </c>
      <c r="Y256" s="845">
        <f>V490/H490</f>
        <v/>
      </c>
      <c r="Z256" s="846">
        <f>SUM(V490-T490)/T490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H491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Q491</f>
        <v/>
      </c>
      <c r="U257" s="842" t="n">
        <v>23600</v>
      </c>
      <c r="V257" s="842">
        <f>T491</f>
        <v/>
      </c>
      <c r="W257" s="842" t="n">
        <v>24800</v>
      </c>
      <c r="X257" s="842">
        <f>V491</f>
        <v/>
      </c>
      <c r="Y257" s="845">
        <f>V491/H491</f>
        <v/>
      </c>
      <c r="Z257" s="846">
        <f>SUM(V491-T491)/T491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H492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Q492</f>
        <v/>
      </c>
      <c r="U258" s="842" t="n">
        <v>34000</v>
      </c>
      <c r="V258" s="842">
        <f>T492</f>
        <v/>
      </c>
      <c r="W258" s="842" t="n">
        <v>34000</v>
      </c>
      <c r="X258" s="842">
        <f>V492</f>
        <v/>
      </c>
      <c r="Y258" s="845">
        <f>V492/H492</f>
        <v/>
      </c>
      <c r="Z258" s="846">
        <f>SUM(V492-T492)/T492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H498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Q498</f>
        <v/>
      </c>
      <c r="U259" s="842" t="n">
        <v>100000</v>
      </c>
      <c r="V259" s="842">
        <f>T498</f>
        <v/>
      </c>
      <c r="W259" s="842" t="n">
        <v>105000</v>
      </c>
      <c r="X259" s="842">
        <f>V498</f>
        <v/>
      </c>
      <c r="Y259" s="845">
        <f>V498/H498</f>
        <v/>
      </c>
      <c r="Z259" s="846">
        <f>SUM(V498-T498)/T498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H499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Q499</f>
        <v/>
      </c>
      <c r="U260" s="842" t="n">
        <v>90000</v>
      </c>
      <c r="V260" s="842">
        <f>T499</f>
        <v/>
      </c>
      <c r="W260" s="842" t="n">
        <v>100000</v>
      </c>
      <c r="X260" s="842">
        <f>V499</f>
        <v/>
      </c>
      <c r="Y260" s="845">
        <f>V499/H499</f>
        <v/>
      </c>
      <c r="Z260" s="846">
        <f>SUM(V499-T499)/T499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H500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Q500</f>
        <v/>
      </c>
      <c r="U261" s="842" t="n">
        <v>40000</v>
      </c>
      <c r="V261" s="842">
        <f>T500</f>
        <v/>
      </c>
      <c r="W261" s="842" t="n">
        <v>41800</v>
      </c>
      <c r="X261" s="842">
        <f>V500</f>
        <v/>
      </c>
      <c r="Y261" s="845">
        <f>V500/H500</f>
        <v/>
      </c>
      <c r="Z261" s="846">
        <f>SUM(V500-T500)/T500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H501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Q501</f>
        <v/>
      </c>
      <c r="U262" s="842" t="n">
        <v>35000</v>
      </c>
      <c r="V262" s="842">
        <f>T501</f>
        <v/>
      </c>
      <c r="W262" s="842" t="n">
        <v>40800</v>
      </c>
      <c r="X262" s="842">
        <f>V501</f>
        <v/>
      </c>
      <c r="Y262" s="845">
        <f>V501/H501</f>
        <v/>
      </c>
      <c r="Z262" s="846">
        <f>SUM(V501-T501)/T501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H502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Q502</f>
        <v/>
      </c>
      <c r="U263" s="842" t="n">
        <v>7000</v>
      </c>
      <c r="V263" s="842">
        <f>T502</f>
        <v/>
      </c>
      <c r="W263" s="842" t="n">
        <v>7360</v>
      </c>
      <c r="X263" s="842">
        <f>V502</f>
        <v/>
      </c>
      <c r="Y263" s="845">
        <f>V502/H502</f>
        <v/>
      </c>
      <c r="Z263" s="846">
        <f>SUM(V502-T502)/T502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H503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Q503</f>
        <v/>
      </c>
      <c r="U264" s="842" t="n">
        <v>38700</v>
      </c>
      <c r="V264" s="842">
        <f>T503</f>
        <v/>
      </c>
      <c r="W264" s="842" t="n">
        <v>40800</v>
      </c>
      <c r="X264" s="842">
        <f>V503</f>
        <v/>
      </c>
      <c r="Y264" s="845">
        <f>V503/H503</f>
        <v/>
      </c>
      <c r="Z264" s="846">
        <f>SUM(V503-T503)/T503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H504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Q504</f>
        <v/>
      </c>
      <c r="U265" s="842" t="n">
        <v>6300</v>
      </c>
      <c r="V265" s="842">
        <f>T504</f>
        <v/>
      </c>
      <c r="W265" s="842" t="n">
        <v>7500</v>
      </c>
      <c r="X265" s="842">
        <f>V504</f>
        <v/>
      </c>
      <c r="Y265" s="845">
        <f>V504/H504</f>
        <v/>
      </c>
      <c r="Z265" s="846">
        <f>SUM(V504-T504)/T504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H505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Q505</f>
        <v/>
      </c>
      <c r="U266" s="842" t="n">
        <v>35000</v>
      </c>
      <c r="V266" s="842">
        <f>T505</f>
        <v/>
      </c>
      <c r="W266" s="842" t="n">
        <v>41800</v>
      </c>
      <c r="X266" s="842">
        <f>V505</f>
        <v/>
      </c>
      <c r="Y266" s="845">
        <f>V505/H505</f>
        <v/>
      </c>
      <c r="Z266" s="846">
        <f>SUM(V505-T505)/T505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H506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Q506</f>
        <v/>
      </c>
      <c r="U267" s="842" t="n">
        <v>40000</v>
      </c>
      <c r="V267" s="842">
        <f>T506</f>
        <v/>
      </c>
      <c r="W267" s="842" t="n">
        <v>43700</v>
      </c>
      <c r="X267" s="842">
        <f>V506</f>
        <v/>
      </c>
      <c r="Y267" s="845">
        <f>V506/H506</f>
        <v/>
      </c>
      <c r="Z267" s="846">
        <f>SUM(V506-T506)/T506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H507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Q507</f>
        <v/>
      </c>
      <c r="U268" s="842" t="n">
        <v>35000</v>
      </c>
      <c r="V268" s="842">
        <f>T507</f>
        <v/>
      </c>
      <c r="W268" s="842" t="n">
        <v>38300</v>
      </c>
      <c r="X268" s="842">
        <f>V507</f>
        <v/>
      </c>
      <c r="Y268" s="845">
        <f>V507/H507</f>
        <v/>
      </c>
      <c r="Z268" s="846">
        <f>SUM(V507-T507)/T507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H508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Q508</f>
        <v/>
      </c>
      <c r="U269" s="842" t="n">
        <v>40000</v>
      </c>
      <c r="V269" s="842">
        <f>T508</f>
        <v/>
      </c>
      <c r="W269" s="842" t="n">
        <v>44100</v>
      </c>
      <c r="X269" s="842">
        <f>V508</f>
        <v/>
      </c>
      <c r="Y269" s="845">
        <f>V508/H508</f>
        <v/>
      </c>
      <c r="Z269" s="846">
        <f>SUM(V508-T508)/T508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H509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Q509</f>
        <v/>
      </c>
      <c r="U270" s="842" t="n">
        <v>35000</v>
      </c>
      <c r="V270" s="842">
        <f>T509</f>
        <v/>
      </c>
      <c r="W270" s="842" t="n">
        <v>37100</v>
      </c>
      <c r="X270" s="842">
        <f>V509</f>
        <v/>
      </c>
      <c r="Y270" s="845">
        <f>V509/H509</f>
        <v/>
      </c>
      <c r="Z270" s="846">
        <f>SUM(V509-T509)/T509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H510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Q510</f>
        <v/>
      </c>
      <c r="U271" s="842" t="n">
        <v>40000</v>
      </c>
      <c r="V271" s="842">
        <f>T510</f>
        <v/>
      </c>
      <c r="W271" s="842" t="n">
        <v>44100</v>
      </c>
      <c r="X271" s="842">
        <f>V510</f>
        <v/>
      </c>
      <c r="Y271" s="845">
        <f>V510/H510</f>
        <v/>
      </c>
      <c r="Z271" s="846">
        <f>SUM(V510-T510)/T510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H511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Q511</f>
        <v/>
      </c>
      <c r="U272" s="842" t="n">
        <v>30500</v>
      </c>
      <c r="V272" s="842">
        <f>T511</f>
        <v/>
      </c>
      <c r="W272" s="842" t="n">
        <v>30700</v>
      </c>
      <c r="X272" s="842">
        <f>V511</f>
        <v/>
      </c>
      <c r="Y272" s="845">
        <f>V511/H511</f>
        <v/>
      </c>
      <c r="Z272" s="846">
        <f>SUM(V511-T511)/T511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H517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Q517</f>
        <v/>
      </c>
      <c r="U273" s="842" t="n">
        <v>45350</v>
      </c>
      <c r="V273" s="842">
        <f>T517</f>
        <v/>
      </c>
      <c r="W273" s="842" t="n">
        <v>45350</v>
      </c>
      <c r="X273" s="842">
        <f>V517</f>
        <v/>
      </c>
      <c r="Y273" s="845">
        <f>V517/H517</f>
        <v/>
      </c>
      <c r="Z273" s="846">
        <f>SUM(V517-T517)/T517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H518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Q518</f>
        <v/>
      </c>
      <c r="U274" s="842" t="n">
        <v>20200</v>
      </c>
      <c r="V274" s="842">
        <f>T518</f>
        <v/>
      </c>
      <c r="W274" s="842" t="n">
        <v>20700</v>
      </c>
      <c r="X274" s="842">
        <f>V518</f>
        <v/>
      </c>
      <c r="Y274" s="845">
        <f>V518/H518</f>
        <v/>
      </c>
      <c r="Z274" s="846">
        <f>SUM(V518-T518)/T518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H519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Q519</f>
        <v/>
      </c>
      <c r="U275" s="842" t="n">
        <v>21000</v>
      </c>
      <c r="V275" s="842">
        <f>T519</f>
        <v/>
      </c>
      <c r="W275" s="842" t="n">
        <v>21600</v>
      </c>
      <c r="X275" s="842">
        <f>V519</f>
        <v/>
      </c>
      <c r="Y275" s="845">
        <f>V519/H519</f>
        <v/>
      </c>
      <c r="Z275" s="846">
        <f>SUM(V519-T519)/T519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H520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Q520</f>
        <v/>
      </c>
      <c r="U276" s="842" t="n">
        <v>19600</v>
      </c>
      <c r="V276" s="842">
        <f>T520</f>
        <v/>
      </c>
      <c r="W276" s="842" t="n">
        <v>20100</v>
      </c>
      <c r="X276" s="842">
        <f>V520</f>
        <v/>
      </c>
      <c r="Y276" s="845">
        <f>V520/H520</f>
        <v/>
      </c>
      <c r="Z276" s="846">
        <f>SUM(V520-T520)/T520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H521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Q521</f>
        <v/>
      </c>
      <c r="U277" s="842" t="n">
        <v>17500</v>
      </c>
      <c r="V277" s="842">
        <f>T521</f>
        <v/>
      </c>
      <c r="W277" s="842" t="n">
        <v>19600</v>
      </c>
      <c r="X277" s="842">
        <f>V521</f>
        <v/>
      </c>
      <c r="Y277" s="845">
        <f>V521/H521</f>
        <v/>
      </c>
      <c r="Z277" s="846">
        <f>SUM(V521-T521)/T521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H522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Q522</f>
        <v/>
      </c>
      <c r="U278" s="842" t="n">
        <v>17500</v>
      </c>
      <c r="V278" s="842">
        <f>T522</f>
        <v/>
      </c>
      <c r="W278" s="842" t="n">
        <v>19600</v>
      </c>
      <c r="X278" s="842">
        <f>V522</f>
        <v/>
      </c>
      <c r="Y278" s="845">
        <f>V522/H522</f>
        <v/>
      </c>
      <c r="Z278" s="846">
        <f>SUM(V522-T522)/T522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H528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Q528</f>
        <v/>
      </c>
      <c r="U279" s="842" t="n">
        <v>95000</v>
      </c>
      <c r="V279" s="842">
        <f>T528</f>
        <v/>
      </c>
      <c r="W279" s="842" t="n">
        <v>95000</v>
      </c>
      <c r="X279" s="842">
        <f>V528</f>
        <v/>
      </c>
      <c r="Y279" s="845">
        <f>V528/H528</f>
        <v/>
      </c>
      <c r="Z279" s="846">
        <f>SUM(V528-T528)/T528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H529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Q529</f>
        <v/>
      </c>
      <c r="U280" s="842" t="n">
        <v>379100</v>
      </c>
      <c r="V280" s="842">
        <f>T529</f>
        <v/>
      </c>
      <c r="W280" s="842" t="n">
        <v>424275</v>
      </c>
      <c r="X280" s="842">
        <f>V529</f>
        <v/>
      </c>
      <c r="Y280" s="845">
        <f>V529/H529</f>
        <v/>
      </c>
      <c r="Z280" s="846">
        <f>SUM(V529-T529)/T529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H530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Q530</f>
        <v/>
      </c>
      <c r="U281" s="842" t="n">
        <v>120700</v>
      </c>
      <c r="V281" s="842">
        <f>T530</f>
        <v/>
      </c>
      <c r="W281" s="842" t="n">
        <v>121100</v>
      </c>
      <c r="X281" s="842">
        <f>V530</f>
        <v/>
      </c>
      <c r="Y281" s="845">
        <f>V530/H530</f>
        <v/>
      </c>
      <c r="Z281" s="846">
        <f>SUM(V530-T530)/T530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H531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Q531</f>
        <v/>
      </c>
      <c r="U282" s="842" t="n">
        <v>61500</v>
      </c>
      <c r="V282" s="842">
        <f>T531</f>
        <v/>
      </c>
      <c r="W282" s="842" t="n">
        <v>63900</v>
      </c>
      <c r="X282" s="842">
        <f>V531</f>
        <v/>
      </c>
      <c r="Y282" s="845">
        <f>V531/H531</f>
        <v/>
      </c>
      <c r="Z282" s="846">
        <f>SUM(V531-T531)/T531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H532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Q532</f>
        <v/>
      </c>
      <c r="U283" s="842" t="n">
        <v>129200</v>
      </c>
      <c r="V283" s="842">
        <f>T532</f>
        <v/>
      </c>
      <c r="W283" s="842" t="n">
        <v>129700</v>
      </c>
      <c r="X283" s="842">
        <f>V532</f>
        <v/>
      </c>
      <c r="Y283" s="845">
        <f>V532/H532</f>
        <v/>
      </c>
      <c r="Z283" s="846">
        <f>SUM(V532-T532)/T532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H533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Q533</f>
        <v/>
      </c>
      <c r="U284" s="842" t="n">
        <v>59700</v>
      </c>
      <c r="V284" s="842">
        <f>T533</f>
        <v/>
      </c>
      <c r="W284" s="842" t="n">
        <v>63900</v>
      </c>
      <c r="X284" s="842">
        <f>V533</f>
        <v/>
      </c>
      <c r="Y284" s="845">
        <f>V533/H533</f>
        <v/>
      </c>
      <c r="Z284" s="846">
        <f>SUM(V533-T533)/T533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H534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Q534</f>
        <v/>
      </c>
      <c r="U285" s="842" t="n">
        <v>122200</v>
      </c>
      <c r="V285" s="842">
        <f>T534</f>
        <v/>
      </c>
      <c r="W285" s="842" t="n">
        <v>126200</v>
      </c>
      <c r="X285" s="842">
        <f>V534</f>
        <v/>
      </c>
      <c r="Y285" s="845">
        <f>V534/H534</f>
        <v/>
      </c>
      <c r="Z285" s="846">
        <f>SUM(V534-T534)/T534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H535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Q535</f>
        <v/>
      </c>
      <c r="U286" s="842" t="n">
        <v>117900</v>
      </c>
      <c r="V286" s="842">
        <f>T535</f>
        <v/>
      </c>
      <c r="W286" s="842" t="n">
        <v>119600</v>
      </c>
      <c r="X286" s="842">
        <f>V535</f>
        <v/>
      </c>
      <c r="Y286" s="845">
        <f>V535/H535</f>
        <v/>
      </c>
      <c r="Z286" s="846">
        <f>SUM(V535-T535)/T535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H536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Q536</f>
        <v/>
      </c>
      <c r="U287" s="842" t="n">
        <v>94300</v>
      </c>
      <c r="V287" s="842">
        <f>T536</f>
        <v/>
      </c>
      <c r="W287" s="842" t="n">
        <v>98500</v>
      </c>
      <c r="X287" s="842">
        <f>V536</f>
        <v/>
      </c>
      <c r="Y287" s="845">
        <f>V536/H536</f>
        <v/>
      </c>
      <c r="Z287" s="846">
        <f>SUM(V536-T536)/T536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H542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Q542</f>
        <v/>
      </c>
      <c r="U288" s="842" t="n">
        <v>13900</v>
      </c>
      <c r="V288" s="842">
        <f>T542</f>
        <v/>
      </c>
      <c r="W288" s="842" t="n">
        <v>13900</v>
      </c>
      <c r="X288" s="842">
        <f>V542</f>
        <v/>
      </c>
      <c r="Y288" s="845">
        <f>V542/H542</f>
        <v/>
      </c>
      <c r="Z288" s="846">
        <f>SUM(V542-T542)/T542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H543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Q543</f>
        <v/>
      </c>
      <c r="U289" s="842" t="n">
        <v>55600</v>
      </c>
      <c r="V289" s="842">
        <f>T543</f>
        <v/>
      </c>
      <c r="W289" s="842" t="n">
        <v>58100</v>
      </c>
      <c r="X289" s="842">
        <f>V543</f>
        <v/>
      </c>
      <c r="Y289" s="845">
        <f>V543/H543</f>
        <v/>
      </c>
      <c r="Z289" s="846">
        <f>SUM(V543-T543)/T543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H544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Q544</f>
        <v/>
      </c>
      <c r="U290" s="842" t="n">
        <v>53400</v>
      </c>
      <c r="V290" s="842">
        <f>T544</f>
        <v/>
      </c>
      <c r="W290" s="842" t="n">
        <v>55800</v>
      </c>
      <c r="X290" s="842">
        <f>V544</f>
        <v/>
      </c>
      <c r="Y290" s="845">
        <f>V544/H544</f>
        <v/>
      </c>
      <c r="Z290" s="846">
        <f>SUM(V544-T544)/T544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H545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Q545</f>
        <v/>
      </c>
      <c r="U291" s="842" t="n">
        <v>52500</v>
      </c>
      <c r="V291" s="842">
        <f>T545</f>
        <v/>
      </c>
      <c r="W291" s="842" t="n">
        <v>55000</v>
      </c>
      <c r="X291" s="842">
        <f>V545</f>
        <v/>
      </c>
      <c r="Y291" s="845">
        <f>V545/H545</f>
        <v/>
      </c>
      <c r="Z291" s="846">
        <f>SUM(V545-T545)/T545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H551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Q551</f>
        <v/>
      </c>
      <c r="U292" s="842" t="n">
        <v>53600</v>
      </c>
      <c r="V292" s="842">
        <f>T551</f>
        <v/>
      </c>
      <c r="W292" s="842" t="n">
        <v>54700</v>
      </c>
      <c r="X292" s="842">
        <f>V551</f>
        <v/>
      </c>
      <c r="Y292" s="845">
        <f>V551/H551</f>
        <v/>
      </c>
      <c r="Z292" s="846">
        <f>SUM(V551-T551)/T551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H552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Q552</f>
        <v/>
      </c>
      <c r="U293" s="842" t="n">
        <v>90600</v>
      </c>
      <c r="V293" s="842">
        <f>T552</f>
        <v/>
      </c>
      <c r="W293" s="842" t="n">
        <v>91500</v>
      </c>
      <c r="X293" s="842">
        <f>V552</f>
        <v/>
      </c>
      <c r="Y293" s="845">
        <f>V552/H552</f>
        <v/>
      </c>
      <c r="Z293" s="846">
        <f>SUM(V552-T552)/T552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H553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Q553</f>
        <v/>
      </c>
      <c r="U294" s="842" t="n">
        <v>75000</v>
      </c>
      <c r="V294" s="842">
        <f>T553</f>
        <v/>
      </c>
      <c r="W294" s="842" t="n">
        <v>87300</v>
      </c>
      <c r="X294" s="842">
        <f>V553</f>
        <v/>
      </c>
      <c r="Y294" s="845">
        <f>V553/H553</f>
        <v/>
      </c>
      <c r="Z294" s="846">
        <f>SUM(V553-T553)/T553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H554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Q554</f>
        <v/>
      </c>
      <c r="U295" s="842" t="n">
        <v>73600</v>
      </c>
      <c r="V295" s="842">
        <f>T554</f>
        <v/>
      </c>
      <c r="W295" s="842" t="n">
        <v>74300</v>
      </c>
      <c r="X295" s="842">
        <f>V554</f>
        <v/>
      </c>
      <c r="Y295" s="845">
        <f>V554/H554</f>
        <v/>
      </c>
      <c r="Z295" s="846">
        <f>SUM(V554-T554)/T554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H555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Q555</f>
        <v/>
      </c>
      <c r="U296" s="842" t="n">
        <v>45600</v>
      </c>
      <c r="V296" s="842">
        <f>T555</f>
        <v/>
      </c>
      <c r="W296" s="842" t="n">
        <v>52300</v>
      </c>
      <c r="X296" s="842">
        <f>V555</f>
        <v/>
      </c>
      <c r="Y296" s="845">
        <f>V555/H555</f>
        <v/>
      </c>
      <c r="Z296" s="846">
        <f>SUM(V555-T555)/T555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H556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Q556</f>
        <v/>
      </c>
      <c r="U297" s="842" t="n">
        <v>72300</v>
      </c>
      <c r="V297" s="842">
        <f>T556</f>
        <v/>
      </c>
      <c r="W297" s="842" t="n">
        <v>76100</v>
      </c>
      <c r="X297" s="842">
        <f>V556</f>
        <v/>
      </c>
      <c r="Y297" s="845">
        <f>V556/H556</f>
        <v/>
      </c>
      <c r="Z297" s="846">
        <f>SUM(V556-T556)/T556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H557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Q557</f>
        <v/>
      </c>
      <c r="U298" s="842" t="n">
        <v>46300</v>
      </c>
      <c r="V298" s="842">
        <f>T557</f>
        <v/>
      </c>
      <c r="W298" s="842" t="n">
        <v>51500</v>
      </c>
      <c r="X298" s="842">
        <f>V557</f>
        <v/>
      </c>
      <c r="Y298" s="845">
        <f>V557/H557</f>
        <v/>
      </c>
      <c r="Z298" s="846">
        <f>SUM(V557-T557)/T557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H558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Q558</f>
        <v/>
      </c>
      <c r="U299" s="842" t="n">
        <v>63800</v>
      </c>
      <c r="V299" s="842">
        <f>T558</f>
        <v/>
      </c>
      <c r="W299" s="842" t="n">
        <v>67000</v>
      </c>
      <c r="X299" s="842">
        <f>V558</f>
        <v/>
      </c>
      <c r="Y299" s="845">
        <f>V558/H558</f>
        <v/>
      </c>
      <c r="Z299" s="846">
        <f>SUM(V558-T558)/T558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H559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Q559</f>
        <v/>
      </c>
      <c r="U300" s="842" t="n">
        <v>46100</v>
      </c>
      <c r="V300" s="842">
        <f>T559</f>
        <v/>
      </c>
      <c r="W300" s="842" t="n">
        <v>47500</v>
      </c>
      <c r="X300" s="842">
        <f>V559</f>
        <v/>
      </c>
      <c r="Y300" s="845">
        <f>V559/H559</f>
        <v/>
      </c>
      <c r="Z300" s="846">
        <f>SUM(V559-T559)/T559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H560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Q560</f>
        <v/>
      </c>
      <c r="U301" s="842" t="n">
        <v>55600</v>
      </c>
      <c r="V301" s="842">
        <f>T560</f>
        <v/>
      </c>
      <c r="W301" s="842" t="n">
        <v>59300</v>
      </c>
      <c r="X301" s="842">
        <f>V560</f>
        <v/>
      </c>
      <c r="Y301" s="845">
        <f>V560/H560</f>
        <v/>
      </c>
      <c r="Z301" s="846">
        <f>SUM(V560-T560)/T560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H561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Q561</f>
        <v/>
      </c>
      <c r="U302" s="842" t="n">
        <v>36800</v>
      </c>
      <c r="V302" s="842">
        <f>T561</f>
        <v/>
      </c>
      <c r="W302" s="842" t="n">
        <v>37600</v>
      </c>
      <c r="X302" s="842">
        <f>V561</f>
        <v/>
      </c>
      <c r="Y302" s="845">
        <f>V561/H561</f>
        <v/>
      </c>
      <c r="Z302" s="846">
        <f>SUM(V561-T561)/T561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H562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Q562</f>
        <v/>
      </c>
      <c r="U303" s="842" t="n">
        <v>44700</v>
      </c>
      <c r="V303" s="842">
        <f>T562</f>
        <v/>
      </c>
      <c r="W303" s="842" t="n">
        <v>45600</v>
      </c>
      <c r="X303" s="842">
        <f>V562</f>
        <v/>
      </c>
      <c r="Y303" s="845">
        <f>V562/H562</f>
        <v/>
      </c>
      <c r="Z303" s="846">
        <f>SUM(V562-T562)/T562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H563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Q563</f>
        <v/>
      </c>
      <c r="U304" s="842" t="n">
        <v>27300</v>
      </c>
      <c r="V304" s="842">
        <f>T563</f>
        <v/>
      </c>
      <c r="W304" s="842" t="n">
        <v>28900</v>
      </c>
      <c r="X304" s="842">
        <f>V563</f>
        <v/>
      </c>
      <c r="Y304" s="845">
        <f>V563/H563</f>
        <v/>
      </c>
      <c r="Z304" s="846">
        <f>SUM(V563-T563)/T563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H569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Q569</f>
        <v/>
      </c>
      <c r="U305" s="842" t="n">
        <v>106000</v>
      </c>
      <c r="V305" s="842">
        <f>T569</f>
        <v/>
      </c>
      <c r="W305" s="842" t="n">
        <v>106000</v>
      </c>
      <c r="X305" s="842">
        <f>V569</f>
        <v/>
      </c>
      <c r="Y305" s="845">
        <f>V569/H569</f>
        <v/>
      </c>
      <c r="Z305" s="846">
        <f>SUM(V569-T569)/T569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H570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Q570</f>
        <v/>
      </c>
      <c r="U306" s="842" t="n">
        <v>53800</v>
      </c>
      <c r="V306" s="842">
        <f>T570</f>
        <v/>
      </c>
      <c r="W306" s="842" t="n">
        <v>53800</v>
      </c>
      <c r="X306" s="842">
        <f>V570</f>
        <v/>
      </c>
      <c r="Y306" s="845">
        <f>V570/H570</f>
        <v/>
      </c>
      <c r="Z306" s="846">
        <f>SUM(V570-T570)/T570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H576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Q576</f>
        <v/>
      </c>
      <c r="T307" s="591">
        <f>R576</f>
        <v/>
      </c>
      <c r="U307" s="591" t="n">
        <v>364600</v>
      </c>
      <c r="V307" s="842">
        <f>T576</f>
        <v/>
      </c>
      <c r="W307" s="591" t="n">
        <v>414100</v>
      </c>
      <c r="X307" s="842">
        <f>V576</f>
        <v/>
      </c>
      <c r="Y307" s="845">
        <f>V576/H576</f>
        <v/>
      </c>
      <c r="Z307" s="846">
        <f>SUM(V576-T576)/T576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H580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Q580</f>
        <v/>
      </c>
      <c r="U308" s="848" t="n">
        <v>100000</v>
      </c>
      <c r="V308" s="842">
        <f>T580</f>
        <v/>
      </c>
      <c r="W308" s="848" t="n">
        <v>100000</v>
      </c>
      <c r="X308" s="842">
        <f>V580</f>
        <v/>
      </c>
      <c r="Y308" s="845">
        <f>V580/H580</f>
        <v/>
      </c>
      <c r="Z308" s="846">
        <f>SUM(V580-T580)/T580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H581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Q581</f>
        <v/>
      </c>
      <c r="U309" s="848" t="n">
        <v>109600</v>
      </c>
      <c r="V309" s="842">
        <f>T581</f>
        <v/>
      </c>
      <c r="W309" s="848" t="n">
        <v>112000</v>
      </c>
      <c r="X309" s="842">
        <f>V581</f>
        <v/>
      </c>
      <c r="Y309" s="845">
        <f>V581/H581</f>
        <v/>
      </c>
      <c r="Z309" s="846">
        <f>SUM(V581-T581)/T581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H582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Q582</f>
        <v/>
      </c>
      <c r="U310" s="848" t="n">
        <v>124700</v>
      </c>
      <c r="V310" s="842">
        <f>T582</f>
        <v/>
      </c>
      <c r="W310" s="848" t="n">
        <v>125100</v>
      </c>
      <c r="X310" s="842">
        <f>V582</f>
        <v/>
      </c>
      <c r="Y310" s="845">
        <f>V582/H582</f>
        <v/>
      </c>
      <c r="Z310" s="846">
        <f>SUM(V582-T582)/T582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H583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Q583</f>
        <v/>
      </c>
      <c r="U311" s="848" t="n">
        <v>64100</v>
      </c>
      <c r="V311" s="842">
        <f>T583</f>
        <v/>
      </c>
      <c r="W311" s="848" t="n">
        <v>63100</v>
      </c>
      <c r="X311" s="842">
        <f>V583</f>
        <v/>
      </c>
      <c r="Y311" s="845">
        <f>V583/H583</f>
        <v/>
      </c>
      <c r="Z311" s="846">
        <f>SUM(V583-T583)/T583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H584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Q584</f>
        <v/>
      </c>
      <c r="U312" s="848" t="n">
        <v>67300</v>
      </c>
      <c r="V312" s="842">
        <f>T584</f>
        <v/>
      </c>
      <c r="W312" s="848" t="n">
        <v>69000</v>
      </c>
      <c r="X312" s="842">
        <f>V584</f>
        <v/>
      </c>
      <c r="Y312" s="845">
        <f>V584/H584</f>
        <v/>
      </c>
      <c r="Z312" s="846">
        <f>SUM(V584-T584)/T584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H585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Q585</f>
        <v/>
      </c>
      <c r="U313" s="848" t="n">
        <v>67600</v>
      </c>
      <c r="V313" s="842">
        <f>T585</f>
        <v/>
      </c>
      <c r="W313" s="848" t="n">
        <v>68900</v>
      </c>
      <c r="X313" s="842">
        <f>V585</f>
        <v/>
      </c>
      <c r="Y313" s="845">
        <f>V585/H585</f>
        <v/>
      </c>
      <c r="Z313" s="846">
        <f>SUM(V585-T585)/T585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H586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Q586</f>
        <v/>
      </c>
      <c r="U314" s="848" t="n">
        <v>61000</v>
      </c>
      <c r="V314" s="842">
        <f>T586</f>
        <v/>
      </c>
      <c r="W314" s="848" t="n">
        <v>60700</v>
      </c>
      <c r="X314" s="842">
        <f>V586</f>
        <v/>
      </c>
      <c r="Y314" s="845">
        <f>V586/H586</f>
        <v/>
      </c>
      <c r="Z314" s="846">
        <f>SUM(V586-T586)/T586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H587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Q587</f>
        <v/>
      </c>
      <c r="U315" s="848" t="n">
        <v>37700</v>
      </c>
      <c r="V315" s="842">
        <f>T587</f>
        <v/>
      </c>
      <c r="W315" s="848" t="n">
        <v>46800</v>
      </c>
      <c r="X315" s="842">
        <f>V587</f>
        <v/>
      </c>
      <c r="Y315" s="845">
        <f>V587/H587</f>
        <v/>
      </c>
      <c r="Z315" s="846">
        <f>SUM(V587-T587)/T587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H588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Q588</f>
        <v/>
      </c>
      <c r="U316" s="848" t="n">
        <v>39100</v>
      </c>
      <c r="V316" s="842">
        <f>T588</f>
        <v/>
      </c>
      <c r="W316" s="848" t="n">
        <v>39200</v>
      </c>
      <c r="X316" s="842">
        <f>V588</f>
        <v/>
      </c>
      <c r="Y316" s="845">
        <f>V588/H588</f>
        <v/>
      </c>
      <c r="Z316" s="846">
        <f>SUM(V588-T588)/T588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H589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Q589</f>
        <v/>
      </c>
      <c r="U317" s="848" t="n">
        <v>37300</v>
      </c>
      <c r="V317" s="842">
        <f>T589</f>
        <v/>
      </c>
      <c r="W317" s="848" t="n">
        <v>33200</v>
      </c>
      <c r="X317" s="842">
        <f>V589</f>
        <v/>
      </c>
      <c r="Y317" s="845">
        <f>V589/H589</f>
        <v/>
      </c>
      <c r="Z317" s="846">
        <f>SUM(V589-T589)/T589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H595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Q595</f>
        <v/>
      </c>
      <c r="U318" s="634" t="n">
        <v>210000</v>
      </c>
      <c r="V318" s="842">
        <f>T595</f>
        <v/>
      </c>
      <c r="W318" s="634" t="n">
        <v>232000</v>
      </c>
      <c r="X318" s="842">
        <f>V595</f>
        <v/>
      </c>
      <c r="Y318" s="845">
        <f>V595/H595</f>
        <v/>
      </c>
      <c r="Z318" s="846">
        <f>SUM(V595-T595)/T595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H596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Q596</f>
        <v/>
      </c>
      <c r="U319" s="842" t="n">
        <v>1688000</v>
      </c>
      <c r="V319" s="842">
        <f>T596</f>
        <v/>
      </c>
      <c r="W319" s="842" t="n">
        <v>1953000</v>
      </c>
      <c r="X319" s="842">
        <f>V596</f>
        <v/>
      </c>
      <c r="Y319" s="845">
        <f>V596/H596</f>
        <v/>
      </c>
      <c r="Z319" s="846">
        <f>SUM(V596-T596)/T596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H603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Q603</f>
        <v/>
      </c>
      <c r="U320" s="842" t="n">
        <v>69900</v>
      </c>
      <c r="V320" s="842">
        <f>T603</f>
        <v/>
      </c>
      <c r="W320" s="842" t="n">
        <v>69900</v>
      </c>
      <c r="X320" s="842">
        <f>V603</f>
        <v/>
      </c>
      <c r="Y320" s="845">
        <f>V603/H603</f>
        <v/>
      </c>
      <c r="Z320" s="846">
        <f>SUM(V603-T603)/T603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H604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Q604</f>
        <v/>
      </c>
      <c r="U321" s="842" t="n">
        <v>64900</v>
      </c>
      <c r="V321" s="842">
        <f>T604</f>
        <v/>
      </c>
      <c r="W321" s="842" t="n">
        <v>64900</v>
      </c>
      <c r="X321" s="842">
        <f>V604</f>
        <v/>
      </c>
      <c r="Y321" s="845">
        <f>V604/H604</f>
        <v/>
      </c>
      <c r="Z321" s="846">
        <f>SUM(V604-T604)/T604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H605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Q605</f>
        <v/>
      </c>
      <c r="U322" s="842" t="n">
        <v>53100</v>
      </c>
      <c r="V322" s="842">
        <f>T605</f>
        <v/>
      </c>
      <c r="W322" s="842" t="n">
        <v>53100</v>
      </c>
      <c r="X322" s="842">
        <f>V605</f>
        <v/>
      </c>
      <c r="Y322" s="845">
        <f>V605/H605</f>
        <v/>
      </c>
      <c r="Z322" s="846">
        <f>SUM(V605-T605)/T605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H606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Q606</f>
        <v/>
      </c>
      <c r="U323" s="842" t="n">
        <v>51200</v>
      </c>
      <c r="V323" s="842">
        <f>T606</f>
        <v/>
      </c>
      <c r="W323" s="842" t="n">
        <v>51200</v>
      </c>
      <c r="X323" s="842">
        <f>V606</f>
        <v/>
      </c>
      <c r="Y323" s="845">
        <f>V606/H606</f>
        <v/>
      </c>
      <c r="Z323" s="846">
        <f>SUM(V606-T606)/T606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H607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Q607</f>
        <v/>
      </c>
      <c r="U324" s="842" t="n">
        <v>146200</v>
      </c>
      <c r="V324" s="842">
        <f>T607</f>
        <v/>
      </c>
      <c r="W324" s="842" t="n">
        <v>146200</v>
      </c>
      <c r="X324" s="842">
        <f>V607</f>
        <v/>
      </c>
      <c r="Y324" s="845">
        <f>V607/H607</f>
        <v/>
      </c>
      <c r="Z324" s="846">
        <f>SUM(V607-T607)/T607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H608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Q608</f>
        <v/>
      </c>
      <c r="U325" s="842" t="n">
        <v>85800</v>
      </c>
      <c r="V325" s="842">
        <f>T608</f>
        <v/>
      </c>
      <c r="W325" s="842" t="n">
        <v>85800</v>
      </c>
      <c r="X325" s="842">
        <f>V608</f>
        <v/>
      </c>
      <c r="Y325" s="845">
        <f>V608/H608</f>
        <v/>
      </c>
      <c r="Z325" s="846">
        <f>SUM(V608-T608)/T608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H609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Q609</f>
        <v/>
      </c>
      <c r="U326" s="842" t="n">
        <v>80000</v>
      </c>
      <c r="V326" s="842">
        <f>T609</f>
        <v/>
      </c>
      <c r="W326" s="842" t="n">
        <v>80000</v>
      </c>
      <c r="X326" s="842">
        <f>V609</f>
        <v/>
      </c>
      <c r="Y326" s="845">
        <f>V609/H609</f>
        <v/>
      </c>
      <c r="Z326" s="846">
        <f>SUM(V609-T609)/T609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H610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Q610</f>
        <v/>
      </c>
      <c r="U327" s="842" t="n">
        <v>76700</v>
      </c>
      <c r="V327" s="842">
        <f>T610</f>
        <v/>
      </c>
      <c r="W327" s="842" t="n">
        <v>76700</v>
      </c>
      <c r="X327" s="842">
        <f>V610</f>
        <v/>
      </c>
      <c r="Y327" s="845">
        <f>V610/H610</f>
        <v/>
      </c>
      <c r="Z327" s="846">
        <f>SUM(V610-T610)/T610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H611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Q611</f>
        <v/>
      </c>
      <c r="U328" s="842" t="n">
        <v>70500</v>
      </c>
      <c r="V328" s="842">
        <f>T611</f>
        <v/>
      </c>
      <c r="W328" s="842" t="n">
        <v>70500</v>
      </c>
      <c r="X328" s="842">
        <f>V611</f>
        <v/>
      </c>
      <c r="Y328" s="845">
        <f>V611/H611</f>
        <v/>
      </c>
      <c r="Z328" s="846">
        <f>SUM(V611-T611)/T611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H612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Q612</f>
        <v/>
      </c>
      <c r="U329" s="842" t="n">
        <v>75400</v>
      </c>
      <c r="V329" s="842">
        <f>T612</f>
        <v/>
      </c>
      <c r="W329" s="842" t="n">
        <v>75400</v>
      </c>
      <c r="X329" s="842">
        <f>V612</f>
        <v/>
      </c>
      <c r="Y329" s="845">
        <f>V612/H612</f>
        <v/>
      </c>
      <c r="Z329" s="846">
        <f>SUM(V612-T612)/T612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H613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Q613</f>
        <v/>
      </c>
      <c r="U330" s="842" t="n">
        <v>66200</v>
      </c>
      <c r="V330" s="842">
        <f>T613</f>
        <v/>
      </c>
      <c r="W330" s="842" t="n">
        <v>66200</v>
      </c>
      <c r="X330" s="842">
        <f>V613</f>
        <v/>
      </c>
      <c r="Y330" s="845">
        <f>V613/H613</f>
        <v/>
      </c>
      <c r="Z330" s="846">
        <f>SUM(V613-T613)/T613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H619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Q619</f>
        <v/>
      </c>
      <c r="T331" s="591">
        <f>R619</f>
        <v/>
      </c>
      <c r="U331" s="591" t="n">
        <v>750000</v>
      </c>
      <c r="V331" s="591">
        <f>T619</f>
        <v/>
      </c>
      <c r="W331" s="591" t="n">
        <v>685000</v>
      </c>
      <c r="X331" s="591">
        <f>V619</f>
        <v/>
      </c>
      <c r="Y331" s="845">
        <f>V619/H619</f>
        <v/>
      </c>
      <c r="Z331" s="846">
        <f>SUM(V619-T619)/T619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H624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Q624</f>
        <v/>
      </c>
      <c r="U332" s="848" t="n">
        <v>616000</v>
      </c>
      <c r="V332" s="842">
        <f>T624</f>
        <v/>
      </c>
      <c r="W332" s="848" t="n">
        <v>617000</v>
      </c>
      <c r="X332" s="842">
        <f>V624</f>
        <v/>
      </c>
      <c r="Y332" s="845">
        <f>V624/H624</f>
        <v/>
      </c>
      <c r="Z332" s="846">
        <f>SUM(V624-T624)/T624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H625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Q625</f>
        <v/>
      </c>
      <c r="U333" s="848" t="n">
        <v>65000</v>
      </c>
      <c r="V333" s="842">
        <f>T625</f>
        <v/>
      </c>
      <c r="W333" s="848" t="n">
        <v>0</v>
      </c>
      <c r="X333" s="842">
        <f>V625</f>
        <v/>
      </c>
      <c r="Y333" s="845">
        <f>V625/H625</f>
        <v/>
      </c>
      <c r="Z333" s="846">
        <f>SUM(V625-T625)/T625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H626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Q626</f>
        <v/>
      </c>
      <c r="U334" s="848" t="n">
        <v>130000</v>
      </c>
      <c r="V334" s="842">
        <f>T626</f>
        <v/>
      </c>
      <c r="W334" s="848" t="n">
        <v>130000</v>
      </c>
      <c r="X334" s="842">
        <f>V626</f>
        <v/>
      </c>
      <c r="Y334" s="845">
        <f>V626/H626</f>
        <v/>
      </c>
      <c r="Z334" s="846">
        <f>SUM(V626-T626)/T626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H633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Q633</f>
        <v/>
      </c>
      <c r="U335" s="842" t="n">
        <v>522500</v>
      </c>
      <c r="V335" s="842">
        <f>T633</f>
        <v/>
      </c>
      <c r="W335" s="842" t="n">
        <v>522500</v>
      </c>
      <c r="X335" s="842">
        <f>V633</f>
        <v/>
      </c>
      <c r="Y335" s="845">
        <f>V633/H633</f>
        <v/>
      </c>
      <c r="Z335" s="846">
        <f>SUM(V633-T633)/T633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H634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Q634</f>
        <v/>
      </c>
      <c r="U336" s="842" t="n">
        <v>115000</v>
      </c>
      <c r="V336" s="842">
        <f>T634</f>
        <v/>
      </c>
      <c r="W336" s="842" t="n">
        <v>115000</v>
      </c>
      <c r="X336" s="842">
        <f>V634</f>
        <v/>
      </c>
      <c r="Y336" s="845">
        <f>V634/H634</f>
        <v/>
      </c>
      <c r="Z336" s="846">
        <f>SUM(V634-T634)/T634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H640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Q640</f>
        <v/>
      </c>
      <c r="T337" s="591">
        <f>R640</f>
        <v/>
      </c>
      <c r="U337" s="591" t="n">
        <v>2569000</v>
      </c>
      <c r="V337" s="842">
        <f>T640</f>
        <v/>
      </c>
      <c r="W337" s="591" t="n">
        <v>3039000</v>
      </c>
      <c r="X337" s="842">
        <f>V640</f>
        <v/>
      </c>
      <c r="Y337" s="845">
        <f>V640/H640</f>
        <v/>
      </c>
      <c r="Z337" s="846">
        <f>SUM(V640-T640)/T640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H645</f>
        <v/>
      </c>
      <c r="L338" s="840" t="inlineStr">
        <is>
          <t>Building Workshop</t>
        </is>
      </c>
      <c r="R338" s="842" t="n">
        <v>0</v>
      </c>
      <c r="S338" s="842">
        <f>Q645</f>
        <v/>
      </c>
      <c r="U338" s="842" t="n">
        <v>2007</v>
      </c>
      <c r="V338" s="842">
        <f>T645</f>
        <v/>
      </c>
      <c r="W338" s="842" t="n">
        <v>2007</v>
      </c>
      <c r="X338" s="842">
        <f>V645</f>
        <v/>
      </c>
      <c r="Y338" s="845">
        <f>V645/H645</f>
        <v/>
      </c>
      <c r="Z338" s="846">
        <f>SUM(V645-T645)/T645</f>
        <v/>
      </c>
      <c r="AA338" s="842" t="n"/>
      <c r="AB338" s="590" t="n"/>
      <c r="AC338" s="847" t="n"/>
      <c r="AD338" s="841" t="inlineStr">
        <is>
          <t>No</t>
        </is>
      </c>
      <c r="AH338" s="312" t="n"/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H646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Q646</f>
        <v/>
      </c>
      <c r="U339" s="842" t="n">
        <v>7993</v>
      </c>
      <c r="V339" s="842" t="n"/>
      <c r="W339" s="842" t="n">
        <v>7993</v>
      </c>
      <c r="X339" s="842" t="n"/>
      <c r="Y339" s="845">
        <f>V646/H646</f>
        <v/>
      </c>
      <c r="Z339" s="846">
        <f>SUM(V646-T646)/T646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H647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Q647</f>
        <v/>
      </c>
      <c r="U340" s="842" t="n">
        <v>12500</v>
      </c>
      <c r="V340" s="842">
        <f>T647</f>
        <v/>
      </c>
      <c r="W340" s="842" t="n">
        <v>12500</v>
      </c>
      <c r="X340" s="842">
        <f>V647</f>
        <v/>
      </c>
      <c r="Y340" s="845">
        <f>V647/H647</f>
        <v/>
      </c>
      <c r="Z340" s="846">
        <f>SUM(V647-T647)/T647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H648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Q648</f>
        <v/>
      </c>
      <c r="U341" s="842" t="n">
        <v>216700</v>
      </c>
      <c r="V341" s="842">
        <f>T648</f>
        <v/>
      </c>
      <c r="W341" s="842" t="n">
        <v>216700</v>
      </c>
      <c r="X341" s="842">
        <f>V648</f>
        <v/>
      </c>
      <c r="Y341" s="845">
        <f>V648/H648</f>
        <v/>
      </c>
      <c r="Z341" s="846">
        <f>SUM(V648-T648)/T648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H649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Q649</f>
        <v/>
      </c>
      <c r="U342" s="842" t="n">
        <v>107600</v>
      </c>
      <c r="V342" s="842">
        <f>T649</f>
        <v/>
      </c>
      <c r="W342" s="842" t="n">
        <v>107600</v>
      </c>
      <c r="X342" s="842">
        <f>V649</f>
        <v/>
      </c>
      <c r="Y342" s="845">
        <f>V649/H649</f>
        <v/>
      </c>
      <c r="Z342" s="846">
        <f>SUM(V649-T649)/T649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H650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Q650</f>
        <v/>
      </c>
      <c r="U343" s="842" t="n">
        <v>122400</v>
      </c>
      <c r="V343" s="842">
        <f>T650</f>
        <v/>
      </c>
      <c r="W343" s="842" t="n">
        <v>122400</v>
      </c>
      <c r="X343" s="842">
        <f>V650</f>
        <v/>
      </c>
      <c r="Y343" s="845">
        <f>V650/H650</f>
        <v/>
      </c>
      <c r="Z343" s="846">
        <f>SUM(V650-T650)/T650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H651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Q651</f>
        <v/>
      </c>
      <c r="U344" s="842" t="n">
        <v>85500</v>
      </c>
      <c r="V344" s="842">
        <f>T651</f>
        <v/>
      </c>
      <c r="W344" s="842" t="n">
        <v>100000</v>
      </c>
      <c r="X344" s="842">
        <f>V651</f>
        <v/>
      </c>
      <c r="Y344" s="845">
        <f>V651/H651</f>
        <v/>
      </c>
      <c r="Z344" s="846">
        <f>SUM(V651-T651)/T651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H652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Q652</f>
        <v/>
      </c>
      <c r="U345" s="842" t="n">
        <v>144000</v>
      </c>
      <c r="V345" s="842">
        <f>T652</f>
        <v/>
      </c>
      <c r="W345" s="842" t="n">
        <v>167400</v>
      </c>
      <c r="X345" s="842">
        <f>V652</f>
        <v/>
      </c>
      <c r="Y345" s="845">
        <f>V652/H652</f>
        <v/>
      </c>
      <c r="Z345" s="846">
        <f>SUM(V652-T652)/T652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H653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Q653</f>
        <v/>
      </c>
      <c r="U346" s="842" t="n">
        <v>390000</v>
      </c>
      <c r="V346" s="842">
        <f>T653</f>
        <v/>
      </c>
      <c r="W346" s="842" t="n">
        <v>390000</v>
      </c>
      <c r="X346" s="842">
        <f>V653</f>
        <v/>
      </c>
      <c r="Y346" s="845">
        <f>V653/H653</f>
        <v/>
      </c>
      <c r="Z346" s="846">
        <f>SUM(V653-T653)/T653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H654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Q654</f>
        <v/>
      </c>
      <c r="U347" s="842" t="n">
        <v>72000</v>
      </c>
      <c r="V347" s="842">
        <f>T654</f>
        <v/>
      </c>
      <c r="W347" s="842" t="n">
        <v>69000</v>
      </c>
      <c r="X347" s="842">
        <f>V654</f>
        <v/>
      </c>
      <c r="Y347" s="845">
        <f>V654/H654</f>
        <v/>
      </c>
      <c r="Z347" s="846">
        <f>SUM(V654-T654)/T654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H655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Q655</f>
        <v/>
      </c>
      <c r="U348" s="842" t="n">
        <v>82300</v>
      </c>
      <c r="V348" s="842">
        <f>T655</f>
        <v/>
      </c>
      <c r="W348" s="842" t="n">
        <v>78900</v>
      </c>
      <c r="X348" s="842">
        <f>V655</f>
        <v/>
      </c>
      <c r="Y348" s="845">
        <f>V655/H655</f>
        <v/>
      </c>
      <c r="Z348" s="846">
        <f>SUM(V655-T655)/T655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H656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Q656</f>
        <v/>
      </c>
      <c r="U349" s="842" t="n">
        <v>61200</v>
      </c>
      <c r="V349" s="842">
        <f>T656</f>
        <v/>
      </c>
      <c r="W349" s="842" t="n">
        <v>58700</v>
      </c>
      <c r="X349" s="842">
        <f>V656</f>
        <v/>
      </c>
      <c r="Y349" s="845">
        <f>V656/H656</f>
        <v/>
      </c>
      <c r="Z349" s="846">
        <f>SUM(V656-T656)/T656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H657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Q657</f>
        <v/>
      </c>
      <c r="U350" s="842" t="n">
        <v>398200</v>
      </c>
      <c r="V350" s="842">
        <f>T657</f>
        <v/>
      </c>
      <c r="W350" s="842" t="n">
        <v>381600</v>
      </c>
      <c r="X350" s="842">
        <f>V657</f>
        <v/>
      </c>
      <c r="Y350" s="845">
        <f>V657/H657</f>
        <v/>
      </c>
      <c r="Z350" s="846">
        <f>SUM(V657-T657)/T657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H658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Q658</f>
        <v/>
      </c>
      <c r="U351" s="842" t="n">
        <v>57000</v>
      </c>
      <c r="V351" s="842">
        <f>T658</f>
        <v/>
      </c>
      <c r="W351" s="842" t="n">
        <v>54600</v>
      </c>
      <c r="X351" s="842">
        <f>V658</f>
        <v/>
      </c>
      <c r="Y351" s="845">
        <f>V658/H658</f>
        <v/>
      </c>
      <c r="Z351" s="846">
        <f>SUM(V658-T658)/T658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H659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Q659</f>
        <v/>
      </c>
      <c r="U352" s="842" t="n">
        <v>926700</v>
      </c>
      <c r="V352" s="842">
        <f>T659</f>
        <v/>
      </c>
      <c r="W352" s="842" t="n">
        <v>810900</v>
      </c>
      <c r="X352" s="842">
        <f>V659</f>
        <v/>
      </c>
      <c r="Y352" s="845">
        <f>V659/H659</f>
        <v/>
      </c>
      <c r="Z352" s="846">
        <f>SUM(V659-T659)/T659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H660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Q660</f>
        <v/>
      </c>
      <c r="U353" s="842" t="n">
        <v>321000</v>
      </c>
      <c r="V353" s="842">
        <f>T660</f>
        <v/>
      </c>
      <c r="W353" s="842" t="n">
        <v>307600</v>
      </c>
      <c r="X353" s="842">
        <f>V660</f>
        <v/>
      </c>
      <c r="Y353" s="845">
        <f>V660/H660</f>
        <v/>
      </c>
      <c r="Z353" s="846">
        <f>SUM(V660-T660)/T660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H661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Q661</f>
        <v/>
      </c>
      <c r="U354" s="842" t="n">
        <v>207700</v>
      </c>
      <c r="V354" s="842">
        <f>T661</f>
        <v/>
      </c>
      <c r="W354" s="842" t="n">
        <v>199000</v>
      </c>
      <c r="X354" s="842">
        <f>V661</f>
        <v/>
      </c>
      <c r="Y354" s="845">
        <f>V661/H661</f>
        <v/>
      </c>
      <c r="Z354" s="846">
        <f>SUM(V661-T661)/T661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H662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Q662</f>
        <v/>
      </c>
      <c r="T355" s="842" t="n"/>
      <c r="U355" s="842" t="n">
        <v>26700</v>
      </c>
      <c r="V355" s="842">
        <f>T662</f>
        <v/>
      </c>
      <c r="W355" s="842" t="n">
        <v>25600</v>
      </c>
      <c r="X355" s="842">
        <f>V662</f>
        <v/>
      </c>
      <c r="Y355" s="845">
        <f>V662/H662</f>
        <v/>
      </c>
      <c r="Z355" s="846">
        <f>SUM(V662-T662)/T662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H663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Q663</f>
        <v/>
      </c>
      <c r="U356" s="842" t="n">
        <v>45000</v>
      </c>
      <c r="V356" s="842">
        <f>T663</f>
        <v/>
      </c>
      <c r="W356" s="842" t="n">
        <v>45000</v>
      </c>
      <c r="X356" s="842">
        <f>V663</f>
        <v/>
      </c>
      <c r="Y356" s="845">
        <f>V663/H663</f>
        <v/>
      </c>
      <c r="Z356" s="846">
        <f>SUM(V663-T663)/T663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H664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Q664</f>
        <v/>
      </c>
      <c r="U357" s="842" t="n">
        <v>110900</v>
      </c>
      <c r="V357" s="842">
        <f>T664</f>
        <v/>
      </c>
      <c r="W357" s="842" t="n">
        <v>110900</v>
      </c>
      <c r="X357" s="842">
        <f>V664</f>
        <v/>
      </c>
      <c r="Y357" s="845">
        <f>V664/H664</f>
        <v/>
      </c>
      <c r="Z357" s="846">
        <f>SUM(V664-T664)/T664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H665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Q665</f>
        <v/>
      </c>
      <c r="U358" s="842" t="n">
        <v>396300</v>
      </c>
      <c r="V358" s="842">
        <f>T665</f>
        <v/>
      </c>
      <c r="W358" s="842" t="n">
        <v>396300</v>
      </c>
      <c r="X358" s="842">
        <f>V665</f>
        <v/>
      </c>
      <c r="Y358" s="845">
        <f>V665/H665</f>
        <v/>
      </c>
      <c r="Z358" s="846">
        <f>SUM(V665-T665)/T665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H666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Q666</f>
        <v/>
      </c>
      <c r="U359" s="842" t="n">
        <v>20900</v>
      </c>
      <c r="V359" s="842">
        <f>T666</f>
        <v/>
      </c>
      <c r="W359" s="842" t="n">
        <v>20900</v>
      </c>
      <c r="X359" s="842">
        <f>V666</f>
        <v/>
      </c>
      <c r="Y359" s="845">
        <f>V666/H666</f>
        <v/>
      </c>
      <c r="Z359" s="846">
        <f>SUM(V666-T666)/T666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H667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Q667</f>
        <v/>
      </c>
      <c r="U360" s="842" t="n">
        <v>53600</v>
      </c>
      <c r="V360" s="842">
        <f>T667</f>
        <v/>
      </c>
      <c r="W360" s="842" t="n">
        <v>53600</v>
      </c>
      <c r="X360" s="842">
        <f>V667</f>
        <v/>
      </c>
      <c r="Y360" s="845">
        <f>V667/H667</f>
        <v/>
      </c>
      <c r="Z360" s="846">
        <f>SUM(V667-T667)/T667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H668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Q668</f>
        <v/>
      </c>
      <c r="U361" s="848" t="n">
        <v>77600</v>
      </c>
      <c r="V361" s="842">
        <f>T668</f>
        <v/>
      </c>
      <c r="W361" s="842" t="n">
        <v>77600</v>
      </c>
      <c r="X361" s="842">
        <f>V668</f>
        <v/>
      </c>
      <c r="Y361" s="845">
        <f>V668/H668</f>
        <v/>
      </c>
      <c r="Z361" s="846">
        <f>SUM(V668-T668)/T668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H669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Q669</f>
        <v/>
      </c>
      <c r="U362" s="842" t="n">
        <v>39600</v>
      </c>
      <c r="V362" s="842">
        <f>T669</f>
        <v/>
      </c>
      <c r="W362" s="842" t="n">
        <v>39600</v>
      </c>
      <c r="X362" s="842">
        <f>V669</f>
        <v/>
      </c>
      <c r="Y362" s="845">
        <f>V669/H669</f>
        <v/>
      </c>
      <c r="Z362" s="846">
        <f>SUM(V669-T669)/T669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H670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Q670</f>
        <v/>
      </c>
      <c r="U363" s="842" t="n">
        <v>18700</v>
      </c>
      <c r="V363" s="842">
        <f>T670</f>
        <v/>
      </c>
      <c r="W363" s="842" t="n">
        <v>18700</v>
      </c>
      <c r="X363" s="842">
        <f>V670</f>
        <v/>
      </c>
      <c r="Y363" s="845">
        <f>V670/H670</f>
        <v/>
      </c>
      <c r="Z363" s="846">
        <f>SUM(V670-T670)/T670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H671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Q671</f>
        <v/>
      </c>
      <c r="U364" s="842" t="n">
        <v>28100</v>
      </c>
      <c r="V364" s="842">
        <f>T671</f>
        <v/>
      </c>
      <c r="W364" s="842" t="n">
        <v>28100</v>
      </c>
      <c r="X364" s="842">
        <f>V671</f>
        <v/>
      </c>
      <c r="Y364" s="845">
        <f>V671/H671</f>
        <v/>
      </c>
      <c r="Z364" s="846">
        <f>SUM(V671-T671)/T671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H672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Q672</f>
        <v/>
      </c>
      <c r="U365" s="842" t="n">
        <v>204600</v>
      </c>
      <c r="V365" s="842">
        <f>T672</f>
        <v/>
      </c>
      <c r="W365" s="842" t="n">
        <v>204600</v>
      </c>
      <c r="X365" s="842">
        <f>V672</f>
        <v/>
      </c>
      <c r="Y365" s="845">
        <f>V672/H672</f>
        <v/>
      </c>
      <c r="Z365" s="846">
        <f>SUM(V672-T672)/T672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H673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Q673</f>
        <v/>
      </c>
      <c r="U366" s="842" t="n">
        <v>201300</v>
      </c>
      <c r="V366" s="842">
        <f>T673</f>
        <v/>
      </c>
      <c r="W366" s="842" t="n">
        <v>201300</v>
      </c>
      <c r="X366" s="842">
        <f>V673</f>
        <v/>
      </c>
      <c r="Y366" s="845">
        <f>V673/H673</f>
        <v/>
      </c>
      <c r="Z366" s="846">
        <f>SUM(V673-T673)/T673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H674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Q674</f>
        <v/>
      </c>
      <c r="U367" s="842" t="n">
        <v>23900</v>
      </c>
      <c r="V367" s="842">
        <f>T674</f>
        <v/>
      </c>
      <c r="W367" s="842" t="n">
        <v>23900</v>
      </c>
      <c r="X367" s="842">
        <f>V674</f>
        <v/>
      </c>
      <c r="Y367" s="845">
        <f>V674/H674</f>
        <v/>
      </c>
      <c r="Z367" s="846">
        <f>SUM(V674-T674)/T674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H675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Q675</f>
        <v/>
      </c>
      <c r="U368" s="842" t="n">
        <v>80500</v>
      </c>
      <c r="V368" s="842">
        <f>T675</f>
        <v/>
      </c>
      <c r="W368" s="842" t="n">
        <v>80500</v>
      </c>
      <c r="X368" s="842">
        <f>V675</f>
        <v/>
      </c>
      <c r="Y368" s="845">
        <f>V675/H675</f>
        <v/>
      </c>
      <c r="Z368" s="846">
        <f>SUM(V675-T675)/T675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H676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Q676</f>
        <v/>
      </c>
      <c r="U369" s="842" t="n">
        <v>73400</v>
      </c>
      <c r="V369" s="842">
        <f>T676</f>
        <v/>
      </c>
      <c r="W369" s="842" t="n">
        <v>73400</v>
      </c>
      <c r="X369" s="842">
        <f>V676</f>
        <v/>
      </c>
      <c r="Y369" s="845">
        <f>V676/H676</f>
        <v/>
      </c>
      <c r="Z369" s="846">
        <f>SUM(V676-T676)/T676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H677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Q677</f>
        <v/>
      </c>
      <c r="U370" s="842" t="n">
        <v>700</v>
      </c>
      <c r="V370" s="842">
        <f>T677</f>
        <v/>
      </c>
      <c r="W370" s="842" t="n">
        <v>700</v>
      </c>
      <c r="X370" s="842">
        <f>V677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H678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Q678</f>
        <v/>
      </c>
      <c r="U371" s="842" t="n">
        <v>700</v>
      </c>
      <c r="V371" s="842">
        <f>T678</f>
        <v/>
      </c>
      <c r="W371" s="842" t="n">
        <v>700</v>
      </c>
      <c r="X371" s="842">
        <f>V678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H684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Q684</f>
        <v/>
      </c>
      <c r="U372" s="842" t="n">
        <v>1000</v>
      </c>
      <c r="V372" s="842">
        <f>T684</f>
        <v/>
      </c>
      <c r="W372" s="842" t="n">
        <v>0</v>
      </c>
      <c r="X372" s="842">
        <f>V684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H685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Q685</f>
        <v/>
      </c>
      <c r="U373" s="842" t="n">
        <v>447350</v>
      </c>
      <c r="V373" s="842">
        <f>T685</f>
        <v/>
      </c>
      <c r="W373" s="842" t="n">
        <v>360100</v>
      </c>
      <c r="X373" s="842">
        <f>V685</f>
        <v/>
      </c>
      <c r="Y373" s="845">
        <f>V685/H685</f>
        <v/>
      </c>
      <c r="Z373" s="846">
        <f>SUM(V685-T685)/T685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H686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Q686</f>
        <v/>
      </c>
      <c r="U374" s="842" t="n">
        <v>21000</v>
      </c>
      <c r="V374" s="842">
        <f>T686</f>
        <v/>
      </c>
      <c r="W374" s="842" t="n">
        <v>0</v>
      </c>
      <c r="X374" s="842">
        <f>V686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H687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Q687</f>
        <v/>
      </c>
      <c r="U375" s="842" t="n">
        <v>393300</v>
      </c>
      <c r="V375" s="842">
        <f>T687</f>
        <v/>
      </c>
      <c r="W375" s="842" t="n">
        <v>500000</v>
      </c>
      <c r="X375" s="842">
        <f>V687</f>
        <v/>
      </c>
      <c r="Y375" s="845">
        <f>V687/H687</f>
        <v/>
      </c>
      <c r="Z375" s="846">
        <f>SUM(V687-T687)/T687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H688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Q688</f>
        <v/>
      </c>
      <c r="U376" s="842" t="n">
        <v>275300</v>
      </c>
      <c r="V376" s="842">
        <f>T688</f>
        <v/>
      </c>
      <c r="W376" s="842" t="n">
        <v>333100</v>
      </c>
      <c r="X376" s="842">
        <f>V688</f>
        <v/>
      </c>
      <c r="Y376" s="845">
        <f>V688/H688</f>
        <v/>
      </c>
      <c r="Z376" s="846">
        <f>SUM(V688-T688)/T688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H689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Q689</f>
        <v/>
      </c>
      <c r="U377" s="842" t="n">
        <v>337700</v>
      </c>
      <c r="V377" s="842">
        <f>T689</f>
        <v/>
      </c>
      <c r="W377" s="842" t="n">
        <v>415900</v>
      </c>
      <c r="X377" s="842">
        <f>V689</f>
        <v/>
      </c>
      <c r="Y377" s="845">
        <f>V689/H689</f>
        <v/>
      </c>
      <c r="Z377" s="846">
        <f>SUM(V689-T689)/T689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H690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Q690</f>
        <v/>
      </c>
      <c r="U378" s="842" t="n">
        <v>371300</v>
      </c>
      <c r="V378" s="842">
        <f>T690</f>
        <v/>
      </c>
      <c r="W378" s="842" t="n">
        <v>426800</v>
      </c>
      <c r="X378" s="842">
        <f>V690</f>
        <v/>
      </c>
      <c r="Y378" s="845">
        <f>V690/H690</f>
        <v/>
      </c>
      <c r="Z378" s="846">
        <f>SUM(V690-T690)/T690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H691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Q691</f>
        <v/>
      </c>
      <c r="T379" s="861" t="n"/>
      <c r="U379" s="842" t="n">
        <v>489500</v>
      </c>
      <c r="V379" s="842">
        <f>T691</f>
        <v/>
      </c>
      <c r="W379" s="842" t="n">
        <v>469900</v>
      </c>
      <c r="X379" s="842">
        <f>V691</f>
        <v/>
      </c>
      <c r="Y379" s="845">
        <f>V691/H691</f>
        <v/>
      </c>
      <c r="Z379" s="846">
        <f>SUM(V691-T691)/T691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H692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Q692</f>
        <v/>
      </c>
      <c r="T380" s="852" t="n"/>
      <c r="U380" s="842" t="n">
        <v>438000</v>
      </c>
      <c r="V380" s="842">
        <f>T692</f>
        <v/>
      </c>
      <c r="W380" s="842" t="n">
        <v>430600</v>
      </c>
      <c r="X380" s="842">
        <f>V692</f>
        <v/>
      </c>
      <c r="Y380" s="845">
        <f>V692/H692</f>
        <v/>
      </c>
      <c r="Z380" s="846">
        <f>SUM(V692-T692)/T692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H693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Q693</f>
        <v/>
      </c>
      <c r="T381" s="852" t="n"/>
      <c r="U381" s="842" t="n">
        <v>438900</v>
      </c>
      <c r="V381" s="842">
        <f>T693</f>
        <v/>
      </c>
      <c r="W381" s="842" t="n">
        <v>435800</v>
      </c>
      <c r="X381" s="842">
        <f>V693</f>
        <v/>
      </c>
      <c r="Y381" s="845">
        <f>V693/H693</f>
        <v/>
      </c>
      <c r="Z381" s="846">
        <f>SUM(V693-T693)/T693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H694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Q694</f>
        <v/>
      </c>
      <c r="T382" s="852" t="n"/>
      <c r="U382" s="842" t="n">
        <v>448100</v>
      </c>
      <c r="V382" s="842">
        <f>T694</f>
        <v/>
      </c>
      <c r="W382" s="842" t="n">
        <v>437400</v>
      </c>
      <c r="X382" s="842">
        <f>V694</f>
        <v/>
      </c>
      <c r="Y382" s="845">
        <f>V694/H694</f>
        <v/>
      </c>
      <c r="Z382" s="846">
        <f>SUM(V694-T694)/T694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H695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Q695</f>
        <v/>
      </c>
      <c r="T383" s="852" t="n"/>
      <c r="U383" s="842" t="n">
        <v>458100</v>
      </c>
      <c r="V383" s="842">
        <f>T695</f>
        <v/>
      </c>
      <c r="W383" s="842" t="n">
        <v>437900</v>
      </c>
      <c r="X383" s="842">
        <f>V695</f>
        <v/>
      </c>
      <c r="Y383" s="845">
        <f>V695/H695</f>
        <v/>
      </c>
      <c r="Z383" s="846">
        <f>SUM(V695-T695)/T695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H696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Q696</f>
        <v/>
      </c>
      <c r="T384" s="852" t="n"/>
      <c r="U384" s="842" t="n">
        <v>434600</v>
      </c>
      <c r="V384" s="842">
        <f>T696</f>
        <v/>
      </c>
      <c r="W384" s="842" t="n">
        <v>416400</v>
      </c>
      <c r="X384" s="842">
        <f>V696</f>
        <v/>
      </c>
      <c r="Y384" s="845">
        <f>V696/H696</f>
        <v/>
      </c>
      <c r="Z384" s="846">
        <f>SUM(V696-T696)/T696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H702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Q702</f>
        <v/>
      </c>
      <c r="U385" s="842" t="n">
        <v>27200</v>
      </c>
      <c r="V385" s="842">
        <f>T702</f>
        <v/>
      </c>
      <c r="W385" s="842" t="n">
        <v>33000</v>
      </c>
      <c r="X385" s="842">
        <f>V702</f>
        <v/>
      </c>
      <c r="Y385" s="845">
        <f>V702/H702</f>
        <v/>
      </c>
      <c r="Z385" s="846">
        <f>SUM(V702-T702)/T702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H703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Q703</f>
        <v/>
      </c>
      <c r="U386" s="842" t="n">
        <v>150</v>
      </c>
      <c r="V386" s="842">
        <f>T703</f>
        <v/>
      </c>
      <c r="W386" s="842" t="n">
        <v>150</v>
      </c>
      <c r="X386" s="842">
        <f>V703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H704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Q704</f>
        <v/>
      </c>
      <c r="U387" s="842" t="n">
        <v>150</v>
      </c>
      <c r="V387" s="842">
        <f>T704</f>
        <v/>
      </c>
      <c r="W387" s="842" t="n">
        <v>150</v>
      </c>
      <c r="X387" s="842">
        <f>V704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H705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Q705</f>
        <v/>
      </c>
      <c r="U388" s="842" t="n">
        <v>150</v>
      </c>
      <c r="V388" s="842">
        <f>T705</f>
        <v/>
      </c>
      <c r="W388" s="842" t="n">
        <v>150</v>
      </c>
      <c r="X388" s="842">
        <f>V705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H706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Q706</f>
        <v/>
      </c>
      <c r="U389" s="842" t="n">
        <v>150</v>
      </c>
      <c r="V389" s="842">
        <f>T706</f>
        <v/>
      </c>
      <c r="W389" s="842" t="n">
        <v>150</v>
      </c>
      <c r="X389" s="842">
        <f>V706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H712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Q712</f>
        <v/>
      </c>
      <c r="T390" s="591">
        <f>R712</f>
        <v/>
      </c>
      <c r="U390" s="591" t="n">
        <v>80000</v>
      </c>
      <c r="V390" s="842">
        <f>T712</f>
        <v/>
      </c>
      <c r="W390" s="591" t="n">
        <v>79600</v>
      </c>
      <c r="X390" s="842">
        <f>V712</f>
        <v/>
      </c>
      <c r="Y390" s="845">
        <f>V712/H712</f>
        <v/>
      </c>
      <c r="Z390" s="846">
        <f>SUM(V712-T712)/T712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H720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Q720</f>
        <v/>
      </c>
      <c r="T391" s="842" t="n"/>
      <c r="U391" s="660" t="n">
        <v>124100</v>
      </c>
      <c r="V391" s="661">
        <f>T720</f>
        <v/>
      </c>
      <c r="W391" s="660" t="n">
        <v>124100</v>
      </c>
      <c r="X391" s="661">
        <f>V720</f>
        <v/>
      </c>
      <c r="Y391" s="845">
        <f>V720/H720</f>
        <v/>
      </c>
      <c r="Z391" s="846">
        <f>SUM(V720-T720)/T720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H725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Q725</f>
        <v/>
      </c>
      <c r="T392" s="842" t="n"/>
      <c r="U392" s="661" t="n">
        <v>290500</v>
      </c>
      <c r="V392" s="661">
        <f>T725</f>
        <v/>
      </c>
      <c r="W392" s="661" t="n">
        <v>290500</v>
      </c>
      <c r="X392" s="661">
        <f>V725</f>
        <v/>
      </c>
      <c r="Y392" s="845">
        <f>V725/H725</f>
        <v/>
      </c>
      <c r="Z392" s="846">
        <f>SUM(V725-T725)/T725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H726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Q726</f>
        <v/>
      </c>
      <c r="T393" s="842" t="n"/>
      <c r="U393" s="661" t="n">
        <v>111800</v>
      </c>
      <c r="V393" s="661">
        <f>T726</f>
        <v/>
      </c>
      <c r="W393" s="661" t="n">
        <v>118200</v>
      </c>
      <c r="X393" s="661">
        <f>V726</f>
        <v/>
      </c>
      <c r="Y393" s="845">
        <f>V726/H726</f>
        <v/>
      </c>
      <c r="Z393" s="846">
        <f>SUM(V726-T726)/T726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H727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Q727</f>
        <v/>
      </c>
      <c r="T394" s="842" t="n"/>
      <c r="U394" s="661" t="n">
        <v>112500</v>
      </c>
      <c r="V394" s="661">
        <f>T727</f>
        <v/>
      </c>
      <c r="W394" s="661" t="n">
        <v>118900</v>
      </c>
      <c r="X394" s="661">
        <f>V727</f>
        <v/>
      </c>
      <c r="Y394" s="845">
        <f>V727/H727</f>
        <v/>
      </c>
      <c r="Z394" s="846">
        <f>SUM(V727-T727)/T727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H728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Q728</f>
        <v/>
      </c>
      <c r="T395" s="842" t="n"/>
      <c r="U395" s="661" t="n">
        <v>116600</v>
      </c>
      <c r="V395" s="661">
        <f>T728</f>
        <v/>
      </c>
      <c r="W395" s="661" t="n">
        <v>123100</v>
      </c>
      <c r="X395" s="661">
        <f>V728</f>
        <v/>
      </c>
      <c r="Y395" s="845">
        <f>V728/H728</f>
        <v/>
      </c>
      <c r="Z395" s="846">
        <f>SUM(V728-T728)/T728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H729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Q729</f>
        <v/>
      </c>
      <c r="T396" s="842" t="n"/>
      <c r="U396" s="661" t="n">
        <v>115300</v>
      </c>
      <c r="V396" s="661">
        <f>T729</f>
        <v/>
      </c>
      <c r="W396" s="661" t="n">
        <v>121600</v>
      </c>
      <c r="X396" s="661">
        <f>V729</f>
        <v/>
      </c>
      <c r="Y396" s="845">
        <f>V729/H729</f>
        <v/>
      </c>
      <c r="Z396" s="846">
        <f>SUM(V729-T729)/T729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H730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Q730</f>
        <v/>
      </c>
      <c r="T397" s="842" t="n"/>
      <c r="U397" s="661" t="n">
        <v>115300</v>
      </c>
      <c r="V397" s="661">
        <f>T730</f>
        <v/>
      </c>
      <c r="W397" s="661" t="n">
        <v>121600</v>
      </c>
      <c r="X397" s="661">
        <f>V730</f>
        <v/>
      </c>
      <c r="Y397" s="845">
        <f>V730/H730</f>
        <v/>
      </c>
      <c r="Z397" s="846">
        <f>SUM(V730-T730)/T730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H731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Q731</f>
        <v/>
      </c>
      <c r="T398" s="842" t="n"/>
      <c r="U398" s="661" t="n">
        <v>46200</v>
      </c>
      <c r="V398" s="661">
        <f>T731</f>
        <v/>
      </c>
      <c r="W398" s="661" t="n">
        <v>48600</v>
      </c>
      <c r="X398" s="661">
        <f>V731</f>
        <v/>
      </c>
      <c r="Y398" s="845">
        <f>V731/H731</f>
        <v/>
      </c>
      <c r="Z398" s="846">
        <f>SUM(V731-T731)/T731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H732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Q732</f>
        <v/>
      </c>
      <c r="T399" s="842" t="n"/>
      <c r="U399" s="661" t="n">
        <v>1160</v>
      </c>
      <c r="V399" s="661">
        <f>T732</f>
        <v/>
      </c>
      <c r="W399" s="661" t="n">
        <v>1160</v>
      </c>
      <c r="X399" s="661">
        <f>V732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H739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Q739</f>
        <v/>
      </c>
      <c r="T400" s="842" t="n"/>
      <c r="U400" s="660" t="n">
        <v>118500</v>
      </c>
      <c r="V400" s="661">
        <f>T739</f>
        <v/>
      </c>
      <c r="W400" s="660" t="n">
        <v>121500</v>
      </c>
      <c r="X400" s="661">
        <f>V739</f>
        <v/>
      </c>
      <c r="Y400" s="845">
        <f>V739/H739</f>
        <v/>
      </c>
      <c r="Z400" s="846">
        <f>SUM(V739-T739)/T739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H744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Q744</f>
        <v/>
      </c>
      <c r="U401" s="660" t="n">
        <v>1250000</v>
      </c>
      <c r="V401" s="661">
        <f>T744</f>
        <v/>
      </c>
      <c r="W401" s="660" t="n">
        <v>1250000</v>
      </c>
      <c r="X401" s="661">
        <f>V744</f>
        <v/>
      </c>
      <c r="Y401" s="845">
        <f>V744/H744</f>
        <v/>
      </c>
      <c r="Z401" s="846">
        <f>SUM(V744-T744)/T744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H749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Q749</f>
        <v/>
      </c>
      <c r="T402" s="842" t="n"/>
      <c r="U402" s="661" t="n">
        <v>63300</v>
      </c>
      <c r="V402" s="661">
        <f>T749</f>
        <v/>
      </c>
      <c r="W402" s="661" t="n">
        <v>63300</v>
      </c>
      <c r="X402" s="661">
        <f>V749</f>
        <v/>
      </c>
      <c r="Y402" s="845">
        <f>V749/H749</f>
        <v/>
      </c>
      <c r="Z402" s="846">
        <f>SUM(V749-T749)/T749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H750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Q750</f>
        <v/>
      </c>
      <c r="T403" s="842" t="n"/>
      <c r="U403" s="661" t="n">
        <v>66800</v>
      </c>
      <c r="V403" s="661">
        <f>T750</f>
        <v/>
      </c>
      <c r="W403" s="661" t="n">
        <v>66800</v>
      </c>
      <c r="X403" s="661">
        <f>V750</f>
        <v/>
      </c>
      <c r="Y403" s="845">
        <f>V750/H750</f>
        <v/>
      </c>
      <c r="Z403" s="846">
        <f>SUM(V750-T750)/T750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H757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Q757</f>
        <v/>
      </c>
      <c r="T404" s="842" t="n"/>
      <c r="U404" s="661" t="n">
        <v>0</v>
      </c>
      <c r="V404" s="661">
        <f>T757</f>
        <v/>
      </c>
      <c r="W404" s="661" t="n">
        <v>0</v>
      </c>
      <c r="X404" s="661">
        <f>V757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H758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Q758</f>
        <v/>
      </c>
      <c r="T405" s="842" t="n"/>
      <c r="U405" s="661" t="n">
        <v>174600</v>
      </c>
      <c r="V405" s="661">
        <f>T758</f>
        <v/>
      </c>
      <c r="W405" s="661" t="n">
        <v>174600</v>
      </c>
      <c r="X405" s="661">
        <f>V758</f>
        <v/>
      </c>
      <c r="Y405" s="845">
        <f>V758/H758</f>
        <v/>
      </c>
      <c r="Z405" s="846">
        <f>SUM(V758-T758)/T758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H759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Q759</f>
        <v/>
      </c>
      <c r="T406" s="842" t="n"/>
      <c r="U406" s="661" t="n">
        <v>52800</v>
      </c>
      <c r="V406" s="661">
        <f>T759</f>
        <v/>
      </c>
      <c r="W406" s="661" t="n">
        <v>52800</v>
      </c>
      <c r="X406" s="661">
        <f>V759</f>
        <v/>
      </c>
      <c r="Y406" s="845">
        <f>V759/H759</f>
        <v/>
      </c>
      <c r="Z406" s="846">
        <f>SUM(V759-T759)/T759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H760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Q760</f>
        <v/>
      </c>
      <c r="T407" s="842" t="n"/>
      <c r="U407" s="661" t="n">
        <v>53300</v>
      </c>
      <c r="V407" s="661">
        <f>T760</f>
        <v/>
      </c>
      <c r="W407" s="661" t="n">
        <v>53300</v>
      </c>
      <c r="X407" s="661">
        <f>V760</f>
        <v/>
      </c>
      <c r="Y407" s="845">
        <f>V760/H760</f>
        <v/>
      </c>
      <c r="Z407" s="846">
        <f>SUM(V760-T760)/T760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H761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Q761</f>
        <v/>
      </c>
      <c r="T408" s="842" t="n"/>
      <c r="U408" s="661" t="n">
        <v>14500</v>
      </c>
      <c r="V408" s="661">
        <f>T761</f>
        <v/>
      </c>
      <c r="W408" s="661" t="n">
        <v>14500</v>
      </c>
      <c r="X408" s="661">
        <f>V761</f>
        <v/>
      </c>
      <c r="Y408" s="845">
        <f>V761/H761</f>
        <v/>
      </c>
      <c r="Z408" s="846">
        <f>SUM(V761-T761)/T761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H762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Q762</f>
        <v/>
      </c>
      <c r="T409" s="842" t="n"/>
      <c r="U409" s="661" t="n">
        <v>53900</v>
      </c>
      <c r="V409" s="661">
        <f>T762</f>
        <v/>
      </c>
      <c r="W409" s="661" t="n">
        <v>53900</v>
      </c>
      <c r="X409" s="661">
        <f>V762</f>
        <v/>
      </c>
      <c r="Y409" s="845">
        <f>V762/H762</f>
        <v/>
      </c>
      <c r="Z409" s="846">
        <f>SUM(V762-T762)/T762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H763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Q763</f>
        <v/>
      </c>
      <c r="T410" s="842" t="n"/>
      <c r="U410" s="661" t="n">
        <v>14000</v>
      </c>
      <c r="V410" s="661">
        <f>T763</f>
        <v/>
      </c>
      <c r="W410" s="661" t="n">
        <v>14000</v>
      </c>
      <c r="X410" s="661">
        <f>V763</f>
        <v/>
      </c>
      <c r="Y410" s="845">
        <f>V763/H763</f>
        <v/>
      </c>
      <c r="Z410" s="846">
        <f>SUM(V763-T763)/T763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H764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Q764</f>
        <v/>
      </c>
      <c r="T411" s="842" t="n"/>
      <c r="U411" s="661" t="n">
        <v>51400</v>
      </c>
      <c r="V411" s="661">
        <f>T764</f>
        <v/>
      </c>
      <c r="W411" s="661" t="n">
        <v>51400</v>
      </c>
      <c r="X411" s="661">
        <f>V764</f>
        <v/>
      </c>
      <c r="Y411" s="845">
        <f>V764/H764</f>
        <v/>
      </c>
      <c r="Z411" s="846">
        <f>SUM(V764-T764)/T764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H765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Q765</f>
        <v/>
      </c>
      <c r="T412" s="842" t="n"/>
      <c r="U412" s="661" t="n">
        <v>43800</v>
      </c>
      <c r="V412" s="661">
        <f>T765</f>
        <v/>
      </c>
      <c r="W412" s="661" t="n">
        <v>43800</v>
      </c>
      <c r="X412" s="661">
        <f>V765</f>
        <v/>
      </c>
      <c r="Y412" s="845">
        <f>V765/H765</f>
        <v/>
      </c>
      <c r="Z412" s="846">
        <f>SUM(V765-T765)/T765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H772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Q772</f>
        <v/>
      </c>
      <c r="T413" s="842" t="n"/>
      <c r="U413" s="661" t="n">
        <v>220100</v>
      </c>
      <c r="V413" s="661">
        <f>T772</f>
        <v/>
      </c>
      <c r="W413" s="661" t="n">
        <v>220100</v>
      </c>
      <c r="X413" s="661">
        <f>V772</f>
        <v/>
      </c>
      <c r="Y413" s="845">
        <f>V772/H772</f>
        <v/>
      </c>
      <c r="Z413" s="846">
        <f>SUM(V772-T772)/T772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H773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Q773</f>
        <v/>
      </c>
      <c r="T414" s="842" t="n"/>
      <c r="U414" s="661" t="n">
        <v>150000</v>
      </c>
      <c r="V414" s="661">
        <f>T773</f>
        <v/>
      </c>
      <c r="W414" s="661" t="n">
        <v>167500</v>
      </c>
      <c r="X414" s="661">
        <f>V773</f>
        <v/>
      </c>
      <c r="Y414" s="845">
        <f>V773/H773</f>
        <v/>
      </c>
      <c r="Z414" s="846">
        <f>SUM(V773-T773)/T773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H774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Q774</f>
        <v/>
      </c>
      <c r="T415" s="842" t="n"/>
      <c r="U415" s="661" t="n">
        <v>104100</v>
      </c>
      <c r="V415" s="661">
        <f>T774</f>
        <v/>
      </c>
      <c r="W415" s="661" t="n">
        <v>114800</v>
      </c>
      <c r="X415" s="661">
        <f>V774</f>
        <v/>
      </c>
      <c r="Y415" s="845">
        <f>V774/H774</f>
        <v/>
      </c>
      <c r="Z415" s="846">
        <f>SUM(V774-T774)/T774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H775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Q775</f>
        <v/>
      </c>
      <c r="T416" s="842" t="n"/>
      <c r="U416" s="661" t="n">
        <v>120000</v>
      </c>
      <c r="V416" s="661">
        <f>T775</f>
        <v/>
      </c>
      <c r="W416" s="661" t="n">
        <v>114900</v>
      </c>
      <c r="X416" s="661">
        <f>V775</f>
        <v/>
      </c>
      <c r="Y416" s="845">
        <f>V775/H775</f>
        <v/>
      </c>
      <c r="Z416" s="846">
        <f>SUM(V775-T775)/T775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H776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Q776</f>
        <v/>
      </c>
      <c r="T417" s="842" t="n"/>
      <c r="U417" s="661" t="n">
        <v>103900</v>
      </c>
      <c r="V417" s="661">
        <f>T776</f>
        <v/>
      </c>
      <c r="W417" s="661" t="n">
        <v>118600</v>
      </c>
      <c r="X417" s="661">
        <f>V776</f>
        <v/>
      </c>
      <c r="Y417" s="845">
        <f>V776/H776</f>
        <v/>
      </c>
      <c r="Z417" s="846">
        <f>SUM(V776-T776)/T776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H777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Q777</f>
        <v/>
      </c>
      <c r="T418" s="842" t="n"/>
      <c r="U418" s="661" t="n">
        <v>97500</v>
      </c>
      <c r="V418" s="661">
        <f>T777</f>
        <v/>
      </c>
      <c r="W418" s="661" t="n">
        <v>105200</v>
      </c>
      <c r="X418" s="661">
        <f>V777</f>
        <v/>
      </c>
      <c r="Y418" s="845">
        <f>V777/H777</f>
        <v/>
      </c>
      <c r="Z418" s="846">
        <f>SUM(V777-T777)/T777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H786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Q786</f>
        <v/>
      </c>
      <c r="T419" s="661" t="n"/>
      <c r="U419" s="661" t="n">
        <v>650000</v>
      </c>
      <c r="V419" s="661">
        <f>T786</f>
        <v/>
      </c>
      <c r="W419" s="661" t="n">
        <v>758000</v>
      </c>
      <c r="X419" s="661">
        <f>V786</f>
        <v/>
      </c>
      <c r="Y419" s="845">
        <f>V786/H786</f>
        <v/>
      </c>
      <c r="Z419" s="846">
        <f>SUM(V786-T786)/T786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H787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Q787</f>
        <v/>
      </c>
      <c r="T420" s="661" t="n"/>
      <c r="U420" s="661" t="n">
        <v>400000</v>
      </c>
      <c r="V420" s="661">
        <f>T787</f>
        <v/>
      </c>
      <c r="W420" s="661" t="n">
        <v>450000</v>
      </c>
      <c r="X420" s="661">
        <f>V787</f>
        <v/>
      </c>
      <c r="Y420" s="845">
        <f>V787/H787</f>
        <v/>
      </c>
      <c r="Z420" s="846">
        <f>SUM(V787-T787)/T787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H788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Q788</f>
        <v/>
      </c>
      <c r="T421" s="661" t="n"/>
      <c r="U421" s="661" t="n">
        <v>110000</v>
      </c>
      <c r="V421" s="661">
        <f>T788</f>
        <v/>
      </c>
      <c r="W421" s="661" t="n">
        <v>112000</v>
      </c>
      <c r="X421" s="661">
        <f>V788</f>
        <v/>
      </c>
      <c r="Y421" s="845">
        <f>V788/H788</f>
        <v/>
      </c>
      <c r="Z421" s="846">
        <f>SUM(V788-T788)/T788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H789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Q789</f>
        <v/>
      </c>
      <c r="T422" s="661" t="n"/>
      <c r="U422" s="661" t="n">
        <v>345000</v>
      </c>
      <c r="V422" s="661">
        <f>T789</f>
        <v/>
      </c>
      <c r="W422" s="661" t="n">
        <v>368000</v>
      </c>
      <c r="X422" s="661">
        <f>V789</f>
        <v/>
      </c>
      <c r="Y422" s="845">
        <f>V789/H789</f>
        <v/>
      </c>
      <c r="Z422" s="846">
        <f>SUM(V789-T789)/T789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H790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Q790</f>
        <v/>
      </c>
      <c r="T423" s="661" t="n"/>
      <c r="U423" s="661" t="n">
        <v>357800</v>
      </c>
      <c r="V423" s="661">
        <f>T790</f>
        <v/>
      </c>
      <c r="W423" s="661" t="n">
        <v>379000</v>
      </c>
      <c r="X423" s="661">
        <f>V790</f>
        <v/>
      </c>
      <c r="Y423" s="845">
        <f>V790/H790</f>
        <v/>
      </c>
      <c r="Z423" s="846">
        <f>SUM(V790-T790)/T790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H791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Q791</f>
        <v/>
      </c>
      <c r="T424" s="661" t="n"/>
      <c r="U424" s="661" t="n">
        <v>358600</v>
      </c>
      <c r="V424" s="661">
        <f>T791</f>
        <v/>
      </c>
      <c r="W424" s="661" t="n">
        <v>361000</v>
      </c>
      <c r="X424" s="661">
        <f>V791</f>
        <v/>
      </c>
      <c r="Y424" s="845">
        <f>V791/H791</f>
        <v/>
      </c>
      <c r="Z424" s="846">
        <f>SUM(V791-T791)/T791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H792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Q792</f>
        <v/>
      </c>
      <c r="T425" s="661" t="n"/>
      <c r="U425" s="661" t="n">
        <v>352000</v>
      </c>
      <c r="V425" s="661">
        <f>T792</f>
        <v/>
      </c>
      <c r="W425" s="661" t="n">
        <v>350000</v>
      </c>
      <c r="X425" s="661">
        <f>V792</f>
        <v/>
      </c>
      <c r="Y425" s="845">
        <f>V792/H792</f>
        <v/>
      </c>
      <c r="Z425" s="846">
        <f>SUM(V792-T792)/T792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H793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Q793</f>
        <v/>
      </c>
      <c r="T426" s="661" t="n"/>
      <c r="U426" s="661" t="n">
        <v>284800</v>
      </c>
      <c r="V426" s="661">
        <f>T793</f>
        <v/>
      </c>
      <c r="W426" s="661" t="n">
        <v>283000</v>
      </c>
      <c r="X426" s="661">
        <f>V793</f>
        <v/>
      </c>
      <c r="Y426" s="845">
        <f>V793/H793</f>
        <v/>
      </c>
      <c r="Z426" s="846">
        <f>SUM(V793-T793)/T793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H794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Q794</f>
        <v/>
      </c>
      <c r="T427" s="661" t="n"/>
      <c r="U427" s="661" t="n">
        <v>0</v>
      </c>
      <c r="V427" s="661">
        <f>T794</f>
        <v/>
      </c>
      <c r="W427" s="661" t="n">
        <v>0</v>
      </c>
      <c r="X427" s="661">
        <f>V794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</row>
  </sheetData>
  <autoFilter ref="A1:A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2025-11-13T17:22:23Z</dcterms:modified>
  <cp:lastModifiedBy>William Spencer</cp:lastModifiedBy>
  <cp:lastPrinted>2025-06-30T15:43:09Z</cp:lastPrinted>
</cp:coreProperties>
</file>