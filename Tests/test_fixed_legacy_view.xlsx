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  <sz val="11"/>
    </font>
    <font>
      <b val="1"/>
      <sz val="16"/>
    </font>
    <font>
      <b val="1"/>
    </font>
  </fonts>
  <fills count="42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E6E6FA"/>
        <bgColor rgb="00E6E6FA"/>
      </patternFill>
    </fill>
    <fill>
      <patternFill patternType="solid">
        <fgColor rgb="00D3D3D3"/>
        <bgColor rgb="00D3D3D3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70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4" fillId="0" borderId="0" pivotButton="0" quotePrefix="0" xfId="0"/>
    <xf numFmtId="0" fontId="75" fillId="41" borderId="0" pivotButton="0" quotePrefix="0" xfId="0"/>
    <xf numFmtId="0" fontId="73" fillId="40" borderId="0" pivotButton="0" quotePrefix="0" xfId="0"/>
    <xf numFmtId="191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8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7" customWidth="1" min="4" max="4"/>
    <col width="30" customWidth="1" min="5" max="5"/>
    <col width="30" customWidth="1" min="6" max="6"/>
    <col width="30" customWidth="1" min="7" max="7"/>
    <col width="10" customWidth="1" min="8" max="8"/>
    <col width="7" customWidth="1" min="9" max="9"/>
    <col width="19" customWidth="1" min="10" max="10"/>
    <col width="30" customWidth="1" min="11" max="11"/>
    <col width="23" customWidth="1" min="12" max="12"/>
    <col width="21" customWidth="1" min="13" max="13"/>
    <col width="21" customWidth="1" min="14" max="14"/>
    <col width="21" customWidth="1" min="15" max="15"/>
    <col width="21" customWidth="1" min="16" max="16"/>
    <col width="13" customWidth="1" min="17" max="17"/>
    <col width="9" customWidth="1" min="18" max="18"/>
    <col width="9" customWidth="1" min="19" max="19"/>
    <col width="14" customWidth="1" min="20" max="20"/>
    <col width="9" customWidth="1" min="21" max="21"/>
    <col width="14" customWidth="1" min="22" max="22"/>
    <col width="9" customWidth="1" min="23" max="23"/>
    <col width="18" customWidth="1" min="24" max="24"/>
    <col width="22" customWidth="1" min="25" max="25"/>
    <col width="5" customWidth="1" min="26" max="26"/>
    <col width="3" customWidth="1" min="27" max="27"/>
    <col width="20" customWidth="1" min="28" max="28"/>
    <col width="20" customWidth="1" min="29" max="29"/>
    <col width="30" customWidth="1" min="30" max="30"/>
    <col width="29" customWidth="1" min="31" max="31"/>
    <col width="18" customWidth="1" min="32" max="32"/>
    <col width="16" customWidth="1" min="33" max="33"/>
    <col width="17" customWidth="1" min="34" max="34"/>
    <col width="8" customWidth="1" min="35" max="35"/>
  </cols>
  <sheetData>
    <row r="1">
      <c r="A1" s="866" t="inlineStr">
        <is>
          <t>Legacy View - Traditional Building Structure</t>
        </is>
      </c>
    </row>
    <row r="2">
      <c r="A2" t="inlineStr">
        <is>
          <t>(Auto-updates from Units sheet - matches original Bank Schedule format)</t>
        </is>
      </c>
    </row>
    <row r="3"/>
    <row r="4">
      <c r="A4" s="867" t="inlineStr">
        <is>
          <t>Building/Unit</t>
        </is>
      </c>
      <c r="B4" s="867" t="inlineStr">
        <is>
          <t>Surveyor</t>
        </is>
      </c>
      <c r="C4" s="867" t="inlineStr">
        <is>
          <t>Client</t>
        </is>
      </c>
      <c r="D4" s="867" t="inlineStr">
        <is>
          <t>Property Number</t>
        </is>
      </c>
      <c r="E4" s="867" t="inlineStr">
        <is>
          <t>Property</t>
        </is>
      </c>
      <c r="F4" s="867" t="inlineStr">
        <is>
          <t>Unit Demise</t>
        </is>
      </c>
      <c r="G4" s="867" t="inlineStr">
        <is>
          <t>Unit Type</t>
        </is>
      </c>
      <c r="H4" s="867" t="inlineStr">
        <is>
          <t>Net Area</t>
        </is>
      </c>
      <c r="I4" s="867" t="inlineStr">
        <is>
          <t>.</t>
        </is>
      </c>
      <c r="J4" s="867" t="inlineStr">
        <is>
          <t>Agency Area group</t>
        </is>
      </c>
      <c r="K4" s="867" t="inlineStr">
        <is>
          <t>Tenant Name</t>
        </is>
      </c>
      <c r="L4" s="867" t="inlineStr">
        <is>
          <t>Start            Date</t>
        </is>
      </c>
      <c r="M4" s="867" t="inlineStr">
        <is>
          <t>Expiry   Date</t>
        </is>
      </c>
      <c r="N4" s="867" t="inlineStr">
        <is>
          <t>Vacant Since?</t>
        </is>
      </c>
      <c r="O4" s="867" t="inlineStr">
        <is>
          <t>RRs</t>
        </is>
      </c>
      <c r="P4" s="867" t="inlineStr">
        <is>
          <t>Break Date</t>
        </is>
      </c>
      <c r="Q4" s="867" t="inlineStr">
        <is>
          <t>Rent PA (£)</t>
        </is>
      </c>
      <c r="R4" s="867" t="inlineStr">
        <is>
          <t>check 1</t>
        </is>
      </c>
      <c r="S4" s="867" t="inlineStr">
        <is>
          <t>check 2</t>
        </is>
      </c>
      <c r="T4" s="867" t="inlineStr">
        <is>
          <t>2023 ERV (£)</t>
        </is>
      </c>
      <c r="U4" s="867" t="inlineStr">
        <is>
          <t>check 3</t>
        </is>
      </c>
      <c r="V4" s="867" t="inlineStr">
        <is>
          <t>2024 ERV (£)</t>
        </is>
      </c>
      <c r="W4" s="867" t="inlineStr">
        <is>
          <t>check 4</t>
        </is>
      </c>
      <c r="X4" s="867" t="inlineStr">
        <is>
          <t>ERV 2024 £.Sq.ft</t>
        </is>
      </c>
      <c r="Y4" s="867" t="inlineStr">
        <is>
          <t>ERV Variation</t>
        </is>
      </c>
      <c r="Z4" s="867" t="inlineStr">
        <is>
          <t>EPC</t>
        </is>
      </c>
      <c r="AA4" s="867" t="inlineStr">
        <is>
          <t>*</t>
        </is>
      </c>
      <c r="AB4" s="867" t="inlineStr">
        <is>
          <t>2024 Cap Valn. (£)</t>
        </is>
      </c>
      <c r="AC4" s="867" t="inlineStr">
        <is>
          <t>1954 Act Protected</t>
        </is>
      </c>
      <c r="AD4" s="867" t="inlineStr">
        <is>
          <t>Remarks</t>
        </is>
      </c>
      <c r="AE4" s="867" t="inlineStr">
        <is>
          <t>Agency Quoting Rent £.sq.ft</t>
        </is>
      </c>
      <c r="AF4" s="867" t="inlineStr">
        <is>
          <t>Monthly Viewings</t>
        </is>
      </c>
      <c r="AG4" s="867" t="inlineStr">
        <is>
          <t>Total Viewings</t>
        </is>
      </c>
      <c r="AH4" s="867" t="inlineStr">
        <is>
          <t>Marketing Agent</t>
        </is>
      </c>
      <c r="AI4" t="inlineStr">
        <is>
          <t>Status</t>
        </is>
      </c>
    </row>
    <row r="5">
      <c r="A5" s="868" t="inlineStr">
        <is>
          <t>5-6 Bywell Place</t>
        </is>
      </c>
    </row>
    <row r="6">
      <c r="A6" t="inlineStr">
        <is>
          <t xml:space="preserve">  Office</t>
        </is>
      </c>
      <c r="B6" t="inlineStr">
        <is>
          <t>JM</t>
        </is>
      </c>
      <c r="C6" t="inlineStr">
        <is>
          <t>MEL</t>
        </is>
      </c>
      <c r="D6" t="n">
        <v>550020</v>
      </c>
      <c r="E6" t="inlineStr">
        <is>
          <t>5-6 Bywell Place</t>
        </is>
      </c>
      <c r="F6" t="inlineStr">
        <is>
          <t>Whole Building</t>
        </is>
      </c>
      <c r="G6" t="inlineStr">
        <is>
          <t>Office</t>
        </is>
      </c>
      <c r="H6" t="n">
        <v>2011</v>
      </c>
      <c r="I6">
        <f>I2</f>
        <v/>
      </c>
      <c r="J6" t="n">
        <v>2000</v>
      </c>
      <c r="K6" t="inlineStr">
        <is>
          <t>111 Skin Limited</t>
        </is>
      </c>
      <c r="L6" s="869" t="n">
        <v>45365</v>
      </c>
      <c r="M6" s="869" t="n">
        <v>47190</v>
      </c>
      <c r="P6" s="869" t="n">
        <v>46459</v>
      </c>
      <c r="Q6" t="n">
        <v>115500</v>
      </c>
      <c r="R6">
        <f>R2</f>
        <v/>
      </c>
      <c r="S6">
        <f>S2</f>
        <v/>
      </c>
      <c r="T6" t="n">
        <v>100600</v>
      </c>
      <c r="U6">
        <f>U2</f>
        <v/>
      </c>
      <c r="V6" t="n">
        <v>115000</v>
      </c>
      <c r="W6">
        <f>W2</f>
        <v/>
      </c>
      <c r="X6">
        <f>W2/I2</f>
        <v/>
      </c>
      <c r="Y6">
        <f>SUM(W2-U2)/U2</f>
        <v/>
      </c>
      <c r="Z6" t="inlineStr">
        <is>
          <t>C</t>
        </is>
      </c>
      <c r="AB6" t="n">
        <v>1825000</v>
      </c>
      <c r="AC6" t="inlineStr">
        <is>
          <t>No</t>
        </is>
      </c>
      <c r="AD6" t="inlineStr">
        <is>
          <t>Tenant break on 6 months notice. Break penalty of £28,875 if exercised.</t>
        </is>
      </c>
      <c r="AI6" t="inlineStr">
        <is>
          <t>Let</t>
        </is>
      </c>
    </row>
    <row r="7"/>
    <row r="8">
      <c r="A8" s="868" t="inlineStr">
        <is>
          <t>22 and 23-25 Eastcastle Street</t>
        </is>
      </c>
    </row>
    <row r="9">
      <c r="A9" t="inlineStr">
        <is>
          <t xml:space="preserve">  Retail</t>
        </is>
      </c>
      <c r="B9" t="inlineStr">
        <is>
          <t>SH</t>
        </is>
      </c>
      <c r="C9" t="inlineStr">
        <is>
          <t>MEL</t>
        </is>
      </c>
      <c r="D9" t="n">
        <v>550910</v>
      </c>
      <c r="E9" t="inlineStr">
        <is>
          <t>22 and 23-25 Eastcastle Street</t>
        </is>
      </c>
      <c r="F9" t="inlineStr">
        <is>
          <t>Lower Ground &amp; Ground (22)</t>
        </is>
      </c>
      <c r="G9" t="inlineStr">
        <is>
          <t>Retail</t>
        </is>
      </c>
      <c r="H9" t="n">
        <v>2333</v>
      </c>
      <c r="I9">
        <f>I3</f>
        <v/>
      </c>
      <c r="J9" t="n">
        <v>2000</v>
      </c>
      <c r="K9" t="inlineStr">
        <is>
          <t>Top Bridal Ltd</t>
        </is>
      </c>
      <c r="L9" s="869" t="n">
        <v>45736</v>
      </c>
      <c r="M9" s="869" t="n">
        <v>47561</v>
      </c>
      <c r="P9" s="869" t="n">
        <v>46831</v>
      </c>
      <c r="Q9" t="n">
        <v>128000</v>
      </c>
      <c r="R9">
        <f>R3</f>
        <v/>
      </c>
      <c r="T9" t="n">
        <v>110000</v>
      </c>
      <c r="U9">
        <f>U3</f>
        <v/>
      </c>
      <c r="V9" t="n">
        <v>108100</v>
      </c>
      <c r="W9">
        <f>W3</f>
        <v/>
      </c>
      <c r="X9">
        <f>W3/I3</f>
        <v/>
      </c>
      <c r="Y9">
        <f>SUM(W3-U3)/U3</f>
        <v/>
      </c>
      <c r="Z9" t="inlineStr">
        <is>
          <t>C</t>
        </is>
      </c>
      <c r="AC9" t="inlineStr">
        <is>
          <t>No</t>
        </is>
      </c>
      <c r="AD9" t="inlineStr">
        <is>
          <t>Stepped rent increasing to £130,000 wef 20/03/27. Tenant break on 6 months notice.</t>
        </is>
      </c>
      <c r="AF9" t="n">
        <v>1</v>
      </c>
      <c r="AG9" t="n">
        <v>3</v>
      </c>
      <c r="AI9" t="inlineStr">
        <is>
          <t>Let</t>
        </is>
      </c>
    </row>
    <row r="10">
      <c r="A10" t="inlineStr">
        <is>
          <t xml:space="preserve">  Gallery</t>
        </is>
      </c>
      <c r="B10" t="inlineStr">
        <is>
          <t>SH</t>
        </is>
      </c>
      <c r="C10" t="inlineStr">
        <is>
          <t>MEL</t>
        </is>
      </c>
      <c r="D10" t="n">
        <v>550910</v>
      </c>
      <c r="E10" t="inlineStr">
        <is>
          <t>22 and 23-25 Eastcastle Street</t>
        </is>
      </c>
      <c r="F10" t="inlineStr">
        <is>
          <t>Lower Ground &amp; Ground (23-25)</t>
        </is>
      </c>
      <c r="G10" t="inlineStr">
        <is>
          <t>Gallery</t>
        </is>
      </c>
      <c r="H10" t="n">
        <v>6092</v>
      </c>
      <c r="I10">
        <f>I4</f>
        <v/>
      </c>
      <c r="J10" t="n">
        <v>6000</v>
      </c>
      <c r="K10" t="inlineStr">
        <is>
          <t>Sisters Grimm Ltd</t>
        </is>
      </c>
      <c r="L10" s="869" t="n">
        <v>45712</v>
      </c>
      <c r="M10" s="869" t="n">
        <v>47537</v>
      </c>
      <c r="P10" s="869" t="n">
        <v>46806</v>
      </c>
      <c r="Q10" t="n">
        <v>325000</v>
      </c>
      <c r="R10">
        <f>R4</f>
        <v/>
      </c>
      <c r="T10" t="n">
        <v>225000</v>
      </c>
      <c r="U10">
        <f>U4</f>
        <v/>
      </c>
      <c r="V10" t="n">
        <v>226100</v>
      </c>
      <c r="W10">
        <f>W4</f>
        <v/>
      </c>
      <c r="X10">
        <f>W4/I4</f>
        <v/>
      </c>
      <c r="Y10">
        <f>SUM(W4-U4)/U4</f>
        <v/>
      </c>
      <c r="Z10" t="inlineStr">
        <is>
          <t>B</t>
        </is>
      </c>
      <c r="AC10" t="inlineStr">
        <is>
          <t>No</t>
        </is>
      </c>
      <c r="AD10" t="inlineStr">
        <is>
          <t>Tenant break on 6 months notice. 1 month rent free from 24/02/28 if break not excerised.</t>
        </is>
      </c>
      <c r="AG10" t="n">
        <v>3</v>
      </c>
      <c r="AH10" t="inlineStr">
        <is>
          <t>LEM</t>
        </is>
      </c>
      <c r="AI10" t="inlineStr">
        <is>
          <t>Let</t>
        </is>
      </c>
    </row>
    <row r="11">
      <c r="A11" t="inlineStr">
        <is>
          <t xml:space="preserve">  Office</t>
        </is>
      </c>
      <c r="B11" t="inlineStr">
        <is>
          <t>SH</t>
        </is>
      </c>
      <c r="C11" t="inlineStr">
        <is>
          <t>MEL</t>
        </is>
      </c>
      <c r="D11" t="n">
        <v>550910</v>
      </c>
      <c r="E11" t="inlineStr">
        <is>
          <t>22 and 23-25 Eastcastle Street</t>
        </is>
      </c>
      <c r="F11" t="inlineStr">
        <is>
          <t>First Floor (22)</t>
        </is>
      </c>
      <c r="G11" t="inlineStr">
        <is>
          <t>Office</t>
        </is>
      </c>
      <c r="H11" t="n">
        <v>1063</v>
      </c>
      <c r="I11">
        <f>I5</f>
        <v/>
      </c>
      <c r="J11" t="n">
        <v>1000</v>
      </c>
      <c r="K11" t="inlineStr">
        <is>
          <t>Peter Alexander UK Ltd</t>
        </is>
      </c>
      <c r="L11" s="869" t="n">
        <v>45551</v>
      </c>
      <c r="M11" s="869" t="n">
        <v>47376</v>
      </c>
      <c r="P11" s="869" t="n">
        <v>46645</v>
      </c>
      <c r="Q11" t="n">
        <v>61425</v>
      </c>
      <c r="R11">
        <f>R5</f>
        <v/>
      </c>
      <c r="T11" t="n">
        <v>55700</v>
      </c>
      <c r="U11">
        <f>U5</f>
        <v/>
      </c>
      <c r="V11" t="n">
        <v>61100</v>
      </c>
      <c r="W11">
        <f>W5</f>
        <v/>
      </c>
      <c r="X11">
        <f>W5/I5</f>
        <v/>
      </c>
      <c r="Y11">
        <f>SUM(W5-U5)/U5</f>
        <v/>
      </c>
      <c r="Z11" t="inlineStr">
        <is>
          <t>D</t>
        </is>
      </c>
      <c r="AC11" t="inlineStr">
        <is>
          <t>No</t>
        </is>
      </c>
      <c r="AD11" t="inlineStr">
        <is>
          <t>Tenant break on 3 months notice. Additional 3 months rent free if not exercised.</t>
        </is>
      </c>
      <c r="AH11" t="inlineStr">
        <is>
          <t>LEM</t>
        </is>
      </c>
      <c r="AI11" t="inlineStr">
        <is>
          <t>Let</t>
        </is>
      </c>
    </row>
    <row r="12">
      <c r="A12" t="inlineStr">
        <is>
          <t xml:space="preserve">  Office</t>
        </is>
      </c>
      <c r="B12" t="inlineStr">
        <is>
          <t>SH</t>
        </is>
      </c>
      <c r="C12" t="inlineStr">
        <is>
          <t>MEL</t>
        </is>
      </c>
      <c r="D12" t="n">
        <v>550910</v>
      </c>
      <c r="E12" t="inlineStr">
        <is>
          <t>22 and 23-25 Eastcastle Street</t>
        </is>
      </c>
      <c r="F12" t="inlineStr">
        <is>
          <t>First Floor (23-25)</t>
        </is>
      </c>
      <c r="G12" t="inlineStr">
        <is>
          <t>Office</t>
        </is>
      </c>
      <c r="H12" t="n">
        <v>2220</v>
      </c>
      <c r="I12">
        <f>I6</f>
        <v/>
      </c>
      <c r="J12" t="n">
        <v>2000</v>
      </c>
      <c r="K12" t="inlineStr">
        <is>
          <t>Cord Technologies Ltd</t>
        </is>
      </c>
      <c r="L12" s="869" t="n">
        <v>45086</v>
      </c>
      <c r="M12" s="869" t="n">
        <v>46181</v>
      </c>
      <c r="Q12" t="n">
        <v>131400</v>
      </c>
      <c r="R12">
        <f>R6</f>
        <v/>
      </c>
      <c r="T12" t="n">
        <v>131100</v>
      </c>
      <c r="U12">
        <f>U6</f>
        <v/>
      </c>
      <c r="V12" t="n">
        <v>133200</v>
      </c>
      <c r="W12">
        <f>W6</f>
        <v/>
      </c>
      <c r="X12">
        <f>W6/I6</f>
        <v/>
      </c>
      <c r="Y12">
        <f>SUM(W6-U6)/U6</f>
        <v/>
      </c>
      <c r="Z12" t="inlineStr">
        <is>
          <t>D</t>
        </is>
      </c>
      <c r="AC12" t="inlineStr">
        <is>
          <t>No</t>
        </is>
      </c>
      <c r="AD12" t="inlineStr">
        <is>
          <t>Tenant break passed.</t>
        </is>
      </c>
      <c r="AI12" t="inlineStr">
        <is>
          <t>Let</t>
        </is>
      </c>
    </row>
    <row r="13">
      <c r="A13" t="inlineStr">
        <is>
          <t xml:space="preserve">  Office</t>
        </is>
      </c>
      <c r="B13" t="inlineStr">
        <is>
          <t>SH</t>
        </is>
      </c>
      <c r="C13" t="inlineStr">
        <is>
          <t>MEL</t>
        </is>
      </c>
      <c r="D13" t="n">
        <v>550910</v>
      </c>
      <c r="E13" t="inlineStr">
        <is>
          <t>22 and 23-25 Eastcastle Street</t>
        </is>
      </c>
      <c r="F13" t="inlineStr">
        <is>
          <t>Second Floor (22)</t>
        </is>
      </c>
      <c r="G13" t="inlineStr">
        <is>
          <t>Office</t>
        </is>
      </c>
      <c r="H13" t="n">
        <v>1124</v>
      </c>
      <c r="I13">
        <f>I7</f>
        <v/>
      </c>
      <c r="J13" t="n">
        <v>1000</v>
      </c>
      <c r="K13" t="inlineStr">
        <is>
          <t>Cord Technologies Ltd</t>
        </is>
      </c>
      <c r="L13" s="869" t="n">
        <v>45614</v>
      </c>
      <c r="M13" s="869" t="n">
        <v>46181</v>
      </c>
      <c r="Q13" t="n">
        <v>71875</v>
      </c>
      <c r="R13">
        <f>R7</f>
        <v/>
      </c>
      <c r="T13" t="n">
        <v>60400</v>
      </c>
      <c r="U13">
        <f>U7</f>
        <v/>
      </c>
      <c r="V13" t="n">
        <v>61800</v>
      </c>
      <c r="W13">
        <f>W7</f>
        <v/>
      </c>
      <c r="X13">
        <f>W7/I7</f>
        <v/>
      </c>
      <c r="Y13">
        <f>SUM(W7-U7)/U7</f>
        <v/>
      </c>
      <c r="Z13" t="inlineStr">
        <is>
          <t>B</t>
        </is>
      </c>
      <c r="AC13" t="inlineStr">
        <is>
          <t>No</t>
        </is>
      </c>
      <c r="AD13" t="inlineStr">
        <is>
          <t>Tenant break passed.</t>
        </is>
      </c>
      <c r="AI13" t="inlineStr">
        <is>
          <t>Let</t>
        </is>
      </c>
    </row>
    <row r="14">
      <c r="A14" t="inlineStr">
        <is>
          <t xml:space="preserve">  Office</t>
        </is>
      </c>
      <c r="B14" t="inlineStr">
        <is>
          <t>SH</t>
        </is>
      </c>
      <c r="C14" t="inlineStr">
        <is>
          <t>MEL</t>
        </is>
      </c>
      <c r="D14" t="n">
        <v>550910</v>
      </c>
      <c r="E14" t="inlineStr">
        <is>
          <t>22 and 23-25 Eastcastle Street</t>
        </is>
      </c>
      <c r="F14" t="inlineStr">
        <is>
          <t>Second Floor (23-25)</t>
        </is>
      </c>
      <c r="G14" t="inlineStr">
        <is>
          <t>Office</t>
        </is>
      </c>
      <c r="H14" t="n">
        <v>2238</v>
      </c>
      <c r="I14">
        <f>I8</f>
        <v/>
      </c>
      <c r="J14" t="n">
        <v>2000</v>
      </c>
      <c r="K14" t="inlineStr">
        <is>
          <t>Vacant</t>
        </is>
      </c>
      <c r="N14" s="869" t="n">
        <v>45636</v>
      </c>
      <c r="Q14" t="n">
        <v>0</v>
      </c>
      <c r="R14">
        <f>R8</f>
        <v/>
      </c>
      <c r="T14" t="n">
        <v>134300</v>
      </c>
      <c r="U14">
        <f>U8</f>
        <v/>
      </c>
      <c r="V14" t="n">
        <v>134300</v>
      </c>
      <c r="W14">
        <f>W8</f>
        <v/>
      </c>
      <c r="X14">
        <f>W8/I8</f>
        <v/>
      </c>
      <c r="Y14">
        <f>SUM(W8-U8)/U8</f>
        <v/>
      </c>
      <c r="Z14" t="inlineStr">
        <is>
          <t>D</t>
        </is>
      </c>
      <c r="AC14" t="inlineStr">
        <is>
          <t>No</t>
        </is>
      </c>
      <c r="AD14" t="inlineStr">
        <is>
          <t>LEM marketing.</t>
        </is>
      </c>
      <c r="AF14" t="n">
        <v>2</v>
      </c>
      <c r="AG14" t="n">
        <v>2</v>
      </c>
      <c r="AI14" t="inlineStr">
        <is>
          <t>Void</t>
        </is>
      </c>
    </row>
    <row r="15">
      <c r="A15" t="inlineStr">
        <is>
          <t xml:space="preserve">  Office</t>
        </is>
      </c>
      <c r="B15" t="inlineStr">
        <is>
          <t>SH</t>
        </is>
      </c>
      <c r="C15" t="inlineStr">
        <is>
          <t>MEL</t>
        </is>
      </c>
      <c r="D15" t="n">
        <v>550910</v>
      </c>
      <c r="E15" t="inlineStr">
        <is>
          <t>22 and 23-25 Eastcastle Street</t>
        </is>
      </c>
      <c r="F15" t="inlineStr">
        <is>
          <t>Third Floor (22)</t>
        </is>
      </c>
      <c r="G15" t="inlineStr">
        <is>
          <t>Office</t>
        </is>
      </c>
      <c r="H15" t="n">
        <v>400</v>
      </c>
      <c r="I15">
        <f>I9</f>
        <v/>
      </c>
      <c r="J15" t="n">
        <v>500</v>
      </c>
      <c r="K15" t="inlineStr">
        <is>
          <t>Vacant</t>
        </is>
      </c>
      <c r="N15" s="869" t="n">
        <v>45771</v>
      </c>
      <c r="Q15" t="n">
        <v>0</v>
      </c>
      <c r="R15">
        <f>R9</f>
        <v/>
      </c>
      <c r="T15" t="n">
        <v>20600</v>
      </c>
      <c r="U15">
        <f>U9</f>
        <v/>
      </c>
      <c r="V15" t="n">
        <v>23000</v>
      </c>
      <c r="W15">
        <f>W9</f>
        <v/>
      </c>
      <c r="X15">
        <f>W9/I9</f>
        <v/>
      </c>
      <c r="Y15">
        <f>SUM(W9-U9)/U9</f>
        <v/>
      </c>
      <c r="Z15" t="inlineStr">
        <is>
          <t>D</t>
        </is>
      </c>
      <c r="AC15" t="inlineStr">
        <is>
          <t>No</t>
        </is>
      </c>
      <c r="AD15" t="inlineStr">
        <is>
          <t>LEM marketing.</t>
        </is>
      </c>
      <c r="AF15" t="n">
        <v>1</v>
      </c>
      <c r="AG15" t="n">
        <v>1</v>
      </c>
      <c r="AI15" t="inlineStr">
        <is>
          <t>Void</t>
        </is>
      </c>
    </row>
    <row r="16">
      <c r="A16" t="inlineStr">
        <is>
          <t xml:space="preserve">  Office</t>
        </is>
      </c>
      <c r="B16" t="inlineStr">
        <is>
          <t>SH</t>
        </is>
      </c>
      <c r="C16" t="inlineStr">
        <is>
          <t>MEL</t>
        </is>
      </c>
      <c r="D16" t="n">
        <v>550910</v>
      </c>
      <c r="E16" t="inlineStr">
        <is>
          <t>22 and 23-25 Eastcastle Street</t>
        </is>
      </c>
      <c r="F16" t="inlineStr">
        <is>
          <t>Third Floor (23-25)</t>
        </is>
      </c>
      <c r="G16" t="inlineStr">
        <is>
          <t>Office</t>
        </is>
      </c>
      <c r="H16" t="n">
        <v>1938</v>
      </c>
      <c r="I16">
        <f>I10</f>
        <v/>
      </c>
      <c r="J16" t="n">
        <v>2000</v>
      </c>
      <c r="K16" t="inlineStr">
        <is>
          <t>Vacant</t>
        </is>
      </c>
      <c r="N16" s="869" t="n">
        <v>45217</v>
      </c>
      <c r="Q16" t="n">
        <v>0</v>
      </c>
      <c r="R16">
        <f>R10</f>
        <v/>
      </c>
      <c r="T16" t="n">
        <v>109000</v>
      </c>
      <c r="U16">
        <f>U10</f>
        <v/>
      </c>
      <c r="V16" t="n">
        <v>111400</v>
      </c>
      <c r="W16">
        <f>W10</f>
        <v/>
      </c>
      <c r="X16">
        <f>W10/I10</f>
        <v/>
      </c>
      <c r="Y16">
        <f>SUM(W10-U10)/U10</f>
        <v/>
      </c>
      <c r="Z16" t="inlineStr">
        <is>
          <t>D</t>
        </is>
      </c>
      <c r="AC16" t="inlineStr">
        <is>
          <t>No</t>
        </is>
      </c>
      <c r="AD16" t="inlineStr">
        <is>
          <t>LEM marketing.</t>
        </is>
      </c>
      <c r="AE16" t="n">
        <v>65</v>
      </c>
      <c r="AF16" t="n">
        <v>2</v>
      </c>
      <c r="AG16" t="n">
        <v>4</v>
      </c>
      <c r="AI16" t="inlineStr">
        <is>
          <t>Void</t>
        </is>
      </c>
    </row>
    <row r="17">
      <c r="A17" t="inlineStr">
        <is>
          <t xml:space="preserve">  Office</t>
        </is>
      </c>
      <c r="B17" t="inlineStr">
        <is>
          <t>SH</t>
        </is>
      </c>
      <c r="C17" t="inlineStr">
        <is>
          <t>MEL</t>
        </is>
      </c>
      <c r="D17" t="n">
        <v>550910</v>
      </c>
      <c r="E17" t="inlineStr">
        <is>
          <t>22 and 23-25 Eastcastle Street</t>
        </is>
      </c>
      <c r="F17" t="inlineStr">
        <is>
          <t>Fourth Floor (22)</t>
        </is>
      </c>
      <c r="G17" t="inlineStr">
        <is>
          <t>Office</t>
        </is>
      </c>
      <c r="H17" t="n">
        <v>419</v>
      </c>
      <c r="I17">
        <f>I11</f>
        <v/>
      </c>
      <c r="J17" t="n">
        <v>500</v>
      </c>
      <c r="K17" t="inlineStr">
        <is>
          <t>Element Pictures UK Ltd.</t>
        </is>
      </c>
      <c r="L17" s="869" t="n">
        <v>44539</v>
      </c>
      <c r="M17" s="869" t="n">
        <v>46364</v>
      </c>
      <c r="Q17" t="n">
        <v>23940</v>
      </c>
      <c r="R17">
        <f>R11</f>
        <v/>
      </c>
      <c r="T17" t="n">
        <v>21000</v>
      </c>
      <c r="U17">
        <f>U11</f>
        <v/>
      </c>
      <c r="V17" t="n">
        <v>24100</v>
      </c>
      <c r="W17">
        <f>W11</f>
        <v/>
      </c>
      <c r="X17">
        <f>W11/I11</f>
        <v/>
      </c>
      <c r="Y17">
        <f>SUM(W11-U11)/U11</f>
        <v/>
      </c>
      <c r="Z17" t="inlineStr">
        <is>
          <t>D</t>
        </is>
      </c>
      <c r="AC17" t="inlineStr">
        <is>
          <t>No</t>
        </is>
      </c>
      <c r="AF17" t="n">
        <v>1</v>
      </c>
      <c r="AG17" t="n">
        <v>1</v>
      </c>
      <c r="AI17" t="inlineStr">
        <is>
          <t>Let</t>
        </is>
      </c>
    </row>
    <row r="18">
      <c r="A18" t="inlineStr">
        <is>
          <t xml:space="preserve">  Office</t>
        </is>
      </c>
      <c r="B18" t="inlineStr">
        <is>
          <t>SH</t>
        </is>
      </c>
      <c r="C18" t="inlineStr">
        <is>
          <t>MEL</t>
        </is>
      </c>
      <c r="D18" t="n">
        <v>550910</v>
      </c>
      <c r="E18" t="inlineStr">
        <is>
          <t>22 and 23-25 Eastcastle Street</t>
        </is>
      </c>
      <c r="F18" t="inlineStr">
        <is>
          <t>Fourth Floor (23-25)</t>
        </is>
      </c>
      <c r="G18" t="inlineStr">
        <is>
          <t>Office</t>
        </is>
      </c>
      <c r="H18" t="n">
        <v>972</v>
      </c>
      <c r="I18">
        <f>I12</f>
        <v/>
      </c>
      <c r="J18" t="n">
        <v>1000</v>
      </c>
      <c r="K18" t="inlineStr">
        <is>
          <t>Encore Search (Newburgh Street) Ltd.</t>
        </is>
      </c>
      <c r="L18" s="869" t="n">
        <v>45100</v>
      </c>
      <c r="M18" s="869" t="n">
        <v>46926</v>
      </c>
      <c r="P18" s="869" t="n">
        <v>46195</v>
      </c>
      <c r="Q18" t="n">
        <v>58560</v>
      </c>
      <c r="R18">
        <f>R12</f>
        <v/>
      </c>
      <c r="T18" t="n">
        <v>49400</v>
      </c>
      <c r="U18">
        <f>U12</f>
        <v/>
      </c>
      <c r="V18" t="n">
        <v>58300</v>
      </c>
      <c r="W18">
        <f>W12</f>
        <v/>
      </c>
      <c r="X18">
        <f>W12/I12</f>
        <v/>
      </c>
      <c r="Y18">
        <f>SUM(W12-U12)/U12</f>
        <v/>
      </c>
      <c r="Z18" t="inlineStr">
        <is>
          <t>D</t>
        </is>
      </c>
      <c r="AC18" t="inlineStr">
        <is>
          <t>No</t>
        </is>
      </c>
      <c r="AD18" t="inlineStr">
        <is>
          <t>Tenant break on 6 months notice. 3 months rent free if not exercised.</t>
        </is>
      </c>
      <c r="AI18" t="inlineStr">
        <is>
          <t>Let</t>
        </is>
      </c>
    </row>
    <row r="19">
      <c r="A19" t="inlineStr">
        <is>
          <t xml:space="preserve">  Office</t>
        </is>
      </c>
      <c r="B19" t="inlineStr">
        <is>
          <t>SH</t>
        </is>
      </c>
      <c r="C19" t="inlineStr">
        <is>
          <t>MEL</t>
        </is>
      </c>
      <c r="D19" t="n">
        <v>550910</v>
      </c>
      <c r="E19" t="inlineStr">
        <is>
          <t>22 and 23-25 Eastcastle Street</t>
        </is>
      </c>
      <c r="F19" t="inlineStr">
        <is>
          <t>Fifth Floor (23-25)</t>
        </is>
      </c>
      <c r="G19" t="inlineStr">
        <is>
          <t>Office</t>
        </is>
      </c>
      <c r="H19" t="n">
        <v>977</v>
      </c>
      <c r="I19">
        <f>I13</f>
        <v/>
      </c>
      <c r="J19" t="n">
        <v>1000</v>
      </c>
      <c r="K19" t="inlineStr">
        <is>
          <t>Element Pictures UK Ltd.</t>
        </is>
      </c>
      <c r="L19" s="869" t="n">
        <v>45476</v>
      </c>
      <c r="M19" s="869" t="n">
        <v>47301</v>
      </c>
      <c r="P19" s="869" t="n">
        <v>46364</v>
      </c>
      <c r="Q19" t="n">
        <v>58496</v>
      </c>
      <c r="R19">
        <f>R13</f>
        <v/>
      </c>
      <c r="T19" t="n">
        <v>47400</v>
      </c>
      <c r="U19">
        <f>U13</f>
        <v/>
      </c>
      <c r="V19" t="n">
        <v>58600</v>
      </c>
      <c r="W19">
        <f>W13</f>
        <v/>
      </c>
      <c r="X19">
        <f>W13/I13</f>
        <v/>
      </c>
      <c r="Y19">
        <f>SUM(W13-U13)/U13</f>
        <v/>
      </c>
      <c r="Z19" t="inlineStr">
        <is>
          <t>B</t>
        </is>
      </c>
      <c r="AC19" t="inlineStr">
        <is>
          <t>No</t>
        </is>
      </c>
      <c r="AD19" t="inlineStr">
        <is>
          <t>Tenant break on 6 months notice.</t>
        </is>
      </c>
      <c r="AI19" t="inlineStr">
        <is>
          <t>Let</t>
        </is>
      </c>
    </row>
    <row r="20">
      <c r="A20" t="inlineStr">
        <is>
          <t xml:space="preserve">  Office</t>
        </is>
      </c>
      <c r="B20" t="inlineStr">
        <is>
          <t>SH</t>
        </is>
      </c>
      <c r="C20" t="inlineStr">
        <is>
          <t>MEL</t>
        </is>
      </c>
      <c r="D20" t="n">
        <v>550910</v>
      </c>
      <c r="E20" t="inlineStr">
        <is>
          <t>22 and 23-25 Eastcastle Street</t>
        </is>
      </c>
      <c r="F20" t="inlineStr">
        <is>
          <t>Sixth Floor (23-25)</t>
        </is>
      </c>
      <c r="G20" t="inlineStr">
        <is>
          <t>Office</t>
        </is>
      </c>
      <c r="H20" t="n">
        <v>744</v>
      </c>
      <c r="I20">
        <f>I14</f>
        <v/>
      </c>
      <c r="J20" t="n">
        <v>750</v>
      </c>
      <c r="K20" t="inlineStr">
        <is>
          <t>Vacant</t>
        </is>
      </c>
      <c r="N20" s="869" t="n">
        <v>45182</v>
      </c>
      <c r="Q20" t="n">
        <v>0</v>
      </c>
      <c r="R20">
        <f>R14</f>
        <v/>
      </c>
      <c r="T20" t="n">
        <v>34400</v>
      </c>
      <c r="U20">
        <f>U14</f>
        <v/>
      </c>
      <c r="V20" t="n">
        <v>47000</v>
      </c>
      <c r="W20">
        <f>W14</f>
        <v/>
      </c>
      <c r="X20">
        <f>W14/I14</f>
        <v/>
      </c>
      <c r="Y20">
        <f>SUM(W14-U14)/U14</f>
        <v/>
      </c>
      <c r="Z20" t="inlineStr">
        <is>
          <t>D</t>
        </is>
      </c>
      <c r="AC20" t="inlineStr">
        <is>
          <t>No</t>
        </is>
      </c>
      <c r="AD20" t="inlineStr">
        <is>
          <t>LEM marketing.</t>
        </is>
      </c>
      <c r="AE20" t="n">
        <v>63.5</v>
      </c>
      <c r="AF20" t="n">
        <v>2</v>
      </c>
      <c r="AG20" t="n">
        <v>4</v>
      </c>
      <c r="AH20" t="inlineStr">
        <is>
          <t>LEM</t>
        </is>
      </c>
      <c r="AI20" t="inlineStr">
        <is>
          <t>Void</t>
        </is>
      </c>
    </row>
    <row r="21">
      <c r="A21" t="inlineStr">
        <is>
          <t xml:space="preserve">  Parking</t>
        </is>
      </c>
      <c r="B21" t="inlineStr">
        <is>
          <t>SH</t>
        </is>
      </c>
      <c r="C21" t="inlineStr">
        <is>
          <t>MEL</t>
        </is>
      </c>
      <c r="D21" t="n">
        <v>550910</v>
      </c>
      <c r="E21" t="inlineStr">
        <is>
          <t>22 and 23-25 Eastcastle Street</t>
        </is>
      </c>
      <c r="F21" t="inlineStr">
        <is>
          <t>Garage</t>
        </is>
      </c>
      <c r="G21" t="inlineStr">
        <is>
          <t>Parking</t>
        </is>
      </c>
      <c r="H21" t="n">
        <v>185</v>
      </c>
      <c r="I21">
        <f>I15</f>
        <v/>
      </c>
      <c r="J21" t="n">
        <v>200</v>
      </c>
      <c r="K21" t="inlineStr">
        <is>
          <t>Vacant / Landlord</t>
        </is>
      </c>
      <c r="N21" t="inlineStr">
        <is>
          <t>N/A</t>
        </is>
      </c>
      <c r="Q21" t="n">
        <v>0</v>
      </c>
      <c r="R21">
        <f>R15</f>
        <v/>
      </c>
      <c r="T21" t="n">
        <v>3000</v>
      </c>
      <c r="U21">
        <f>U15</f>
        <v/>
      </c>
      <c r="V21" t="n">
        <v>4500</v>
      </c>
      <c r="W21">
        <f>W15</f>
        <v/>
      </c>
      <c r="X21">
        <f>W15/I15</f>
        <v/>
      </c>
      <c r="Y21">
        <f>SUM(W15-U15)/U15</f>
        <v/>
      </c>
      <c r="AC21" t="inlineStr">
        <is>
          <t>No</t>
        </is>
      </c>
      <c r="AI21" t="inlineStr">
        <is>
          <t>Void</t>
        </is>
      </c>
    </row>
    <row r="22"/>
    <row r="23">
      <c r="A23" s="868" t="inlineStr">
        <is>
          <t>26 Eastcastle Street</t>
        </is>
      </c>
    </row>
    <row r="24">
      <c r="A24" t="inlineStr">
        <is>
          <t xml:space="preserve">  Showroom/ Offices</t>
        </is>
      </c>
      <c r="B24" t="inlineStr">
        <is>
          <t>SH</t>
        </is>
      </c>
      <c r="C24" t="inlineStr">
        <is>
          <t>MEL</t>
        </is>
      </c>
      <c r="D24" t="n">
        <v>550920</v>
      </c>
      <c r="E24" t="inlineStr">
        <is>
          <t>26 Eastcastle Street</t>
        </is>
      </c>
      <c r="F24" t="inlineStr">
        <is>
          <t>Lower Ground &amp; Ground</t>
        </is>
      </c>
      <c r="G24" t="inlineStr">
        <is>
          <t>Showroom/ Offices</t>
        </is>
      </c>
      <c r="H24" t="n">
        <v>2940</v>
      </c>
      <c r="I24">
        <f>I16</f>
        <v/>
      </c>
      <c r="J24" t="n">
        <v>3000</v>
      </c>
      <c r="K24" t="inlineStr">
        <is>
          <t>Hela Brands Ltd</t>
        </is>
      </c>
      <c r="L24" s="869" t="n">
        <v>45649</v>
      </c>
      <c r="M24" s="869" t="n">
        <v>46743</v>
      </c>
      <c r="P24" s="869" t="n">
        <v>46013</v>
      </c>
      <c r="Q24" t="n">
        <v>132000</v>
      </c>
      <c r="R24">
        <f>R16</f>
        <v/>
      </c>
      <c r="T24" t="n">
        <v>114600</v>
      </c>
      <c r="U24">
        <f>U16</f>
        <v/>
      </c>
      <c r="V24" t="n">
        <v>124500</v>
      </c>
      <c r="W24">
        <f>W16</f>
        <v/>
      </c>
      <c r="X24">
        <f>W16/I16</f>
        <v/>
      </c>
      <c r="Y24">
        <f>SUM(W16-U16)/U16</f>
        <v/>
      </c>
      <c r="Z24" t="inlineStr">
        <is>
          <t>C</t>
        </is>
      </c>
      <c r="AC24" t="inlineStr">
        <is>
          <t>No</t>
        </is>
      </c>
      <c r="AD24" t="inlineStr">
        <is>
          <t>Tenant rolling break from 22/12/25 on 4 months notice.</t>
        </is>
      </c>
      <c r="AI24" t="inlineStr">
        <is>
          <t>Let</t>
        </is>
      </c>
    </row>
    <row r="25">
      <c r="A25" t="inlineStr">
        <is>
          <t xml:space="preserve">  Offices</t>
        </is>
      </c>
      <c r="B25" t="inlineStr">
        <is>
          <t>SH</t>
        </is>
      </c>
      <c r="C25" t="inlineStr">
        <is>
          <t>MEL</t>
        </is>
      </c>
      <c r="D25" t="n">
        <v>550920</v>
      </c>
      <c r="E25" t="inlineStr">
        <is>
          <t>26 Eastcastle Street</t>
        </is>
      </c>
      <c r="F25" t="inlineStr">
        <is>
          <t>First Floor</t>
        </is>
      </c>
      <c r="G25" t="inlineStr">
        <is>
          <t>Offices</t>
        </is>
      </c>
      <c r="H25" t="n">
        <v>1398</v>
      </c>
      <c r="I25">
        <f>I17</f>
        <v/>
      </c>
      <c r="J25" t="n">
        <v>1000</v>
      </c>
      <c r="K25" t="inlineStr">
        <is>
          <t>Alternative Real Estate Advisors Ltd</t>
        </is>
      </c>
      <c r="L25" s="869" t="n">
        <v>45470</v>
      </c>
      <c r="M25" s="869" t="n">
        <v>47295</v>
      </c>
      <c r="P25" s="869" t="n">
        <v>46564</v>
      </c>
      <c r="Q25" t="n">
        <v>89833</v>
      </c>
      <c r="R25">
        <f>R17</f>
        <v/>
      </c>
      <c r="T25" t="n">
        <v>76900</v>
      </c>
      <c r="U25">
        <f>U17</f>
        <v/>
      </c>
      <c r="V25" t="n">
        <v>97900</v>
      </c>
      <c r="W25">
        <f>W17</f>
        <v/>
      </c>
      <c r="X25">
        <f>W17/I17</f>
        <v/>
      </c>
      <c r="Y25">
        <f>SUM(W17-U17)/U17</f>
        <v/>
      </c>
      <c r="Z25" t="inlineStr">
        <is>
          <t>D</t>
        </is>
      </c>
      <c r="AC25" t="inlineStr">
        <is>
          <t>No</t>
        </is>
      </c>
      <c r="AD25" t="inlineStr">
        <is>
          <t>Rent increases to £98,000 wef 27/06/27. Tenant break on 6 months notice.</t>
        </is>
      </c>
      <c r="AI25" t="inlineStr">
        <is>
          <t>Let</t>
        </is>
      </c>
    </row>
    <row r="26">
      <c r="A26" t="inlineStr">
        <is>
          <t xml:space="preserve">  Offices</t>
        </is>
      </c>
      <c r="B26" t="inlineStr">
        <is>
          <t>SH</t>
        </is>
      </c>
      <c r="C26" t="inlineStr">
        <is>
          <t>MEL</t>
        </is>
      </c>
      <c r="D26" t="n">
        <v>550920</v>
      </c>
      <c r="E26" t="inlineStr">
        <is>
          <t>26 Eastcastle Street</t>
        </is>
      </c>
      <c r="F26" t="inlineStr">
        <is>
          <t>Second Floor</t>
        </is>
      </c>
      <c r="G26" t="inlineStr">
        <is>
          <t>Offices</t>
        </is>
      </c>
      <c r="H26" t="n">
        <v>1110</v>
      </c>
      <c r="I26">
        <f>I18</f>
        <v/>
      </c>
      <c r="J26" t="n">
        <v>1000</v>
      </c>
      <c r="K26" t="inlineStr">
        <is>
          <t>Vacant</t>
        </is>
      </c>
      <c r="N26" s="869" t="n">
        <v>43273</v>
      </c>
      <c r="Q26" t="n">
        <v>0</v>
      </c>
      <c r="R26">
        <f>R18</f>
        <v/>
      </c>
      <c r="T26" t="n">
        <v>61100</v>
      </c>
      <c r="U26">
        <f>U18</f>
        <v/>
      </c>
      <c r="V26" t="n">
        <v>69400</v>
      </c>
      <c r="W26">
        <f>W18</f>
        <v/>
      </c>
      <c r="X26">
        <f>W18/I18</f>
        <v/>
      </c>
      <c r="Y26">
        <f>SUM(W18-U18)/U18</f>
        <v/>
      </c>
      <c r="Z26" t="inlineStr">
        <is>
          <t>C</t>
        </is>
      </c>
      <c r="AC26" t="inlineStr">
        <is>
          <t>No</t>
        </is>
      </c>
      <c r="AD26" t="inlineStr">
        <is>
          <t>LEM marketing.</t>
        </is>
      </c>
      <c r="AE26" t="n">
        <v>63.5</v>
      </c>
      <c r="AG26" t="n">
        <v>1</v>
      </c>
      <c r="AI26" t="inlineStr">
        <is>
          <t>Void</t>
        </is>
      </c>
    </row>
    <row r="27">
      <c r="A27" t="inlineStr">
        <is>
          <t xml:space="preserve">  Offices</t>
        </is>
      </c>
      <c r="B27" t="inlineStr">
        <is>
          <t>SH</t>
        </is>
      </c>
      <c r="C27" t="inlineStr">
        <is>
          <t>MEL</t>
        </is>
      </c>
      <c r="D27" t="n">
        <v>550920</v>
      </c>
      <c r="E27" t="inlineStr">
        <is>
          <t>26 Eastcastle Street</t>
        </is>
      </c>
      <c r="F27" t="inlineStr">
        <is>
          <t>Third Floor</t>
        </is>
      </c>
      <c r="G27" t="inlineStr">
        <is>
          <t>Offices</t>
        </is>
      </c>
      <c r="H27" t="n">
        <v>481</v>
      </c>
      <c r="I27">
        <f>I19</f>
        <v/>
      </c>
      <c r="J27" t="n">
        <v>500</v>
      </c>
      <c r="K27" t="inlineStr">
        <is>
          <t>Mr. A. Park</t>
        </is>
      </c>
      <c r="L27" s="869" t="n">
        <v>45541</v>
      </c>
      <c r="M27" s="869" t="n">
        <v>47366</v>
      </c>
      <c r="P27" s="869" t="n">
        <v>46635</v>
      </c>
      <c r="Q27" t="n">
        <v>26000</v>
      </c>
      <c r="R27">
        <f>R19</f>
        <v/>
      </c>
      <c r="T27" t="n">
        <v>25300</v>
      </c>
      <c r="U27">
        <f>U19</f>
        <v/>
      </c>
      <c r="V27" t="n">
        <v>25300</v>
      </c>
      <c r="W27">
        <f>W19</f>
        <v/>
      </c>
      <c r="X27">
        <f>W19/I19</f>
        <v/>
      </c>
      <c r="Y27">
        <f>SUM(W19-U19)/U19</f>
        <v/>
      </c>
      <c r="Z27" t="inlineStr">
        <is>
          <t>D</t>
        </is>
      </c>
      <c r="AC27" t="inlineStr">
        <is>
          <t>No</t>
        </is>
      </c>
      <c r="AD27" t="inlineStr">
        <is>
          <t>Tenant break on 6 months notice.</t>
        </is>
      </c>
      <c r="AI27" t="inlineStr">
        <is>
          <t>Let</t>
        </is>
      </c>
    </row>
    <row r="28"/>
    <row r="29">
      <c r="A29" s="868" t="inlineStr">
        <is>
          <t>27 - 28 Eastcastle Street</t>
        </is>
      </c>
    </row>
    <row r="30">
      <c r="A30" t="inlineStr">
        <is>
          <t xml:space="preserve">  Showroom / Offices</t>
        </is>
      </c>
      <c r="B30" t="inlineStr">
        <is>
          <t>SH</t>
        </is>
      </c>
      <c r="C30" t="inlineStr">
        <is>
          <t>MEL</t>
        </is>
      </c>
      <c r="D30" t="n">
        <v>550930</v>
      </c>
      <c r="E30" t="inlineStr">
        <is>
          <t>27 - 28 Eastcastle Street</t>
        </is>
      </c>
      <c r="F30" t="inlineStr">
        <is>
          <t>Lower Ground &amp; Ground</t>
        </is>
      </c>
      <c r="G30" t="inlineStr">
        <is>
          <t>Showroom / Offices</t>
        </is>
      </c>
      <c r="H30" t="n">
        <v>3668</v>
      </c>
      <c r="I30">
        <f>I20</f>
        <v/>
      </c>
      <c r="J30" t="n">
        <v>3500</v>
      </c>
      <c r="K30" t="inlineStr">
        <is>
          <t>The London Hair Clinic Ltd</t>
        </is>
      </c>
      <c r="L30" s="869" t="n">
        <v>44757</v>
      </c>
      <c r="M30" s="869" t="n">
        <v>48409</v>
      </c>
      <c r="O30" s="869" t="n">
        <v>46583</v>
      </c>
      <c r="Q30" t="n">
        <v>170000</v>
      </c>
      <c r="R30">
        <f>R20</f>
        <v/>
      </c>
      <c r="T30" t="n">
        <v>170000</v>
      </c>
      <c r="U30">
        <f>U20</f>
        <v/>
      </c>
      <c r="V30" t="n">
        <v>170000</v>
      </c>
      <c r="W30">
        <f>W20</f>
        <v/>
      </c>
      <c r="X30">
        <f>W20/I20</f>
        <v/>
      </c>
      <c r="Y30">
        <f>SUM(W20-U20)/U20</f>
        <v/>
      </c>
      <c r="Z30" t="inlineStr">
        <is>
          <t>B</t>
        </is>
      </c>
      <c r="AC30" t="inlineStr">
        <is>
          <t>No</t>
        </is>
      </c>
      <c r="AI30" t="inlineStr">
        <is>
          <t>Let</t>
        </is>
      </c>
    </row>
    <row r="31">
      <c r="A31" t="inlineStr">
        <is>
          <t xml:space="preserve">  Offices</t>
        </is>
      </c>
      <c r="B31" t="inlineStr">
        <is>
          <t>SH</t>
        </is>
      </c>
      <c r="C31" t="inlineStr">
        <is>
          <t>MEL</t>
        </is>
      </c>
      <c r="D31" t="n">
        <v>550930</v>
      </c>
      <c r="E31" t="inlineStr">
        <is>
          <t>27 - 28 Eastcastle Street</t>
        </is>
      </c>
      <c r="F31" t="inlineStr">
        <is>
          <t>First Floor</t>
        </is>
      </c>
      <c r="G31" t="inlineStr">
        <is>
          <t>Offices</t>
        </is>
      </c>
      <c r="H31" t="n">
        <v>1418</v>
      </c>
      <c r="I31">
        <f>I21</f>
        <v/>
      </c>
      <c r="J31" t="n">
        <v>1500</v>
      </c>
      <c r="K31" t="inlineStr">
        <is>
          <t>Feldberg Capital UK Limited</t>
        </is>
      </c>
      <c r="L31" s="869" t="n">
        <v>45231</v>
      </c>
      <c r="M31" s="869" t="n">
        <v>46326</v>
      </c>
      <c r="Q31" t="n">
        <v>174500</v>
      </c>
      <c r="R31">
        <f>R21</f>
        <v/>
      </c>
      <c r="T31" t="n">
        <v>78000</v>
      </c>
      <c r="U31">
        <f>U21</f>
        <v/>
      </c>
      <c r="V31" t="n">
        <v>99300</v>
      </c>
      <c r="W31">
        <f>W21</f>
        <v/>
      </c>
      <c r="X31">
        <f>W21/I21</f>
        <v/>
      </c>
      <c r="Y31">
        <f>SUM(W21-U21)/U21</f>
        <v/>
      </c>
      <c r="Z31" t="inlineStr">
        <is>
          <t>B</t>
        </is>
      </c>
      <c r="AC31" t="inlineStr">
        <is>
          <t>No</t>
        </is>
      </c>
      <c r="AD31" t="inlineStr">
        <is>
          <t>All inclusive including rates and furniture.</t>
        </is>
      </c>
      <c r="AI31" t="inlineStr">
        <is>
          <t>Let</t>
        </is>
      </c>
    </row>
    <row r="32">
      <c r="A32" t="inlineStr">
        <is>
          <t xml:space="preserve">  Offices</t>
        </is>
      </c>
      <c r="B32" t="inlineStr">
        <is>
          <t>SH</t>
        </is>
      </c>
      <c r="C32" t="inlineStr">
        <is>
          <t>MEL</t>
        </is>
      </c>
      <c r="D32" t="n">
        <v>550930</v>
      </c>
      <c r="E32" t="inlineStr">
        <is>
          <t>27 - 28 Eastcastle Street</t>
        </is>
      </c>
      <c r="F32" t="inlineStr">
        <is>
          <t>Second Floor</t>
        </is>
      </c>
      <c r="G32" t="inlineStr">
        <is>
          <t>Offices</t>
        </is>
      </c>
      <c r="H32" t="n">
        <v>716</v>
      </c>
      <c r="I32">
        <f>I22</f>
        <v/>
      </c>
      <c r="J32" t="n">
        <v>750</v>
      </c>
      <c r="K32" t="inlineStr">
        <is>
          <t>MSP Secretaries Ltd.</t>
        </is>
      </c>
      <c r="L32" s="869" t="n">
        <v>44384</v>
      </c>
      <c r="M32" s="869" t="n">
        <v>46209</v>
      </c>
      <c r="Q32" t="n">
        <v>41000</v>
      </c>
      <c r="R32">
        <f>R22</f>
        <v/>
      </c>
      <c r="T32" t="n">
        <v>39400</v>
      </c>
      <c r="U32">
        <f>U22</f>
        <v/>
      </c>
      <c r="V32" t="n">
        <v>41200</v>
      </c>
      <c r="W32">
        <f>W22</f>
        <v/>
      </c>
      <c r="X32">
        <f>W22/I22</f>
        <v/>
      </c>
      <c r="Y32">
        <f>SUM(W22-U22)/U22</f>
        <v/>
      </c>
      <c r="Z32" t="inlineStr">
        <is>
          <t>B</t>
        </is>
      </c>
      <c r="AC32" t="inlineStr">
        <is>
          <t>No</t>
        </is>
      </c>
      <c r="AI32" t="inlineStr">
        <is>
          <t>Let</t>
        </is>
      </c>
    </row>
    <row r="33">
      <c r="A33" t="inlineStr">
        <is>
          <t xml:space="preserve">  Offices</t>
        </is>
      </c>
      <c r="B33" t="inlineStr">
        <is>
          <t>SH</t>
        </is>
      </c>
      <c r="C33" t="inlineStr">
        <is>
          <t>MEL</t>
        </is>
      </c>
      <c r="D33" t="n">
        <v>550930</v>
      </c>
      <c r="E33" t="inlineStr">
        <is>
          <t>27 - 28 Eastcastle Street</t>
        </is>
      </c>
      <c r="F33" t="inlineStr">
        <is>
          <t>Third Floor</t>
        </is>
      </c>
      <c r="G33" t="inlineStr">
        <is>
          <t>Offices</t>
        </is>
      </c>
      <c r="H33" t="n">
        <v>665</v>
      </c>
      <c r="I33">
        <f>I23</f>
        <v/>
      </c>
      <c r="J33" t="n">
        <v>750</v>
      </c>
      <c r="K33" t="inlineStr">
        <is>
          <t>Principle Estate Management LLP</t>
        </is>
      </c>
      <c r="L33" s="869" t="n">
        <v>45617</v>
      </c>
      <c r="M33" s="869" t="n">
        <v>47442</v>
      </c>
      <c r="P33" s="869" t="n">
        <v>46527</v>
      </c>
      <c r="Q33" t="n">
        <v>41875</v>
      </c>
      <c r="R33">
        <f>R23</f>
        <v/>
      </c>
      <c r="T33" t="n">
        <v>36600</v>
      </c>
      <c r="U33">
        <f>U23</f>
        <v/>
      </c>
      <c r="V33" t="n">
        <v>38200</v>
      </c>
      <c r="W33">
        <f>W23</f>
        <v/>
      </c>
      <c r="X33">
        <f>W23/I23</f>
        <v/>
      </c>
      <c r="Y33">
        <f>SUM(W23-U23)/U23</f>
        <v/>
      </c>
      <c r="Z33" t="inlineStr">
        <is>
          <t>B</t>
        </is>
      </c>
      <c r="AC33" t="inlineStr">
        <is>
          <t>No</t>
        </is>
      </c>
      <c r="AD33" t="inlineStr">
        <is>
          <t>Tenant break on 6 months notice. 2 months rent free if break not exercised.</t>
        </is>
      </c>
      <c r="AI33" t="inlineStr">
        <is>
          <t>Let</t>
        </is>
      </c>
    </row>
    <row r="34"/>
    <row r="35">
      <c r="A35" s="868" t="inlineStr">
        <is>
          <t>10 Great Castle Street</t>
        </is>
      </c>
    </row>
    <row r="36">
      <c r="A36" t="inlineStr">
        <is>
          <t xml:space="preserve">  Office</t>
        </is>
      </c>
      <c r="B36" t="inlineStr">
        <is>
          <t>WS</t>
        </is>
      </c>
      <c r="C36" t="inlineStr">
        <is>
          <t>MEL</t>
        </is>
      </c>
      <c r="D36" t="n">
        <v>550560</v>
      </c>
      <c r="E36" t="inlineStr">
        <is>
          <t>10 Great Castle Street</t>
        </is>
      </c>
      <c r="F36" t="inlineStr">
        <is>
          <t>Basmt. Ground  - 1 to 4 Floors</t>
        </is>
      </c>
      <c r="G36" t="inlineStr">
        <is>
          <t>Office</t>
        </is>
      </c>
      <c r="H36" t="n">
        <v>12578</v>
      </c>
      <c r="I36">
        <f>I24</f>
        <v/>
      </c>
      <c r="J36" t="n">
        <v>12500</v>
      </c>
      <c r="K36" t="inlineStr">
        <is>
          <t>Guaranty Trust Bank (UK) Ltd</t>
        </is>
      </c>
      <c r="L36" s="869" t="n">
        <v>44771</v>
      </c>
      <c r="M36" s="869" t="n">
        <v>50249</v>
      </c>
      <c r="O36" s="869" t="n">
        <v>46597</v>
      </c>
      <c r="P36" s="869" t="n">
        <v>48423</v>
      </c>
      <c r="Q36" t="n">
        <v>633334</v>
      </c>
      <c r="R36">
        <f>R24</f>
        <v/>
      </c>
      <c r="S36">
        <f>S24</f>
        <v/>
      </c>
      <c r="T36" t="n">
        <v>950000</v>
      </c>
      <c r="U36">
        <f>U24</f>
        <v/>
      </c>
      <c r="V36" t="n">
        <v>950000</v>
      </c>
      <c r="W36">
        <f>W24</f>
        <v/>
      </c>
      <c r="X36">
        <f>W24/I24</f>
        <v/>
      </c>
      <c r="Y36">
        <f>SUM(W24-U24)/U24</f>
        <v/>
      </c>
      <c r="Z36" t="inlineStr">
        <is>
          <t>C</t>
        </is>
      </c>
      <c r="AB36" t="n">
        <v>17050000</v>
      </c>
      <c r="AC36" t="inlineStr">
        <is>
          <t>No</t>
        </is>
      </c>
      <c r="AD36" t="inlineStr">
        <is>
          <t xml:space="preserve">Fixed increase to £950,000 wef 29/07/26. 5 yearly rent reviews. Tenant break on 9 months notice. Rent reduces by 20% for 12 months if break not activated. </t>
        </is>
      </c>
      <c r="AI36" t="inlineStr">
        <is>
          <t>Let</t>
        </is>
      </c>
    </row>
    <row r="37"/>
    <row r="38">
      <c r="A38" s="868" t="inlineStr">
        <is>
          <t>Windsor House, 40-41 Great Castle Street</t>
        </is>
      </c>
    </row>
    <row r="39">
      <c r="A39" t="inlineStr">
        <is>
          <t xml:space="preserve">  Retail/Café</t>
        </is>
      </c>
      <c r="B39" t="inlineStr">
        <is>
          <t>SH</t>
        </is>
      </c>
      <c r="C39" t="inlineStr">
        <is>
          <t>MEL</t>
        </is>
      </c>
      <c r="D39" t="n">
        <v>550070</v>
      </c>
      <c r="E39" t="inlineStr">
        <is>
          <t>Windsor House, 40-41 Great Castle Street</t>
        </is>
      </c>
      <c r="F39" t="inlineStr">
        <is>
          <t>Basement &amp; Ground Floor</t>
        </is>
      </c>
      <c r="G39" t="inlineStr">
        <is>
          <t>Retail/Café</t>
        </is>
      </c>
      <c r="H39" t="n">
        <v>2235</v>
      </c>
      <c r="I39">
        <f>I25</f>
        <v/>
      </c>
      <c r="J39" t="n">
        <v>2000</v>
      </c>
      <c r="K39" t="inlineStr">
        <is>
          <t>Vacant</t>
        </is>
      </c>
      <c r="N39" s="869" t="n">
        <v>45754</v>
      </c>
      <c r="Q39" t="n">
        <v>0</v>
      </c>
      <c r="R39">
        <f>R25</f>
        <v/>
      </c>
      <c r="T39" t="n">
        <v>143000</v>
      </c>
      <c r="U39">
        <f>U25</f>
        <v/>
      </c>
      <c r="V39" t="n">
        <v>145000</v>
      </c>
      <c r="W39">
        <f>W25</f>
        <v/>
      </c>
      <c r="X39">
        <f>W25/I25</f>
        <v/>
      </c>
      <c r="Y39">
        <f>SUM(W25-U25)/U25</f>
        <v/>
      </c>
      <c r="Z39" t="inlineStr">
        <is>
          <t>D</t>
        </is>
      </c>
      <c r="AC39" t="inlineStr">
        <is>
          <t>No</t>
        </is>
      </c>
      <c r="AD39" t="inlineStr">
        <is>
          <t>LEM Marketing.</t>
        </is>
      </c>
      <c r="AF39" t="n">
        <v>15</v>
      </c>
      <c r="AG39" t="n">
        <v>15</v>
      </c>
      <c r="AI39" t="inlineStr">
        <is>
          <t>Void</t>
        </is>
      </c>
    </row>
    <row r="40">
      <c r="A40" t="inlineStr">
        <is>
          <t xml:space="preserve">  Office</t>
        </is>
      </c>
      <c r="B40" t="inlineStr">
        <is>
          <t>SH</t>
        </is>
      </c>
      <c r="C40" t="inlineStr">
        <is>
          <t>MEL</t>
        </is>
      </c>
      <c r="D40" t="n">
        <v>550070</v>
      </c>
      <c r="E40" t="inlineStr">
        <is>
          <t>Windsor House, 40-41 Great Castle Street</t>
        </is>
      </c>
      <c r="F40" t="inlineStr">
        <is>
          <t>First Floor</t>
        </is>
      </c>
      <c r="G40" t="inlineStr">
        <is>
          <t>Office</t>
        </is>
      </c>
      <c r="H40" t="n">
        <v>694</v>
      </c>
      <c r="I40">
        <f>I26</f>
        <v/>
      </c>
      <c r="J40" t="n">
        <v>750</v>
      </c>
      <c r="K40" t="inlineStr">
        <is>
          <t>JRDL UK Ltd.</t>
        </is>
      </c>
      <c r="L40" s="869" t="n">
        <v>44904</v>
      </c>
      <c r="M40" s="869" t="n">
        <v>45999</v>
      </c>
      <c r="Q40" t="n">
        <v>42000</v>
      </c>
      <c r="R40">
        <f>R26</f>
        <v/>
      </c>
      <c r="T40" t="n">
        <v>42000</v>
      </c>
      <c r="U40">
        <f>U26</f>
        <v/>
      </c>
      <c r="V40" t="n">
        <v>42000</v>
      </c>
      <c r="W40">
        <f>W26</f>
        <v/>
      </c>
      <c r="X40">
        <f>W26/I26</f>
        <v/>
      </c>
      <c r="Y40">
        <f>SUM(W26-U26)/U26</f>
        <v/>
      </c>
      <c r="Z40" t="inlineStr">
        <is>
          <t>D</t>
        </is>
      </c>
      <c r="AC40" t="inlineStr">
        <is>
          <t>No</t>
        </is>
      </c>
      <c r="AI40" t="inlineStr">
        <is>
          <t>Let</t>
        </is>
      </c>
    </row>
    <row r="41">
      <c r="A41" t="inlineStr">
        <is>
          <t xml:space="preserve">  Office</t>
        </is>
      </c>
      <c r="B41" t="inlineStr">
        <is>
          <t>SH</t>
        </is>
      </c>
      <c r="C41" t="inlineStr">
        <is>
          <t>MEL</t>
        </is>
      </c>
      <c r="D41" t="n">
        <v>550070</v>
      </c>
      <c r="E41" t="inlineStr">
        <is>
          <t>Windsor House, 40-41 Great Castle Street</t>
        </is>
      </c>
      <c r="F41" t="inlineStr">
        <is>
          <t>Second Floor</t>
        </is>
      </c>
      <c r="G41" t="inlineStr">
        <is>
          <t>Office</t>
        </is>
      </c>
      <c r="H41" t="n">
        <v>690</v>
      </c>
      <c r="I41">
        <f>I27</f>
        <v/>
      </c>
      <c r="J41" t="n">
        <v>750</v>
      </c>
      <c r="K41" t="inlineStr">
        <is>
          <t>Jamieson Stone Services Ltd.</t>
        </is>
      </c>
      <c r="L41" s="869" t="n">
        <v>45412</v>
      </c>
      <c r="M41" s="869" t="n">
        <v>47237</v>
      </c>
      <c r="P41" s="869" t="n">
        <v>46326</v>
      </c>
      <c r="Q41" t="n">
        <v>40020</v>
      </c>
      <c r="R41">
        <f>R27</f>
        <v/>
      </c>
      <c r="T41" t="n">
        <v>39700</v>
      </c>
      <c r="U41">
        <f>U27</f>
        <v/>
      </c>
      <c r="V41" t="n">
        <v>40000</v>
      </c>
      <c r="W41">
        <f>W27</f>
        <v/>
      </c>
      <c r="X41">
        <f>W27/I27</f>
        <v/>
      </c>
      <c r="Y41">
        <f>SUM(W27-U27)/U27</f>
        <v/>
      </c>
      <c r="Z41" t="inlineStr">
        <is>
          <t>D</t>
        </is>
      </c>
      <c r="AC41" t="inlineStr">
        <is>
          <t>No</t>
        </is>
      </c>
      <c r="AD41" t="inlineStr">
        <is>
          <t>Tenant break on 6 months notice.</t>
        </is>
      </c>
      <c r="AI41" t="inlineStr">
        <is>
          <t>Let</t>
        </is>
      </c>
    </row>
    <row r="42">
      <c r="A42" t="inlineStr">
        <is>
          <t xml:space="preserve">  Office</t>
        </is>
      </c>
      <c r="B42" t="inlineStr">
        <is>
          <t>SH</t>
        </is>
      </c>
      <c r="C42" t="inlineStr">
        <is>
          <t>MEL</t>
        </is>
      </c>
      <c r="D42" t="n">
        <v>550070</v>
      </c>
      <c r="E42" t="inlineStr">
        <is>
          <t>Windsor House, 40-41 Great Castle Street</t>
        </is>
      </c>
      <c r="F42" t="inlineStr">
        <is>
          <t>Third Floor</t>
        </is>
      </c>
      <c r="G42" t="inlineStr">
        <is>
          <t>Office</t>
        </is>
      </c>
      <c r="H42" t="n">
        <v>620</v>
      </c>
      <c r="I42">
        <f>I28</f>
        <v/>
      </c>
      <c r="J42" t="n">
        <v>750</v>
      </c>
      <c r="K42" t="inlineStr">
        <is>
          <t>Arav Fashion UK Ltd.</t>
        </is>
      </c>
      <c r="L42" s="869" t="n">
        <v>44816</v>
      </c>
      <c r="M42" s="869" t="n">
        <v>45911</v>
      </c>
      <c r="Q42" t="n">
        <v>33480</v>
      </c>
      <c r="R42">
        <f>R28</f>
        <v/>
      </c>
      <c r="T42" t="n">
        <v>34100</v>
      </c>
      <c r="U42">
        <f>U28</f>
        <v/>
      </c>
      <c r="V42" t="n">
        <v>36000</v>
      </c>
      <c r="W42">
        <f>W28</f>
        <v/>
      </c>
      <c r="X42">
        <f>W28/I28</f>
        <v/>
      </c>
      <c r="Y42">
        <f>SUM(W28-U28)/U28</f>
        <v/>
      </c>
      <c r="Z42" t="inlineStr">
        <is>
          <t>D</t>
        </is>
      </c>
      <c r="AC42" t="inlineStr">
        <is>
          <t>No</t>
        </is>
      </c>
      <c r="AI42" t="inlineStr">
        <is>
          <t>Let</t>
        </is>
      </c>
    </row>
    <row r="43">
      <c r="A43" t="inlineStr">
        <is>
          <t xml:space="preserve">  Office</t>
        </is>
      </c>
      <c r="B43" t="inlineStr">
        <is>
          <t>SH</t>
        </is>
      </c>
      <c r="C43" t="inlineStr">
        <is>
          <t>MEL</t>
        </is>
      </c>
      <c r="D43" t="n">
        <v>550070</v>
      </c>
      <c r="E43" t="inlineStr">
        <is>
          <t>Windsor House, 40-41 Great Castle Street</t>
        </is>
      </c>
      <c r="F43" t="inlineStr">
        <is>
          <t>Fourth Floor</t>
        </is>
      </c>
      <c r="G43" t="inlineStr">
        <is>
          <t>Office</t>
        </is>
      </c>
      <c r="H43" t="n">
        <v>400</v>
      </c>
      <c r="I43">
        <f>I29</f>
        <v/>
      </c>
      <c r="J43" t="n">
        <v>500</v>
      </c>
      <c r="K43" t="inlineStr">
        <is>
          <t>Vacant</t>
        </is>
      </c>
      <c r="N43" s="869" t="n">
        <v>44168</v>
      </c>
      <c r="Q43" t="n">
        <v>0</v>
      </c>
      <c r="R43">
        <f>R29</f>
        <v/>
      </c>
      <c r="T43" t="n">
        <v>21600</v>
      </c>
      <c r="U43">
        <f>U29</f>
        <v/>
      </c>
      <c r="V43" t="n">
        <v>22000</v>
      </c>
      <c r="W43">
        <f>W29</f>
        <v/>
      </c>
      <c r="X43">
        <f>W29/I29</f>
        <v/>
      </c>
      <c r="Y43">
        <f>SUM(W29-U29)/U29</f>
        <v/>
      </c>
      <c r="Z43" t="inlineStr">
        <is>
          <t>D</t>
        </is>
      </c>
      <c r="AC43" t="inlineStr">
        <is>
          <t>No</t>
        </is>
      </c>
      <c r="AD43" t="inlineStr">
        <is>
          <t>To be refurbished.</t>
        </is>
      </c>
      <c r="AI43" t="inlineStr">
        <is>
          <t>Void</t>
        </is>
      </c>
    </row>
    <row r="44">
      <c r="A44" t="inlineStr">
        <is>
          <t xml:space="preserve">  Air Con Units</t>
        </is>
      </c>
      <c r="B44" t="inlineStr">
        <is>
          <t>SH</t>
        </is>
      </c>
      <c r="C44" t="inlineStr">
        <is>
          <t>MEL</t>
        </is>
      </c>
      <c r="D44" t="n">
        <v>550070</v>
      </c>
      <c r="E44" t="inlineStr">
        <is>
          <t>Windsor House, 40-41 Great Castle Street</t>
        </is>
      </c>
      <c r="F44" t="inlineStr">
        <is>
          <t>Roof</t>
        </is>
      </c>
      <c r="G44" t="inlineStr">
        <is>
          <t>Air Con Units</t>
        </is>
      </c>
      <c r="H44" t="n">
        <v>0</v>
      </c>
      <c r="I44">
        <f>I30</f>
        <v/>
      </c>
      <c r="K44" t="inlineStr">
        <is>
          <t>Vacant / Landlord</t>
        </is>
      </c>
      <c r="N44" t="inlineStr">
        <is>
          <t>N/A</t>
        </is>
      </c>
      <c r="Q44" t="n">
        <v>0</v>
      </c>
      <c r="R44">
        <f>R30</f>
        <v/>
      </c>
      <c r="T44" t="n">
        <v>0</v>
      </c>
      <c r="U44">
        <f>U30</f>
        <v/>
      </c>
      <c r="V44" t="n">
        <v>0</v>
      </c>
      <c r="W44">
        <f>W30</f>
        <v/>
      </c>
      <c r="AC44" t="inlineStr">
        <is>
          <t>No</t>
        </is>
      </c>
      <c r="AI44" t="inlineStr">
        <is>
          <t>Void</t>
        </is>
      </c>
    </row>
    <row r="45"/>
    <row r="46">
      <c r="A46" s="868" t="inlineStr">
        <is>
          <t>Portland House, 4 Great Portland Street</t>
        </is>
      </c>
    </row>
    <row r="47">
      <c r="A47" t="inlineStr">
        <is>
          <t xml:space="preserve">  Restaurant/Bar</t>
        </is>
      </c>
      <c r="B47" t="inlineStr">
        <is>
          <t>SH</t>
        </is>
      </c>
      <c r="C47" t="inlineStr">
        <is>
          <t>MEL</t>
        </is>
      </c>
      <c r="D47" t="n">
        <v>550470</v>
      </c>
      <c r="E47" t="inlineStr">
        <is>
          <t>Portland House, 4 Great Portland Street</t>
        </is>
      </c>
      <c r="F47" t="inlineStr">
        <is>
          <t>Basement (West)</t>
        </is>
      </c>
      <c r="G47" t="inlineStr">
        <is>
          <t>Restaurant/Bar</t>
        </is>
      </c>
      <c r="H47" t="n">
        <v>2945</v>
      </c>
      <c r="I47">
        <f>I31</f>
        <v/>
      </c>
      <c r="J47" t="n">
        <v>3000</v>
      </c>
      <c r="K47" t="inlineStr">
        <is>
          <t>The London Cocktail Club Ltd</t>
        </is>
      </c>
      <c r="L47" s="869" t="n">
        <v>41457</v>
      </c>
      <c r="M47" s="869" t="n">
        <v>46935</v>
      </c>
      <c r="Q47" t="n">
        <v>147500</v>
      </c>
      <c r="R47">
        <f>R31</f>
        <v/>
      </c>
      <c r="T47" t="n">
        <v>147500</v>
      </c>
      <c r="U47">
        <f>U31</f>
        <v/>
      </c>
      <c r="V47" t="n">
        <v>147500</v>
      </c>
      <c r="W47">
        <f>W31</f>
        <v/>
      </c>
      <c r="X47">
        <f>W31/I31</f>
        <v/>
      </c>
      <c r="Y47">
        <f>SUM(W31-U31)/U31</f>
        <v/>
      </c>
      <c r="Z47" t="inlineStr">
        <is>
          <t>E</t>
        </is>
      </c>
      <c r="AC47" t="inlineStr">
        <is>
          <t>No</t>
        </is>
      </c>
      <c r="AD47" t="inlineStr">
        <is>
          <t>5 year reversionary lease completed from 02/07/28 with day one rent review. Rent review to be documented at passing rent.</t>
        </is>
      </c>
      <c r="AI47" t="inlineStr">
        <is>
          <t>Let</t>
        </is>
      </c>
    </row>
    <row r="48">
      <c r="A48" t="inlineStr">
        <is>
          <t xml:space="preserve">  Retail/Cafe</t>
        </is>
      </c>
      <c r="B48" t="inlineStr">
        <is>
          <t>SH</t>
        </is>
      </c>
      <c r="C48" t="inlineStr">
        <is>
          <t>MEL</t>
        </is>
      </c>
      <c r="D48" t="n">
        <v>550470</v>
      </c>
      <c r="E48" t="inlineStr">
        <is>
          <t>Portland House, 4 Great Portland Street</t>
        </is>
      </c>
      <c r="F48" t="inlineStr">
        <is>
          <t>Ground Floor</t>
        </is>
      </c>
      <c r="G48" t="inlineStr">
        <is>
          <t>Retail/Cafe</t>
        </is>
      </c>
      <c r="H48" t="n">
        <v>2103</v>
      </c>
      <c r="I48">
        <f>I32</f>
        <v/>
      </c>
      <c r="J48" t="n">
        <v>2000</v>
      </c>
      <c r="K48" t="inlineStr">
        <is>
          <t>Costa Ltd</t>
        </is>
      </c>
      <c r="L48" s="869" t="n">
        <v>45669</v>
      </c>
      <c r="M48" s="869" t="n">
        <v>51146</v>
      </c>
      <c r="O48" s="869" t="n">
        <v>47495</v>
      </c>
      <c r="P48" s="869" t="n">
        <v>49320</v>
      </c>
      <c r="Q48" t="n">
        <v>220000</v>
      </c>
      <c r="R48">
        <f>R32</f>
        <v/>
      </c>
      <c r="T48" t="n">
        <v>176200</v>
      </c>
      <c r="U48">
        <f>U32</f>
        <v/>
      </c>
      <c r="V48" t="n">
        <v>220000</v>
      </c>
      <c r="W48">
        <f>W32</f>
        <v/>
      </c>
      <c r="X48">
        <f>W32/I32</f>
        <v/>
      </c>
      <c r="Y48">
        <f>SUM(W32-U32)/U32</f>
        <v/>
      </c>
      <c r="Z48" t="inlineStr">
        <is>
          <t>B</t>
        </is>
      </c>
      <c r="AC48" t="inlineStr">
        <is>
          <t>No</t>
        </is>
      </c>
      <c r="AD48" t="inlineStr">
        <is>
          <t>Mutual break on 6 months notice.</t>
        </is>
      </c>
      <c r="AI48" t="inlineStr">
        <is>
          <t>Let</t>
        </is>
      </c>
    </row>
    <row r="49">
      <c r="A49" t="inlineStr">
        <is>
          <t xml:space="preserve">  Restaurant</t>
        </is>
      </c>
      <c r="B49" t="inlineStr">
        <is>
          <t>SH</t>
        </is>
      </c>
      <c r="C49" t="inlineStr">
        <is>
          <t>MEL</t>
        </is>
      </c>
      <c r="D49" t="n">
        <v>550470</v>
      </c>
      <c r="E49" t="inlineStr">
        <is>
          <t>Portland House, 4 Great Portland Street</t>
        </is>
      </c>
      <c r="F49" t="inlineStr">
        <is>
          <t>Ground Floor &amp; Basement (East) &amp; Basement Vaults</t>
        </is>
      </c>
      <c r="G49" t="inlineStr">
        <is>
          <t>Restaurant</t>
        </is>
      </c>
      <c r="H49" t="n">
        <v>5667</v>
      </c>
      <c r="I49">
        <f>I33</f>
        <v/>
      </c>
      <c r="J49" t="n">
        <v>5500</v>
      </c>
      <c r="K49" t="inlineStr">
        <is>
          <t>Futuremaxx Ltd</t>
        </is>
      </c>
      <c r="L49" s="869" t="n">
        <v>45567</v>
      </c>
      <c r="M49" s="869" t="n">
        <v>51044</v>
      </c>
      <c r="O49" s="869" t="n">
        <v>47393</v>
      </c>
      <c r="Q49" t="n">
        <v>150000</v>
      </c>
      <c r="R49">
        <f>R33</f>
        <v/>
      </c>
      <c r="T49" t="n">
        <v>255000</v>
      </c>
      <c r="U49">
        <f>U33</f>
        <v/>
      </c>
      <c r="V49" t="n">
        <v>300000</v>
      </c>
      <c r="W49">
        <f>W33</f>
        <v/>
      </c>
      <c r="X49">
        <f>W33/I33</f>
        <v/>
      </c>
      <c r="Y49">
        <f>SUM(W33-U33)/U33</f>
        <v/>
      </c>
      <c r="Z49" t="inlineStr">
        <is>
          <t>B</t>
        </is>
      </c>
      <c r="AC49" t="inlineStr">
        <is>
          <t>No</t>
        </is>
      </c>
      <c r="AD49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I49" t="inlineStr">
        <is>
          <t>Let</t>
        </is>
      </c>
    </row>
    <row r="50">
      <c r="A50" t="inlineStr">
        <is>
          <t xml:space="preserve">  Office</t>
        </is>
      </c>
      <c r="B50" t="inlineStr">
        <is>
          <t>SH</t>
        </is>
      </c>
      <c r="C50" t="inlineStr">
        <is>
          <t>MEL</t>
        </is>
      </c>
      <c r="D50" t="n">
        <v>550470</v>
      </c>
      <c r="E50" t="inlineStr">
        <is>
          <t>Portland House, 4 Great Portland Street</t>
        </is>
      </c>
      <c r="F50" t="inlineStr">
        <is>
          <t>First Floor (West)</t>
        </is>
      </c>
      <c r="G50" t="inlineStr">
        <is>
          <t>Office</t>
        </is>
      </c>
      <c r="H50" t="n">
        <v>1784</v>
      </c>
      <c r="I50">
        <f>I34</f>
        <v/>
      </c>
      <c r="J50" t="n">
        <v>1750</v>
      </c>
      <c r="K50" t="inlineStr">
        <is>
          <t>Time &amp; Tide Holdings (UK) Ltd</t>
        </is>
      </c>
      <c r="L50" s="869" t="n">
        <v>45457</v>
      </c>
      <c r="M50" s="869" t="n">
        <v>47282</v>
      </c>
      <c r="Q50" t="n">
        <v>60700</v>
      </c>
      <c r="R50">
        <f>R34</f>
        <v/>
      </c>
      <c r="T50" t="n">
        <v>99700</v>
      </c>
      <c r="U50">
        <f>U34</f>
        <v/>
      </c>
      <c r="V50" t="n">
        <v>120400</v>
      </c>
      <c r="W50">
        <f>W34</f>
        <v/>
      </c>
      <c r="X50">
        <f>W34/I34</f>
        <v/>
      </c>
      <c r="Y50">
        <f>SUM(W34-U34)/U34</f>
        <v/>
      </c>
      <c r="Z50" t="inlineStr">
        <is>
          <t>B</t>
        </is>
      </c>
      <c r="AC50" t="inlineStr">
        <is>
          <t>No</t>
        </is>
      </c>
      <c r="AD50" t="inlineStr">
        <is>
          <t>Rent increases to £121,400 wef 14/08/25</t>
        </is>
      </c>
      <c r="AI50" t="inlineStr">
        <is>
          <t>Let</t>
        </is>
      </c>
    </row>
    <row r="51">
      <c r="A51" t="inlineStr">
        <is>
          <t xml:space="preserve">  Office</t>
        </is>
      </c>
      <c r="B51" t="inlineStr">
        <is>
          <t>SH</t>
        </is>
      </c>
      <c r="C51" t="inlineStr">
        <is>
          <t>MEL</t>
        </is>
      </c>
      <c r="D51" t="n">
        <v>550470</v>
      </c>
      <c r="E51" t="inlineStr">
        <is>
          <t>Portland House, 4 Great Portland Street</t>
        </is>
      </c>
      <c r="F51" t="inlineStr">
        <is>
          <t>First Floor (East)</t>
        </is>
      </c>
      <c r="G51" t="inlineStr">
        <is>
          <t>Office</t>
        </is>
      </c>
      <c r="H51" t="n">
        <v>2075</v>
      </c>
      <c r="I51">
        <f>I35</f>
        <v/>
      </c>
      <c r="J51" t="n">
        <v>2000</v>
      </c>
      <c r="K51" t="inlineStr">
        <is>
          <t>L52 Communications Ltd</t>
        </is>
      </c>
      <c r="L51" s="869" t="n">
        <v>45384</v>
      </c>
      <c r="M51" s="869" t="n">
        <v>47209</v>
      </c>
      <c r="P51" s="869" t="n">
        <v>46478</v>
      </c>
      <c r="Q51" t="n">
        <v>133280</v>
      </c>
      <c r="R51">
        <f>R35</f>
        <v/>
      </c>
      <c r="T51" t="n">
        <v>114700</v>
      </c>
      <c r="U51">
        <f>U35</f>
        <v/>
      </c>
      <c r="V51" t="n">
        <v>140100</v>
      </c>
      <c r="W51">
        <f>W35</f>
        <v/>
      </c>
      <c r="X51">
        <f>W35/I35</f>
        <v/>
      </c>
      <c r="Y51">
        <f>SUM(W35-U35)/U35</f>
        <v/>
      </c>
      <c r="Z51" t="inlineStr">
        <is>
          <t>B</t>
        </is>
      </c>
      <c r="AC51" t="inlineStr">
        <is>
          <t>No</t>
        </is>
      </c>
      <c r="AD51" t="inlineStr">
        <is>
          <t>Tenant break on 6 months notice. 1 month rent free from 02/04/27 if not exercised.</t>
        </is>
      </c>
      <c r="AI51" t="inlineStr">
        <is>
          <t>Let</t>
        </is>
      </c>
    </row>
    <row r="52">
      <c r="A52" t="inlineStr">
        <is>
          <t xml:space="preserve">  Office</t>
        </is>
      </c>
      <c r="B52" t="inlineStr">
        <is>
          <t>SH</t>
        </is>
      </c>
      <c r="C52" t="inlineStr">
        <is>
          <t>MEL</t>
        </is>
      </c>
      <c r="D52" t="n">
        <v>550470</v>
      </c>
      <c r="E52" t="inlineStr">
        <is>
          <t>Portland House, 4 Great Portland Street</t>
        </is>
      </c>
      <c r="F52" t="inlineStr">
        <is>
          <t>Second Floor (East)</t>
        </is>
      </c>
      <c r="G52" t="inlineStr">
        <is>
          <t>Office</t>
        </is>
      </c>
      <c r="H52" t="n">
        <v>2063</v>
      </c>
      <c r="I52">
        <f>I36</f>
        <v/>
      </c>
      <c r="J52" t="n">
        <v>2000</v>
      </c>
      <c r="K52" t="inlineStr">
        <is>
          <t>Tekcor4 Limited</t>
        </is>
      </c>
      <c r="L52" s="869" t="n">
        <v>45516</v>
      </c>
      <c r="M52" s="869" t="n">
        <v>47341</v>
      </c>
      <c r="P52" s="869" t="n">
        <v>46610</v>
      </c>
      <c r="Q52" t="n">
        <v>146450</v>
      </c>
      <c r="R52">
        <f>R36</f>
        <v/>
      </c>
      <c r="T52" t="n">
        <v>120700</v>
      </c>
      <c r="U52">
        <f>U36</f>
        <v/>
      </c>
      <c r="V52" t="n">
        <v>139260</v>
      </c>
      <c r="W52">
        <f>W36</f>
        <v/>
      </c>
      <c r="X52">
        <f>W36/I36</f>
        <v/>
      </c>
      <c r="Y52">
        <f>SUM(W36-U36)/U36</f>
        <v/>
      </c>
      <c r="Z52" t="inlineStr">
        <is>
          <t>B</t>
        </is>
      </c>
      <c r="AC52" t="inlineStr">
        <is>
          <t>No</t>
        </is>
      </c>
      <c r="AD52" t="inlineStr">
        <is>
          <t>Tenant break on 6 months notice.</t>
        </is>
      </c>
      <c r="AI52" t="inlineStr">
        <is>
          <t>Let</t>
        </is>
      </c>
    </row>
    <row r="53">
      <c r="A53" t="inlineStr">
        <is>
          <t xml:space="preserve">  Office</t>
        </is>
      </c>
      <c r="B53" t="inlineStr">
        <is>
          <t>SH</t>
        </is>
      </c>
      <c r="C53" t="inlineStr">
        <is>
          <t>MEL</t>
        </is>
      </c>
      <c r="D53" t="n">
        <v>550470</v>
      </c>
      <c r="E53" t="inlineStr">
        <is>
          <t>Portland House, 4 Great Portland Street</t>
        </is>
      </c>
      <c r="F53" t="inlineStr">
        <is>
          <t>Second Floor (West)</t>
        </is>
      </c>
      <c r="G53" t="inlineStr">
        <is>
          <t>Office</t>
        </is>
      </c>
      <c r="H53" t="n">
        <v>1796</v>
      </c>
      <c r="I53">
        <f>I37</f>
        <v/>
      </c>
      <c r="J53" t="n">
        <v>1750</v>
      </c>
      <c r="K53" t="inlineStr">
        <is>
          <t>Vacant</t>
        </is>
      </c>
      <c r="N53" s="869" t="n">
        <v>45051</v>
      </c>
      <c r="Q53" t="n">
        <v>0</v>
      </c>
      <c r="R53">
        <f>R37</f>
        <v/>
      </c>
      <c r="T53" t="n">
        <v>87300</v>
      </c>
      <c r="U53">
        <f>U37</f>
        <v/>
      </c>
      <c r="V53" t="n">
        <v>121240</v>
      </c>
      <c r="W53">
        <f>W37</f>
        <v/>
      </c>
      <c r="X53">
        <f>W37/I37</f>
        <v/>
      </c>
      <c r="Y53">
        <f>SUM(W37-U37)/U37</f>
        <v/>
      </c>
      <c r="Z53" t="inlineStr">
        <is>
          <t>B</t>
        </is>
      </c>
      <c r="AC53" t="inlineStr">
        <is>
          <t>No</t>
        </is>
      </c>
      <c r="AD53" t="inlineStr">
        <is>
          <t>LEM marketing.</t>
        </is>
      </c>
      <c r="AE53" t="n">
        <v>72.5</v>
      </c>
      <c r="AF53" t="n">
        <v>3</v>
      </c>
      <c r="AG53" t="n">
        <v>13</v>
      </c>
      <c r="AH53" t="inlineStr">
        <is>
          <t>LEM/LDG</t>
        </is>
      </c>
      <c r="AI53" t="inlineStr">
        <is>
          <t>Void</t>
        </is>
      </c>
    </row>
    <row r="54">
      <c r="A54" t="inlineStr">
        <is>
          <t xml:space="preserve">  Office</t>
        </is>
      </c>
      <c r="B54" t="inlineStr">
        <is>
          <t>SH</t>
        </is>
      </c>
      <c r="C54" t="inlineStr">
        <is>
          <t>MEL</t>
        </is>
      </c>
      <c r="D54" t="n">
        <v>550470</v>
      </c>
      <c r="E54" t="inlineStr">
        <is>
          <t>Portland House, 4 Great Portland Street</t>
        </is>
      </c>
      <c r="F54" t="inlineStr">
        <is>
          <t>Third Floor (West)</t>
        </is>
      </c>
      <c r="G54" t="inlineStr">
        <is>
          <t>Office</t>
        </is>
      </c>
      <c r="H54" t="n">
        <v>1691</v>
      </c>
      <c r="I54">
        <f>I38</f>
        <v/>
      </c>
      <c r="J54" t="n">
        <v>1500</v>
      </c>
      <c r="K54" t="inlineStr">
        <is>
          <t>J&amp;M Davidson Limited.</t>
        </is>
      </c>
      <c r="L54" s="869" t="n">
        <v>44795</v>
      </c>
      <c r="M54" s="869" t="n">
        <v>46620</v>
      </c>
      <c r="P54" s="869" t="n">
        <v>45890</v>
      </c>
      <c r="Q54" t="n">
        <v>102705</v>
      </c>
      <c r="R54">
        <f>R38</f>
        <v/>
      </c>
      <c r="T54" t="n">
        <v>102705</v>
      </c>
      <c r="U54">
        <f>U38</f>
        <v/>
      </c>
      <c r="V54" t="n">
        <v>114100</v>
      </c>
      <c r="W54">
        <f>W38</f>
        <v/>
      </c>
      <c r="X54">
        <f>W38/I38</f>
        <v/>
      </c>
      <c r="Y54">
        <f>SUM(W38-U38)/U38</f>
        <v/>
      </c>
      <c r="Z54" t="inlineStr">
        <is>
          <t>B</t>
        </is>
      </c>
      <c r="AC54" t="inlineStr">
        <is>
          <t>No</t>
        </is>
      </c>
      <c r="AD54" t="inlineStr">
        <is>
          <t>Tenant break on 6 months notice.</t>
        </is>
      </c>
      <c r="AI54" t="inlineStr">
        <is>
          <t>Let</t>
        </is>
      </c>
    </row>
    <row r="55">
      <c r="A55" t="inlineStr">
        <is>
          <t xml:space="preserve">  Office</t>
        </is>
      </c>
      <c r="B55" t="inlineStr">
        <is>
          <t>SH</t>
        </is>
      </c>
      <c r="C55" t="inlineStr">
        <is>
          <t>MEL</t>
        </is>
      </c>
      <c r="D55" t="n">
        <v>550470</v>
      </c>
      <c r="E55" t="inlineStr">
        <is>
          <t>Portland House, 4 Great Portland Street</t>
        </is>
      </c>
      <c r="F55" t="inlineStr">
        <is>
          <t xml:space="preserve">Third Floor (East) </t>
        </is>
      </c>
      <c r="G55" t="inlineStr">
        <is>
          <t>Office</t>
        </is>
      </c>
      <c r="H55" t="n">
        <v>2055</v>
      </c>
      <c r="I55">
        <f>I39</f>
        <v/>
      </c>
      <c r="J55" t="n">
        <v>2000</v>
      </c>
      <c r="K55" t="inlineStr">
        <is>
          <t>Media Campaign Limited</t>
        </is>
      </c>
      <c r="L55" s="869" t="n">
        <v>45488</v>
      </c>
      <c r="M55" s="869" t="n">
        <v>47313</v>
      </c>
      <c r="P55" s="869" t="n">
        <v>46582</v>
      </c>
      <c r="Q55" t="n">
        <v>181050</v>
      </c>
      <c r="R55">
        <f>R39</f>
        <v/>
      </c>
      <c r="T55" t="n">
        <v>125050</v>
      </c>
      <c r="U55">
        <f>U39</f>
        <v/>
      </c>
      <c r="V55" t="n">
        <v>138700</v>
      </c>
      <c r="W55">
        <f>W39</f>
        <v/>
      </c>
      <c r="X55">
        <f>W39/I39</f>
        <v/>
      </c>
      <c r="Y55">
        <f>SUM(W39-U39)/U39</f>
        <v/>
      </c>
      <c r="Z55" t="inlineStr">
        <is>
          <t>B</t>
        </is>
      </c>
      <c r="AC55" t="inlineStr">
        <is>
          <t>No</t>
        </is>
      </c>
      <c r="AD55" t="inlineStr">
        <is>
          <t>Tenant break on 6 months notice. 2 months rent free @ 15/07/27 if not exercised.</t>
        </is>
      </c>
      <c r="AI55" t="inlineStr">
        <is>
          <t>Let</t>
        </is>
      </c>
    </row>
    <row r="56">
      <c r="A56" t="inlineStr">
        <is>
          <t xml:space="preserve">  Office</t>
        </is>
      </c>
      <c r="B56" t="inlineStr">
        <is>
          <t>SH</t>
        </is>
      </c>
      <c r="C56" t="inlineStr">
        <is>
          <t>MEL</t>
        </is>
      </c>
      <c r="D56" t="n">
        <v>550470</v>
      </c>
      <c r="E56" t="inlineStr">
        <is>
          <t>Portland House, 4 Great Portland Street</t>
        </is>
      </c>
      <c r="F56" t="inlineStr">
        <is>
          <t>Fourth Floor (West)</t>
        </is>
      </c>
      <c r="G56" t="inlineStr">
        <is>
          <t>Office</t>
        </is>
      </c>
      <c r="H56" t="n">
        <v>1548</v>
      </c>
      <c r="I56">
        <f>I40</f>
        <v/>
      </c>
      <c r="J56" t="n">
        <v>1500</v>
      </c>
      <c r="K56" t="inlineStr">
        <is>
          <t>Racoon Media Services Limited</t>
        </is>
      </c>
      <c r="L56" s="869" t="n">
        <v>45609</v>
      </c>
      <c r="M56" s="869" t="n">
        <v>47434</v>
      </c>
      <c r="P56" s="869" t="n">
        <v>46703</v>
      </c>
      <c r="Q56" t="n">
        <v>90090</v>
      </c>
      <c r="R56">
        <f>R40</f>
        <v/>
      </c>
      <c r="T56" t="n">
        <v>90100</v>
      </c>
      <c r="U56">
        <f>U40</f>
        <v/>
      </c>
      <c r="V56" t="n">
        <v>104500</v>
      </c>
      <c r="W56">
        <f>W40</f>
        <v/>
      </c>
      <c r="X56">
        <f>W40/I40</f>
        <v/>
      </c>
      <c r="Y56">
        <f>SUM(W40-U40)/U40</f>
        <v/>
      </c>
      <c r="Z56" t="inlineStr">
        <is>
          <t>B</t>
        </is>
      </c>
      <c r="AC56" t="inlineStr">
        <is>
          <t>No</t>
        </is>
      </c>
      <c r="AD56" t="inlineStr">
        <is>
          <t>Tenant break on 6 months notice. Rent PA corrected.</t>
        </is>
      </c>
      <c r="AI56" t="inlineStr">
        <is>
          <t>Let</t>
        </is>
      </c>
    </row>
    <row r="57">
      <c r="A57" t="inlineStr">
        <is>
          <t xml:space="preserve">  Office</t>
        </is>
      </c>
      <c r="B57" t="inlineStr">
        <is>
          <t>SH</t>
        </is>
      </c>
      <c r="C57" t="inlineStr">
        <is>
          <t>MEL</t>
        </is>
      </c>
      <c r="D57" t="n">
        <v>550470</v>
      </c>
      <c r="E57" t="inlineStr">
        <is>
          <t>Portland House, 4 Great Portland Street</t>
        </is>
      </c>
      <c r="F57" t="inlineStr">
        <is>
          <t>Fourth Floor (East)</t>
        </is>
      </c>
      <c r="G57" t="inlineStr">
        <is>
          <t>Office</t>
        </is>
      </c>
      <c r="H57" t="n">
        <v>1957</v>
      </c>
      <c r="I57">
        <f>I41</f>
        <v/>
      </c>
      <c r="J57" t="n">
        <v>2000</v>
      </c>
      <c r="K57" t="inlineStr">
        <is>
          <t>Racoon Media Services Limited</t>
        </is>
      </c>
      <c r="L57" s="869" t="n">
        <v>45609</v>
      </c>
      <c r="M57" s="869" t="n">
        <v>47434</v>
      </c>
      <c r="P57" s="869" t="n">
        <v>46703</v>
      </c>
      <c r="Q57" t="n">
        <v>114253</v>
      </c>
      <c r="R57">
        <f>R41</f>
        <v/>
      </c>
      <c r="T57" t="n">
        <v>115800</v>
      </c>
      <c r="U57">
        <f>U41</f>
        <v/>
      </c>
      <c r="V57" t="n">
        <v>132100</v>
      </c>
      <c r="W57">
        <f>W41</f>
        <v/>
      </c>
      <c r="X57">
        <f>W41/I41</f>
        <v/>
      </c>
      <c r="Y57">
        <f>SUM(W41-U41)/U41</f>
        <v/>
      </c>
      <c r="Z57" t="inlineStr">
        <is>
          <t>B</t>
        </is>
      </c>
      <c r="AC57" t="inlineStr">
        <is>
          <t>No</t>
        </is>
      </c>
      <c r="AD57" t="inlineStr">
        <is>
          <t>Tenant break on 6 months notice.</t>
        </is>
      </c>
      <c r="AI57" t="inlineStr">
        <is>
          <t>Let</t>
        </is>
      </c>
    </row>
    <row r="58">
      <c r="A58" t="inlineStr">
        <is>
          <t xml:space="preserve">  Office</t>
        </is>
      </c>
      <c r="B58" t="inlineStr">
        <is>
          <t>SH</t>
        </is>
      </c>
      <c r="C58" t="inlineStr">
        <is>
          <t>MEL</t>
        </is>
      </c>
      <c r="D58" t="n">
        <v>550470</v>
      </c>
      <c r="E58" t="inlineStr">
        <is>
          <t>Portland House, 4 Great Portland Street</t>
        </is>
      </c>
      <c r="F58" t="inlineStr">
        <is>
          <t>Fifth Floor (East)</t>
        </is>
      </c>
      <c r="G58" t="inlineStr">
        <is>
          <t>Office</t>
        </is>
      </c>
      <c r="H58" t="n">
        <v>1845</v>
      </c>
      <c r="I58">
        <f>I42</f>
        <v/>
      </c>
      <c r="J58" t="n">
        <v>2000</v>
      </c>
      <c r="K58" t="inlineStr">
        <is>
          <t>Greek National Tourism Organisation.</t>
        </is>
      </c>
      <c r="L58" s="869" t="n">
        <v>45256</v>
      </c>
      <c r="M58" s="869" t="n">
        <v>47082</v>
      </c>
      <c r="P58" s="869" t="n">
        <v>46351</v>
      </c>
      <c r="Q58" t="n">
        <v>115500</v>
      </c>
      <c r="R58">
        <f>R42</f>
        <v/>
      </c>
      <c r="T58" t="n">
        <v>107400</v>
      </c>
      <c r="U58">
        <f>U42</f>
        <v/>
      </c>
      <c r="V58" t="n">
        <v>124500</v>
      </c>
      <c r="W58">
        <f>W42</f>
        <v/>
      </c>
      <c r="X58">
        <f>W42/I42</f>
        <v/>
      </c>
      <c r="Y58">
        <f>SUM(W42-U42)/U42</f>
        <v/>
      </c>
      <c r="Z58" t="inlineStr">
        <is>
          <t>B</t>
        </is>
      </c>
      <c r="AC58" t="inlineStr">
        <is>
          <t>No</t>
        </is>
      </c>
      <c r="AD58" t="inlineStr">
        <is>
          <t>Tenant break on 6 months notice.</t>
        </is>
      </c>
      <c r="AI58" t="inlineStr">
        <is>
          <t>Let</t>
        </is>
      </c>
    </row>
    <row r="59">
      <c r="A59" t="inlineStr">
        <is>
          <t xml:space="preserve">  Office</t>
        </is>
      </c>
      <c r="B59" t="inlineStr">
        <is>
          <t>SH</t>
        </is>
      </c>
      <c r="C59" t="inlineStr">
        <is>
          <t>MEL</t>
        </is>
      </c>
      <c r="D59" t="n">
        <v>550470</v>
      </c>
      <c r="E59" t="inlineStr">
        <is>
          <t>Portland House, 4 Great Portland Street</t>
        </is>
      </c>
      <c r="F59" t="inlineStr">
        <is>
          <t>Fifth Floor (West)</t>
        </is>
      </c>
      <c r="G59" t="inlineStr">
        <is>
          <t>Office</t>
        </is>
      </c>
      <c r="H59" t="n">
        <v>1528</v>
      </c>
      <c r="I59">
        <f>I43</f>
        <v/>
      </c>
      <c r="J59" t="n">
        <v>1500</v>
      </c>
      <c r="K59" t="inlineStr">
        <is>
          <t>Rios Designs Ltd</t>
        </is>
      </c>
      <c r="L59" s="869" t="n">
        <v>45622</v>
      </c>
      <c r="M59" s="869" t="n">
        <v>47447</v>
      </c>
      <c r="P59" s="869" t="n">
        <v>46716</v>
      </c>
      <c r="Q59" t="n">
        <v>54340</v>
      </c>
      <c r="R59">
        <f>R43</f>
        <v/>
      </c>
      <c r="T59" t="n">
        <v>76600</v>
      </c>
      <c r="U59">
        <f>U43</f>
        <v/>
      </c>
      <c r="V59" t="n">
        <v>103100</v>
      </c>
      <c r="W59">
        <f>W43</f>
        <v/>
      </c>
      <c r="X59">
        <f>W43/I43</f>
        <v/>
      </c>
      <c r="Y59">
        <f>SUM(W43-U43)/U43</f>
        <v/>
      </c>
      <c r="Z59" t="inlineStr">
        <is>
          <t>B</t>
        </is>
      </c>
      <c r="AC59" t="inlineStr">
        <is>
          <t>No</t>
        </is>
      </c>
      <c r="AD59" t="inlineStr">
        <is>
          <t>Rent increases to £108,680 wef 26/11/25. Tenant break on 6 months notice.</t>
        </is>
      </c>
      <c r="AG59" t="n">
        <v>2</v>
      </c>
      <c r="AH59" t="inlineStr">
        <is>
          <t>LEM/LDG</t>
        </is>
      </c>
      <c r="AI59" t="inlineStr">
        <is>
          <t>Let</t>
        </is>
      </c>
    </row>
    <row r="60">
      <c r="A60" t="inlineStr">
        <is>
          <t xml:space="preserve">  Office</t>
        </is>
      </c>
      <c r="B60" t="inlineStr">
        <is>
          <t>SH</t>
        </is>
      </c>
      <c r="C60" t="inlineStr">
        <is>
          <t>MEL</t>
        </is>
      </c>
      <c r="D60" t="n">
        <v>550470</v>
      </c>
      <c r="E60" t="inlineStr">
        <is>
          <t>Portland House, 4 Great Portland Street</t>
        </is>
      </c>
      <c r="F60" t="inlineStr">
        <is>
          <t>Sixth Floor (West)</t>
        </is>
      </c>
      <c r="G60" t="inlineStr">
        <is>
          <t>Office</t>
        </is>
      </c>
      <c r="H60" t="n">
        <v>1253</v>
      </c>
      <c r="I60">
        <f>I44</f>
        <v/>
      </c>
      <c r="J60" t="n">
        <v>1250</v>
      </c>
      <c r="K60" t="inlineStr">
        <is>
          <t>Directors Cut Films West Limited</t>
        </is>
      </c>
      <c r="L60" s="869" t="n">
        <v>45617</v>
      </c>
      <c r="M60" s="869" t="n">
        <v>47442</v>
      </c>
      <c r="Q60" t="n">
        <v>66700</v>
      </c>
      <c r="R60">
        <f>R44</f>
        <v/>
      </c>
      <c r="T60" t="n">
        <v>66700</v>
      </c>
      <c r="U60">
        <f>U44</f>
        <v/>
      </c>
      <c r="V60" t="n">
        <v>78300</v>
      </c>
      <c r="W60">
        <f>W44</f>
        <v/>
      </c>
      <c r="X60">
        <f>W44/I44</f>
        <v/>
      </c>
      <c r="Y60">
        <f>SUM(W44-U44)/U44</f>
        <v/>
      </c>
      <c r="Z60" t="inlineStr">
        <is>
          <t>D</t>
        </is>
      </c>
      <c r="AC60" t="inlineStr">
        <is>
          <t>No</t>
        </is>
      </c>
      <c r="AI60" t="inlineStr">
        <is>
          <t>Let</t>
        </is>
      </c>
    </row>
    <row r="61">
      <c r="A61" t="inlineStr">
        <is>
          <t xml:space="preserve">  Office</t>
        </is>
      </c>
      <c r="B61" t="inlineStr">
        <is>
          <t>SH</t>
        </is>
      </c>
      <c r="C61" t="inlineStr">
        <is>
          <t>MEL</t>
        </is>
      </c>
      <c r="D61" t="n">
        <v>550470</v>
      </c>
      <c r="E61" t="inlineStr">
        <is>
          <t>Portland House, 4 Great Portland Street</t>
        </is>
      </c>
      <c r="F61" t="inlineStr">
        <is>
          <t>Sixth Floor (East)</t>
        </is>
      </c>
      <c r="G61" t="inlineStr">
        <is>
          <t>Office</t>
        </is>
      </c>
      <c r="H61" t="n">
        <v>859</v>
      </c>
      <c r="I61">
        <f>I45</f>
        <v/>
      </c>
      <c r="J61" t="n">
        <v>1000</v>
      </c>
      <c r="K61" t="inlineStr">
        <is>
          <t>Vacant</t>
        </is>
      </c>
      <c r="N61" s="869" t="n">
        <v>44609</v>
      </c>
      <c r="Q61" t="n">
        <v>0</v>
      </c>
      <c r="R61">
        <f>R45</f>
        <v/>
      </c>
      <c r="T61" t="n">
        <v>65750</v>
      </c>
      <c r="U61">
        <f>U45</f>
        <v/>
      </c>
      <c r="V61" t="n">
        <v>53700</v>
      </c>
      <c r="W61">
        <f>W45</f>
        <v/>
      </c>
      <c r="X61">
        <f>W45/I45</f>
        <v/>
      </c>
      <c r="Y61">
        <f>SUM(W45-U45)/U45</f>
        <v/>
      </c>
      <c r="Z61" t="inlineStr">
        <is>
          <t>D</t>
        </is>
      </c>
      <c r="AC61" t="inlineStr">
        <is>
          <t>No</t>
        </is>
      </c>
      <c r="AD61" t="inlineStr">
        <is>
          <t>LEM marketing.</t>
        </is>
      </c>
      <c r="AE61" t="n">
        <v>63</v>
      </c>
      <c r="AG61" t="n">
        <v>2</v>
      </c>
      <c r="AI61" t="inlineStr">
        <is>
          <t>Void</t>
        </is>
      </c>
    </row>
    <row r="62">
      <c r="A62" t="inlineStr">
        <is>
          <t xml:space="preserve">  Storage</t>
        </is>
      </c>
      <c r="B62" t="inlineStr">
        <is>
          <t>SH</t>
        </is>
      </c>
      <c r="C62" t="inlineStr">
        <is>
          <t>MEL</t>
        </is>
      </c>
      <c r="D62" t="n">
        <v>550470</v>
      </c>
      <c r="E62" t="inlineStr">
        <is>
          <t>Portland House, 4 Great Portland Street</t>
        </is>
      </c>
      <c r="F62" t="inlineStr">
        <is>
          <t>Cupboards 2nd, 4th, 5th &amp; 6th Floors</t>
        </is>
      </c>
      <c r="G62" t="inlineStr">
        <is>
          <t>Storage</t>
        </is>
      </c>
      <c r="H62" t="n">
        <v>0</v>
      </c>
      <c r="I62">
        <f>I46</f>
        <v/>
      </c>
      <c r="K62" t="inlineStr">
        <is>
          <t>Vacant / Landlord</t>
        </is>
      </c>
      <c r="N62" t="inlineStr">
        <is>
          <t>N/A</t>
        </is>
      </c>
      <c r="Q62" t="n">
        <v>0</v>
      </c>
      <c r="R62">
        <f>R46</f>
        <v/>
      </c>
      <c r="T62" t="n">
        <v>1460</v>
      </c>
      <c r="U62">
        <f>U46</f>
        <v/>
      </c>
      <c r="V62" t="n">
        <v>0</v>
      </c>
      <c r="W62">
        <f>W46</f>
        <v/>
      </c>
      <c r="AD62" t="inlineStr">
        <is>
          <t>To be converted into extra toilet facilities.</t>
        </is>
      </c>
      <c r="AI62" t="inlineStr">
        <is>
          <t>Void</t>
        </is>
      </c>
    </row>
    <row r="63">
      <c r="A63" t="inlineStr">
        <is>
          <t xml:space="preserve">  Sub-Station</t>
        </is>
      </c>
      <c r="B63" t="inlineStr">
        <is>
          <t>SH</t>
        </is>
      </c>
      <c r="C63" t="inlineStr">
        <is>
          <t>MEL</t>
        </is>
      </c>
      <c r="D63" t="n">
        <v>550470</v>
      </c>
      <c r="E63" t="inlineStr">
        <is>
          <t>Portland House, 4 Great Portland Street</t>
        </is>
      </c>
      <c r="F63" t="inlineStr">
        <is>
          <t>Transformer Chamber</t>
        </is>
      </c>
      <c r="G63" t="inlineStr">
        <is>
          <t>Sub-Station</t>
        </is>
      </c>
      <c r="H63" t="n">
        <v>0</v>
      </c>
      <c r="I63">
        <f>I47</f>
        <v/>
      </c>
      <c r="K63" t="inlineStr">
        <is>
          <t>London Power Networks Plc</t>
        </is>
      </c>
      <c r="L63" s="869" t="n">
        <v>35240</v>
      </c>
      <c r="M63" s="869" t="n">
        <v>68735</v>
      </c>
      <c r="Q63" t="n">
        <v>0</v>
      </c>
      <c r="R63">
        <f>R47</f>
        <v/>
      </c>
      <c r="T63" t="n">
        <v>0</v>
      </c>
      <c r="U63">
        <f>U47</f>
        <v/>
      </c>
      <c r="V63" t="n">
        <v>0</v>
      </c>
      <c r="W63">
        <f>W47</f>
        <v/>
      </c>
      <c r="AC63" t="inlineStr">
        <is>
          <t>Yes</t>
        </is>
      </c>
      <c r="AD63" t="inlineStr">
        <is>
          <t>Rolling redevelopment break on 6 months notice.</t>
        </is>
      </c>
      <c r="AI63" t="inlineStr">
        <is>
          <t>Let</t>
        </is>
      </c>
    </row>
    <row r="64"/>
    <row r="65">
      <c r="A65" s="868" t="inlineStr">
        <is>
          <t>6-10a Great Portland Street</t>
        </is>
      </c>
    </row>
    <row r="66">
      <c r="A66" t="inlineStr">
        <is>
          <t xml:space="preserve">  Retail</t>
        </is>
      </c>
      <c r="B66" t="inlineStr">
        <is>
          <t>SH</t>
        </is>
      </c>
      <c r="C66" t="inlineStr">
        <is>
          <t>MEL</t>
        </is>
      </c>
      <c r="D66" t="n">
        <v>550480</v>
      </c>
      <c r="E66" t="inlineStr">
        <is>
          <t>6-10a Great Portland Street</t>
        </is>
      </c>
      <c r="F66" t="inlineStr">
        <is>
          <t>Basement &amp; Ground</t>
        </is>
      </c>
      <c r="G66" t="inlineStr">
        <is>
          <t>Retail</t>
        </is>
      </c>
      <c r="H66" t="n">
        <v>4958</v>
      </c>
      <c r="I66">
        <f>I48</f>
        <v/>
      </c>
      <c r="J66" t="n">
        <v>5000</v>
      </c>
      <c r="K66" t="inlineStr">
        <is>
          <t>PrettyLittleThing.com</t>
        </is>
      </c>
      <c r="L66" s="869" t="n">
        <v>45699</v>
      </c>
      <c r="M66" s="869" t="n">
        <v>47524</v>
      </c>
      <c r="P66" s="869" t="n">
        <v>46793</v>
      </c>
      <c r="Q66" t="n">
        <v>187500</v>
      </c>
      <c r="R66">
        <f>R48</f>
        <v/>
      </c>
      <c r="T66" t="n">
        <v>337100</v>
      </c>
      <c r="U66">
        <f>U48</f>
        <v/>
      </c>
      <c r="V66" t="n">
        <v>380000</v>
      </c>
      <c r="W66">
        <f>W48</f>
        <v/>
      </c>
      <c r="X66">
        <f>W48/I48</f>
        <v/>
      </c>
      <c r="Y66">
        <f>SUM(W48-U48)/U48</f>
        <v/>
      </c>
      <c r="Z66" t="inlineStr">
        <is>
          <t>B</t>
        </is>
      </c>
      <c r="AC66" t="inlineStr">
        <is>
          <t>No</t>
        </is>
      </c>
      <c r="AD66" t="inlineStr">
        <is>
          <t>Rent increasing to £375,000 wef 11/09/25. Tenant break on 6 months notice. 3 months rent free if not exercised.</t>
        </is>
      </c>
      <c r="AE66" t="n">
        <v>68</v>
      </c>
      <c r="AF66" t="n">
        <v>1</v>
      </c>
      <c r="AG66" t="n">
        <v>13</v>
      </c>
      <c r="AH66" t="inlineStr">
        <is>
          <t>LEM / Colliers</t>
        </is>
      </c>
      <c r="AI66" t="inlineStr">
        <is>
          <t>Let</t>
        </is>
      </c>
    </row>
    <row r="67">
      <c r="A67" t="inlineStr">
        <is>
          <t xml:space="preserve">  Office</t>
        </is>
      </c>
      <c r="B67" t="inlineStr">
        <is>
          <t>SH</t>
        </is>
      </c>
      <c r="C67" t="inlineStr">
        <is>
          <t>MEL</t>
        </is>
      </c>
      <c r="D67" t="n">
        <v>550480</v>
      </c>
      <c r="E67" t="inlineStr">
        <is>
          <t>6-10a Great Portland Street</t>
        </is>
      </c>
      <c r="F67" t="inlineStr">
        <is>
          <t>First  Floor</t>
        </is>
      </c>
      <c r="G67" t="inlineStr">
        <is>
          <t>Office</t>
        </is>
      </c>
      <c r="H67" t="n">
        <v>1862</v>
      </c>
      <c r="I67">
        <f>I49</f>
        <v/>
      </c>
      <c r="J67" t="n">
        <v>2000</v>
      </c>
      <c r="K67" t="inlineStr">
        <is>
          <t>The Yuki Clinic Ltd.</t>
        </is>
      </c>
      <c r="L67" s="869" t="n">
        <v>44452</v>
      </c>
      <c r="M67" s="869" t="n">
        <v>46277</v>
      </c>
      <c r="Q67" t="n">
        <v>108170</v>
      </c>
      <c r="R67">
        <f>R49</f>
        <v/>
      </c>
      <c r="T67" t="n">
        <v>107200</v>
      </c>
      <c r="U67">
        <f>U49</f>
        <v/>
      </c>
      <c r="V67" t="n">
        <v>114500</v>
      </c>
      <c r="W67">
        <f>W49</f>
        <v/>
      </c>
      <c r="X67">
        <f>W49/I49</f>
        <v/>
      </c>
      <c r="Y67">
        <f>SUM(W49-U49)/U49</f>
        <v/>
      </c>
      <c r="Z67" t="inlineStr">
        <is>
          <t>D</t>
        </is>
      </c>
      <c r="AC67" t="inlineStr">
        <is>
          <t>No</t>
        </is>
      </c>
      <c r="AI67" t="inlineStr">
        <is>
          <t>Let</t>
        </is>
      </c>
    </row>
    <row r="68">
      <c r="A68" t="inlineStr">
        <is>
          <t xml:space="preserve">  Office</t>
        </is>
      </c>
      <c r="B68" t="inlineStr">
        <is>
          <t>SH</t>
        </is>
      </c>
      <c r="C68" t="inlineStr">
        <is>
          <t>MEL</t>
        </is>
      </c>
      <c r="D68" t="n">
        <v>550480</v>
      </c>
      <c r="E68" t="inlineStr">
        <is>
          <t>6-10a Great Portland Street</t>
        </is>
      </c>
      <c r="F68" t="inlineStr">
        <is>
          <t>Second Floor</t>
        </is>
      </c>
      <c r="G68" t="inlineStr">
        <is>
          <t>Office</t>
        </is>
      </c>
      <c r="H68" t="n">
        <v>1818</v>
      </c>
      <c r="I68">
        <f>I50</f>
        <v/>
      </c>
      <c r="J68" t="n">
        <v>2000</v>
      </c>
      <c r="K68" t="inlineStr">
        <is>
          <t>Vacant</t>
        </is>
      </c>
      <c r="N68" s="869" t="n">
        <v>45609</v>
      </c>
      <c r="Q68" t="n">
        <v>0</v>
      </c>
      <c r="R68">
        <f>R50</f>
        <v/>
      </c>
      <c r="T68" t="n">
        <v>105500</v>
      </c>
      <c r="U68">
        <f>U50</f>
        <v/>
      </c>
      <c r="V68" t="n">
        <v>109100</v>
      </c>
      <c r="W68">
        <f>W50</f>
        <v/>
      </c>
      <c r="X68">
        <f>W50/I50</f>
        <v/>
      </c>
      <c r="Y68">
        <f>SUM(W50-U50)/U50</f>
        <v/>
      </c>
      <c r="Z68" t="inlineStr">
        <is>
          <t>E</t>
        </is>
      </c>
      <c r="AC68" t="inlineStr">
        <is>
          <t>No</t>
        </is>
      </c>
      <c r="AD68" t="inlineStr">
        <is>
          <t>LEM marketing.</t>
        </is>
      </c>
      <c r="AE68" t="n">
        <v>65</v>
      </c>
      <c r="AF68" t="n">
        <v>4</v>
      </c>
      <c r="AG68" t="n">
        <v>6</v>
      </c>
      <c r="AI68" t="inlineStr">
        <is>
          <t>Void</t>
        </is>
      </c>
    </row>
    <row r="69">
      <c r="A69" t="inlineStr">
        <is>
          <t xml:space="preserve">  Office</t>
        </is>
      </c>
      <c r="B69" t="inlineStr">
        <is>
          <t>SH</t>
        </is>
      </c>
      <c r="C69" t="inlineStr">
        <is>
          <t>MEL</t>
        </is>
      </c>
      <c r="D69" t="n">
        <v>550480</v>
      </c>
      <c r="E69" t="inlineStr">
        <is>
          <t>6-10a Great Portland Street</t>
        </is>
      </c>
      <c r="F69" t="inlineStr">
        <is>
          <t>Third Floor</t>
        </is>
      </c>
      <c r="G69" t="inlineStr">
        <is>
          <t>Office</t>
        </is>
      </c>
      <c r="H69" t="n">
        <v>1808</v>
      </c>
      <c r="I69">
        <f>I51</f>
        <v/>
      </c>
      <c r="J69" t="n">
        <v>2000</v>
      </c>
      <c r="K69" t="inlineStr">
        <is>
          <t>Vacant</t>
        </is>
      </c>
      <c r="N69" s="869" t="n">
        <v>45609</v>
      </c>
      <c r="Q69" t="n">
        <v>0</v>
      </c>
      <c r="R69">
        <f>R51</f>
        <v/>
      </c>
      <c r="T69" t="n">
        <v>108800</v>
      </c>
      <c r="U69">
        <f>U51</f>
        <v/>
      </c>
      <c r="V69" t="n">
        <v>108500</v>
      </c>
      <c r="W69">
        <f>W51</f>
        <v/>
      </c>
      <c r="X69">
        <f>W51/I51</f>
        <v/>
      </c>
      <c r="Y69">
        <f>SUM(W51-U51)/U51</f>
        <v/>
      </c>
      <c r="Z69" t="inlineStr">
        <is>
          <t>E</t>
        </is>
      </c>
      <c r="AC69" t="inlineStr">
        <is>
          <t>No</t>
        </is>
      </c>
      <c r="AD69" t="inlineStr">
        <is>
          <t>LEM marketing.</t>
        </is>
      </c>
      <c r="AE69" t="n">
        <v>65</v>
      </c>
      <c r="AF69" t="n">
        <v>4</v>
      </c>
      <c r="AG69" t="n">
        <v>6</v>
      </c>
      <c r="AI69" t="inlineStr">
        <is>
          <t>Void</t>
        </is>
      </c>
    </row>
    <row r="70">
      <c r="A70" t="inlineStr">
        <is>
          <t xml:space="preserve">  Office</t>
        </is>
      </c>
      <c r="B70" t="inlineStr">
        <is>
          <t>SH</t>
        </is>
      </c>
      <c r="C70" t="inlineStr">
        <is>
          <t>MEL</t>
        </is>
      </c>
      <c r="D70" t="n">
        <v>550480</v>
      </c>
      <c r="E70" t="inlineStr">
        <is>
          <t>6-10a Great Portland Street</t>
        </is>
      </c>
      <c r="F70" t="inlineStr">
        <is>
          <t>Fourth Floor</t>
        </is>
      </c>
      <c r="G70" t="inlineStr">
        <is>
          <t>Office</t>
        </is>
      </c>
      <c r="H70" t="n">
        <v>1672</v>
      </c>
      <c r="I70">
        <f>I52</f>
        <v/>
      </c>
      <c r="J70" t="n">
        <v>1500</v>
      </c>
      <c r="K70" t="inlineStr">
        <is>
          <t>Vacant</t>
        </is>
      </c>
      <c r="N70" s="869" t="n">
        <v>45457</v>
      </c>
      <c r="Q70" t="n">
        <v>0</v>
      </c>
      <c r="R70">
        <f>R52</f>
        <v/>
      </c>
      <c r="T70" t="n">
        <v>94400</v>
      </c>
      <c r="U70">
        <f>U52</f>
        <v/>
      </c>
      <c r="V70" t="n">
        <v>97800</v>
      </c>
      <c r="W70">
        <f>W52</f>
        <v/>
      </c>
      <c r="X70">
        <f>W52/I52</f>
        <v/>
      </c>
      <c r="Y70">
        <f>SUM(W52-U52)/U52</f>
        <v/>
      </c>
      <c r="Z70" t="inlineStr">
        <is>
          <t>B</t>
        </is>
      </c>
      <c r="AC70" t="inlineStr">
        <is>
          <t>No</t>
        </is>
      </c>
      <c r="AD70" t="inlineStr">
        <is>
          <t>To be refurbished.</t>
        </is>
      </c>
      <c r="AE70" t="n">
        <v>65</v>
      </c>
      <c r="AF70" t="n">
        <v>1</v>
      </c>
      <c r="AG70" t="n">
        <v>2</v>
      </c>
      <c r="AH70" t="inlineStr">
        <is>
          <t>LEM</t>
        </is>
      </c>
      <c r="AI70" t="inlineStr">
        <is>
          <t>Void</t>
        </is>
      </c>
    </row>
    <row r="71">
      <c r="A71" t="inlineStr">
        <is>
          <t xml:space="preserve">  Office</t>
        </is>
      </c>
      <c r="B71" t="inlineStr">
        <is>
          <t>SH</t>
        </is>
      </c>
      <c r="C71" t="inlineStr">
        <is>
          <t>MEL</t>
        </is>
      </c>
      <c r="D71" t="n">
        <v>550480</v>
      </c>
      <c r="E71" t="inlineStr">
        <is>
          <t>6-10a Great Portland Street</t>
        </is>
      </c>
      <c r="F71" t="inlineStr">
        <is>
          <t>Fifth Floor</t>
        </is>
      </c>
      <c r="G71" t="inlineStr">
        <is>
          <t>Office</t>
        </is>
      </c>
      <c r="H71" t="n">
        <v>995</v>
      </c>
      <c r="I71">
        <f>I53</f>
        <v/>
      </c>
      <c r="J71" t="n">
        <v>1000</v>
      </c>
      <c r="K71" t="inlineStr">
        <is>
          <t>Racoon Media Services Limited</t>
        </is>
      </c>
      <c r="L71" s="869" t="n">
        <v>45609</v>
      </c>
      <c r="M71" s="869" t="n">
        <v>47434</v>
      </c>
      <c r="P71" s="869" t="n">
        <v>46703</v>
      </c>
      <c r="Q71" t="n">
        <v>61928</v>
      </c>
      <c r="R71">
        <f>R53</f>
        <v/>
      </c>
      <c r="T71" t="n">
        <v>61200</v>
      </c>
      <c r="U71">
        <f>U53</f>
        <v/>
      </c>
      <c r="V71" t="n">
        <v>57200</v>
      </c>
      <c r="W71">
        <f>W53</f>
        <v/>
      </c>
      <c r="X71">
        <f>W53/I53</f>
        <v/>
      </c>
      <c r="Y71">
        <f>SUM(W53-U53)/U53</f>
        <v/>
      </c>
      <c r="Z71" t="inlineStr">
        <is>
          <t>E</t>
        </is>
      </c>
      <c r="AC71" t="inlineStr">
        <is>
          <t>No</t>
        </is>
      </c>
      <c r="AD71" t="inlineStr">
        <is>
          <t>Tenant break on 6 months notice.</t>
        </is>
      </c>
      <c r="AI71" t="inlineStr">
        <is>
          <t>Let</t>
        </is>
      </c>
    </row>
    <row r="72">
      <c r="A72" t="inlineStr">
        <is>
          <t xml:space="preserve">  Sub-Station</t>
        </is>
      </c>
      <c r="B72" t="inlineStr">
        <is>
          <t>SH</t>
        </is>
      </c>
      <c r="C72" t="inlineStr">
        <is>
          <t>MEL</t>
        </is>
      </c>
      <c r="D72" t="n">
        <v>550480</v>
      </c>
      <c r="E72" t="inlineStr">
        <is>
          <t>6-10a Great Portland Street</t>
        </is>
      </c>
      <c r="F72" t="inlineStr">
        <is>
          <t>Basement</t>
        </is>
      </c>
      <c r="G72" t="inlineStr">
        <is>
          <t>Sub-Station</t>
        </is>
      </c>
      <c r="H72" t="n">
        <v>0</v>
      </c>
      <c r="I72">
        <f>I54</f>
        <v/>
      </c>
      <c r="K72" t="inlineStr">
        <is>
          <t>London Power Networks Plc</t>
        </is>
      </c>
      <c r="L72" s="869" t="n">
        <v>39295</v>
      </c>
      <c r="M72" s="869" t="n">
        <v>46599</v>
      </c>
      <c r="O72" s="869" t="n">
        <v>45870</v>
      </c>
      <c r="Q72" t="n">
        <v>903</v>
      </c>
      <c r="R72">
        <f>R54</f>
        <v/>
      </c>
      <c r="T72" t="n">
        <v>625</v>
      </c>
      <c r="U72">
        <f>U54</f>
        <v/>
      </c>
      <c r="V72" t="n">
        <v>625</v>
      </c>
      <c r="W72">
        <f>W54</f>
        <v/>
      </c>
      <c r="AC72" t="inlineStr">
        <is>
          <t>No</t>
        </is>
      </c>
      <c r="AD72" t="inlineStr">
        <is>
          <t>Landlords redevelopment break on 6 months notice. Rent review is RPI indexation (every 2 years. Rent review completed. Backdated rent increased £737 wef 01/08/21 &amp; £903 wef 01/08/23.</t>
        </is>
      </c>
      <c r="AI72" t="inlineStr">
        <is>
          <t>Let</t>
        </is>
      </c>
    </row>
    <row r="73"/>
    <row r="74">
      <c r="A74" s="868" t="inlineStr">
        <is>
          <t>15-17 Great Portland Street &amp; 6-7 Great Castle Street</t>
        </is>
      </c>
    </row>
    <row r="75">
      <c r="A75" t="inlineStr">
        <is>
          <t xml:space="preserve">  Office/Bank</t>
        </is>
      </c>
      <c r="B75" t="inlineStr">
        <is>
          <t>SH</t>
        </is>
      </c>
      <c r="C75" t="inlineStr">
        <is>
          <t>MEL</t>
        </is>
      </c>
      <c r="D75" t="n">
        <v>550530</v>
      </c>
      <c r="E75" t="inlineStr">
        <is>
          <t>15-17 Great Portland Street &amp; 6-7 Great Castle Street</t>
        </is>
      </c>
      <c r="F75" t="inlineStr">
        <is>
          <t>Whole Building</t>
        </is>
      </c>
      <c r="G75" t="inlineStr">
        <is>
          <t>Office/Bank</t>
        </is>
      </c>
      <c r="H75" t="n">
        <v>9884</v>
      </c>
      <c r="I75">
        <f>I55</f>
        <v/>
      </c>
      <c r="J75" t="n">
        <v>10000</v>
      </c>
      <c r="K75" t="inlineStr">
        <is>
          <t>Barclays Bank UK Plc</t>
        </is>
      </c>
      <c r="L75" s="869" t="n">
        <v>44856</v>
      </c>
      <c r="M75" s="869" t="n">
        <v>47411</v>
      </c>
      <c r="O75" s="869" t="n">
        <v>46682</v>
      </c>
      <c r="Q75" t="n">
        <v>580000</v>
      </c>
      <c r="R75">
        <f>R55</f>
        <v/>
      </c>
      <c r="S75">
        <f>S55</f>
        <v/>
      </c>
      <c r="T75" t="n">
        <v>580000</v>
      </c>
      <c r="U75">
        <f>U55</f>
        <v/>
      </c>
      <c r="V75" t="n">
        <v>607100</v>
      </c>
      <c r="W75">
        <f>W55</f>
        <v/>
      </c>
      <c r="X75">
        <f>W55/I55</f>
        <v/>
      </c>
      <c r="Y75">
        <f>SUM(W55-U55)/U55</f>
        <v/>
      </c>
      <c r="Z75" t="inlineStr">
        <is>
          <t>B</t>
        </is>
      </c>
      <c r="AB75" t="n">
        <v>10650000</v>
      </c>
      <c r="AC75" t="inlineStr">
        <is>
          <t>Yes</t>
        </is>
      </c>
      <c r="AI75" t="inlineStr">
        <is>
          <t>Let</t>
        </is>
      </c>
    </row>
    <row r="76"/>
    <row r="77">
      <c r="A77" s="868" t="inlineStr">
        <is>
          <t>19-21 Great Portland Street</t>
        </is>
      </c>
    </row>
    <row r="78">
      <c r="A78" t="inlineStr">
        <is>
          <t xml:space="preserve">  Restaurant </t>
        </is>
      </c>
      <c r="B78" t="inlineStr">
        <is>
          <t>CD</t>
        </is>
      </c>
      <c r="C78" t="inlineStr">
        <is>
          <t>MEL</t>
        </is>
      </c>
      <c r="D78" t="n">
        <v>550410</v>
      </c>
      <c r="E78" t="inlineStr">
        <is>
          <t>19-21 Great Portland Street .</t>
        </is>
      </c>
      <c r="F78" t="inlineStr">
        <is>
          <t>Basement, Ground &amp; First Floors</t>
        </is>
      </c>
      <c r="G78" t="inlineStr">
        <is>
          <t xml:space="preserve">Restaurant </t>
        </is>
      </c>
      <c r="H78" t="n">
        <v>11225</v>
      </c>
      <c r="I78">
        <f>I56</f>
        <v/>
      </c>
      <c r="J78" t="n">
        <v>10000</v>
      </c>
      <c r="K78" t="inlineStr">
        <is>
          <t>UK VAP GPS</t>
        </is>
      </c>
      <c r="L78" s="869" t="n">
        <v>44729</v>
      </c>
      <c r="M78" s="869" t="n">
        <v>50207</v>
      </c>
      <c r="O78" s="869" t="n">
        <v>46555</v>
      </c>
      <c r="P78" s="869" t="n">
        <v>48381</v>
      </c>
      <c r="Q78" t="n">
        <v>625000</v>
      </c>
      <c r="R78">
        <f>R56</f>
        <v/>
      </c>
      <c r="T78" t="n">
        <v>750000</v>
      </c>
      <c r="U78">
        <f>U56</f>
        <v/>
      </c>
      <c r="V78" t="n">
        <v>650000</v>
      </c>
      <c r="W78">
        <f>W56</f>
        <v/>
      </c>
      <c r="X78">
        <f>W56/I56</f>
        <v/>
      </c>
      <c r="Y78">
        <f>SUM(W56-U56)/U56</f>
        <v/>
      </c>
      <c r="Z78" t="inlineStr">
        <is>
          <t>B</t>
        </is>
      </c>
      <c r="AC78" t="inlineStr">
        <is>
          <t>No</t>
        </is>
      </c>
      <c r="AD78" t="inlineStr">
        <is>
          <t>Rent increasing to £650,000 wef 25/03/26. Mutual break @ 16/06/32 on 6 months notice.</t>
        </is>
      </c>
      <c r="AI78" t="inlineStr">
        <is>
          <t>Let</t>
        </is>
      </c>
    </row>
    <row r="79">
      <c r="A79" t="inlineStr">
        <is>
          <t xml:space="preserve">  Offices</t>
        </is>
      </c>
      <c r="B79" t="inlineStr">
        <is>
          <t>CD</t>
        </is>
      </c>
      <c r="C79" t="inlineStr">
        <is>
          <t>MEL</t>
        </is>
      </c>
      <c r="D79" t="n">
        <v>550410</v>
      </c>
      <c r="E79" t="inlineStr">
        <is>
          <t>19-21 Great Portland Street .</t>
        </is>
      </c>
      <c r="F79" t="inlineStr">
        <is>
          <t>Second Floor.</t>
        </is>
      </c>
      <c r="G79" t="inlineStr">
        <is>
          <t>Offices</t>
        </is>
      </c>
      <c r="H79" t="n">
        <v>2847</v>
      </c>
      <c r="I79">
        <f>I57</f>
        <v/>
      </c>
      <c r="J79" t="n">
        <v>3000</v>
      </c>
      <c r="K79" t="inlineStr">
        <is>
          <t>Vacant</t>
        </is>
      </c>
      <c r="N79" s="869" t="n">
        <v>45219</v>
      </c>
      <c r="Q79" t="n">
        <v>0</v>
      </c>
      <c r="R79">
        <f>R57</f>
        <v/>
      </c>
      <c r="T79" t="n">
        <v>170000</v>
      </c>
      <c r="U79">
        <f>U57</f>
        <v/>
      </c>
      <c r="V79" t="n">
        <v>185100</v>
      </c>
      <c r="W79">
        <f>W57</f>
        <v/>
      </c>
      <c r="X79">
        <f>W57/I57</f>
        <v/>
      </c>
      <c r="Y79">
        <f>SUM(W57-U57)/U57</f>
        <v/>
      </c>
      <c r="Z79" t="inlineStr">
        <is>
          <t>B</t>
        </is>
      </c>
      <c r="AC79" t="inlineStr">
        <is>
          <t>No</t>
        </is>
      </c>
      <c r="AD79" t="inlineStr">
        <is>
          <t>LEM marketing.</t>
        </is>
      </c>
      <c r="AE79" t="n">
        <v>70</v>
      </c>
      <c r="AF79" t="n">
        <v>6</v>
      </c>
      <c r="AG79" t="n">
        <v>20</v>
      </c>
      <c r="AH79" t="inlineStr">
        <is>
          <t>LEM / Savills</t>
        </is>
      </c>
      <c r="AI79" t="inlineStr">
        <is>
          <t>Void</t>
        </is>
      </c>
    </row>
    <row r="80">
      <c r="A80" t="inlineStr">
        <is>
          <t xml:space="preserve">  Offices</t>
        </is>
      </c>
      <c r="B80" t="inlineStr">
        <is>
          <t>CD</t>
        </is>
      </c>
      <c r="C80" t="inlineStr">
        <is>
          <t>MEL</t>
        </is>
      </c>
      <c r="D80" t="n">
        <v>550410</v>
      </c>
      <c r="E80" t="inlineStr">
        <is>
          <t>19-21 Great Portland Street .</t>
        </is>
      </c>
      <c r="F80" t="inlineStr">
        <is>
          <t>Third Floor</t>
        </is>
      </c>
      <c r="G80" t="inlineStr">
        <is>
          <t>Offices</t>
        </is>
      </c>
      <c r="H80" t="n">
        <v>2651</v>
      </c>
      <c r="I80">
        <f>I58</f>
        <v/>
      </c>
      <c r="J80" t="n">
        <v>2500</v>
      </c>
      <c r="K80" t="inlineStr">
        <is>
          <t>Vacant</t>
        </is>
      </c>
      <c r="N80" s="869" t="n">
        <v>44124</v>
      </c>
      <c r="Q80" t="n">
        <v>0</v>
      </c>
      <c r="R80">
        <f>R58</f>
        <v/>
      </c>
      <c r="T80" t="n">
        <v>172000</v>
      </c>
      <c r="U80">
        <f>U58</f>
        <v/>
      </c>
      <c r="V80" t="n">
        <v>181600</v>
      </c>
      <c r="W80">
        <f>W58</f>
        <v/>
      </c>
      <c r="X80">
        <f>W58/I58</f>
        <v/>
      </c>
      <c r="Y80">
        <f>SUM(W58-U58)/U58</f>
        <v/>
      </c>
      <c r="Z80" t="inlineStr">
        <is>
          <t>B</t>
        </is>
      </c>
      <c r="AC80" t="inlineStr">
        <is>
          <t>No</t>
        </is>
      </c>
      <c r="AD80" t="inlineStr">
        <is>
          <t>LEM marketing.</t>
        </is>
      </c>
      <c r="AE80" t="n">
        <v>72.5</v>
      </c>
      <c r="AF80" t="n">
        <v>6</v>
      </c>
      <c r="AG80" t="n">
        <v>20</v>
      </c>
      <c r="AH80" t="inlineStr">
        <is>
          <t>LEM / Savills</t>
        </is>
      </c>
      <c r="AI80" t="inlineStr">
        <is>
          <t>Void</t>
        </is>
      </c>
    </row>
    <row r="81">
      <c r="A81" t="inlineStr">
        <is>
          <t xml:space="preserve">  Offices</t>
        </is>
      </c>
      <c r="B81" t="inlineStr">
        <is>
          <t>CD</t>
        </is>
      </c>
      <c r="C81" t="inlineStr">
        <is>
          <t>MEL</t>
        </is>
      </c>
      <c r="D81" t="n">
        <v>550410</v>
      </c>
      <c r="E81" t="inlineStr">
        <is>
          <t>19-21 Great Portland Street .</t>
        </is>
      </c>
      <c r="F81" t="inlineStr">
        <is>
          <t>Fourth Floor</t>
        </is>
      </c>
      <c r="G81" t="inlineStr">
        <is>
          <t>Offices</t>
        </is>
      </c>
      <c r="H81" t="n">
        <v>1197</v>
      </c>
      <c r="I81">
        <f>I59</f>
        <v/>
      </c>
      <c r="J81" t="n">
        <v>1000</v>
      </c>
      <c r="K81" t="inlineStr">
        <is>
          <t>Factory Studios Limited.</t>
        </is>
      </c>
      <c r="L81" s="869" t="n">
        <v>44362</v>
      </c>
      <c r="M81" s="869" t="n">
        <v>48013</v>
      </c>
      <c r="O81" s="869" t="n">
        <v>46197</v>
      </c>
      <c r="P81" s="869" t="n">
        <v>46197</v>
      </c>
      <c r="Q81" t="n">
        <v>80000</v>
      </c>
      <c r="R81">
        <f>R59</f>
        <v/>
      </c>
      <c r="T81" t="n">
        <v>80000</v>
      </c>
      <c r="U81">
        <f>U59</f>
        <v/>
      </c>
      <c r="V81" t="n">
        <v>80800</v>
      </c>
      <c r="W81">
        <f>W59</f>
        <v/>
      </c>
      <c r="X81">
        <f>W59/I59</f>
        <v/>
      </c>
      <c r="Y81">
        <f>SUM(W59-U59)/U59</f>
        <v/>
      </c>
      <c r="Z81" t="inlineStr">
        <is>
          <t>B</t>
        </is>
      </c>
      <c r="AC81" t="inlineStr">
        <is>
          <t>No</t>
        </is>
      </c>
      <c r="AD81" t="inlineStr">
        <is>
          <t>Tenant break subject to 6 months notice.</t>
        </is>
      </c>
      <c r="AI81" t="inlineStr">
        <is>
          <t>Let</t>
        </is>
      </c>
    </row>
    <row r="82"/>
    <row r="83">
      <c r="A83" s="868" t="inlineStr">
        <is>
          <t>20 Great Portland Street</t>
        </is>
      </c>
    </row>
    <row r="84">
      <c r="A84" t="inlineStr">
        <is>
          <t xml:space="preserve">  Studio</t>
        </is>
      </c>
      <c r="B84" t="inlineStr">
        <is>
          <t>WS</t>
        </is>
      </c>
      <c r="C84" t="inlineStr">
        <is>
          <t>MEL</t>
        </is>
      </c>
      <c r="D84" t="n">
        <v>550795</v>
      </c>
      <c r="E84" t="inlineStr">
        <is>
          <t>20 Great Portland Street</t>
        </is>
      </c>
      <c r="F84" t="inlineStr">
        <is>
          <t>Basement</t>
        </is>
      </c>
      <c r="G84" t="inlineStr">
        <is>
          <t>Studio</t>
        </is>
      </c>
      <c r="H84" t="n">
        <v>1330</v>
      </c>
      <c r="I84">
        <f>I60</f>
        <v/>
      </c>
      <c r="K84" t="inlineStr">
        <is>
          <t>Vacant / Landlord</t>
        </is>
      </c>
      <c r="N84" s="869" t="n">
        <v>43670</v>
      </c>
      <c r="Q84" t="n">
        <v>0</v>
      </c>
      <c r="R84">
        <f>R60</f>
        <v/>
      </c>
      <c r="T84" t="n">
        <v>25000</v>
      </c>
      <c r="U84">
        <f>U60</f>
        <v/>
      </c>
      <c r="V84" t="n">
        <v>25000</v>
      </c>
      <c r="W84">
        <f>W60</f>
        <v/>
      </c>
      <c r="X84">
        <f>W60/I60</f>
        <v/>
      </c>
      <c r="Y84">
        <f>SUM(W60-U60)/U60</f>
        <v/>
      </c>
      <c r="Z84" t="inlineStr">
        <is>
          <t>D</t>
        </is>
      </c>
      <c r="AC84" t="inlineStr">
        <is>
          <t>No</t>
        </is>
      </c>
      <c r="AI84" t="inlineStr">
        <is>
          <t>Void</t>
        </is>
      </c>
    </row>
    <row r="85">
      <c r="A85" t="inlineStr">
        <is>
          <t xml:space="preserve">  Retail</t>
        </is>
      </c>
      <c r="B85" t="inlineStr">
        <is>
          <t>WS</t>
        </is>
      </c>
      <c r="C85" t="inlineStr">
        <is>
          <t>MEL</t>
        </is>
      </c>
      <c r="D85" t="n">
        <v>550795</v>
      </c>
      <c r="E85" t="inlineStr">
        <is>
          <t>20 Great Portland Street</t>
        </is>
      </c>
      <c r="F85" t="inlineStr">
        <is>
          <t>Ground Floor Rear</t>
        </is>
      </c>
      <c r="G85" t="inlineStr">
        <is>
          <t>Retail</t>
        </is>
      </c>
      <c r="H85" t="n">
        <v>260</v>
      </c>
      <c r="I85">
        <f>I61</f>
        <v/>
      </c>
      <c r="J85" t="n">
        <v>250</v>
      </c>
      <c r="K85" t="inlineStr">
        <is>
          <t>Express Alteration and Tailoring Ltd</t>
        </is>
      </c>
      <c r="L85" s="869" t="n">
        <v>45645</v>
      </c>
      <c r="M85" s="869" t="n">
        <v>46739</v>
      </c>
      <c r="Q85" t="n">
        <v>18000</v>
      </c>
      <c r="R85">
        <f>R61</f>
        <v/>
      </c>
      <c r="T85" t="n">
        <v>11700</v>
      </c>
      <c r="U85">
        <f>U61</f>
        <v/>
      </c>
      <c r="V85" t="n">
        <v>11700</v>
      </c>
      <c r="W85">
        <f>W61</f>
        <v/>
      </c>
      <c r="X85">
        <f>W61/I61</f>
        <v/>
      </c>
      <c r="Y85">
        <f>SUM(W61-U61)/U61</f>
        <v/>
      </c>
      <c r="Z85" t="inlineStr">
        <is>
          <t>C</t>
        </is>
      </c>
      <c r="AC85" t="inlineStr">
        <is>
          <t>No</t>
        </is>
      </c>
      <c r="AG85" t="n">
        <v>1</v>
      </c>
      <c r="AH85" t="inlineStr">
        <is>
          <t>LEM / RIB</t>
        </is>
      </c>
      <c r="AI85" t="inlineStr">
        <is>
          <t>Let</t>
        </is>
      </c>
    </row>
    <row r="86">
      <c r="A86" t="inlineStr">
        <is>
          <t xml:space="preserve">  Retail</t>
        </is>
      </c>
      <c r="B86" t="inlineStr">
        <is>
          <t>WS</t>
        </is>
      </c>
      <c r="C86" t="inlineStr">
        <is>
          <t>MEL</t>
        </is>
      </c>
      <c r="D86" t="n">
        <v>550795</v>
      </c>
      <c r="E86" t="inlineStr">
        <is>
          <t>20 Great Portland Street</t>
        </is>
      </c>
      <c r="F86" t="inlineStr">
        <is>
          <t xml:space="preserve">Ground Floor Front </t>
        </is>
      </c>
      <c r="G86" t="inlineStr">
        <is>
          <t>Retail</t>
        </is>
      </c>
      <c r="H86" t="n">
        <v>652</v>
      </c>
      <c r="I86">
        <f>I62</f>
        <v/>
      </c>
      <c r="J86" t="n">
        <v>750</v>
      </c>
      <c r="K86" t="inlineStr">
        <is>
          <t>Explore Global Limited</t>
        </is>
      </c>
      <c r="L86" s="869" t="n">
        <v>44851</v>
      </c>
      <c r="M86" s="869" t="n">
        <v>48503</v>
      </c>
      <c r="O86" s="869" t="n">
        <v>46677</v>
      </c>
      <c r="Q86" t="n">
        <v>55000</v>
      </c>
      <c r="R86">
        <f>R62</f>
        <v/>
      </c>
      <c r="T86" t="n">
        <v>55000</v>
      </c>
      <c r="U86">
        <f>U62</f>
        <v/>
      </c>
      <c r="V86" t="n">
        <v>55000</v>
      </c>
      <c r="W86">
        <f>W62</f>
        <v/>
      </c>
      <c r="X86">
        <f>W62/I62</f>
        <v/>
      </c>
      <c r="Y86">
        <f>SUM(W62-U62)/U62</f>
        <v/>
      </c>
      <c r="Z86" t="inlineStr">
        <is>
          <t>D</t>
        </is>
      </c>
      <c r="AC86" t="inlineStr">
        <is>
          <t>No</t>
        </is>
      </c>
      <c r="AI86" t="inlineStr">
        <is>
          <t>Let</t>
        </is>
      </c>
    </row>
    <row r="87">
      <c r="A87" t="inlineStr">
        <is>
          <t xml:space="preserve">  Offices</t>
        </is>
      </c>
      <c r="B87" t="inlineStr">
        <is>
          <t>WS</t>
        </is>
      </c>
      <c r="C87" t="inlineStr">
        <is>
          <t>MEL</t>
        </is>
      </c>
      <c r="D87" t="n">
        <v>550795</v>
      </c>
      <c r="E87" t="inlineStr">
        <is>
          <t>20 Great Portland Street</t>
        </is>
      </c>
      <c r="F87" t="inlineStr">
        <is>
          <t>First Floor Front</t>
        </is>
      </c>
      <c r="G87" t="inlineStr">
        <is>
          <t>Offices</t>
        </is>
      </c>
      <c r="H87" t="n">
        <v>558</v>
      </c>
      <c r="I87">
        <f>I63</f>
        <v/>
      </c>
      <c r="J87" t="n">
        <v>500</v>
      </c>
      <c r="K87" t="inlineStr">
        <is>
          <t>Des Baines Ltd</t>
        </is>
      </c>
      <c r="L87" s="869" t="n">
        <v>45114</v>
      </c>
      <c r="M87" s="869" t="n">
        <v>46940</v>
      </c>
      <c r="P87" s="869" t="n">
        <v>46209</v>
      </c>
      <c r="Q87" t="n">
        <v>32400</v>
      </c>
      <c r="R87">
        <f>R63</f>
        <v/>
      </c>
      <c r="T87" t="n">
        <v>29300</v>
      </c>
      <c r="U87">
        <f>U63</f>
        <v/>
      </c>
      <c r="V87" t="n">
        <v>29300</v>
      </c>
      <c r="W87">
        <f>W63</f>
        <v/>
      </c>
      <c r="X87">
        <f>W63/I63</f>
        <v/>
      </c>
      <c r="Y87">
        <f>SUM(W63-U63)/U63</f>
        <v/>
      </c>
      <c r="Z87" t="inlineStr">
        <is>
          <t>C</t>
        </is>
      </c>
      <c r="AC87" t="inlineStr">
        <is>
          <t>No</t>
        </is>
      </c>
      <c r="AD87" t="inlineStr">
        <is>
          <t>Tenant break on 6 months notice.</t>
        </is>
      </c>
      <c r="AI87" t="inlineStr">
        <is>
          <t>Let</t>
        </is>
      </c>
    </row>
    <row r="88">
      <c r="A88" t="inlineStr">
        <is>
          <t xml:space="preserve">  Offices</t>
        </is>
      </c>
      <c r="B88" t="inlineStr">
        <is>
          <t>WS</t>
        </is>
      </c>
      <c r="C88" t="inlineStr">
        <is>
          <t>MEL</t>
        </is>
      </c>
      <c r="D88" t="n">
        <v>550795</v>
      </c>
      <c r="E88" t="inlineStr">
        <is>
          <t>20 Great Portland Street</t>
        </is>
      </c>
      <c r="F88" t="inlineStr">
        <is>
          <t>First Floor Rear</t>
        </is>
      </c>
      <c r="G88" t="inlineStr">
        <is>
          <t>Offices</t>
        </is>
      </c>
      <c r="H88" t="n">
        <v>310</v>
      </c>
      <c r="I88">
        <f>I64</f>
        <v/>
      </c>
      <c r="J88" t="n">
        <v>250</v>
      </c>
      <c r="K88" t="inlineStr">
        <is>
          <t>Face2Face Counselling Services Ltd</t>
        </is>
      </c>
      <c r="L88" s="869" t="n">
        <v>44043</v>
      </c>
      <c r="M88" s="869" t="n">
        <v>45868</v>
      </c>
      <c r="Q88" t="n">
        <v>15500</v>
      </c>
      <c r="R88">
        <f>R64</f>
        <v/>
      </c>
      <c r="T88" t="n">
        <v>15500</v>
      </c>
      <c r="U88">
        <f>U64</f>
        <v/>
      </c>
      <c r="V88" t="n">
        <v>15500</v>
      </c>
      <c r="W88">
        <f>W64</f>
        <v/>
      </c>
      <c r="X88">
        <f>W64/I64</f>
        <v/>
      </c>
      <c r="Y88">
        <f>SUM(W64-U64)/U64</f>
        <v/>
      </c>
      <c r="Z88" t="inlineStr">
        <is>
          <t>C</t>
        </is>
      </c>
      <c r="AC88" t="inlineStr">
        <is>
          <t>No</t>
        </is>
      </c>
      <c r="AD88" t="inlineStr">
        <is>
          <t>Tenant break on 6 months notice. 5yr reversionary lease completed. Tenant change of name to One Therapy Ltd on new lease.</t>
        </is>
      </c>
      <c r="AI88" t="inlineStr">
        <is>
          <t>Let</t>
        </is>
      </c>
    </row>
    <row r="89">
      <c r="A89" t="inlineStr">
        <is>
          <t xml:space="preserve">  Offices</t>
        </is>
      </c>
      <c r="B89" t="inlineStr">
        <is>
          <t>WS</t>
        </is>
      </c>
      <c r="C89" t="inlineStr">
        <is>
          <t>MEL</t>
        </is>
      </c>
      <c r="D89" t="n">
        <v>550795</v>
      </c>
      <c r="E89" t="inlineStr">
        <is>
          <t>20 Great Portland Street</t>
        </is>
      </c>
      <c r="F89" t="inlineStr">
        <is>
          <t>Second Floor Front</t>
        </is>
      </c>
      <c r="G89" t="inlineStr">
        <is>
          <t>Offices</t>
        </is>
      </c>
      <c r="H89" t="n">
        <v>455</v>
      </c>
      <c r="I89">
        <f>I65</f>
        <v/>
      </c>
      <c r="J89" t="n">
        <v>500</v>
      </c>
      <c r="K89" t="inlineStr">
        <is>
          <t>The Campbell Napier Practice Ltd</t>
        </is>
      </c>
      <c r="L89" s="869" t="n">
        <v>44505</v>
      </c>
      <c r="M89" s="869" t="n">
        <v>45965</v>
      </c>
      <c r="Q89" t="n">
        <v>22800</v>
      </c>
      <c r="R89">
        <f>R65</f>
        <v/>
      </c>
      <c r="T89" t="n">
        <v>22800</v>
      </c>
      <c r="U89">
        <f>U65</f>
        <v/>
      </c>
      <c r="V89" t="n">
        <v>22800</v>
      </c>
      <c r="W89">
        <f>W65</f>
        <v/>
      </c>
      <c r="X89">
        <f>W65/I65</f>
        <v/>
      </c>
      <c r="Y89">
        <f>SUM(W65-U65)/U65</f>
        <v/>
      </c>
      <c r="Z89" t="inlineStr">
        <is>
          <t>E</t>
        </is>
      </c>
      <c r="AC89" t="inlineStr">
        <is>
          <t>No</t>
        </is>
      </c>
      <c r="AD89" t="inlineStr">
        <is>
          <t>Reversionary lease completed. Lease expiring 29/09/26 @ same rent.</t>
        </is>
      </c>
      <c r="AI89" t="inlineStr">
        <is>
          <t>Let</t>
        </is>
      </c>
    </row>
    <row r="90">
      <c r="A90" t="inlineStr">
        <is>
          <t xml:space="preserve">  Offices</t>
        </is>
      </c>
      <c r="B90" t="inlineStr">
        <is>
          <t>WS</t>
        </is>
      </c>
      <c r="C90" t="inlineStr">
        <is>
          <t>MEL</t>
        </is>
      </c>
      <c r="D90" t="n">
        <v>550795</v>
      </c>
      <c r="E90" t="inlineStr">
        <is>
          <t>20 Great Portland Street</t>
        </is>
      </c>
      <c r="F90" t="inlineStr">
        <is>
          <t>Second Floor Rear</t>
        </is>
      </c>
      <c r="G90" t="inlineStr">
        <is>
          <t>Offices</t>
        </is>
      </c>
      <c r="H90" t="n">
        <v>310</v>
      </c>
      <c r="I90">
        <f>I66</f>
        <v/>
      </c>
      <c r="J90" t="n">
        <v>250</v>
      </c>
      <c r="K90" t="inlineStr">
        <is>
          <t>PsychotherapyUK Training Ltd.</t>
        </is>
      </c>
      <c r="L90" s="869" t="n">
        <v>44032</v>
      </c>
      <c r="M90" s="869" t="n">
        <v>45857</v>
      </c>
      <c r="Q90" t="n">
        <v>15500</v>
      </c>
      <c r="R90">
        <f>R66</f>
        <v/>
      </c>
      <c r="T90" t="n">
        <v>15500</v>
      </c>
      <c r="U90">
        <f>U66</f>
        <v/>
      </c>
      <c r="V90" t="n">
        <v>15500</v>
      </c>
      <c r="W90">
        <f>W66</f>
        <v/>
      </c>
      <c r="X90">
        <f>W66/I66</f>
        <v/>
      </c>
      <c r="Y90">
        <f>SUM(W66-U66)/U66</f>
        <v/>
      </c>
      <c r="Z90" t="inlineStr">
        <is>
          <t>E</t>
        </is>
      </c>
      <c r="AC90" t="inlineStr">
        <is>
          <t>No</t>
        </is>
      </c>
      <c r="AD90" t="inlineStr">
        <is>
          <t xml:space="preserve">Tenant break on 6 months notice. 5yr reversionary lease completed. </t>
        </is>
      </c>
      <c r="AI90" t="inlineStr">
        <is>
          <t>Let</t>
        </is>
      </c>
    </row>
    <row r="91">
      <c r="A91" t="inlineStr">
        <is>
          <t xml:space="preserve">  Offices</t>
        </is>
      </c>
      <c r="B91" t="inlineStr">
        <is>
          <t>WS</t>
        </is>
      </c>
      <c r="C91" t="inlineStr">
        <is>
          <t>MEL</t>
        </is>
      </c>
      <c r="D91" t="n">
        <v>550795</v>
      </c>
      <c r="E91" t="inlineStr">
        <is>
          <t>20 Great Portland Street</t>
        </is>
      </c>
      <c r="F91" t="inlineStr">
        <is>
          <t>Third Floor Front</t>
        </is>
      </c>
      <c r="G91" t="inlineStr">
        <is>
          <t>Offices</t>
        </is>
      </c>
      <c r="H91" t="n">
        <v>450</v>
      </c>
      <c r="I91">
        <f>I67</f>
        <v/>
      </c>
      <c r="J91" t="n">
        <v>500</v>
      </c>
      <c r="K91" t="inlineStr">
        <is>
          <t>The Campbell Napier Practice Ltd</t>
        </is>
      </c>
      <c r="L91" s="869" t="n">
        <v>45199</v>
      </c>
      <c r="M91" s="869" t="n">
        <v>47025</v>
      </c>
      <c r="P91" s="869" t="n">
        <v>46294</v>
      </c>
      <c r="Q91" t="n">
        <v>24750</v>
      </c>
      <c r="R91">
        <f>R67</f>
        <v/>
      </c>
      <c r="T91" t="n">
        <v>22838</v>
      </c>
      <c r="U91">
        <f>U67</f>
        <v/>
      </c>
      <c r="V91" t="n">
        <v>22500</v>
      </c>
      <c r="W91">
        <f>W67</f>
        <v/>
      </c>
      <c r="X91">
        <f>W67/I67</f>
        <v/>
      </c>
      <c r="Y91">
        <f>SUM(W67-U67)/U67</f>
        <v/>
      </c>
      <c r="Z91" t="inlineStr">
        <is>
          <t>E</t>
        </is>
      </c>
      <c r="AC91" t="inlineStr">
        <is>
          <t>No</t>
        </is>
      </c>
      <c r="AD91" t="inlineStr">
        <is>
          <t>Rent rises to £26,325 wef 29/09/26. Tenant break on 6 months notice.</t>
        </is>
      </c>
      <c r="AI91" t="inlineStr">
        <is>
          <t>Let</t>
        </is>
      </c>
    </row>
    <row r="92">
      <c r="A92" t="inlineStr">
        <is>
          <t xml:space="preserve">  Offices</t>
        </is>
      </c>
      <c r="B92" t="inlineStr">
        <is>
          <t>WS</t>
        </is>
      </c>
      <c r="C92" t="inlineStr">
        <is>
          <t>MEL</t>
        </is>
      </c>
      <c r="D92" t="n">
        <v>550795</v>
      </c>
      <c r="E92" t="inlineStr">
        <is>
          <t>20 Great Portland Street</t>
        </is>
      </c>
      <c r="F92" t="inlineStr">
        <is>
          <t>Third Floor Rear</t>
        </is>
      </c>
      <c r="G92" t="inlineStr">
        <is>
          <t>Offices</t>
        </is>
      </c>
      <c r="H92" t="n">
        <v>215</v>
      </c>
      <c r="I92">
        <f>I68</f>
        <v/>
      </c>
      <c r="J92" t="n">
        <v>250</v>
      </c>
      <c r="K92" t="inlineStr">
        <is>
          <t>One Therapy Ltd.</t>
        </is>
      </c>
      <c r="L92" s="869" t="n">
        <v>44043</v>
      </c>
      <c r="M92" s="869" t="n">
        <v>45868</v>
      </c>
      <c r="Q92" t="n">
        <v>11502</v>
      </c>
      <c r="R92">
        <f>R68</f>
        <v/>
      </c>
      <c r="T92" t="n">
        <v>10200</v>
      </c>
      <c r="U92">
        <f>U68</f>
        <v/>
      </c>
      <c r="V92" t="n">
        <v>10200</v>
      </c>
      <c r="W92">
        <f>W68</f>
        <v/>
      </c>
      <c r="X92">
        <f>W68/I68</f>
        <v/>
      </c>
      <c r="Y92">
        <f>SUM(W68-U68)/U68</f>
        <v/>
      </c>
      <c r="Z92" t="inlineStr">
        <is>
          <t>E</t>
        </is>
      </c>
      <c r="AC92" t="inlineStr">
        <is>
          <t>No</t>
        </is>
      </c>
      <c r="AD92" t="inlineStr">
        <is>
          <t>Tenant break on 6 months notice. 5yr reversionary lease completed.</t>
        </is>
      </c>
      <c r="AI92" t="inlineStr">
        <is>
          <t>Let</t>
        </is>
      </c>
    </row>
    <row r="93">
      <c r="A93" t="inlineStr">
        <is>
          <t xml:space="preserve">  Offices</t>
        </is>
      </c>
      <c r="B93" t="inlineStr">
        <is>
          <t>WS</t>
        </is>
      </c>
      <c r="C93" t="inlineStr">
        <is>
          <t>MEL</t>
        </is>
      </c>
      <c r="D93" t="n">
        <v>550795</v>
      </c>
      <c r="E93" t="inlineStr">
        <is>
          <t>20 Great Portland Street</t>
        </is>
      </c>
      <c r="F93" t="inlineStr">
        <is>
          <t>Fourth Floor</t>
        </is>
      </c>
      <c r="G93" t="inlineStr">
        <is>
          <t>Offices</t>
        </is>
      </c>
      <c r="H93" t="n">
        <v>410</v>
      </c>
      <c r="I93">
        <f>I69</f>
        <v/>
      </c>
      <c r="J93" t="n">
        <v>500</v>
      </c>
      <c r="K93" t="inlineStr">
        <is>
          <t>The Campbell Napier Practice Ltd</t>
        </is>
      </c>
      <c r="L93" s="869" t="n">
        <v>45199</v>
      </c>
      <c r="M93" s="869" t="n">
        <v>47025</v>
      </c>
      <c r="P93" s="869" t="n">
        <v>46294</v>
      </c>
      <c r="Q93" t="n">
        <v>22550</v>
      </c>
      <c r="R93">
        <f>R69</f>
        <v/>
      </c>
      <c r="T93" t="n">
        <v>21100</v>
      </c>
      <c r="U93">
        <f>U69</f>
        <v/>
      </c>
      <c r="V93" t="n">
        <v>21100</v>
      </c>
      <c r="W93">
        <f>W69</f>
        <v/>
      </c>
      <c r="X93">
        <f>W69/I69</f>
        <v/>
      </c>
      <c r="Y93">
        <f>SUM(W69-U69)/U69</f>
        <v/>
      </c>
      <c r="Z93" t="inlineStr">
        <is>
          <t>D</t>
        </is>
      </c>
      <c r="AC93" t="inlineStr">
        <is>
          <t>No</t>
        </is>
      </c>
      <c r="AD93" t="inlineStr">
        <is>
          <t>Rent rises to £23,985 wef 29/09/26. Tenant break on 6 months notice.</t>
        </is>
      </c>
      <c r="AI93" t="inlineStr">
        <is>
          <t>Let</t>
        </is>
      </c>
    </row>
    <row r="94"/>
    <row r="95">
      <c r="A95" s="868" t="inlineStr">
        <is>
          <t>Highlight House, 22-24 Great Portland Street</t>
        </is>
      </c>
    </row>
    <row r="96">
      <c r="A96" t="inlineStr">
        <is>
          <t xml:space="preserve">  Restaurant</t>
        </is>
      </c>
      <c r="B96" t="inlineStr">
        <is>
          <t>WS</t>
        </is>
      </c>
      <c r="C96" t="inlineStr">
        <is>
          <t>MEL</t>
        </is>
      </c>
      <c r="D96" t="n">
        <v>550080</v>
      </c>
      <c r="E96" t="inlineStr">
        <is>
          <t>Highlight House, 22-24 Great Portland Street</t>
        </is>
      </c>
      <c r="F96" t="inlineStr">
        <is>
          <t>Basement &amp; Ground Floor</t>
        </is>
      </c>
      <c r="G96" t="inlineStr">
        <is>
          <t>Restaurant</t>
        </is>
      </c>
      <c r="H96" t="n">
        <v>3626</v>
      </c>
      <c r="I96">
        <f>I70</f>
        <v/>
      </c>
      <c r="J96" t="n">
        <v>3500</v>
      </c>
      <c r="K96" t="inlineStr">
        <is>
          <t>Mamaye UK Limited.</t>
        </is>
      </c>
      <c r="L96" s="869" t="n">
        <v>44635</v>
      </c>
      <c r="M96" s="869" t="n">
        <v>48287</v>
      </c>
      <c r="O96" s="869" t="n">
        <v>46461</v>
      </c>
      <c r="P96" s="869" t="n">
        <v>46460</v>
      </c>
      <c r="Q96" t="n">
        <v>220000</v>
      </c>
      <c r="R96">
        <f>R70</f>
        <v/>
      </c>
      <c r="T96" t="n">
        <v>210000</v>
      </c>
      <c r="U96">
        <f>U70</f>
        <v/>
      </c>
      <c r="V96" t="n">
        <v>227900</v>
      </c>
      <c r="W96">
        <f>W70</f>
        <v/>
      </c>
      <c r="X96">
        <f>W70/I70</f>
        <v/>
      </c>
      <c r="Y96">
        <f>SUM(W70-U70)/U70</f>
        <v/>
      </c>
      <c r="Z96" t="inlineStr">
        <is>
          <t>D</t>
        </is>
      </c>
      <c r="AC96" t="inlineStr">
        <is>
          <t>No</t>
        </is>
      </c>
      <c r="AD96" t="inlineStr">
        <is>
          <t>Rent rises to £237,500 wef 15/03/26.</t>
        </is>
      </c>
      <c r="AI96" t="inlineStr">
        <is>
          <t>Let</t>
        </is>
      </c>
    </row>
    <row r="97">
      <c r="A97" t="inlineStr">
        <is>
          <t xml:space="preserve">   Office</t>
        </is>
      </c>
      <c r="B97" t="inlineStr">
        <is>
          <t>WS</t>
        </is>
      </c>
      <c r="C97" t="inlineStr">
        <is>
          <t>MEL</t>
        </is>
      </c>
      <c r="D97" t="n">
        <v>550080</v>
      </c>
      <c r="E97" t="inlineStr">
        <is>
          <t>Highlight House, 22-24 Great Portland Street</t>
        </is>
      </c>
      <c r="F97" t="inlineStr">
        <is>
          <t>First Floor</t>
        </is>
      </c>
      <c r="G97" t="inlineStr">
        <is>
          <t xml:space="preserve"> Office</t>
        </is>
      </c>
      <c r="H97" t="n">
        <v>1493</v>
      </c>
      <c r="I97">
        <f>I71</f>
        <v/>
      </c>
      <c r="J97" t="n">
        <v>1500</v>
      </c>
      <c r="K97" t="inlineStr">
        <is>
          <t>Vacant</t>
        </is>
      </c>
      <c r="N97" s="869" t="n">
        <v>43279</v>
      </c>
      <c r="Q97" t="n">
        <v>0</v>
      </c>
      <c r="R97">
        <f>R71</f>
        <v/>
      </c>
      <c r="T97" t="n">
        <v>86600</v>
      </c>
      <c r="U97">
        <f>U71</f>
        <v/>
      </c>
      <c r="V97" t="n">
        <v>93300</v>
      </c>
      <c r="W97">
        <f>W71</f>
        <v/>
      </c>
      <c r="X97">
        <f>W71/I71</f>
        <v/>
      </c>
      <c r="Y97">
        <f>SUM(W71-U71)/U71</f>
        <v/>
      </c>
      <c r="Z97" t="inlineStr">
        <is>
          <t>D</t>
        </is>
      </c>
      <c r="AC97" t="inlineStr">
        <is>
          <t>No</t>
        </is>
      </c>
      <c r="AD97" t="inlineStr">
        <is>
          <t>Mothballed.</t>
        </is>
      </c>
      <c r="AG97" t="n">
        <v>2</v>
      </c>
      <c r="AI97" t="inlineStr">
        <is>
          <t>Void</t>
        </is>
      </c>
    </row>
    <row r="98">
      <c r="A98" t="inlineStr">
        <is>
          <t xml:space="preserve">  Office</t>
        </is>
      </c>
      <c r="B98" t="inlineStr">
        <is>
          <t>WS</t>
        </is>
      </c>
      <c r="C98" t="inlineStr">
        <is>
          <t>MEL</t>
        </is>
      </c>
      <c r="D98" t="n">
        <v>550080</v>
      </c>
      <c r="E98" t="inlineStr">
        <is>
          <t>Highlight House, 22-24 Great Portland Street</t>
        </is>
      </c>
      <c r="F98" t="inlineStr">
        <is>
          <t>Second Floor</t>
        </is>
      </c>
      <c r="G98" t="inlineStr">
        <is>
          <t>Office</t>
        </is>
      </c>
      <c r="H98" t="n">
        <v>1503</v>
      </c>
      <c r="I98">
        <f>I72</f>
        <v/>
      </c>
      <c r="J98" t="n">
        <v>1500</v>
      </c>
      <c r="K98" t="inlineStr">
        <is>
          <t>Vacant</t>
        </is>
      </c>
      <c r="N98" s="869" t="n">
        <v>43354</v>
      </c>
      <c r="Q98" t="n">
        <v>0</v>
      </c>
      <c r="R98">
        <f>R72</f>
        <v/>
      </c>
      <c r="T98" t="n">
        <v>88100</v>
      </c>
      <c r="U98">
        <f>U72</f>
        <v/>
      </c>
      <c r="V98" t="n">
        <v>93900</v>
      </c>
      <c r="W98">
        <f>W72</f>
        <v/>
      </c>
      <c r="X98">
        <f>W72/I72</f>
        <v/>
      </c>
      <c r="Y98">
        <f>SUM(W72-U72)/U72</f>
        <v/>
      </c>
      <c r="Z98" t="inlineStr">
        <is>
          <t>D</t>
        </is>
      </c>
      <c r="AC98" t="inlineStr">
        <is>
          <t>No</t>
        </is>
      </c>
      <c r="AD98" t="inlineStr">
        <is>
          <t>Mothballed.</t>
        </is>
      </c>
      <c r="AG98" t="n">
        <v>2</v>
      </c>
      <c r="AI98" t="inlineStr">
        <is>
          <t>Void</t>
        </is>
      </c>
    </row>
    <row r="99">
      <c r="A99" t="inlineStr">
        <is>
          <t xml:space="preserve">  Office</t>
        </is>
      </c>
      <c r="B99" t="inlineStr">
        <is>
          <t>WS</t>
        </is>
      </c>
      <c r="C99" t="inlineStr">
        <is>
          <t>MEL</t>
        </is>
      </c>
      <c r="D99" t="n">
        <v>550080</v>
      </c>
      <c r="E99" t="inlineStr">
        <is>
          <t>Highlight House, 22-24 Great Portland Street</t>
        </is>
      </c>
      <c r="F99" t="inlineStr">
        <is>
          <t>Third Floor</t>
        </is>
      </c>
      <c r="G99" t="inlineStr">
        <is>
          <t>Office</t>
        </is>
      </c>
      <c r="H99" t="n">
        <v>1519</v>
      </c>
      <c r="I99">
        <f>I73</f>
        <v/>
      </c>
      <c r="J99" t="n">
        <v>1500</v>
      </c>
      <c r="K99" t="inlineStr">
        <is>
          <t>Vacant</t>
        </is>
      </c>
      <c r="N99" s="869" t="n">
        <v>43354</v>
      </c>
      <c r="Q99" t="n">
        <v>0</v>
      </c>
      <c r="R99">
        <f>R73</f>
        <v/>
      </c>
      <c r="T99" t="n">
        <v>83100</v>
      </c>
      <c r="U99">
        <f>U73</f>
        <v/>
      </c>
      <c r="V99" t="n">
        <v>91100</v>
      </c>
      <c r="W99">
        <f>W73</f>
        <v/>
      </c>
      <c r="X99">
        <f>W73/I73</f>
        <v/>
      </c>
      <c r="Y99">
        <f>SUM(W73-U73)/U73</f>
        <v/>
      </c>
      <c r="Z99" t="inlineStr">
        <is>
          <t>D</t>
        </is>
      </c>
      <c r="AC99" t="inlineStr">
        <is>
          <t>No</t>
        </is>
      </c>
      <c r="AD99" t="inlineStr">
        <is>
          <t>Mothballed.</t>
        </is>
      </c>
      <c r="AG99" t="n">
        <v>2</v>
      </c>
      <c r="AI99" t="inlineStr">
        <is>
          <t>Void</t>
        </is>
      </c>
    </row>
    <row r="100">
      <c r="A100" t="inlineStr">
        <is>
          <t xml:space="preserve">  Office</t>
        </is>
      </c>
      <c r="B100" t="inlineStr">
        <is>
          <t>WS</t>
        </is>
      </c>
      <c r="C100" t="inlineStr">
        <is>
          <t>MEL</t>
        </is>
      </c>
      <c r="D100" t="n">
        <v>550080</v>
      </c>
      <c r="E100" t="inlineStr">
        <is>
          <t>Highlight House, 22-24 Great Portland Street</t>
        </is>
      </c>
      <c r="F100" t="inlineStr">
        <is>
          <t>Fourth Floor</t>
        </is>
      </c>
      <c r="G100" t="inlineStr">
        <is>
          <t>Office</t>
        </is>
      </c>
      <c r="H100" t="n">
        <v>1505</v>
      </c>
      <c r="I100">
        <f>I74</f>
        <v/>
      </c>
      <c r="J100" t="n">
        <v>1500</v>
      </c>
      <c r="K100" t="inlineStr">
        <is>
          <t>Vacant</t>
        </is>
      </c>
      <c r="N100" s="869" t="n">
        <v>43354</v>
      </c>
      <c r="Q100" t="n">
        <v>0</v>
      </c>
      <c r="R100">
        <f>R74</f>
        <v/>
      </c>
      <c r="T100" t="n">
        <v>83800</v>
      </c>
      <c r="U100">
        <f>U74</f>
        <v/>
      </c>
      <c r="V100" t="n">
        <v>90300</v>
      </c>
      <c r="W100">
        <f>W74</f>
        <v/>
      </c>
      <c r="X100">
        <f>W74/I74</f>
        <v/>
      </c>
      <c r="Y100">
        <f>SUM(W74-U74)/U74</f>
        <v/>
      </c>
      <c r="Z100" t="inlineStr">
        <is>
          <t>D</t>
        </is>
      </c>
      <c r="AC100" t="inlineStr">
        <is>
          <t>No</t>
        </is>
      </c>
      <c r="AD100" t="inlineStr">
        <is>
          <t>Mothballed.</t>
        </is>
      </c>
      <c r="AG100" t="n">
        <v>2</v>
      </c>
      <c r="AI100" t="inlineStr">
        <is>
          <t>Void</t>
        </is>
      </c>
    </row>
    <row r="101"/>
    <row r="102">
      <c r="A102" s="868" t="inlineStr">
        <is>
          <t>23-25 Great Portland Street &amp; 54-55 Margaret Street</t>
        </is>
      </c>
    </row>
    <row r="103">
      <c r="A103" t="inlineStr">
        <is>
          <t xml:space="preserve">  Shop/Cafe</t>
        </is>
      </c>
      <c r="B103" t="inlineStr">
        <is>
          <t>CD</t>
        </is>
      </c>
      <c r="C103" t="inlineStr">
        <is>
          <t>MEL</t>
        </is>
      </c>
      <c r="D103" t="n">
        <v>550400</v>
      </c>
      <c r="E103" t="inlineStr">
        <is>
          <t>23-25 Great Portland Street &amp; 54-55 Margaret Street</t>
        </is>
      </c>
      <c r="F103" t="inlineStr">
        <is>
          <t>Basement &amp; Ground Floor</t>
        </is>
      </c>
      <c r="G103" t="inlineStr">
        <is>
          <t>Shop/Cafe</t>
        </is>
      </c>
      <c r="H103" t="n">
        <v>2164</v>
      </c>
      <c r="I103">
        <f>I75</f>
        <v/>
      </c>
      <c r="J103" t="n">
        <v>2000</v>
      </c>
      <c r="K103" t="inlineStr">
        <is>
          <t>Florian James Limited</t>
        </is>
      </c>
      <c r="L103" s="869" t="n">
        <v>44995</v>
      </c>
      <c r="M103" s="869" t="n">
        <v>48647</v>
      </c>
      <c r="O103" s="869" t="n">
        <v>46822</v>
      </c>
      <c r="Q103" t="n">
        <v>165000</v>
      </c>
      <c r="R103">
        <f>R75</f>
        <v/>
      </c>
      <c r="T103" t="n">
        <v>165000</v>
      </c>
      <c r="U103">
        <f>U75</f>
        <v/>
      </c>
      <c r="V103" t="n">
        <v>165000</v>
      </c>
      <c r="W103">
        <f>W75</f>
        <v/>
      </c>
      <c r="X103">
        <f>W75/I75</f>
        <v/>
      </c>
      <c r="Y103">
        <f>SUM(W75-U75)/U75</f>
        <v/>
      </c>
      <c r="Z103" t="inlineStr">
        <is>
          <t>D</t>
        </is>
      </c>
      <c r="AC103" t="inlineStr">
        <is>
          <t>No</t>
        </is>
      </c>
      <c r="AI103" t="inlineStr">
        <is>
          <t>Let</t>
        </is>
      </c>
    </row>
    <row r="104">
      <c r="A104" t="inlineStr">
        <is>
          <t xml:space="preserve">  Office</t>
        </is>
      </c>
      <c r="B104" t="inlineStr">
        <is>
          <t>CD</t>
        </is>
      </c>
      <c r="C104" t="inlineStr">
        <is>
          <t>MEL</t>
        </is>
      </c>
      <c r="D104" t="n">
        <v>550400</v>
      </c>
      <c r="E104" t="inlineStr">
        <is>
          <t>23-25 Great Portland Street &amp; 54-55 Margaret Street</t>
        </is>
      </c>
      <c r="F104" t="inlineStr">
        <is>
          <t>First to Fourth Floors</t>
        </is>
      </c>
      <c r="G104" t="inlineStr">
        <is>
          <t>Office</t>
        </is>
      </c>
      <c r="H104" t="n">
        <v>3545</v>
      </c>
      <c r="I104">
        <f>I76</f>
        <v/>
      </c>
      <c r="J104" t="n">
        <v>3500</v>
      </c>
      <c r="K104" t="inlineStr">
        <is>
          <t>Factory Studios Limited.</t>
        </is>
      </c>
      <c r="L104" s="869" t="n">
        <v>44362</v>
      </c>
      <c r="M104" s="869" t="n">
        <v>48013</v>
      </c>
      <c r="O104" s="869" t="n">
        <v>46197</v>
      </c>
      <c r="P104" s="869" t="n">
        <v>46197</v>
      </c>
      <c r="Q104" t="n">
        <v>220000</v>
      </c>
      <c r="R104">
        <f>R76</f>
        <v/>
      </c>
      <c r="T104" t="n">
        <v>220000</v>
      </c>
      <c r="U104">
        <f>U76</f>
        <v/>
      </c>
      <c r="V104" t="n">
        <v>220000</v>
      </c>
      <c r="W104">
        <f>W76</f>
        <v/>
      </c>
      <c r="X104">
        <f>W76/I76</f>
        <v/>
      </c>
      <c r="Y104">
        <f>SUM(W76-U76)/U76</f>
        <v/>
      </c>
      <c r="Z104" t="inlineStr">
        <is>
          <t>C</t>
        </is>
      </c>
      <c r="AC104" t="inlineStr">
        <is>
          <t>No</t>
        </is>
      </c>
      <c r="AD104" t="inlineStr">
        <is>
          <t>Tenant break on 6 months notice.</t>
        </is>
      </c>
      <c r="AI104" t="inlineStr">
        <is>
          <t>Let</t>
        </is>
      </c>
    </row>
    <row r="105"/>
    <row r="106">
      <c r="A106" s="868" t="inlineStr">
        <is>
          <t>39 Great Portland Street</t>
        </is>
      </c>
    </row>
    <row r="107">
      <c r="A107" t="inlineStr">
        <is>
          <t xml:space="preserve">  Showroom</t>
        </is>
      </c>
      <c r="B107" t="inlineStr">
        <is>
          <t>CM</t>
        </is>
      </c>
      <c r="C107" t="inlineStr">
        <is>
          <t>MEL</t>
        </is>
      </c>
      <c r="D107" t="n">
        <v>550740</v>
      </c>
      <c r="E107" t="inlineStr">
        <is>
          <t>39 Great Portland Street</t>
        </is>
      </c>
      <c r="F107" t="inlineStr">
        <is>
          <t>Basement &amp; Ground Floor</t>
        </is>
      </c>
      <c r="G107" t="inlineStr">
        <is>
          <t>Showroom</t>
        </is>
      </c>
      <c r="H107" t="n">
        <v>1524</v>
      </c>
      <c r="I107">
        <f>I77</f>
        <v/>
      </c>
      <c r="J107" t="n">
        <v>1500</v>
      </c>
      <c r="K107" t="inlineStr">
        <is>
          <t>Fads Boutique Limited</t>
        </is>
      </c>
      <c r="L107" s="869" t="n">
        <v>44833</v>
      </c>
      <c r="M107" s="869" t="n">
        <v>45928</v>
      </c>
      <c r="Q107" t="n">
        <v>72000</v>
      </c>
      <c r="R107">
        <f>R77</f>
        <v/>
      </c>
      <c r="T107" t="n">
        <v>72000</v>
      </c>
      <c r="U107">
        <f>U77</f>
        <v/>
      </c>
      <c r="V107" t="n">
        <v>72038</v>
      </c>
      <c r="W107">
        <f>W77</f>
        <v/>
      </c>
      <c r="X107">
        <f>W77/I77</f>
        <v/>
      </c>
      <c r="Y107">
        <f>SUM(W77-U77)/U77</f>
        <v/>
      </c>
      <c r="Z107" t="inlineStr">
        <is>
          <t>D</t>
        </is>
      </c>
      <c r="AC107" t="inlineStr">
        <is>
          <t>No</t>
        </is>
      </c>
      <c r="AF107" t="n">
        <v>1</v>
      </c>
      <c r="AG107" t="n">
        <v>1</v>
      </c>
      <c r="AI107" t="inlineStr">
        <is>
          <t>Let</t>
        </is>
      </c>
    </row>
    <row r="108">
      <c r="A108" t="inlineStr">
        <is>
          <t xml:space="preserve">  Office</t>
        </is>
      </c>
      <c r="B108" t="inlineStr">
        <is>
          <t>CM</t>
        </is>
      </c>
      <c r="C108" t="inlineStr">
        <is>
          <t>MEL</t>
        </is>
      </c>
      <c r="D108" t="n">
        <v>550740</v>
      </c>
      <c r="E108" t="inlineStr">
        <is>
          <t>39 Great Portland Street</t>
        </is>
      </c>
      <c r="F108" t="inlineStr">
        <is>
          <t>First Floor</t>
        </is>
      </c>
      <c r="G108" t="inlineStr">
        <is>
          <t>Office</t>
        </is>
      </c>
      <c r="H108" t="n">
        <v>730</v>
      </c>
      <c r="I108">
        <f>I78</f>
        <v/>
      </c>
      <c r="J108" t="n">
        <v>750</v>
      </c>
      <c r="K108" t="inlineStr">
        <is>
          <t>Studio Boum Limited.</t>
        </is>
      </c>
      <c r="L108" s="869" t="n">
        <v>45271</v>
      </c>
      <c r="M108" s="869" t="n">
        <v>46561</v>
      </c>
      <c r="Q108" t="n">
        <v>42705</v>
      </c>
      <c r="R108">
        <f>R78</f>
        <v/>
      </c>
      <c r="T108" t="n">
        <v>42000</v>
      </c>
      <c r="U108">
        <f>U78</f>
        <v/>
      </c>
      <c r="V108" t="n">
        <v>41975</v>
      </c>
      <c r="W108">
        <f>W78</f>
        <v/>
      </c>
      <c r="X108">
        <f>W78/I78</f>
        <v/>
      </c>
      <c r="Y108">
        <f>SUM(W78-U78)/U78</f>
        <v/>
      </c>
      <c r="Z108" t="inlineStr">
        <is>
          <t>D</t>
        </is>
      </c>
      <c r="AC108" t="inlineStr">
        <is>
          <t>No</t>
        </is>
      </c>
      <c r="AD108" t="inlineStr">
        <is>
          <t>Tenant break passed.</t>
        </is>
      </c>
      <c r="AI108" t="inlineStr">
        <is>
          <t>Let</t>
        </is>
      </c>
    </row>
    <row r="109">
      <c r="A109" t="inlineStr">
        <is>
          <t xml:space="preserve">  Office</t>
        </is>
      </c>
      <c r="B109" t="inlineStr">
        <is>
          <t>CM</t>
        </is>
      </c>
      <c r="C109" t="inlineStr">
        <is>
          <t>MEL</t>
        </is>
      </c>
      <c r="D109" t="n">
        <v>550740</v>
      </c>
      <c r="E109" t="inlineStr">
        <is>
          <t>39 Great Portland Street</t>
        </is>
      </c>
      <c r="F109" t="inlineStr">
        <is>
          <t>Second Floor</t>
        </is>
      </c>
      <c r="G109" t="inlineStr">
        <is>
          <t>Office</t>
        </is>
      </c>
      <c r="H109" t="n">
        <v>730</v>
      </c>
      <c r="I109">
        <f>I79</f>
        <v/>
      </c>
      <c r="J109" t="n">
        <v>750</v>
      </c>
      <c r="K109" t="inlineStr">
        <is>
          <t>David Walker Architects Ltd.</t>
        </is>
      </c>
      <c r="L109" s="869" t="n">
        <v>44833</v>
      </c>
      <c r="M109" s="869" t="n">
        <v>46658</v>
      </c>
      <c r="Q109" t="n">
        <v>42000</v>
      </c>
      <c r="R109">
        <f>R79</f>
        <v/>
      </c>
      <c r="T109" t="n">
        <v>42000</v>
      </c>
      <c r="U109">
        <f>U79</f>
        <v/>
      </c>
      <c r="V109" t="n">
        <v>41975</v>
      </c>
      <c r="W109">
        <f>W79</f>
        <v/>
      </c>
      <c r="X109">
        <f>W79/I79</f>
        <v/>
      </c>
      <c r="Y109">
        <f>SUM(W79-U79)/U79</f>
        <v/>
      </c>
      <c r="Z109" t="inlineStr">
        <is>
          <t>D</t>
        </is>
      </c>
      <c r="AC109" t="inlineStr">
        <is>
          <t>No</t>
        </is>
      </c>
      <c r="AI109" t="inlineStr">
        <is>
          <t>Let</t>
        </is>
      </c>
    </row>
    <row r="110">
      <c r="A110" t="inlineStr">
        <is>
          <t xml:space="preserve">  Office</t>
        </is>
      </c>
      <c r="B110" t="inlineStr">
        <is>
          <t>CM</t>
        </is>
      </c>
      <c r="C110" t="inlineStr">
        <is>
          <t>MEL</t>
        </is>
      </c>
      <c r="D110" t="n">
        <v>550740</v>
      </c>
      <c r="E110" t="inlineStr">
        <is>
          <t>39 Great Portland Street</t>
        </is>
      </c>
      <c r="F110" t="inlineStr">
        <is>
          <t>Third Floor</t>
        </is>
      </c>
      <c r="G110" t="inlineStr">
        <is>
          <t>Office</t>
        </is>
      </c>
      <c r="H110" t="n">
        <v>730</v>
      </c>
      <c r="I110">
        <f>I80</f>
        <v/>
      </c>
      <c r="J110" t="n">
        <v>750</v>
      </c>
      <c r="K110" t="inlineStr">
        <is>
          <t>Studio Boum Limited.</t>
        </is>
      </c>
      <c r="L110" s="869" t="n">
        <v>45271</v>
      </c>
      <c r="M110" s="869" t="n">
        <v>46561</v>
      </c>
      <c r="Q110" t="n">
        <v>42705</v>
      </c>
      <c r="R110">
        <f>R80</f>
        <v/>
      </c>
      <c r="T110" t="n">
        <v>42000</v>
      </c>
      <c r="U110">
        <f>U80</f>
        <v/>
      </c>
      <c r="V110" t="n">
        <v>41975</v>
      </c>
      <c r="W110">
        <f>W80</f>
        <v/>
      </c>
      <c r="X110">
        <f>W80/I80</f>
        <v/>
      </c>
      <c r="Y110">
        <f>SUM(W80-U80)/U80</f>
        <v/>
      </c>
      <c r="Z110" t="inlineStr">
        <is>
          <t>D</t>
        </is>
      </c>
      <c r="AC110" t="inlineStr">
        <is>
          <t>No</t>
        </is>
      </c>
      <c r="AD110" t="inlineStr">
        <is>
          <t>Tenant break passed.</t>
        </is>
      </c>
      <c r="AI110" t="inlineStr">
        <is>
          <t>Let</t>
        </is>
      </c>
    </row>
    <row r="111">
      <c r="A111" t="inlineStr">
        <is>
          <t xml:space="preserve">  Residential</t>
        </is>
      </c>
      <c r="B111" t="inlineStr">
        <is>
          <t>CM</t>
        </is>
      </c>
      <c r="C111" t="inlineStr">
        <is>
          <t>MEL</t>
        </is>
      </c>
      <c r="D111" t="n">
        <v>550740</v>
      </c>
      <c r="E111" t="inlineStr">
        <is>
          <t>39 Great Portland Street</t>
        </is>
      </c>
      <c r="F111" t="inlineStr">
        <is>
          <t>Fourth &amp; Fifth Floors</t>
        </is>
      </c>
      <c r="G111" t="inlineStr">
        <is>
          <t>Residential</t>
        </is>
      </c>
      <c r="H111" t="n">
        <v>1180</v>
      </c>
      <c r="I111">
        <f>I81</f>
        <v/>
      </c>
      <c r="J111" t="n">
        <v>1000</v>
      </c>
      <c r="K111" t="inlineStr">
        <is>
          <t>T. Ciss, E. Moser</t>
        </is>
      </c>
      <c r="L111" s="869" t="n">
        <v>45480</v>
      </c>
      <c r="M111" s="869" t="n">
        <v>45844</v>
      </c>
      <c r="Q111" t="n">
        <v>65000</v>
      </c>
      <c r="R111">
        <f>R81</f>
        <v/>
      </c>
      <c r="T111" t="n">
        <v>61360</v>
      </c>
      <c r="U111">
        <f>U81</f>
        <v/>
      </c>
      <c r="V111" t="n">
        <v>63177</v>
      </c>
      <c r="W111">
        <f>W81</f>
        <v/>
      </c>
      <c r="X111">
        <f>W81/I81</f>
        <v/>
      </c>
      <c r="Y111">
        <f>SUM(W81-U81)/U81</f>
        <v/>
      </c>
      <c r="Z111" t="inlineStr">
        <is>
          <t>C</t>
        </is>
      </c>
      <c r="AC111" t="inlineStr">
        <is>
          <t>No</t>
        </is>
      </c>
      <c r="AD111" t="inlineStr">
        <is>
          <t>Lease renewal agreed.</t>
        </is>
      </c>
      <c r="AI111" t="inlineStr">
        <is>
          <t>Let</t>
        </is>
      </c>
    </row>
    <row r="112"/>
    <row r="113">
      <c r="A113" s="868" t="inlineStr">
        <is>
          <t>41 Great Portland Street</t>
        </is>
      </c>
    </row>
    <row r="114">
      <c r="A114" t="inlineStr">
        <is>
          <t xml:space="preserve">  Offices</t>
        </is>
      </c>
      <c r="B114" t="inlineStr">
        <is>
          <t>CD</t>
        </is>
      </c>
      <c r="C114" t="inlineStr">
        <is>
          <t>MEL</t>
        </is>
      </c>
      <c r="D114" t="n">
        <v>550840</v>
      </c>
      <c r="E114" t="inlineStr">
        <is>
          <t>41 Great Portland Street</t>
        </is>
      </c>
      <c r="F114" t="inlineStr">
        <is>
          <t>Basement to Fourth</t>
        </is>
      </c>
      <c r="G114" t="inlineStr">
        <is>
          <t>Offices</t>
        </is>
      </c>
      <c r="H114" t="n">
        <v>2313</v>
      </c>
      <c r="I114">
        <f>I82</f>
        <v/>
      </c>
      <c r="J114" t="n">
        <v>2250</v>
      </c>
      <c r="K114" t="inlineStr">
        <is>
          <t>S.Hardwick &amp; L.Morris (t/a Hardwick &amp; Morris Chartered Accountants)</t>
        </is>
      </c>
      <c r="L114" s="869" t="n">
        <v>42339</v>
      </c>
      <c r="M114" s="869" t="n">
        <v>45991</v>
      </c>
      <c r="O114" s="869" t="n">
        <v>44166</v>
      </c>
      <c r="Q114" t="n">
        <v>112000</v>
      </c>
      <c r="R114">
        <f>R82</f>
        <v/>
      </c>
      <c r="S114">
        <f>S82</f>
        <v/>
      </c>
      <c r="T114" t="n">
        <v>106600</v>
      </c>
      <c r="U114">
        <f>U82</f>
        <v/>
      </c>
      <c r="V114" t="n">
        <v>102100</v>
      </c>
      <c r="W114">
        <f>W82</f>
        <v/>
      </c>
      <c r="X114">
        <f>W82/I82</f>
        <v/>
      </c>
      <c r="Y114">
        <f>SUM(W82-U82)/U82</f>
        <v/>
      </c>
      <c r="Z114" t="inlineStr">
        <is>
          <t>E</t>
        </is>
      </c>
      <c r="AB114" t="n">
        <v>1750000</v>
      </c>
      <c r="AC114" t="inlineStr">
        <is>
          <t>No</t>
        </is>
      </c>
      <c r="AI114" t="inlineStr">
        <is>
          <t>Let</t>
        </is>
      </c>
    </row>
    <row r="115"/>
    <row r="116">
      <c r="A116" s="868" t="inlineStr">
        <is>
          <t>42-48 Great Portland Street</t>
        </is>
      </c>
    </row>
    <row r="117">
      <c r="A117" t="inlineStr">
        <is>
          <t xml:space="preserve">  Shop</t>
        </is>
      </c>
      <c r="B117" t="inlineStr">
        <is>
          <t>CM</t>
        </is>
      </c>
      <c r="C117" t="inlineStr">
        <is>
          <t>MEL</t>
        </is>
      </c>
      <c r="D117" t="n">
        <v>550830</v>
      </c>
      <c r="E117" t="inlineStr">
        <is>
          <t>42-48 Great Portland Street</t>
        </is>
      </c>
      <c r="F117" t="inlineStr">
        <is>
          <t xml:space="preserve">Basement &amp; Ground Floor </t>
        </is>
      </c>
      <c r="G117" t="inlineStr">
        <is>
          <t>Shop</t>
        </is>
      </c>
      <c r="H117" t="n">
        <v>4259</v>
      </c>
      <c r="I117">
        <f>I83</f>
        <v/>
      </c>
      <c r="J117" t="n">
        <v>4250</v>
      </c>
      <c r="K117" t="inlineStr">
        <is>
          <t>GP Acoustics (UK) Limited</t>
        </is>
      </c>
      <c r="L117" s="869" t="n">
        <v>44967</v>
      </c>
      <c r="M117" s="869" t="n">
        <v>48619</v>
      </c>
      <c r="O117" s="869" t="n">
        <v>46793</v>
      </c>
      <c r="P117" s="869" t="n">
        <v>46792</v>
      </c>
      <c r="Q117" t="n">
        <v>215000</v>
      </c>
      <c r="R117">
        <f>R83</f>
        <v/>
      </c>
      <c r="T117" t="n">
        <v>215000</v>
      </c>
      <c r="U117">
        <f>U83</f>
        <v/>
      </c>
      <c r="V117" t="n">
        <v>215000</v>
      </c>
      <c r="W117">
        <f>W83</f>
        <v/>
      </c>
      <c r="X117">
        <f>W83/I83</f>
        <v/>
      </c>
      <c r="Y117">
        <f>SUM(W83-U83)/U83</f>
        <v/>
      </c>
      <c r="Z117" t="inlineStr">
        <is>
          <t>C</t>
        </is>
      </c>
      <c r="AC117" t="inlineStr">
        <is>
          <t>No</t>
        </is>
      </c>
      <c r="AD117" t="inlineStr">
        <is>
          <t>Tenant break on 6 months notice.</t>
        </is>
      </c>
      <c r="AI117" t="inlineStr">
        <is>
          <t>Let</t>
        </is>
      </c>
    </row>
    <row r="118">
      <c r="A118" t="inlineStr">
        <is>
          <t xml:space="preserve">  Office</t>
        </is>
      </c>
      <c r="B118" t="inlineStr">
        <is>
          <t>CM</t>
        </is>
      </c>
      <c r="C118" t="inlineStr">
        <is>
          <t>MEL</t>
        </is>
      </c>
      <c r="D118" t="n">
        <v>550830</v>
      </c>
      <c r="E118" t="inlineStr">
        <is>
          <t>42-48 Great Portland Street</t>
        </is>
      </c>
      <c r="F118" t="inlineStr">
        <is>
          <t>First Floor</t>
        </is>
      </c>
      <c r="G118" t="inlineStr">
        <is>
          <t>Office</t>
        </is>
      </c>
      <c r="H118" t="n">
        <v>1902</v>
      </c>
      <c r="I118">
        <f>I84</f>
        <v/>
      </c>
      <c r="J118" t="n">
        <v>2000</v>
      </c>
      <c r="K118" t="inlineStr">
        <is>
          <t>GP Acoustics (UK) Limited</t>
        </is>
      </c>
      <c r="L118" s="869" t="n">
        <v>44967</v>
      </c>
      <c r="M118" s="869" t="n">
        <v>48619</v>
      </c>
      <c r="O118" s="869" t="n">
        <v>46793</v>
      </c>
      <c r="P118" s="869" t="n">
        <v>46792</v>
      </c>
      <c r="Q118" t="n">
        <v>109620</v>
      </c>
      <c r="R118">
        <f>R84</f>
        <v/>
      </c>
      <c r="T118" t="n">
        <v>109620</v>
      </c>
      <c r="U118">
        <f>U84</f>
        <v/>
      </c>
      <c r="V118" t="n">
        <v>123600</v>
      </c>
      <c r="W118">
        <f>W84</f>
        <v/>
      </c>
      <c r="X118">
        <f>W84/I84</f>
        <v/>
      </c>
      <c r="Y118">
        <f>SUM(W84-U84)/U84</f>
        <v/>
      </c>
      <c r="Z118" t="inlineStr">
        <is>
          <t>C</t>
        </is>
      </c>
      <c r="AC118" t="inlineStr">
        <is>
          <t>No</t>
        </is>
      </c>
      <c r="AD118" t="inlineStr">
        <is>
          <t>Tenant break on 6 months notice.</t>
        </is>
      </c>
      <c r="AI118" t="inlineStr">
        <is>
          <t>Let</t>
        </is>
      </c>
    </row>
    <row r="119">
      <c r="A119" t="inlineStr">
        <is>
          <t xml:space="preserve">  Office</t>
        </is>
      </c>
      <c r="B119" t="inlineStr">
        <is>
          <t>CM</t>
        </is>
      </c>
      <c r="C119" t="inlineStr">
        <is>
          <t>MEL</t>
        </is>
      </c>
      <c r="D119" t="n">
        <v>550830</v>
      </c>
      <c r="E119" t="inlineStr">
        <is>
          <t>42-48 Great Portland Street</t>
        </is>
      </c>
      <c r="F119" t="inlineStr">
        <is>
          <t>Second Floor</t>
        </is>
      </c>
      <c r="G119" t="inlineStr">
        <is>
          <t>Office</t>
        </is>
      </c>
      <c r="H119" t="n">
        <v>1440</v>
      </c>
      <c r="I119">
        <f>I85</f>
        <v/>
      </c>
      <c r="J119" t="n">
        <v>1500</v>
      </c>
      <c r="K119" t="inlineStr">
        <is>
          <t>Vacant</t>
        </is>
      </c>
      <c r="N119" s="869" t="n">
        <v>44593</v>
      </c>
      <c r="Q119" t="n">
        <v>0</v>
      </c>
      <c r="R119">
        <f>R85</f>
        <v/>
      </c>
      <c r="T119" t="n">
        <v>79800</v>
      </c>
      <c r="U119">
        <f>U85</f>
        <v/>
      </c>
      <c r="V119" t="n">
        <v>93600</v>
      </c>
      <c r="W119">
        <f>W85</f>
        <v/>
      </c>
      <c r="X119">
        <f>W85/I85</f>
        <v/>
      </c>
      <c r="Y119">
        <f>SUM(W85-U85)/U85</f>
        <v/>
      </c>
      <c r="Z119" t="inlineStr">
        <is>
          <t>D</t>
        </is>
      </c>
      <c r="AC119" t="inlineStr">
        <is>
          <t>No</t>
        </is>
      </c>
      <c r="AD119" t="inlineStr">
        <is>
          <t>To be refurbished.</t>
        </is>
      </c>
      <c r="AI119" t="inlineStr">
        <is>
          <t>Void</t>
        </is>
      </c>
    </row>
    <row r="120">
      <c r="A120" t="inlineStr">
        <is>
          <t xml:space="preserve">  Office</t>
        </is>
      </c>
      <c r="B120" t="inlineStr">
        <is>
          <t>CM</t>
        </is>
      </c>
      <c r="C120" t="inlineStr">
        <is>
          <t>MEL</t>
        </is>
      </c>
      <c r="D120" t="n">
        <v>550830</v>
      </c>
      <c r="E120" t="inlineStr">
        <is>
          <t>42-48 Great Portland Street</t>
        </is>
      </c>
      <c r="F120" t="inlineStr">
        <is>
          <t>Third Floor</t>
        </is>
      </c>
      <c r="G120" t="inlineStr">
        <is>
          <t>Office</t>
        </is>
      </c>
      <c r="H120" t="n">
        <v>1433</v>
      </c>
      <c r="I120">
        <f>I86</f>
        <v/>
      </c>
      <c r="J120" t="n">
        <v>1500</v>
      </c>
      <c r="K120" t="inlineStr">
        <is>
          <t>Vacant</t>
        </is>
      </c>
      <c r="N120" s="869" t="n">
        <v>43313</v>
      </c>
      <c r="Q120" t="n">
        <v>0</v>
      </c>
      <c r="R120">
        <f>R86</f>
        <v/>
      </c>
      <c r="T120" t="n">
        <v>79750</v>
      </c>
      <c r="U120">
        <f>U86</f>
        <v/>
      </c>
      <c r="V120" t="n">
        <v>93100</v>
      </c>
      <c r="W120">
        <f>W86</f>
        <v/>
      </c>
      <c r="X120">
        <f>W86/I86</f>
        <v/>
      </c>
      <c r="Y120">
        <f>SUM(W86-U86)/U86</f>
        <v/>
      </c>
      <c r="Z120" t="inlineStr">
        <is>
          <t>D</t>
        </is>
      </c>
      <c r="AC120" t="inlineStr">
        <is>
          <t>No</t>
        </is>
      </c>
      <c r="AD120" t="inlineStr">
        <is>
          <t>To be refurbished.</t>
        </is>
      </c>
      <c r="AI120" t="inlineStr">
        <is>
          <t>Void</t>
        </is>
      </c>
    </row>
    <row r="121">
      <c r="A121" t="inlineStr">
        <is>
          <t xml:space="preserve">  Office</t>
        </is>
      </c>
      <c r="B121" t="inlineStr">
        <is>
          <t>CM</t>
        </is>
      </c>
      <c r="C121" t="inlineStr">
        <is>
          <t>MEL</t>
        </is>
      </c>
      <c r="D121" t="n">
        <v>550830</v>
      </c>
      <c r="E121" t="inlineStr">
        <is>
          <t>42-48 Great Portland Street</t>
        </is>
      </c>
      <c r="F121" t="inlineStr">
        <is>
          <t>Fourth Floor</t>
        </is>
      </c>
      <c r="G121" t="inlineStr">
        <is>
          <t>Office</t>
        </is>
      </c>
      <c r="H121" t="n">
        <v>1480</v>
      </c>
      <c r="I121">
        <f>I87</f>
        <v/>
      </c>
      <c r="J121" t="n">
        <v>1500</v>
      </c>
      <c r="K121" t="inlineStr">
        <is>
          <t>Vacant</t>
        </is>
      </c>
      <c r="N121" s="869" t="n">
        <v>44409</v>
      </c>
      <c r="Q121" t="n">
        <v>0</v>
      </c>
      <c r="R121">
        <f>R87</f>
        <v/>
      </c>
      <c r="T121" t="n">
        <v>79800</v>
      </c>
      <c r="U121">
        <f>U87</f>
        <v/>
      </c>
      <c r="V121" t="n">
        <v>96200</v>
      </c>
      <c r="W121">
        <f>W87</f>
        <v/>
      </c>
      <c r="X121">
        <f>W87/I87</f>
        <v/>
      </c>
      <c r="Y121">
        <f>SUM(W87-U87)/U87</f>
        <v/>
      </c>
      <c r="Z121" t="inlineStr">
        <is>
          <t>E</t>
        </is>
      </c>
      <c r="AC121" t="inlineStr">
        <is>
          <t>No</t>
        </is>
      </c>
      <c r="AD121" t="inlineStr">
        <is>
          <t>To be refurbished.</t>
        </is>
      </c>
      <c r="AI121" t="inlineStr">
        <is>
          <t>Void</t>
        </is>
      </c>
    </row>
    <row r="122">
      <c r="A122" t="inlineStr">
        <is>
          <t xml:space="preserve">  Office</t>
        </is>
      </c>
      <c r="B122" t="inlineStr">
        <is>
          <t>CM</t>
        </is>
      </c>
      <c r="C122" t="inlineStr">
        <is>
          <t>MEL</t>
        </is>
      </c>
      <c r="D122" t="n">
        <v>550830</v>
      </c>
      <c r="E122" t="inlineStr">
        <is>
          <t>42-48 Great Portland Street</t>
        </is>
      </c>
      <c r="F122" t="inlineStr">
        <is>
          <t>Fifth Floor</t>
        </is>
      </c>
      <c r="G122" t="inlineStr">
        <is>
          <t>Office</t>
        </is>
      </c>
      <c r="H122" t="n">
        <v>784</v>
      </c>
      <c r="I122">
        <f>I88</f>
        <v/>
      </c>
      <c r="J122" t="n">
        <v>750</v>
      </c>
      <c r="K122" t="inlineStr">
        <is>
          <t>Vacant</t>
        </is>
      </c>
      <c r="N122" s="869" t="n">
        <v>44734</v>
      </c>
      <c r="Q122" t="n">
        <v>0</v>
      </c>
      <c r="R122">
        <f>R88</f>
        <v/>
      </c>
      <c r="T122" t="n">
        <v>39030</v>
      </c>
      <c r="U122">
        <f>U88</f>
        <v/>
      </c>
      <c r="V122" t="n">
        <v>49000</v>
      </c>
      <c r="W122">
        <f>W88</f>
        <v/>
      </c>
      <c r="X122">
        <f>W88/I88</f>
        <v/>
      </c>
      <c r="Y122">
        <f>SUM(W88-U88)/U88</f>
        <v/>
      </c>
      <c r="Z122" t="inlineStr">
        <is>
          <t>D</t>
        </is>
      </c>
      <c r="AC122" t="inlineStr">
        <is>
          <t>No</t>
        </is>
      </c>
      <c r="AD122" t="inlineStr">
        <is>
          <t>To be refurbished.</t>
        </is>
      </c>
      <c r="AI122" t="inlineStr">
        <is>
          <t>Void</t>
        </is>
      </c>
    </row>
    <row r="123"/>
    <row r="124">
      <c r="A124" s="868" t="inlineStr">
        <is>
          <t>45-49 Great Portland Street</t>
        </is>
      </c>
    </row>
    <row r="125">
      <c r="A125" t="inlineStr">
        <is>
          <t xml:space="preserve">  Showroom</t>
        </is>
      </c>
      <c r="B125" t="inlineStr">
        <is>
          <t>SH</t>
        </is>
      </c>
      <c r="C125" t="inlineStr">
        <is>
          <t>MEL</t>
        </is>
      </c>
      <c r="D125" t="n">
        <v>550600</v>
      </c>
      <c r="E125" t="inlineStr">
        <is>
          <t>45-49 Great Portland Street</t>
        </is>
      </c>
      <c r="F125" t="inlineStr">
        <is>
          <t>Ground Floor &amp; Basement (North)</t>
        </is>
      </c>
      <c r="G125" t="inlineStr">
        <is>
          <t>Showroom</t>
        </is>
      </c>
      <c r="H125" t="n">
        <v>1449</v>
      </c>
      <c r="I125">
        <f>I89</f>
        <v/>
      </c>
      <c r="J125" t="n">
        <v>1500</v>
      </c>
      <c r="K125" t="inlineStr">
        <is>
          <t>Straight Forward Retail Ltd.</t>
        </is>
      </c>
      <c r="L125" s="869" t="n">
        <v>45624</v>
      </c>
      <c r="M125" s="869" t="n">
        <v>49275</v>
      </c>
      <c r="Q125" t="n">
        <v>70000</v>
      </c>
      <c r="R125">
        <f>R89</f>
        <v/>
      </c>
      <c r="T125" t="n">
        <v>76500</v>
      </c>
      <c r="U125">
        <f>U89</f>
        <v/>
      </c>
      <c r="V125" t="n">
        <v>76800</v>
      </c>
      <c r="W125">
        <f>W89</f>
        <v/>
      </c>
      <c r="X125">
        <f>W89/I89</f>
        <v/>
      </c>
      <c r="Y125">
        <f>SUM(W89-U89)/U89</f>
        <v/>
      </c>
      <c r="Z125" t="inlineStr">
        <is>
          <t>C</t>
        </is>
      </c>
      <c r="AC125" t="inlineStr">
        <is>
          <t>No</t>
        </is>
      </c>
      <c r="AD125" t="inlineStr">
        <is>
          <t>Rent increasing to £73,000 @ 28/11/27, £77,500 @ 28/11/30. Landlord break 27/11/27 on 6 months notice.</t>
        </is>
      </c>
      <c r="AI125" t="inlineStr">
        <is>
          <t>Let</t>
        </is>
      </c>
    </row>
    <row r="126">
      <c r="A126" t="inlineStr">
        <is>
          <t xml:space="preserve">  A1/D1</t>
        </is>
      </c>
      <c r="B126" t="inlineStr">
        <is>
          <t>SH</t>
        </is>
      </c>
      <c r="C126" t="inlineStr">
        <is>
          <t>MEL</t>
        </is>
      </c>
      <c r="D126" t="n">
        <v>550600</v>
      </c>
      <c r="E126" t="inlineStr">
        <is>
          <t>45-49 Great Portland Street</t>
        </is>
      </c>
      <c r="F126" t="inlineStr">
        <is>
          <t>Ground Floor &amp; Basement (South</t>
        </is>
      </c>
      <c r="G126" t="inlineStr">
        <is>
          <t>A1/D1</t>
        </is>
      </c>
      <c r="H126" t="n">
        <v>1550</v>
      </c>
      <c r="I126">
        <f>I90</f>
        <v/>
      </c>
      <c r="J126" t="n">
        <v>1500</v>
      </c>
      <c r="K126" t="inlineStr">
        <is>
          <t>Reviv Global Ltd</t>
        </is>
      </c>
      <c r="L126" s="869" t="n">
        <v>43293</v>
      </c>
      <c r="M126" s="869" t="n">
        <v>46214</v>
      </c>
      <c r="Q126" t="n">
        <v>120000</v>
      </c>
      <c r="R126">
        <f>R90</f>
        <v/>
      </c>
      <c r="T126" t="n">
        <v>81000</v>
      </c>
      <c r="U126">
        <f>U90</f>
        <v/>
      </c>
      <c r="V126" t="n">
        <v>97300</v>
      </c>
      <c r="W126">
        <f>W90</f>
        <v/>
      </c>
      <c r="X126">
        <f>W90/I90</f>
        <v/>
      </c>
      <c r="Y126">
        <f>SUM(W90-U90)/U90</f>
        <v/>
      </c>
      <c r="Z126" t="inlineStr">
        <is>
          <t>C</t>
        </is>
      </c>
      <c r="AC126" t="inlineStr">
        <is>
          <t>No</t>
        </is>
      </c>
      <c r="AI126" t="inlineStr">
        <is>
          <t>Let</t>
        </is>
      </c>
    </row>
    <row r="127">
      <c r="A127" t="inlineStr">
        <is>
          <t xml:space="preserve">  Office</t>
        </is>
      </c>
      <c r="B127" t="inlineStr">
        <is>
          <t>SH</t>
        </is>
      </c>
      <c r="C127" t="inlineStr">
        <is>
          <t>MEL</t>
        </is>
      </c>
      <c r="D127" t="n">
        <v>550600</v>
      </c>
      <c r="E127" t="inlineStr">
        <is>
          <t>45-49 Great Portland Street</t>
        </is>
      </c>
      <c r="F127" t="inlineStr">
        <is>
          <t>First, Second &amp; Third Floors</t>
        </is>
      </c>
      <c r="G127" t="inlineStr">
        <is>
          <t>Office</t>
        </is>
      </c>
      <c r="H127" t="n">
        <v>3441</v>
      </c>
      <c r="I127">
        <f>I91</f>
        <v/>
      </c>
      <c r="J127" t="n">
        <v>3500</v>
      </c>
      <c r="K127" t="inlineStr">
        <is>
          <t>DMR Film Ventures (Facilities) Ltd.</t>
        </is>
      </c>
      <c r="L127" s="869" t="n">
        <v>44358</v>
      </c>
      <c r="M127" s="869" t="n">
        <v>48009</v>
      </c>
      <c r="O127" s="869" t="n">
        <v>46184</v>
      </c>
      <c r="P127" s="869" t="n">
        <v>46183</v>
      </c>
      <c r="Q127" t="n">
        <v>189000</v>
      </c>
      <c r="R127">
        <f>R91</f>
        <v/>
      </c>
      <c r="T127" t="n">
        <v>189300</v>
      </c>
      <c r="U127">
        <f>U91</f>
        <v/>
      </c>
      <c r="V127" t="n">
        <v>189300</v>
      </c>
      <c r="W127">
        <f>W91</f>
        <v/>
      </c>
      <c r="X127">
        <f>W91/I91</f>
        <v/>
      </c>
      <c r="Y127">
        <f>SUM(W91-U91)/U91</f>
        <v/>
      </c>
      <c r="Z127" t="inlineStr">
        <is>
          <t>E</t>
        </is>
      </c>
      <c r="AC127" t="inlineStr">
        <is>
          <t>No</t>
        </is>
      </c>
      <c r="AD127" t="inlineStr">
        <is>
          <t>Tenant break on 6 months notice. 6 months rent free if not exercised.</t>
        </is>
      </c>
      <c r="AI127" t="inlineStr">
        <is>
          <t>Let</t>
        </is>
      </c>
    </row>
    <row r="128"/>
    <row r="129">
      <c r="A129" s="868" t="inlineStr">
        <is>
          <t>50 Great Portland Street</t>
        </is>
      </c>
    </row>
    <row r="130">
      <c r="A130" t="inlineStr">
        <is>
          <t xml:space="preserve">  Retail</t>
        </is>
      </c>
      <c r="B130" t="inlineStr">
        <is>
          <t>CD</t>
        </is>
      </c>
      <c r="C130" t="inlineStr">
        <is>
          <t>MEL</t>
        </is>
      </c>
      <c r="D130" t="n">
        <v>550990</v>
      </c>
      <c r="E130" t="inlineStr">
        <is>
          <t>50 Great Portland Street</t>
        </is>
      </c>
      <c r="F130" t="inlineStr">
        <is>
          <t>Ground Floor &amp; Basement</t>
        </is>
      </c>
      <c r="G130" t="inlineStr">
        <is>
          <t>Retail</t>
        </is>
      </c>
      <c r="H130" t="n">
        <v>1361</v>
      </c>
      <c r="I130">
        <f>I92</f>
        <v/>
      </c>
      <c r="K130" t="inlineStr">
        <is>
          <t>Beautify LDN Ltd.</t>
        </is>
      </c>
      <c r="L130" s="869" t="n">
        <v>45352</v>
      </c>
      <c r="M130" s="869" t="n">
        <v>49003</v>
      </c>
      <c r="O130" s="869" t="n">
        <v>47178</v>
      </c>
      <c r="P130" s="869" t="n">
        <v>47177</v>
      </c>
      <c r="Q130" t="n">
        <v>60000</v>
      </c>
      <c r="R130">
        <f>R92</f>
        <v/>
      </c>
      <c r="T130" t="n">
        <v>55600</v>
      </c>
      <c r="U130">
        <f>U92</f>
        <v/>
      </c>
      <c r="V130" t="n">
        <v>59000</v>
      </c>
      <c r="W130">
        <f>W92</f>
        <v/>
      </c>
      <c r="X130">
        <f>W92/I92</f>
        <v/>
      </c>
      <c r="Y130">
        <f>SUM(W92-U92)/U92</f>
        <v/>
      </c>
      <c r="Z130" t="inlineStr">
        <is>
          <t>B</t>
        </is>
      </c>
      <c r="AC130" t="inlineStr">
        <is>
          <t>No</t>
        </is>
      </c>
      <c r="AD130" t="inlineStr">
        <is>
          <t>Mutual break 28/02/29 on 6 months notice. 3 months rent free if break not exercised.</t>
        </is>
      </c>
      <c r="AI130" t="inlineStr">
        <is>
          <t>Let</t>
        </is>
      </c>
    </row>
    <row r="131">
      <c r="A131" t="inlineStr">
        <is>
          <t xml:space="preserve">  Office</t>
        </is>
      </c>
      <c r="B131" t="inlineStr">
        <is>
          <t>CD</t>
        </is>
      </c>
      <c r="C131" t="inlineStr">
        <is>
          <t>MEL</t>
        </is>
      </c>
      <c r="D131" t="n">
        <v>550990</v>
      </c>
      <c r="E131" t="inlineStr">
        <is>
          <t>50 Great Portland Street</t>
        </is>
      </c>
      <c r="F131" t="inlineStr">
        <is>
          <t>First Floor</t>
        </is>
      </c>
      <c r="G131" t="inlineStr">
        <is>
          <t>Office</t>
        </is>
      </c>
      <c r="H131" t="n">
        <v>552</v>
      </c>
      <c r="I131">
        <f>I93</f>
        <v/>
      </c>
      <c r="K131" t="inlineStr">
        <is>
          <t>Fresh Film Productions Ltd.</t>
        </is>
      </c>
      <c r="L131" s="869" t="n">
        <v>45579</v>
      </c>
      <c r="M131" s="869" t="n">
        <v>47404</v>
      </c>
      <c r="P131" s="869" t="n">
        <v>46673</v>
      </c>
      <c r="Q131" t="n">
        <v>33000</v>
      </c>
      <c r="R131">
        <f>R93</f>
        <v/>
      </c>
      <c r="T131" t="n">
        <v>29700</v>
      </c>
      <c r="U131">
        <f>U93</f>
        <v/>
      </c>
      <c r="V131" t="n">
        <v>30400</v>
      </c>
      <c r="W131">
        <f>W93</f>
        <v/>
      </c>
      <c r="X131">
        <f>W93/I93</f>
        <v/>
      </c>
      <c r="Y131">
        <f>SUM(W93-U93)/U93</f>
        <v/>
      </c>
      <c r="Z131" t="inlineStr">
        <is>
          <t>D</t>
        </is>
      </c>
      <c r="AC131" t="inlineStr">
        <is>
          <t>No</t>
        </is>
      </c>
      <c r="AD131" t="inlineStr">
        <is>
          <t>Tenant break on 6 months notice.</t>
        </is>
      </c>
      <c r="AI131" t="inlineStr">
        <is>
          <t>Let</t>
        </is>
      </c>
    </row>
    <row r="132">
      <c r="A132" t="inlineStr">
        <is>
          <t xml:space="preserve">  Office</t>
        </is>
      </c>
      <c r="B132" t="inlineStr">
        <is>
          <t>CD</t>
        </is>
      </c>
      <c r="C132" t="inlineStr">
        <is>
          <t>MEL</t>
        </is>
      </c>
      <c r="D132" t="n">
        <v>550990</v>
      </c>
      <c r="E132" t="inlineStr">
        <is>
          <t>50 Great Portland Street</t>
        </is>
      </c>
      <c r="F132" t="inlineStr">
        <is>
          <t>Second Floor</t>
        </is>
      </c>
      <c r="G132" t="inlineStr">
        <is>
          <t>Office</t>
        </is>
      </c>
      <c r="H132" t="n">
        <v>304</v>
      </c>
      <c r="I132">
        <f>I94</f>
        <v/>
      </c>
      <c r="J132" t="n">
        <v>250</v>
      </c>
      <c r="K132" t="inlineStr">
        <is>
          <t>Vacant</t>
        </is>
      </c>
      <c r="N132" s="869" t="n">
        <v>43256</v>
      </c>
      <c r="Q132" t="n">
        <v>0</v>
      </c>
      <c r="R132">
        <f>R94</f>
        <v/>
      </c>
      <c r="T132" t="n">
        <v>15800</v>
      </c>
      <c r="U132">
        <f>U94</f>
        <v/>
      </c>
      <c r="V132" t="n">
        <v>16700</v>
      </c>
      <c r="W132">
        <f>W94</f>
        <v/>
      </c>
      <c r="X132">
        <f>W94/I94</f>
        <v/>
      </c>
      <c r="Y132">
        <f>SUM(W94-U94)/U94</f>
        <v/>
      </c>
      <c r="Z132" t="inlineStr">
        <is>
          <t>D</t>
        </is>
      </c>
      <c r="AC132" t="inlineStr">
        <is>
          <t>No</t>
        </is>
      </c>
      <c r="AD132" t="inlineStr">
        <is>
          <t>To be refurbished.</t>
        </is>
      </c>
      <c r="AI132" t="inlineStr">
        <is>
          <t>Void</t>
        </is>
      </c>
    </row>
    <row r="133">
      <c r="A133" t="inlineStr">
        <is>
          <t xml:space="preserve">  Office</t>
        </is>
      </c>
      <c r="B133" t="inlineStr">
        <is>
          <t>CD</t>
        </is>
      </c>
      <c r="C133" t="inlineStr">
        <is>
          <t>MEL</t>
        </is>
      </c>
      <c r="D133" t="n">
        <v>550990</v>
      </c>
      <c r="E133" t="inlineStr">
        <is>
          <t>50 Great Portland Street</t>
        </is>
      </c>
      <c r="F133" t="inlineStr">
        <is>
          <t>Third Floor</t>
        </is>
      </c>
      <c r="G133" t="inlineStr">
        <is>
          <t>Office</t>
        </is>
      </c>
      <c r="H133" t="n">
        <v>314</v>
      </c>
      <c r="I133">
        <f>I95</f>
        <v/>
      </c>
      <c r="K133" t="inlineStr">
        <is>
          <t>Therapy Central LLP</t>
        </is>
      </c>
      <c r="L133" s="869" t="n">
        <v>45476</v>
      </c>
      <c r="M133" s="869" t="n">
        <v>47301</v>
      </c>
      <c r="P133" s="869" t="n">
        <v>46570</v>
      </c>
      <c r="Q133" t="n">
        <v>17500</v>
      </c>
      <c r="R133">
        <f>R95</f>
        <v/>
      </c>
      <c r="T133" t="n">
        <v>15000</v>
      </c>
      <c r="U133">
        <f>U95</f>
        <v/>
      </c>
      <c r="V133" t="n">
        <v>18100</v>
      </c>
      <c r="W133">
        <f>W95</f>
        <v/>
      </c>
      <c r="X133">
        <f>W95/I95</f>
        <v/>
      </c>
      <c r="Y133">
        <f>SUM(W95-U95)/U95</f>
        <v/>
      </c>
      <c r="Z133" t="inlineStr">
        <is>
          <t>C</t>
        </is>
      </c>
      <c r="AC133" t="inlineStr">
        <is>
          <t>No</t>
        </is>
      </c>
      <c r="AD133" t="inlineStr">
        <is>
          <t>Tenant break on 4 months notice.</t>
        </is>
      </c>
      <c r="AI133" t="inlineStr">
        <is>
          <t>Let</t>
        </is>
      </c>
    </row>
    <row r="134">
      <c r="A134" t="inlineStr">
        <is>
          <t xml:space="preserve">  Office</t>
        </is>
      </c>
      <c r="B134" t="inlineStr">
        <is>
          <t>CD</t>
        </is>
      </c>
      <c r="C134" t="inlineStr">
        <is>
          <t>MEL</t>
        </is>
      </c>
      <c r="D134" t="n">
        <v>550990</v>
      </c>
      <c r="E134" t="inlineStr">
        <is>
          <t>50 Great Portland Street</t>
        </is>
      </c>
      <c r="F134" t="inlineStr">
        <is>
          <t>Fourth Floor</t>
        </is>
      </c>
      <c r="G134" t="inlineStr">
        <is>
          <t>Office</t>
        </is>
      </c>
      <c r="H134" t="n">
        <v>314</v>
      </c>
      <c r="I134">
        <f>I96</f>
        <v/>
      </c>
      <c r="K134" t="inlineStr">
        <is>
          <t>James Boatman</t>
        </is>
      </c>
      <c r="L134" s="869" t="n">
        <v>45754</v>
      </c>
      <c r="M134" s="869" t="n">
        <v>46849</v>
      </c>
      <c r="Q134" t="n">
        <v>17500</v>
      </c>
      <c r="R134">
        <f>R96</f>
        <v/>
      </c>
      <c r="T134" t="n">
        <v>15500</v>
      </c>
      <c r="U134">
        <f>U96</f>
        <v/>
      </c>
      <c r="V134" t="n">
        <v>17300</v>
      </c>
      <c r="W134">
        <f>W96</f>
        <v/>
      </c>
      <c r="X134">
        <f>W96/I96</f>
        <v/>
      </c>
      <c r="Y134">
        <f>SUM(W96-U96)/U96</f>
        <v/>
      </c>
      <c r="Z134" t="inlineStr">
        <is>
          <t>C</t>
        </is>
      </c>
      <c r="AC134" t="inlineStr">
        <is>
          <t>No</t>
        </is>
      </c>
      <c r="AI134" t="inlineStr">
        <is>
          <t>Let</t>
        </is>
      </c>
    </row>
    <row r="135">
      <c r="A135" t="inlineStr">
        <is>
          <t xml:space="preserve">  Office</t>
        </is>
      </c>
      <c r="B135" t="inlineStr">
        <is>
          <t>CD</t>
        </is>
      </c>
      <c r="C135" t="inlineStr">
        <is>
          <t>MEL</t>
        </is>
      </c>
      <c r="D135" t="n">
        <v>550990</v>
      </c>
      <c r="E135" t="inlineStr">
        <is>
          <t>50 Great Portland Street</t>
        </is>
      </c>
      <c r="F135" t="inlineStr">
        <is>
          <t>Fifth Floor</t>
        </is>
      </c>
      <c r="G135" t="inlineStr">
        <is>
          <t>Office</t>
        </is>
      </c>
      <c r="H135" t="n">
        <v>309</v>
      </c>
      <c r="I135">
        <f>I97</f>
        <v/>
      </c>
      <c r="K135" t="inlineStr">
        <is>
          <t>OpenStudio Architects Ltd.</t>
        </is>
      </c>
      <c r="L135" s="869" t="n">
        <v>44767</v>
      </c>
      <c r="M135" s="869" t="n">
        <v>45862</v>
      </c>
      <c r="Q135" t="n">
        <v>16000</v>
      </c>
      <c r="R135">
        <f>R97</f>
        <v/>
      </c>
      <c r="T135" t="n">
        <v>15000</v>
      </c>
      <c r="U135">
        <f>U97</f>
        <v/>
      </c>
      <c r="V135" t="n">
        <v>15500</v>
      </c>
      <c r="W135">
        <f>W97</f>
        <v/>
      </c>
      <c r="X135">
        <f>W97/I97</f>
        <v/>
      </c>
      <c r="Y135">
        <f>SUM(W97-U97)/U97</f>
        <v/>
      </c>
      <c r="Z135" t="inlineStr">
        <is>
          <t>C</t>
        </is>
      </c>
      <c r="AC135" t="inlineStr">
        <is>
          <t>No</t>
        </is>
      </c>
      <c r="AD135" t="inlineStr">
        <is>
          <t>Lease renewal terms agreed.</t>
        </is>
      </c>
      <c r="AI135" t="inlineStr">
        <is>
          <t>Let</t>
        </is>
      </c>
    </row>
    <row r="136"/>
    <row r="137">
      <c r="A137" s="868" t="inlineStr">
        <is>
          <t>51 Great Portland Street</t>
        </is>
      </c>
    </row>
    <row r="138">
      <c r="A138" t="inlineStr">
        <is>
          <t xml:space="preserve">  Retail</t>
        </is>
      </c>
      <c r="B138" t="inlineStr">
        <is>
          <t>WS</t>
        </is>
      </c>
      <c r="C138" t="inlineStr">
        <is>
          <t>MEL</t>
        </is>
      </c>
      <c r="D138" t="n">
        <v>550700</v>
      </c>
      <c r="E138" t="inlineStr">
        <is>
          <t>51 Great Portland Street</t>
        </is>
      </c>
      <c r="F138" t="inlineStr">
        <is>
          <t>Ground Floor &amp; Basement</t>
        </is>
      </c>
      <c r="G138" t="inlineStr">
        <is>
          <t>Retail</t>
        </is>
      </c>
      <c r="H138" t="n">
        <v>750</v>
      </c>
      <c r="I138">
        <f>I98</f>
        <v/>
      </c>
      <c r="K138" t="inlineStr">
        <is>
          <t>Bernardo Vasconcelos Ltd</t>
        </is>
      </c>
      <c r="L138" s="869" t="n">
        <v>45377</v>
      </c>
      <c r="M138" s="869" t="n">
        <v>49028</v>
      </c>
      <c r="O138" s="869" t="n">
        <v>47203</v>
      </c>
      <c r="Q138" t="n">
        <v>45000</v>
      </c>
      <c r="R138">
        <f>R98</f>
        <v/>
      </c>
      <c r="T138" t="n">
        <v>39000</v>
      </c>
      <c r="U138">
        <f>U98</f>
        <v/>
      </c>
      <c r="V138" t="n">
        <v>39000</v>
      </c>
      <c r="W138">
        <f>W98</f>
        <v/>
      </c>
      <c r="X138">
        <f>W98/I98</f>
        <v/>
      </c>
      <c r="Y138">
        <f>SUM(W98-U98)/U98</f>
        <v/>
      </c>
      <c r="Z138" t="inlineStr">
        <is>
          <t>D</t>
        </is>
      </c>
      <c r="AC138" t="inlineStr">
        <is>
          <t>No</t>
        </is>
      </c>
      <c r="AI138" t="inlineStr">
        <is>
          <t>Let</t>
        </is>
      </c>
    </row>
    <row r="139">
      <c r="A139" t="inlineStr">
        <is>
          <t xml:space="preserve">  Office</t>
        </is>
      </c>
      <c r="B139" t="inlineStr">
        <is>
          <t>WS</t>
        </is>
      </c>
      <c r="C139" t="inlineStr">
        <is>
          <t>MEL</t>
        </is>
      </c>
      <c r="D139" t="n">
        <v>550700</v>
      </c>
      <c r="E139" t="inlineStr">
        <is>
          <t>51 Great Portland Street</t>
        </is>
      </c>
      <c r="F139" t="inlineStr">
        <is>
          <t>First Floor</t>
        </is>
      </c>
      <c r="G139" t="inlineStr">
        <is>
          <t>Office</t>
        </is>
      </c>
      <c r="H139" t="n">
        <v>325</v>
      </c>
      <c r="I139">
        <f>I99</f>
        <v/>
      </c>
      <c r="J139" t="n">
        <v>500</v>
      </c>
      <c r="K139" t="inlineStr">
        <is>
          <t>Vacant</t>
        </is>
      </c>
      <c r="N139" s="869" t="n">
        <v>45282</v>
      </c>
      <c r="Q139" t="n">
        <v>0</v>
      </c>
      <c r="R139">
        <f>R99</f>
        <v/>
      </c>
      <c r="T139" t="n">
        <v>17100</v>
      </c>
      <c r="U139">
        <f>U99</f>
        <v/>
      </c>
      <c r="V139" t="n">
        <v>17100</v>
      </c>
      <c r="W139">
        <f>W99</f>
        <v/>
      </c>
      <c r="X139">
        <f>W99/I99</f>
        <v/>
      </c>
      <c r="Y139">
        <f>SUM(W99-U99)/U99</f>
        <v/>
      </c>
      <c r="Z139" t="inlineStr">
        <is>
          <t>E</t>
        </is>
      </c>
      <c r="AC139" t="inlineStr">
        <is>
          <t>No</t>
        </is>
      </c>
      <c r="AD139" t="inlineStr">
        <is>
          <t>To be refurbished.</t>
        </is>
      </c>
      <c r="AE139" t="n">
        <v>58</v>
      </c>
      <c r="AG139" t="n">
        <v>4</v>
      </c>
      <c r="AI139" t="inlineStr">
        <is>
          <t>Void</t>
        </is>
      </c>
    </row>
    <row r="140">
      <c r="A140" t="inlineStr">
        <is>
          <t xml:space="preserve">  Office</t>
        </is>
      </c>
      <c r="B140" t="inlineStr">
        <is>
          <t>WS</t>
        </is>
      </c>
      <c r="C140" t="inlineStr">
        <is>
          <t>MEL</t>
        </is>
      </c>
      <c r="D140" t="n">
        <v>550700</v>
      </c>
      <c r="E140" t="inlineStr">
        <is>
          <t>51 Great Portland Street</t>
        </is>
      </c>
      <c r="F140" t="inlineStr">
        <is>
          <t>Second Floor</t>
        </is>
      </c>
      <c r="G140" t="inlineStr">
        <is>
          <t>Office</t>
        </is>
      </c>
      <c r="H140" t="n">
        <v>325</v>
      </c>
      <c r="I140">
        <f>I100</f>
        <v/>
      </c>
      <c r="J140" t="n">
        <v>500</v>
      </c>
      <c r="K140" t="inlineStr">
        <is>
          <t>Learn Lab Language School Ltd</t>
        </is>
      </c>
      <c r="L140" s="869" t="n">
        <v>45698</v>
      </c>
      <c r="M140" s="869" t="n">
        <v>46427</v>
      </c>
      <c r="Q140" t="n">
        <v>22069</v>
      </c>
      <c r="R140">
        <f>R100</f>
        <v/>
      </c>
      <c r="T140" t="n">
        <v>17100</v>
      </c>
      <c r="U140">
        <f>U100</f>
        <v/>
      </c>
      <c r="V140" t="n">
        <v>17100</v>
      </c>
      <c r="W140">
        <f>W100</f>
        <v/>
      </c>
      <c r="X140">
        <f>W100/I100</f>
        <v/>
      </c>
      <c r="Y140">
        <f>SUM(W100-U100)/U100</f>
        <v/>
      </c>
      <c r="Z140" t="inlineStr">
        <is>
          <t>D</t>
        </is>
      </c>
      <c r="AC140" t="inlineStr">
        <is>
          <t>No</t>
        </is>
      </c>
      <c r="AD140" t="inlineStr">
        <is>
          <t>Rent all inclusive (excl rates).</t>
        </is>
      </c>
      <c r="AG140" t="n">
        <v>1</v>
      </c>
      <c r="AI140" t="inlineStr">
        <is>
          <t>Let</t>
        </is>
      </c>
    </row>
    <row r="141">
      <c r="A141" t="inlineStr">
        <is>
          <t xml:space="preserve">  Office</t>
        </is>
      </c>
      <c r="B141" t="inlineStr">
        <is>
          <t>WS</t>
        </is>
      </c>
      <c r="C141" t="inlineStr">
        <is>
          <t>MEL</t>
        </is>
      </c>
      <c r="D141" t="n">
        <v>550700</v>
      </c>
      <c r="E141" t="inlineStr">
        <is>
          <t>51 Great Portland Street</t>
        </is>
      </c>
      <c r="F141" t="inlineStr">
        <is>
          <t>Third Floor</t>
        </is>
      </c>
      <c r="G141" t="inlineStr">
        <is>
          <t>Office</t>
        </is>
      </c>
      <c r="H141" t="n">
        <v>325</v>
      </c>
      <c r="I141">
        <f>I101</f>
        <v/>
      </c>
      <c r="J141" t="n">
        <v>500</v>
      </c>
      <c r="K141" t="inlineStr">
        <is>
          <t>Vacant</t>
        </is>
      </c>
      <c r="N141" s="869" t="n">
        <v>44714</v>
      </c>
      <c r="Q141" t="n">
        <v>0</v>
      </c>
      <c r="R141">
        <f>R101</f>
        <v/>
      </c>
      <c r="T141" t="n">
        <v>16300</v>
      </c>
      <c r="U141">
        <f>U101</f>
        <v/>
      </c>
      <c r="V141" t="n">
        <v>16300</v>
      </c>
      <c r="W141">
        <f>W101</f>
        <v/>
      </c>
      <c r="X141">
        <f>W101/I101</f>
        <v/>
      </c>
      <c r="Y141">
        <f>SUM(W101-U101)/U101</f>
        <v/>
      </c>
      <c r="Z141" t="inlineStr">
        <is>
          <t>C</t>
        </is>
      </c>
      <c r="AC141" t="inlineStr">
        <is>
          <t>No</t>
        </is>
      </c>
      <c r="AD141" t="inlineStr">
        <is>
          <t>To be refurbished.</t>
        </is>
      </c>
      <c r="AE141" t="n">
        <v>52.5</v>
      </c>
      <c r="AI141" t="inlineStr">
        <is>
          <t>Void</t>
        </is>
      </c>
    </row>
    <row r="142"/>
    <row r="143">
      <c r="A143" s="868" t="inlineStr">
        <is>
          <t>53 Great Portland Street</t>
        </is>
      </c>
    </row>
    <row r="144">
      <c r="A144" t="inlineStr">
        <is>
          <t xml:space="preserve">  Café</t>
        </is>
      </c>
      <c r="B144" t="inlineStr">
        <is>
          <t>WS</t>
        </is>
      </c>
      <c r="C144" t="inlineStr">
        <is>
          <t>MEL</t>
        </is>
      </c>
      <c r="D144" t="n">
        <v>550710</v>
      </c>
      <c r="E144" t="inlineStr">
        <is>
          <t>53 Great Portland Street</t>
        </is>
      </c>
      <c r="F144" t="inlineStr">
        <is>
          <t>Ground Floor &amp; Basement</t>
        </is>
      </c>
      <c r="G144" t="inlineStr">
        <is>
          <t>Café</t>
        </is>
      </c>
      <c r="H144" t="n">
        <v>807</v>
      </c>
      <c r="I144">
        <f>I102</f>
        <v/>
      </c>
      <c r="J144" t="n">
        <v>1000</v>
      </c>
      <c r="K144" t="inlineStr">
        <is>
          <t>O-Chaa Thai Ltd.</t>
        </is>
      </c>
      <c r="L144" s="869" t="n">
        <v>42179</v>
      </c>
      <c r="M144" s="869" t="n">
        <v>45831</v>
      </c>
      <c r="Q144" t="n">
        <v>34320</v>
      </c>
      <c r="R144">
        <f>R102</f>
        <v/>
      </c>
      <c r="T144" t="n">
        <v>34320</v>
      </c>
      <c r="U144">
        <f>U102</f>
        <v/>
      </c>
      <c r="V144" t="n">
        <v>34481</v>
      </c>
      <c r="W144">
        <f>W102</f>
        <v/>
      </c>
      <c r="X144">
        <f>W102/I102</f>
        <v/>
      </c>
      <c r="Y144">
        <f>SUM(W102-U102)/U102</f>
        <v/>
      </c>
      <c r="Z144" t="inlineStr">
        <is>
          <t>E</t>
        </is>
      </c>
      <c r="AC144" t="inlineStr">
        <is>
          <t>No</t>
        </is>
      </c>
      <c r="AD144" t="inlineStr">
        <is>
          <t>Lease renewal terms being discussed.</t>
        </is>
      </c>
      <c r="AI144" t="inlineStr">
        <is>
          <t>Let</t>
        </is>
      </c>
    </row>
    <row r="145">
      <c r="A145" t="inlineStr">
        <is>
          <t xml:space="preserve">  Kiosk</t>
        </is>
      </c>
      <c r="B145" t="inlineStr">
        <is>
          <t>WS</t>
        </is>
      </c>
      <c r="C145" t="inlineStr">
        <is>
          <t>MEL</t>
        </is>
      </c>
      <c r="D145" t="n">
        <v>550710</v>
      </c>
      <c r="E145" t="inlineStr">
        <is>
          <t>53 Great Portland Street</t>
        </is>
      </c>
      <c r="F145" t="inlineStr">
        <is>
          <t>Ground Floor</t>
        </is>
      </c>
      <c r="G145" t="inlineStr">
        <is>
          <t>Kiosk</t>
        </is>
      </c>
      <c r="H145" t="n">
        <v>60</v>
      </c>
      <c r="I145">
        <f>I103</f>
        <v/>
      </c>
      <c r="K145" t="inlineStr">
        <is>
          <t>J C Patel</t>
        </is>
      </c>
      <c r="L145" s="869" t="n">
        <v>44075</v>
      </c>
      <c r="M145" s="869" t="n">
        <v>45900</v>
      </c>
      <c r="Q145" t="n">
        <v>12500</v>
      </c>
      <c r="R145">
        <f>R103</f>
        <v/>
      </c>
      <c r="T145" t="n">
        <v>12000</v>
      </c>
      <c r="U145">
        <f>U103</f>
        <v/>
      </c>
      <c r="V145" t="n">
        <v>12000</v>
      </c>
      <c r="W145">
        <f>W103</f>
        <v/>
      </c>
      <c r="X145">
        <f>W103/I103</f>
        <v/>
      </c>
      <c r="Y145">
        <f>SUM(W103-U103)/U103</f>
        <v/>
      </c>
      <c r="Z145" t="inlineStr">
        <is>
          <t>E</t>
        </is>
      </c>
      <c r="AC145" t="inlineStr">
        <is>
          <t>No</t>
        </is>
      </c>
      <c r="AD145" t="inlineStr">
        <is>
          <t>All Inclusive. Lease renewal being discussed.</t>
        </is>
      </c>
      <c r="AI145" t="inlineStr">
        <is>
          <t>Let</t>
        </is>
      </c>
    </row>
    <row r="146">
      <c r="A146" t="inlineStr">
        <is>
          <t xml:space="preserve">  Office</t>
        </is>
      </c>
      <c r="B146" t="inlineStr">
        <is>
          <t>WS</t>
        </is>
      </c>
      <c r="C146" t="inlineStr">
        <is>
          <t>MEL</t>
        </is>
      </c>
      <c r="D146" t="n">
        <v>550710</v>
      </c>
      <c r="E146" t="inlineStr">
        <is>
          <t>53 Great Portland Street</t>
        </is>
      </c>
      <c r="F146" t="inlineStr">
        <is>
          <t>First Floor</t>
        </is>
      </c>
      <c r="G146" t="inlineStr">
        <is>
          <t>Office</t>
        </is>
      </c>
      <c r="H146" t="n">
        <v>370</v>
      </c>
      <c r="I146">
        <f>I104</f>
        <v/>
      </c>
      <c r="J146" t="n">
        <v>500</v>
      </c>
      <c r="K146" t="inlineStr">
        <is>
          <t>Vacant</t>
        </is>
      </c>
      <c r="N146" s="869" t="n">
        <v>43738</v>
      </c>
      <c r="Q146" t="n">
        <v>0</v>
      </c>
      <c r="R146">
        <f>R104</f>
        <v/>
      </c>
      <c r="T146" t="n">
        <v>18500</v>
      </c>
      <c r="U146">
        <f>U104</f>
        <v/>
      </c>
      <c r="V146" t="n">
        <v>18500</v>
      </c>
      <c r="W146">
        <f>W104</f>
        <v/>
      </c>
      <c r="X146">
        <f>W104/I104</f>
        <v/>
      </c>
      <c r="Y146">
        <f>SUM(W104-U104)/U104</f>
        <v/>
      </c>
      <c r="Z146" t="inlineStr">
        <is>
          <t>E</t>
        </is>
      </c>
      <c r="AC146" t="inlineStr">
        <is>
          <t>No</t>
        </is>
      </c>
      <c r="AD146" t="inlineStr">
        <is>
          <t>To be refurbished.</t>
        </is>
      </c>
      <c r="AE146" t="n">
        <v>52.5</v>
      </c>
      <c r="AF146" t="n">
        <v>1</v>
      </c>
      <c r="AG146" t="n">
        <v>3</v>
      </c>
      <c r="AI146" t="inlineStr">
        <is>
          <t>Void</t>
        </is>
      </c>
    </row>
    <row r="147">
      <c r="A147" t="inlineStr">
        <is>
          <t xml:space="preserve">  Office</t>
        </is>
      </c>
      <c r="B147" t="inlineStr">
        <is>
          <t>WS</t>
        </is>
      </c>
      <c r="C147" t="inlineStr">
        <is>
          <t>MEL</t>
        </is>
      </c>
      <c r="D147" t="n">
        <v>550710</v>
      </c>
      <c r="E147" t="inlineStr">
        <is>
          <t>53 Great Portland Street</t>
        </is>
      </c>
      <c r="F147" t="inlineStr">
        <is>
          <t>Second Floor</t>
        </is>
      </c>
      <c r="G147" t="inlineStr">
        <is>
          <t>Office</t>
        </is>
      </c>
      <c r="H147" t="n">
        <v>325</v>
      </c>
      <c r="I147">
        <f>I105</f>
        <v/>
      </c>
      <c r="J147" t="n">
        <v>500</v>
      </c>
      <c r="K147" t="inlineStr">
        <is>
          <t>Vacant</t>
        </is>
      </c>
      <c r="N147" s="869" t="n">
        <v>45379</v>
      </c>
      <c r="Q147" t="n">
        <v>0</v>
      </c>
      <c r="R147">
        <f>R105</f>
        <v/>
      </c>
      <c r="T147" t="n">
        <v>17000</v>
      </c>
      <c r="U147">
        <f>U105</f>
        <v/>
      </c>
      <c r="V147" t="n">
        <v>17062</v>
      </c>
      <c r="W147">
        <f>W105</f>
        <v/>
      </c>
      <c r="X147">
        <f>W105/I105</f>
        <v/>
      </c>
      <c r="Y147">
        <f>SUM(W105-U105)/U105</f>
        <v/>
      </c>
      <c r="Z147" t="inlineStr">
        <is>
          <t>E</t>
        </is>
      </c>
      <c r="AC147" t="inlineStr">
        <is>
          <t>No</t>
        </is>
      </c>
      <c r="AD147" t="inlineStr">
        <is>
          <t>To be refurbished.</t>
        </is>
      </c>
      <c r="AE147" t="n">
        <v>53</v>
      </c>
      <c r="AI147" t="inlineStr">
        <is>
          <t>Void</t>
        </is>
      </c>
    </row>
    <row r="148">
      <c r="A148" t="inlineStr">
        <is>
          <t xml:space="preserve">  Office</t>
        </is>
      </c>
      <c r="B148" t="inlineStr">
        <is>
          <t>WS</t>
        </is>
      </c>
      <c r="C148" t="inlineStr">
        <is>
          <t>MEL</t>
        </is>
      </c>
      <c r="D148" t="n">
        <v>550710</v>
      </c>
      <c r="E148" t="inlineStr">
        <is>
          <t>53 Great Portland Street</t>
        </is>
      </c>
      <c r="F148" t="inlineStr">
        <is>
          <t>Third Floor</t>
        </is>
      </c>
      <c r="G148" t="inlineStr">
        <is>
          <t>Office</t>
        </is>
      </c>
      <c r="H148" t="n">
        <v>321</v>
      </c>
      <c r="I148">
        <f>I106</f>
        <v/>
      </c>
      <c r="J148" t="n">
        <v>500</v>
      </c>
      <c r="K148" t="inlineStr">
        <is>
          <t>Vacant</t>
        </is>
      </c>
      <c r="N148" s="869" t="n">
        <v>45170</v>
      </c>
      <c r="Q148" t="n">
        <v>0</v>
      </c>
      <c r="R148">
        <f>R106</f>
        <v/>
      </c>
      <c r="T148" t="n">
        <v>17000</v>
      </c>
      <c r="U148">
        <f>U106</f>
        <v/>
      </c>
      <c r="V148" t="n">
        <v>16852</v>
      </c>
      <c r="W148">
        <f>W106</f>
        <v/>
      </c>
      <c r="X148">
        <f>W106/I106</f>
        <v/>
      </c>
      <c r="Y148">
        <f>SUM(W106-U106)/U106</f>
        <v/>
      </c>
      <c r="Z148" t="inlineStr">
        <is>
          <t>E</t>
        </is>
      </c>
      <c r="AC148" t="inlineStr">
        <is>
          <t>No</t>
        </is>
      </c>
      <c r="AD148" t="inlineStr">
        <is>
          <t>To be refurbished.</t>
        </is>
      </c>
      <c r="AE148" t="n">
        <v>53</v>
      </c>
      <c r="AF148" t="n">
        <v>2</v>
      </c>
      <c r="AG148" t="n">
        <v>2</v>
      </c>
      <c r="AI148" t="inlineStr">
        <is>
          <t>Void</t>
        </is>
      </c>
    </row>
    <row r="149"/>
    <row r="150">
      <c r="A150" s="868" t="inlineStr">
        <is>
          <t>76 Great Portland Street</t>
        </is>
      </c>
    </row>
    <row r="151">
      <c r="A151" t="inlineStr">
        <is>
          <t xml:space="preserve">  Showroom</t>
        </is>
      </c>
      <c r="B151" t="inlineStr">
        <is>
          <t>CM</t>
        </is>
      </c>
      <c r="C151" t="inlineStr">
        <is>
          <t>MEL</t>
        </is>
      </c>
      <c r="D151" t="n">
        <v>550090</v>
      </c>
      <c r="E151" t="inlineStr">
        <is>
          <t>76 Great Portland Street</t>
        </is>
      </c>
      <c r="F151" t="inlineStr">
        <is>
          <t>Basement &amp; Ground Floor (Front)</t>
        </is>
      </c>
      <c r="G151" t="inlineStr">
        <is>
          <t>Showroom</t>
        </is>
      </c>
      <c r="H151" t="n">
        <v>607</v>
      </c>
      <c r="I151">
        <f>I107</f>
        <v/>
      </c>
      <c r="J151" t="n">
        <v>500</v>
      </c>
      <c r="K151" t="inlineStr">
        <is>
          <t>O-Chaa Thai Ltd.</t>
        </is>
      </c>
      <c r="L151" s="869" t="n">
        <v>45706</v>
      </c>
      <c r="M151" s="869" t="n">
        <v>49357</v>
      </c>
      <c r="O151" s="869" t="n">
        <v>47532</v>
      </c>
      <c r="P151" s="869" t="n">
        <v>47531</v>
      </c>
      <c r="Q151" t="n">
        <v>27000</v>
      </c>
      <c r="R151">
        <f>R107</f>
        <v/>
      </c>
      <c r="T151" t="n">
        <v>25000</v>
      </c>
      <c r="U151">
        <f>U107</f>
        <v/>
      </c>
      <c r="V151" t="n">
        <v>25000</v>
      </c>
      <c r="W151">
        <f>W107</f>
        <v/>
      </c>
      <c r="X151">
        <f>W107/I107</f>
        <v/>
      </c>
      <c r="Y151">
        <f>SUM(W107-U107)/U107</f>
        <v/>
      </c>
      <c r="Z151" t="inlineStr">
        <is>
          <t>B</t>
        </is>
      </c>
      <c r="AC151" t="inlineStr">
        <is>
          <t>No</t>
        </is>
      </c>
      <c r="AD151" t="inlineStr">
        <is>
          <t xml:space="preserve">Tenant break on 6 months notice. </t>
        </is>
      </c>
      <c r="AI151" t="inlineStr">
        <is>
          <t>Let</t>
        </is>
      </c>
    </row>
    <row r="152">
      <c r="A152" t="inlineStr">
        <is>
          <t xml:space="preserve">  Restaurant</t>
        </is>
      </c>
      <c r="B152" t="inlineStr">
        <is>
          <t>CM</t>
        </is>
      </c>
      <c r="C152" t="inlineStr">
        <is>
          <t>MEL</t>
        </is>
      </c>
      <c r="D152" t="n">
        <v>550090</v>
      </c>
      <c r="E152" t="inlineStr">
        <is>
          <t>76 Great Portland Street</t>
        </is>
      </c>
      <c r="F152" t="inlineStr">
        <is>
          <t>Basement &amp; Ground Floor (Rear)</t>
        </is>
      </c>
      <c r="G152" t="inlineStr">
        <is>
          <t>Restaurant</t>
        </is>
      </c>
      <c r="H152" t="n">
        <v>662</v>
      </c>
      <c r="I152">
        <f>I108</f>
        <v/>
      </c>
      <c r="J152" t="n">
        <v>500</v>
      </c>
      <c r="K152" t="inlineStr">
        <is>
          <t>O-Chaa Thai Ltd.</t>
        </is>
      </c>
      <c r="L152" s="869" t="n">
        <v>45706</v>
      </c>
      <c r="M152" s="869" t="n">
        <v>49357</v>
      </c>
      <c r="O152" s="869" t="n">
        <v>47532</v>
      </c>
      <c r="P152" s="869" t="n">
        <v>47531</v>
      </c>
      <c r="Q152" t="n">
        <v>22000</v>
      </c>
      <c r="R152">
        <f>R108</f>
        <v/>
      </c>
      <c r="T152" t="n">
        <v>20000</v>
      </c>
      <c r="U152">
        <f>U108</f>
        <v/>
      </c>
      <c r="V152" t="n">
        <v>20000</v>
      </c>
      <c r="W152">
        <f>W108</f>
        <v/>
      </c>
      <c r="X152">
        <f>W108/I108</f>
        <v/>
      </c>
      <c r="Y152">
        <f>SUM(W108-U108)/U108</f>
        <v/>
      </c>
      <c r="Z152" t="inlineStr">
        <is>
          <t>B</t>
        </is>
      </c>
      <c r="AC152" t="inlineStr">
        <is>
          <t>No</t>
        </is>
      </c>
      <c r="AD152" t="inlineStr">
        <is>
          <t>Tenant break on 6 months notice.</t>
        </is>
      </c>
      <c r="AI152" t="inlineStr">
        <is>
          <t>Let</t>
        </is>
      </c>
    </row>
    <row r="153">
      <c r="A153" t="inlineStr">
        <is>
          <t xml:space="preserve">  Office</t>
        </is>
      </c>
      <c r="B153" t="inlineStr">
        <is>
          <t>CM</t>
        </is>
      </c>
      <c r="C153" t="inlineStr">
        <is>
          <t>MEL</t>
        </is>
      </c>
      <c r="D153" t="n">
        <v>550090</v>
      </c>
      <c r="E153" t="inlineStr">
        <is>
          <t>76 Great Portland Street</t>
        </is>
      </c>
      <c r="F153" t="inlineStr">
        <is>
          <t>First to Fourth Floor</t>
        </is>
      </c>
      <c r="G153" t="inlineStr">
        <is>
          <t>Office</t>
        </is>
      </c>
      <c r="H153" t="n">
        <v>1765</v>
      </c>
      <c r="I153">
        <f>I109</f>
        <v/>
      </c>
      <c r="J153" t="n">
        <v>1750</v>
      </c>
      <c r="K153" t="inlineStr">
        <is>
          <t>Vacant</t>
        </is>
      </c>
      <c r="N153" s="869" t="n">
        <v>43256</v>
      </c>
      <c r="Q153" t="n">
        <v>0</v>
      </c>
      <c r="R153">
        <f>R109</f>
        <v/>
      </c>
      <c r="T153" t="n">
        <v>90000</v>
      </c>
      <c r="U153">
        <f>U109</f>
        <v/>
      </c>
      <c r="V153" t="n">
        <v>85000</v>
      </c>
      <c r="W153">
        <f>W109</f>
        <v/>
      </c>
      <c r="X153">
        <f>W109/I109</f>
        <v/>
      </c>
      <c r="Y153">
        <f>SUM(W109-U109)/U109</f>
        <v/>
      </c>
      <c r="Z153" t="inlineStr">
        <is>
          <t>E</t>
        </is>
      </c>
      <c r="AC153" t="inlineStr">
        <is>
          <t>No</t>
        </is>
      </c>
      <c r="AD153" t="inlineStr">
        <is>
          <t>Mothballed.</t>
        </is>
      </c>
      <c r="AI153" t="inlineStr">
        <is>
          <t>Void</t>
        </is>
      </c>
    </row>
    <row r="154"/>
    <row r="155">
      <c r="A155" s="868" t="inlineStr">
        <is>
          <t>1 Great Titchfield Street</t>
        </is>
      </c>
    </row>
    <row r="156">
      <c r="A156" t="inlineStr">
        <is>
          <t xml:space="preserve">  Shop/Snack Bar</t>
        </is>
      </c>
      <c r="B156" t="inlineStr">
        <is>
          <t>WS</t>
        </is>
      </c>
      <c r="C156" t="inlineStr">
        <is>
          <t>MEL</t>
        </is>
      </c>
      <c r="D156" t="n">
        <v>550750</v>
      </c>
      <c r="E156" t="inlineStr">
        <is>
          <t>1 Great Titchfield Street</t>
        </is>
      </c>
      <c r="F156" t="inlineStr">
        <is>
          <t>Basement to Third Floor</t>
        </is>
      </c>
      <c r="G156" t="inlineStr">
        <is>
          <t>Shop/Snack Bar</t>
        </is>
      </c>
      <c r="H156" t="n">
        <v>1305</v>
      </c>
      <c r="I156">
        <f>I110</f>
        <v/>
      </c>
      <c r="J156" t="n">
        <v>1250</v>
      </c>
      <c r="K156" t="inlineStr">
        <is>
          <t>Tikkas Group Ltd</t>
        </is>
      </c>
      <c r="L156" s="869" t="n">
        <v>45748</v>
      </c>
      <c r="M156" s="869" t="n">
        <v>49399</v>
      </c>
      <c r="O156" s="869" t="n">
        <v>47574</v>
      </c>
      <c r="P156" s="869" t="n">
        <v>47573</v>
      </c>
      <c r="Q156" t="n">
        <v>0</v>
      </c>
      <c r="R156">
        <f>R110</f>
        <v/>
      </c>
      <c r="S156">
        <f>S110</f>
        <v/>
      </c>
      <c r="T156" t="n">
        <v>90000</v>
      </c>
      <c r="U156">
        <f>U110</f>
        <v/>
      </c>
      <c r="V156" t="n">
        <v>90000</v>
      </c>
      <c r="W156">
        <f>W110</f>
        <v/>
      </c>
      <c r="X156">
        <f>W110/I110</f>
        <v/>
      </c>
      <c r="Y156">
        <f>SUM(W110-U110)/U110</f>
        <v/>
      </c>
      <c r="Z156" t="inlineStr">
        <is>
          <t>D</t>
        </is>
      </c>
      <c r="AB156" t="n">
        <v>1630000</v>
      </c>
      <c r="AC156" t="inlineStr">
        <is>
          <t>No</t>
        </is>
      </c>
      <c r="AD156" t="inlineStr">
        <is>
          <t>Rent £90,000 wef 01/09/25. Tenant break on 6 months notice. 2 months rent free if break not exercised.</t>
        </is>
      </c>
      <c r="AE156" t="n">
        <v>69</v>
      </c>
      <c r="AG156" t="n">
        <v>10</v>
      </c>
      <c r="AH156" t="inlineStr">
        <is>
          <t>LEM</t>
        </is>
      </c>
      <c r="AI156" t="inlineStr">
        <is>
          <t>Let</t>
        </is>
      </c>
    </row>
    <row r="157"/>
    <row r="158">
      <c r="A158" s="868" t="inlineStr">
        <is>
          <t>3 Great Titchfield Street</t>
        </is>
      </c>
    </row>
    <row r="159">
      <c r="A159" t="inlineStr">
        <is>
          <t xml:space="preserve">  Restaurant</t>
        </is>
      </c>
      <c r="B159" t="inlineStr">
        <is>
          <t>CM</t>
        </is>
      </c>
      <c r="C159" t="inlineStr">
        <is>
          <t>MEL</t>
        </is>
      </c>
      <c r="D159" t="n">
        <v>550880</v>
      </c>
      <c r="E159" t="inlineStr">
        <is>
          <t>3 Great Titchfield Street</t>
        </is>
      </c>
      <c r="F159" t="inlineStr">
        <is>
          <t>Basement &amp; Ground</t>
        </is>
      </c>
      <c r="G159" t="inlineStr">
        <is>
          <t>Restaurant</t>
        </is>
      </c>
      <c r="H159" t="n">
        <v>1440</v>
      </c>
      <c r="I159">
        <f>I111</f>
        <v/>
      </c>
      <c r="J159" t="n">
        <v>1500</v>
      </c>
      <c r="K159" t="inlineStr">
        <is>
          <t>Pho Trading Ltd.</t>
        </is>
      </c>
      <c r="L159" s="869" t="n">
        <v>43430</v>
      </c>
      <c r="M159" s="869" t="n">
        <v>47082</v>
      </c>
      <c r="O159" s="869" t="n">
        <v>45256</v>
      </c>
      <c r="Q159" t="n">
        <v>100000</v>
      </c>
      <c r="R159">
        <f>R111</f>
        <v/>
      </c>
      <c r="T159" t="n">
        <v>100000</v>
      </c>
      <c r="U159">
        <f>U111</f>
        <v/>
      </c>
      <c r="V159" t="n">
        <v>100000</v>
      </c>
      <c r="W159">
        <f>W111</f>
        <v/>
      </c>
      <c r="X159">
        <f>W111/I111</f>
        <v/>
      </c>
      <c r="Y159">
        <f>SUM(W111-U111)/U111</f>
        <v/>
      </c>
      <c r="Z159" t="inlineStr">
        <is>
          <t>C</t>
        </is>
      </c>
      <c r="AC159" t="inlineStr">
        <is>
          <t>No</t>
        </is>
      </c>
      <c r="AD159" t="inlineStr">
        <is>
          <t>Rent review not activated due to level of passing rent.</t>
        </is>
      </c>
      <c r="AI159" t="inlineStr">
        <is>
          <t>Let</t>
        </is>
      </c>
    </row>
    <row r="160">
      <c r="A160" t="inlineStr">
        <is>
          <t xml:space="preserve">  Flat</t>
        </is>
      </c>
      <c r="B160" t="inlineStr">
        <is>
          <t>CM</t>
        </is>
      </c>
      <c r="C160" t="inlineStr">
        <is>
          <t>MEL</t>
        </is>
      </c>
      <c r="D160" t="n">
        <v>550880</v>
      </c>
      <c r="E160" t="inlineStr">
        <is>
          <t>3 Great Titchfield Street</t>
        </is>
      </c>
      <c r="F160" t="inlineStr">
        <is>
          <t xml:space="preserve">First to Third Floor </t>
        </is>
      </c>
      <c r="G160" t="inlineStr">
        <is>
          <t>Flat</t>
        </is>
      </c>
      <c r="H160" t="n">
        <v>1082</v>
      </c>
      <c r="I160">
        <f>I112</f>
        <v/>
      </c>
      <c r="J160" t="n">
        <v>1000</v>
      </c>
      <c r="K160" t="inlineStr">
        <is>
          <t>Hewson Independent Trading Company Ltd</t>
        </is>
      </c>
      <c r="L160" s="869" t="n">
        <v>45065</v>
      </c>
      <c r="M160" s="869" t="n">
        <v>46160</v>
      </c>
      <c r="Q160" t="n">
        <v>88400</v>
      </c>
      <c r="R160">
        <f>R112</f>
        <v/>
      </c>
      <c r="T160" t="n">
        <v>58968</v>
      </c>
      <c r="U160">
        <f>U112</f>
        <v/>
      </c>
      <c r="V160" t="n">
        <v>58968</v>
      </c>
      <c r="W160">
        <f>W112</f>
        <v/>
      </c>
      <c r="X160">
        <f>W112/I112</f>
        <v/>
      </c>
      <c r="Y160">
        <f>SUM(W112-U112)/U112</f>
        <v/>
      </c>
      <c r="Z160" t="inlineStr">
        <is>
          <t>D</t>
        </is>
      </c>
      <c r="AC160" t="inlineStr">
        <is>
          <t>No</t>
        </is>
      </c>
      <c r="AI160" t="inlineStr">
        <is>
          <t>Let</t>
        </is>
      </c>
    </row>
    <row r="161"/>
    <row r="162">
      <c r="A162" s="868" t="inlineStr">
        <is>
          <t>Great Titchfield House,  14-18 Great Titchfield Street</t>
        </is>
      </c>
    </row>
    <row r="163">
      <c r="A163" t="inlineStr">
        <is>
          <t xml:space="preserve">  Showroom</t>
        </is>
      </c>
      <c r="B163" t="inlineStr">
        <is>
          <t>WS</t>
        </is>
      </c>
      <c r="C163" t="inlineStr">
        <is>
          <t>MEL</t>
        </is>
      </c>
      <c r="D163" t="n">
        <v>550180</v>
      </c>
      <c r="E163" t="inlineStr">
        <is>
          <t>Great Titchfield House,  14-18 Great Titchfield Street</t>
        </is>
      </c>
      <c r="F163" t="inlineStr">
        <is>
          <t>Ground Floor &amp; Basement (South)</t>
        </is>
      </c>
      <c r="G163" t="inlineStr">
        <is>
          <t>Showroom</t>
        </is>
      </c>
      <c r="H163" t="n">
        <v>2026</v>
      </c>
      <c r="I163">
        <f>I113</f>
        <v/>
      </c>
      <c r="J163" t="n">
        <v>2000</v>
      </c>
      <c r="K163" t="inlineStr">
        <is>
          <t>Sound Disposition Limited</t>
        </is>
      </c>
      <c r="L163" s="869" t="n">
        <v>45247</v>
      </c>
      <c r="M163" s="869" t="n">
        <v>48899</v>
      </c>
      <c r="O163" s="869" t="n">
        <v>47074</v>
      </c>
      <c r="P163" s="869" t="n">
        <v>47073</v>
      </c>
      <c r="Q163" t="n">
        <v>100000</v>
      </c>
      <c r="R163">
        <f>R113</f>
        <v/>
      </c>
      <c r="T163" t="n">
        <v>71800</v>
      </c>
      <c r="U163">
        <f>U113</f>
        <v/>
      </c>
      <c r="V163" t="n">
        <v>100000</v>
      </c>
      <c r="W163">
        <f>W113</f>
        <v/>
      </c>
      <c r="X163">
        <f>W113/I113</f>
        <v/>
      </c>
      <c r="Y163">
        <f>SUM(W113-U113)/U113</f>
        <v/>
      </c>
      <c r="Z163" t="inlineStr">
        <is>
          <t>C</t>
        </is>
      </c>
      <c r="AC163" t="inlineStr">
        <is>
          <t>No</t>
        </is>
      </c>
      <c r="AD163" t="inlineStr">
        <is>
          <t>Tenant break on 6 months notice. 5 months rent free if not exercised (spread over 12 months).</t>
        </is>
      </c>
      <c r="AI163" t="inlineStr">
        <is>
          <t>Let</t>
        </is>
      </c>
    </row>
    <row r="164">
      <c r="A164" t="inlineStr">
        <is>
          <t xml:space="preserve">  Showroom</t>
        </is>
      </c>
      <c r="B164" t="inlineStr">
        <is>
          <t>WS</t>
        </is>
      </c>
      <c r="C164" t="inlineStr">
        <is>
          <t>MEL</t>
        </is>
      </c>
      <c r="D164" t="n">
        <v>550180</v>
      </c>
      <c r="E164" t="inlineStr">
        <is>
          <t>Great Titchfield House,  14-18 Great Titchfield Street</t>
        </is>
      </c>
      <c r="F164" t="inlineStr">
        <is>
          <t>Ground Floor &amp; Basement (North)</t>
        </is>
      </c>
      <c r="G164" t="inlineStr">
        <is>
          <t>Showroom</t>
        </is>
      </c>
      <c r="H164" t="n">
        <v>2202</v>
      </c>
      <c r="I164">
        <f>I114</f>
        <v/>
      </c>
      <c r="J164" t="n">
        <v>2000</v>
      </c>
      <c r="K164" t="inlineStr">
        <is>
          <t>Godske Group A/S</t>
        </is>
      </c>
      <c r="L164" s="869" t="n">
        <v>44497</v>
      </c>
      <c r="M164" s="869" t="n">
        <v>46322</v>
      </c>
      <c r="Q164" t="n">
        <v>96000</v>
      </c>
      <c r="R164">
        <f>R114</f>
        <v/>
      </c>
      <c r="T164" t="n">
        <v>78600</v>
      </c>
      <c r="U164">
        <f>U114</f>
        <v/>
      </c>
      <c r="V164" t="n">
        <v>96000</v>
      </c>
      <c r="W164">
        <f>W114</f>
        <v/>
      </c>
      <c r="X164">
        <f>W114/I114</f>
        <v/>
      </c>
      <c r="Y164">
        <f>SUM(W114-U114)/U114</f>
        <v/>
      </c>
      <c r="Z164" t="inlineStr">
        <is>
          <t>C</t>
        </is>
      </c>
      <c r="AC164" t="inlineStr">
        <is>
          <t>No</t>
        </is>
      </c>
      <c r="AI164" t="inlineStr">
        <is>
          <t>Let</t>
        </is>
      </c>
    </row>
    <row r="165">
      <c r="A165" t="inlineStr">
        <is>
          <t xml:space="preserve">  Recording Studio /Office</t>
        </is>
      </c>
      <c r="B165" t="inlineStr">
        <is>
          <t>WS</t>
        </is>
      </c>
      <c r="C165" t="inlineStr">
        <is>
          <t>MEL</t>
        </is>
      </c>
      <c r="D165" t="n">
        <v>550180</v>
      </c>
      <c r="E165" t="inlineStr">
        <is>
          <t>Great Titchfield House,  14-18 Great Titchfield Street</t>
        </is>
      </c>
      <c r="F165" t="inlineStr">
        <is>
          <t>First Floor</t>
        </is>
      </c>
      <c r="G165" t="inlineStr">
        <is>
          <t>Recording Studio /Office</t>
        </is>
      </c>
      <c r="H165" t="n">
        <v>1977</v>
      </c>
      <c r="I165">
        <f>I115</f>
        <v/>
      </c>
      <c r="J165" t="n">
        <v>2000</v>
      </c>
      <c r="K165" t="inlineStr">
        <is>
          <t>Sound Disposition Limited</t>
        </is>
      </c>
      <c r="L165" s="869" t="n">
        <v>45441</v>
      </c>
      <c r="Q165" t="n">
        <v>96000</v>
      </c>
      <c r="R165">
        <f>R115</f>
        <v/>
      </c>
      <c r="T165" t="n">
        <v>121900</v>
      </c>
      <c r="U165">
        <f>U115</f>
        <v/>
      </c>
      <c r="V165" t="n">
        <v>133400</v>
      </c>
      <c r="W165">
        <f>W115</f>
        <v/>
      </c>
      <c r="X165">
        <f>W115/I115</f>
        <v/>
      </c>
      <c r="Y165">
        <f>SUM(W115-U115)/U115</f>
        <v/>
      </c>
      <c r="Z165" t="inlineStr">
        <is>
          <t>D</t>
        </is>
      </c>
      <c r="AC165" t="inlineStr">
        <is>
          <t>No</t>
        </is>
      </c>
      <c r="AD165" t="inlineStr">
        <is>
          <t>Tenancy at will.</t>
        </is>
      </c>
      <c r="AI165" t="inlineStr">
        <is>
          <t>Let</t>
        </is>
      </c>
    </row>
    <row r="166">
      <c r="A166" t="inlineStr">
        <is>
          <t xml:space="preserve">  Office</t>
        </is>
      </c>
      <c r="B166" t="inlineStr">
        <is>
          <t>WS</t>
        </is>
      </c>
      <c r="C166" t="inlineStr">
        <is>
          <t>MEL</t>
        </is>
      </c>
      <c r="D166" t="n">
        <v>550180</v>
      </c>
      <c r="E166" t="inlineStr">
        <is>
          <t>Great Titchfield House,  14-18 Great Titchfield Street</t>
        </is>
      </c>
      <c r="F166" t="inlineStr">
        <is>
          <t>Second Floor</t>
        </is>
      </c>
      <c r="G166" t="inlineStr">
        <is>
          <t>Office</t>
        </is>
      </c>
      <c r="H166" t="n">
        <v>1938</v>
      </c>
      <c r="I166">
        <f>I116</f>
        <v/>
      </c>
      <c r="J166" t="n">
        <v>2000</v>
      </c>
      <c r="K166" t="inlineStr">
        <is>
          <t>Infront Sports &amp; Media UK Ltd</t>
        </is>
      </c>
      <c r="L166" s="869" t="n">
        <v>44768</v>
      </c>
      <c r="M166" s="869" t="n">
        <v>45863</v>
      </c>
      <c r="Q166" t="n">
        <v>152250</v>
      </c>
      <c r="R166">
        <f>R116</f>
        <v/>
      </c>
      <c r="T166" t="n">
        <v>121800</v>
      </c>
      <c r="U166">
        <f>U116</f>
        <v/>
      </c>
      <c r="V166" t="n">
        <v>130800</v>
      </c>
      <c r="W166">
        <f>W116</f>
        <v/>
      </c>
      <c r="X166">
        <f>W116/I116</f>
        <v/>
      </c>
      <c r="Y166">
        <f>SUM(W116-U116)/U116</f>
        <v/>
      </c>
      <c r="Z166" t="inlineStr">
        <is>
          <t>D</t>
        </is>
      </c>
      <c r="AC166" t="inlineStr">
        <is>
          <t>No</t>
        </is>
      </c>
      <c r="AD166" t="inlineStr">
        <is>
          <t>Tenanct vacating on expiry.</t>
        </is>
      </c>
      <c r="AI166" t="inlineStr">
        <is>
          <t>Let</t>
        </is>
      </c>
    </row>
    <row r="167">
      <c r="A167" t="inlineStr">
        <is>
          <t xml:space="preserve">  Showroom/ Office</t>
        </is>
      </c>
      <c r="B167" t="inlineStr">
        <is>
          <t>WS</t>
        </is>
      </c>
      <c r="C167" t="inlineStr">
        <is>
          <t>MEL</t>
        </is>
      </c>
      <c r="D167" t="n">
        <v>550180</v>
      </c>
      <c r="E167" t="inlineStr">
        <is>
          <t>Great Titchfield House,  14-18 Great Titchfield Street</t>
        </is>
      </c>
      <c r="F167" t="inlineStr">
        <is>
          <t>Third Floor</t>
        </is>
      </c>
      <c r="G167" t="inlineStr">
        <is>
          <t>Showroom/ Office</t>
        </is>
      </c>
      <c r="H167" t="n">
        <v>1961</v>
      </c>
      <c r="I167">
        <f>I117</f>
        <v/>
      </c>
      <c r="J167" t="n">
        <v>2000</v>
      </c>
      <c r="K167" t="inlineStr">
        <is>
          <t>Sam Rogoff &amp; Co Ltd</t>
        </is>
      </c>
      <c r="L167" s="869" t="n">
        <v>45357</v>
      </c>
      <c r="M167" s="869" t="n">
        <v>47182</v>
      </c>
      <c r="Q167" t="n">
        <v>137025</v>
      </c>
      <c r="R167">
        <f>R117</f>
        <v/>
      </c>
      <c r="T167" t="n">
        <v>121800</v>
      </c>
      <c r="U167">
        <f>U117</f>
        <v/>
      </c>
      <c r="V167" t="n">
        <v>137035</v>
      </c>
      <c r="W167">
        <f>W117</f>
        <v/>
      </c>
      <c r="X167">
        <f>W117/I117</f>
        <v/>
      </c>
      <c r="Y167">
        <f>SUM(W117-U117)/U117</f>
        <v/>
      </c>
      <c r="Z167" t="inlineStr">
        <is>
          <t>B</t>
        </is>
      </c>
      <c r="AC167" t="inlineStr">
        <is>
          <t>No</t>
        </is>
      </c>
      <c r="AD167" t="inlineStr">
        <is>
          <t>Rent PA corrected</t>
        </is>
      </c>
      <c r="AI167" t="inlineStr">
        <is>
          <t>Let</t>
        </is>
      </c>
    </row>
    <row r="168">
      <c r="A168" t="inlineStr">
        <is>
          <t xml:space="preserve">  Showroom/ Office</t>
        </is>
      </c>
      <c r="B168" t="inlineStr">
        <is>
          <t>WS</t>
        </is>
      </c>
      <c r="C168" t="inlineStr">
        <is>
          <t>MEL</t>
        </is>
      </c>
      <c r="D168" t="n">
        <v>550180</v>
      </c>
      <c r="E168" t="inlineStr">
        <is>
          <t>Great Titchfield House,  14-18 Great Titchfield Street</t>
        </is>
      </c>
      <c r="F168" t="inlineStr">
        <is>
          <t>Fourth Floor</t>
        </is>
      </c>
      <c r="G168" t="inlineStr">
        <is>
          <t>Showroom/ Office</t>
        </is>
      </c>
      <c r="H168" t="n">
        <v>1992</v>
      </c>
      <c r="I168">
        <f>I118</f>
        <v/>
      </c>
      <c r="J168" t="n">
        <v>2000</v>
      </c>
      <c r="K168" t="inlineStr">
        <is>
          <t>Vacant</t>
        </is>
      </c>
      <c r="N168" s="869" t="n">
        <v>45596</v>
      </c>
      <c r="Q168" t="n">
        <v>0</v>
      </c>
      <c r="R168">
        <f>R118</f>
        <v/>
      </c>
      <c r="T168" t="n">
        <v>117300</v>
      </c>
      <c r="U168">
        <f>U118</f>
        <v/>
      </c>
      <c r="V168" t="n">
        <v>130325</v>
      </c>
      <c r="W168">
        <f>W118</f>
        <v/>
      </c>
      <c r="X168">
        <f>W118/I118</f>
        <v/>
      </c>
      <c r="Y168">
        <f>SUM(W118-U118)/U118</f>
        <v/>
      </c>
      <c r="Z168" t="inlineStr">
        <is>
          <t>D</t>
        </is>
      </c>
      <c r="AC168" t="inlineStr">
        <is>
          <t>No</t>
        </is>
      </c>
      <c r="AD168" t="inlineStr">
        <is>
          <t>To be refurbished.</t>
        </is>
      </c>
      <c r="AE168" t="n">
        <v>72.5</v>
      </c>
      <c r="AF168" t="n">
        <v>4</v>
      </c>
      <c r="AG168" t="n">
        <v>9</v>
      </c>
      <c r="AH168" t="inlineStr">
        <is>
          <t>LEM</t>
        </is>
      </c>
      <c r="AI168" t="inlineStr">
        <is>
          <t>Void</t>
        </is>
      </c>
    </row>
    <row r="169">
      <c r="A169" t="inlineStr">
        <is>
          <t xml:space="preserve">  Recording Studio/ Office</t>
        </is>
      </c>
      <c r="B169" t="inlineStr">
        <is>
          <t>WS</t>
        </is>
      </c>
      <c r="C169" t="inlineStr">
        <is>
          <t>MEL</t>
        </is>
      </c>
      <c r="D169" t="n">
        <v>550180</v>
      </c>
      <c r="E169" t="inlineStr">
        <is>
          <t>Great Titchfield House,  14-18 Great Titchfield Street</t>
        </is>
      </c>
      <c r="F169" t="inlineStr">
        <is>
          <t>Fifth Floor</t>
        </is>
      </c>
      <c r="G169" t="inlineStr">
        <is>
          <t>Recording Studio/ Office</t>
        </is>
      </c>
      <c r="H169" t="n">
        <v>1468</v>
      </c>
      <c r="I169">
        <f>I119</f>
        <v/>
      </c>
      <c r="J169" t="n">
        <v>1500</v>
      </c>
      <c r="K169" t="inlineStr">
        <is>
          <t>Sine Audio Post Production Ltd</t>
        </is>
      </c>
      <c r="L169" s="869" t="n">
        <v>44805</v>
      </c>
      <c r="M169" s="869" t="n">
        <v>46630</v>
      </c>
      <c r="P169" s="869" t="n">
        <v>45900</v>
      </c>
      <c r="Q169" t="n">
        <v>98280</v>
      </c>
      <c r="R169">
        <f>R119</f>
        <v/>
      </c>
      <c r="T169" t="n">
        <v>100400</v>
      </c>
      <c r="U169">
        <f>U119</f>
        <v/>
      </c>
      <c r="V169" t="n">
        <v>99100</v>
      </c>
      <c r="W169">
        <f>W119</f>
        <v/>
      </c>
      <c r="X169">
        <f>W119/I119</f>
        <v/>
      </c>
      <c r="Y169">
        <f>SUM(W119-U119)/U119</f>
        <v/>
      </c>
      <c r="Z169" t="inlineStr">
        <is>
          <t>B</t>
        </is>
      </c>
      <c r="AC169" t="inlineStr">
        <is>
          <t>No</t>
        </is>
      </c>
      <c r="AD169" t="inlineStr">
        <is>
          <t>Tenant break on 6 months notice. Rent concession to be granted to reflect cost of tenant installing air-con.</t>
        </is>
      </c>
      <c r="AI169" t="inlineStr">
        <is>
          <t>Let</t>
        </is>
      </c>
    </row>
    <row r="170"/>
    <row r="171">
      <c r="A171" s="868" t="inlineStr">
        <is>
          <t>Golderbrock House,  15-19 Great Titchfield Street</t>
        </is>
      </c>
    </row>
    <row r="172">
      <c r="A172" t="inlineStr">
        <is>
          <t xml:space="preserve">  Showroom</t>
        </is>
      </c>
      <c r="B172" t="inlineStr">
        <is>
          <t>WS</t>
        </is>
      </c>
      <c r="C172" t="inlineStr">
        <is>
          <t>MEL</t>
        </is>
      </c>
      <c r="D172" t="n">
        <v>550420</v>
      </c>
      <c r="E172" t="inlineStr">
        <is>
          <t>Golderbrock House,  15-19 Great Titchfield Street</t>
        </is>
      </c>
      <c r="F172" t="inlineStr">
        <is>
          <t>Ground &amp; Basement (South)</t>
        </is>
      </c>
      <c r="G172" t="inlineStr">
        <is>
          <t>Showroom</t>
        </is>
      </c>
      <c r="H172" t="n">
        <v>1115</v>
      </c>
      <c r="I172">
        <f>I120</f>
        <v/>
      </c>
      <c r="J172" t="n">
        <v>1000</v>
      </c>
      <c r="K172" t="inlineStr">
        <is>
          <t>Dal Fiorentino Ltd</t>
        </is>
      </c>
      <c r="L172" s="869" t="n">
        <v>45504</v>
      </c>
      <c r="M172" s="869" t="n">
        <v>47329</v>
      </c>
      <c r="P172" s="869" t="n">
        <v>46599</v>
      </c>
      <c r="Q172" t="n">
        <v>60000</v>
      </c>
      <c r="R172">
        <f>R120</f>
        <v/>
      </c>
      <c r="T172" t="n">
        <v>50400</v>
      </c>
      <c r="U172">
        <f>U120</f>
        <v/>
      </c>
      <c r="V172" t="n">
        <v>63500</v>
      </c>
      <c r="W172">
        <f>W120</f>
        <v/>
      </c>
      <c r="X172">
        <f>W120/I120</f>
        <v/>
      </c>
      <c r="Y172">
        <f>SUM(W120-U120)/U120</f>
        <v/>
      </c>
      <c r="Z172" t="inlineStr">
        <is>
          <t>C</t>
        </is>
      </c>
      <c r="AC172" t="inlineStr">
        <is>
          <t>No</t>
        </is>
      </c>
      <c r="AD172" t="inlineStr">
        <is>
          <t>Rent increasing to £65,000 wef 31/07/25. Tenant break on 6 months notice. Tenant name corrected.</t>
        </is>
      </c>
      <c r="AI172" t="inlineStr">
        <is>
          <t>Let</t>
        </is>
      </c>
    </row>
    <row r="173">
      <c r="A173" t="inlineStr">
        <is>
          <t xml:space="preserve">  Recording Studio</t>
        </is>
      </c>
      <c r="B173" t="inlineStr">
        <is>
          <t>WS</t>
        </is>
      </c>
      <c r="C173" t="inlineStr">
        <is>
          <t>MEL</t>
        </is>
      </c>
      <c r="D173" t="n">
        <v>550420</v>
      </c>
      <c r="E173" t="inlineStr">
        <is>
          <t>Golderbrock House,  15-19 Great Titchfield Street</t>
        </is>
      </c>
      <c r="F173" t="inlineStr">
        <is>
          <t>Basement (Rear)</t>
        </is>
      </c>
      <c r="G173" t="inlineStr">
        <is>
          <t>Recording Studio</t>
        </is>
      </c>
      <c r="H173" t="n">
        <v>488</v>
      </c>
      <c r="I173">
        <f>I121</f>
        <v/>
      </c>
      <c r="J173" t="n">
        <v>500</v>
      </c>
      <c r="K173" t="inlineStr">
        <is>
          <t>Soho Sonic Ltd.</t>
        </is>
      </c>
      <c r="L173" s="869" t="n">
        <v>45439</v>
      </c>
      <c r="M173" s="869" t="n">
        <v>47264</v>
      </c>
      <c r="Q173" t="n">
        <v>16000</v>
      </c>
      <c r="R173">
        <f>R121</f>
        <v/>
      </c>
      <c r="T173" t="n">
        <v>13100</v>
      </c>
      <c r="U173">
        <f>U121</f>
        <v/>
      </c>
      <c r="V173" t="n">
        <v>14600</v>
      </c>
      <c r="W173">
        <f>W121</f>
        <v/>
      </c>
      <c r="X173">
        <f>W121/I121</f>
        <v/>
      </c>
      <c r="Y173">
        <f>SUM(W121-U121)/U121</f>
        <v/>
      </c>
      <c r="Z173" t="inlineStr">
        <is>
          <t>C</t>
        </is>
      </c>
      <c r="AC173" t="inlineStr">
        <is>
          <t>No</t>
        </is>
      </c>
      <c r="AI173" t="inlineStr">
        <is>
          <t>Let</t>
        </is>
      </c>
    </row>
    <row r="174">
      <c r="A174" t="inlineStr">
        <is>
          <t xml:space="preserve">  Showroom</t>
        </is>
      </c>
      <c r="B174" t="inlineStr">
        <is>
          <t>WS</t>
        </is>
      </c>
      <c r="C174" t="inlineStr">
        <is>
          <t>MEL</t>
        </is>
      </c>
      <c r="D174" t="n">
        <v>550420</v>
      </c>
      <c r="E174" t="inlineStr">
        <is>
          <t>Golderbrock House,  15-19 Great Titchfield Street</t>
        </is>
      </c>
      <c r="F174" t="inlineStr">
        <is>
          <t>Ground &amp; Basement (North)</t>
        </is>
      </c>
      <c r="G174" t="inlineStr">
        <is>
          <t>Showroom</t>
        </is>
      </c>
      <c r="H174" t="n">
        <v>1064</v>
      </c>
      <c r="I174">
        <f>I122</f>
        <v/>
      </c>
      <c r="J174" t="n">
        <v>100</v>
      </c>
      <c r="K174" t="inlineStr">
        <is>
          <t>Gillian Jason Modern &amp; Contemporary Art Ltd</t>
        </is>
      </c>
      <c r="L174" s="869" t="n">
        <v>44515</v>
      </c>
      <c r="M174" s="869" t="n">
        <v>46340</v>
      </c>
      <c r="Q174" t="n">
        <v>48000</v>
      </c>
      <c r="R174">
        <f>R122</f>
        <v/>
      </c>
      <c r="T174" t="n">
        <v>48000</v>
      </c>
      <c r="U174">
        <f>U122</f>
        <v/>
      </c>
      <c r="V174" t="n">
        <v>48000</v>
      </c>
      <c r="W174">
        <f>W122</f>
        <v/>
      </c>
      <c r="X174">
        <f>W122/I122</f>
        <v/>
      </c>
      <c r="Y174">
        <f>SUM(W122-U122)/U122</f>
        <v/>
      </c>
      <c r="Z174" t="inlineStr">
        <is>
          <t>D</t>
        </is>
      </c>
      <c r="AC174" t="inlineStr">
        <is>
          <t>No</t>
        </is>
      </c>
      <c r="AI174" t="inlineStr">
        <is>
          <t>Let</t>
        </is>
      </c>
    </row>
    <row r="175">
      <c r="A175" t="inlineStr">
        <is>
          <t xml:space="preserve">  Office</t>
        </is>
      </c>
      <c r="B175" t="inlineStr">
        <is>
          <t>WS</t>
        </is>
      </c>
      <c r="C175" t="inlineStr">
        <is>
          <t>MEL</t>
        </is>
      </c>
      <c r="D175" t="n">
        <v>550420</v>
      </c>
      <c r="E175" t="inlineStr">
        <is>
          <t>Golderbrock House,  15-19 Great Titchfield Street</t>
        </is>
      </c>
      <c r="F175" t="inlineStr">
        <is>
          <t xml:space="preserve">Ground Floor (Rear) </t>
        </is>
      </c>
      <c r="G175" t="inlineStr">
        <is>
          <t>Office</t>
        </is>
      </c>
      <c r="H175" t="n">
        <v>325</v>
      </c>
      <c r="I175">
        <f>I123</f>
        <v/>
      </c>
      <c r="J175" t="n">
        <v>500</v>
      </c>
      <c r="K175" t="inlineStr">
        <is>
          <t>Arlettie London Ltd.</t>
        </is>
      </c>
      <c r="L175" s="869" t="n">
        <v>45709</v>
      </c>
      <c r="M175" s="869" t="n">
        <v>47066</v>
      </c>
      <c r="Q175" t="n">
        <v>25310</v>
      </c>
      <c r="R175">
        <f>R123</f>
        <v/>
      </c>
      <c r="T175" t="n">
        <v>28000</v>
      </c>
      <c r="U175">
        <f>U123</f>
        <v/>
      </c>
      <c r="V175" t="n">
        <v>27600</v>
      </c>
      <c r="W175">
        <f>W123</f>
        <v/>
      </c>
      <c r="X175">
        <f>W123/I123</f>
        <v/>
      </c>
      <c r="Y175">
        <f>SUM(W123-U123)/U123</f>
        <v/>
      </c>
      <c r="Z175" t="inlineStr">
        <is>
          <t>B</t>
        </is>
      </c>
      <c r="AC175" t="inlineStr">
        <is>
          <t>No</t>
        </is>
      </c>
      <c r="AD175" t="inlineStr">
        <is>
          <t>All inclusive excluding rates.</t>
        </is>
      </c>
      <c r="AG175" t="n">
        <v>1</v>
      </c>
      <c r="AH175" t="inlineStr">
        <is>
          <t>LEM</t>
        </is>
      </c>
      <c r="AI175" t="inlineStr">
        <is>
          <t>Let</t>
        </is>
      </c>
    </row>
    <row r="176">
      <c r="A176" t="inlineStr">
        <is>
          <t xml:space="preserve">  Office</t>
        </is>
      </c>
      <c r="B176" t="inlineStr">
        <is>
          <t>WS</t>
        </is>
      </c>
      <c r="C176" t="inlineStr">
        <is>
          <t>MEL</t>
        </is>
      </c>
      <c r="D176" t="n">
        <v>550420</v>
      </c>
      <c r="E176" t="inlineStr">
        <is>
          <t>Golderbrock House,  15-19 Great Titchfield Street</t>
        </is>
      </c>
      <c r="F176" t="inlineStr">
        <is>
          <t>First Floor (Front)</t>
        </is>
      </c>
      <c r="G176" t="inlineStr">
        <is>
          <t>Office</t>
        </is>
      </c>
      <c r="H176" t="n">
        <v>1335</v>
      </c>
      <c r="I176">
        <f>I124</f>
        <v/>
      </c>
      <c r="J176" t="n">
        <v>1250</v>
      </c>
      <c r="K176" t="inlineStr">
        <is>
          <t>Space Workplace Ltd</t>
        </is>
      </c>
      <c r="L176" s="869" t="n">
        <v>45624</v>
      </c>
      <c r="M176" s="869" t="n">
        <v>47449</v>
      </c>
      <c r="P176" s="869" t="n">
        <v>46718</v>
      </c>
      <c r="Q176" t="n">
        <v>40200</v>
      </c>
      <c r="R176">
        <f>R124</f>
        <v/>
      </c>
      <c r="T176" t="n">
        <v>73700</v>
      </c>
      <c r="U176">
        <f>U124</f>
        <v/>
      </c>
      <c r="V176" t="n">
        <v>75710</v>
      </c>
      <c r="W176">
        <f>W124</f>
        <v/>
      </c>
      <c r="X176">
        <f>W124/I124</f>
        <v/>
      </c>
      <c r="Y176">
        <f>SUM(W124-U124)/U124</f>
        <v/>
      </c>
      <c r="Z176" t="inlineStr">
        <is>
          <t>B</t>
        </is>
      </c>
      <c r="AC176" t="inlineStr">
        <is>
          <t>No</t>
        </is>
      </c>
      <c r="AD176" t="inlineStr">
        <is>
          <t>Rent increases to £80,400 wef 28/11/25. Tenant break on 6 months notice.</t>
        </is>
      </c>
      <c r="AG176" t="n">
        <v>1</v>
      </c>
      <c r="AH176" t="inlineStr">
        <is>
          <t>LEM</t>
        </is>
      </c>
      <c r="AI176" t="inlineStr">
        <is>
          <t>Let</t>
        </is>
      </c>
    </row>
    <row r="177">
      <c r="A177" t="inlineStr">
        <is>
          <t xml:space="preserve">  Office</t>
        </is>
      </c>
      <c r="B177" t="inlineStr">
        <is>
          <t>WS</t>
        </is>
      </c>
      <c r="C177" t="inlineStr">
        <is>
          <t>MEL</t>
        </is>
      </c>
      <c r="D177" t="n">
        <v>550420</v>
      </c>
      <c r="E177" t="inlineStr">
        <is>
          <t>Golderbrock House,  15-19 Great Titchfield Street</t>
        </is>
      </c>
      <c r="F177" t="inlineStr">
        <is>
          <t>First Floor (Rear)</t>
        </is>
      </c>
      <c r="G177" t="inlineStr">
        <is>
          <t>Office</t>
        </is>
      </c>
      <c r="H177" t="n">
        <v>533</v>
      </c>
      <c r="I177">
        <f>I125</f>
        <v/>
      </c>
      <c r="J177" t="n">
        <v>500</v>
      </c>
      <c r="K177" t="inlineStr">
        <is>
          <t>Vacant</t>
        </is>
      </c>
      <c r="N177" s="869" t="n">
        <v>44536</v>
      </c>
      <c r="Q177" t="n">
        <v>0</v>
      </c>
      <c r="R177">
        <f>R125</f>
        <v/>
      </c>
      <c r="T177" t="n">
        <v>28900</v>
      </c>
      <c r="U177">
        <f>U125</f>
        <v/>
      </c>
      <c r="V177" t="n">
        <v>29300</v>
      </c>
      <c r="W177">
        <f>W125</f>
        <v/>
      </c>
      <c r="X177">
        <f>W125/I125</f>
        <v/>
      </c>
      <c r="Y177">
        <f>SUM(W125-U125)/U125</f>
        <v/>
      </c>
      <c r="Z177" t="inlineStr">
        <is>
          <t>C</t>
        </is>
      </c>
      <c r="AC177" t="inlineStr">
        <is>
          <t>No</t>
        </is>
      </c>
      <c r="AD177" t="inlineStr">
        <is>
          <t>To be refurbished.</t>
        </is>
      </c>
      <c r="AF177" t="n">
        <v>1</v>
      </c>
      <c r="AG177" t="n">
        <v>1</v>
      </c>
      <c r="AI177" t="inlineStr">
        <is>
          <t>Void</t>
        </is>
      </c>
    </row>
    <row r="178">
      <c r="A178" t="inlineStr">
        <is>
          <t xml:space="preserve">  Office</t>
        </is>
      </c>
      <c r="B178" t="inlineStr">
        <is>
          <t>WS</t>
        </is>
      </c>
      <c r="C178" t="inlineStr">
        <is>
          <t>MEL</t>
        </is>
      </c>
      <c r="D178" t="n">
        <v>550420</v>
      </c>
      <c r="E178" t="inlineStr">
        <is>
          <t>Golderbrock House,  15-19 Great Titchfield Street</t>
        </is>
      </c>
      <c r="F178" t="inlineStr">
        <is>
          <t>Second Floor</t>
        </is>
      </c>
      <c r="G178" t="inlineStr">
        <is>
          <t>Office</t>
        </is>
      </c>
      <c r="H178" t="n">
        <v>1404</v>
      </c>
      <c r="I178">
        <f>I126</f>
        <v/>
      </c>
      <c r="J178" t="n">
        <v>1500</v>
      </c>
      <c r="K178" t="inlineStr">
        <is>
          <t>Final Cut Ltd.</t>
        </is>
      </c>
      <c r="L178" s="869" t="n">
        <v>44490</v>
      </c>
      <c r="M178" s="869" t="n">
        <v>45930</v>
      </c>
      <c r="O178" s="869" t="n">
        <v>45258</v>
      </c>
      <c r="Q178" t="n">
        <v>78000</v>
      </c>
      <c r="R178">
        <f>R126</f>
        <v/>
      </c>
      <c r="T178" t="n">
        <v>79100</v>
      </c>
      <c r="U178">
        <f>U126</f>
        <v/>
      </c>
      <c r="V178" t="n">
        <v>80700</v>
      </c>
      <c r="W178">
        <f>W126</f>
        <v/>
      </c>
      <c r="X178">
        <f>W126/I126</f>
        <v/>
      </c>
      <c r="Y178">
        <f>SUM(W126-U126)/U126</f>
        <v/>
      </c>
      <c r="Z178" t="inlineStr">
        <is>
          <t>C</t>
        </is>
      </c>
      <c r="AC178" t="inlineStr">
        <is>
          <t>No</t>
        </is>
      </c>
      <c r="AI178" t="inlineStr">
        <is>
          <t>Let</t>
        </is>
      </c>
    </row>
    <row r="179">
      <c r="A179" t="inlineStr">
        <is>
          <t xml:space="preserve">  Office</t>
        </is>
      </c>
      <c r="B179" t="inlineStr">
        <is>
          <t>WS</t>
        </is>
      </c>
      <c r="C179" t="inlineStr">
        <is>
          <t>MEL</t>
        </is>
      </c>
      <c r="D179" t="n">
        <v>550420</v>
      </c>
      <c r="E179" t="inlineStr">
        <is>
          <t>Golderbrock House,  15-19 Great Titchfield Street</t>
        </is>
      </c>
      <c r="F179" t="inlineStr">
        <is>
          <t>Third Floor</t>
        </is>
      </c>
      <c r="G179" t="inlineStr">
        <is>
          <t>Office</t>
        </is>
      </c>
      <c r="H179" t="n">
        <v>1404</v>
      </c>
      <c r="I179">
        <f>I127</f>
        <v/>
      </c>
      <c r="J179" t="n">
        <v>1500</v>
      </c>
      <c r="K179" t="inlineStr">
        <is>
          <t>Final Cut Ltd.</t>
        </is>
      </c>
      <c r="L179" s="869" t="n">
        <v>45259</v>
      </c>
      <c r="M179" s="869" t="n">
        <v>45930</v>
      </c>
      <c r="P179" s="869" t="n">
        <v>45930</v>
      </c>
      <c r="Q179" t="n">
        <v>78800</v>
      </c>
      <c r="R179">
        <f>R127</f>
        <v/>
      </c>
      <c r="T179" t="n">
        <v>79600</v>
      </c>
      <c r="U179">
        <f>U127</f>
        <v/>
      </c>
      <c r="V179" t="n">
        <v>80700</v>
      </c>
      <c r="W179">
        <f>W127</f>
        <v/>
      </c>
      <c r="X179">
        <f>W127/I127</f>
        <v/>
      </c>
      <c r="Y179">
        <f>SUM(W127-U127)/U127</f>
        <v/>
      </c>
      <c r="Z179" t="inlineStr">
        <is>
          <t>C</t>
        </is>
      </c>
      <c r="AC179" t="inlineStr">
        <is>
          <t>No</t>
        </is>
      </c>
      <c r="AD179" t="inlineStr">
        <is>
          <t>Tenant break on 6 months notice. Tenant break exercised. Lease to end on 30/09/25 if conditions met.</t>
        </is>
      </c>
      <c r="AI179" t="inlineStr">
        <is>
          <t>Let</t>
        </is>
      </c>
    </row>
    <row r="180">
      <c r="A180" t="inlineStr">
        <is>
          <t xml:space="preserve">  Office</t>
        </is>
      </c>
      <c r="B180" t="inlineStr">
        <is>
          <t>WS</t>
        </is>
      </c>
      <c r="C180" t="inlineStr">
        <is>
          <t>MEL</t>
        </is>
      </c>
      <c r="D180" t="n">
        <v>550420</v>
      </c>
      <c r="E180" t="inlineStr">
        <is>
          <t>Golderbrock House,  15-19 Great Titchfield Street</t>
        </is>
      </c>
      <c r="F180" t="inlineStr">
        <is>
          <t>Fourth Floor</t>
        </is>
      </c>
      <c r="G180" t="inlineStr">
        <is>
          <t>Office</t>
        </is>
      </c>
      <c r="H180" t="n">
        <v>1330</v>
      </c>
      <c r="I180">
        <f>I128</f>
        <v/>
      </c>
      <c r="J180" t="n">
        <v>1250</v>
      </c>
      <c r="K180" t="inlineStr">
        <is>
          <t>Autonomous UK Operations Ltd</t>
        </is>
      </c>
      <c r="L180" s="869" t="n">
        <v>45762</v>
      </c>
      <c r="M180" s="869" t="n">
        <v>47587</v>
      </c>
      <c r="P180" s="869" t="n">
        <v>46857</v>
      </c>
      <c r="Q180" t="n">
        <v>86450</v>
      </c>
      <c r="R180">
        <f>R128</f>
        <v/>
      </c>
      <c r="T180" t="n">
        <v>78200</v>
      </c>
      <c r="U180">
        <f>U128</f>
        <v/>
      </c>
      <c r="V180" t="n">
        <v>76500</v>
      </c>
      <c r="W180">
        <f>W128</f>
        <v/>
      </c>
      <c r="X180">
        <f>W128/I128</f>
        <v/>
      </c>
      <c r="Y180">
        <f>SUM(W128-U128)/U128</f>
        <v/>
      </c>
      <c r="Z180" t="inlineStr">
        <is>
          <t>B</t>
        </is>
      </c>
      <c r="AC180" t="inlineStr">
        <is>
          <t>No</t>
        </is>
      </c>
      <c r="AD180" t="inlineStr">
        <is>
          <t>Tenant break on 6 months notice.</t>
        </is>
      </c>
      <c r="AE180" t="n">
        <v>63</v>
      </c>
      <c r="AG180" t="n">
        <v>4</v>
      </c>
      <c r="AH180" t="inlineStr">
        <is>
          <t>LEM</t>
        </is>
      </c>
      <c r="AI180" t="inlineStr">
        <is>
          <t>Let</t>
        </is>
      </c>
    </row>
    <row r="181"/>
    <row r="182">
      <c r="A182" s="868" t="inlineStr">
        <is>
          <t>Circus House,  21 Great Titchfield Street</t>
        </is>
      </c>
    </row>
    <row r="183">
      <c r="A183" t="inlineStr">
        <is>
          <t xml:space="preserve">  Showroom/ Office</t>
        </is>
      </c>
      <c r="B183" t="inlineStr">
        <is>
          <t>SH</t>
        </is>
      </c>
      <c r="C183" t="inlineStr">
        <is>
          <t>MEL</t>
        </is>
      </c>
      <c r="D183" t="n">
        <v>550190</v>
      </c>
      <c r="E183" t="inlineStr">
        <is>
          <t>Circus House,  21 Great Titchfield Street</t>
        </is>
      </c>
      <c r="F183" t="inlineStr">
        <is>
          <t>Basement &amp; Ground (East)</t>
        </is>
      </c>
      <c r="G183" t="inlineStr">
        <is>
          <t>Showroom/ Office</t>
        </is>
      </c>
      <c r="H183" t="n">
        <v>3443</v>
      </c>
      <c r="I183">
        <f>I129</f>
        <v/>
      </c>
      <c r="J183" t="n">
        <v>3500</v>
      </c>
      <c r="K183" t="inlineStr">
        <is>
          <t>The Graphical Tree Ltd</t>
        </is>
      </c>
      <c r="L183" s="869" t="n">
        <v>44348</v>
      </c>
      <c r="M183" s="869" t="n">
        <v>47999</v>
      </c>
      <c r="O183" s="869" t="n">
        <v>46174</v>
      </c>
      <c r="P183" s="869" t="n">
        <v>46173</v>
      </c>
      <c r="Q183" t="n">
        <v>75000</v>
      </c>
      <c r="R183">
        <f>R129</f>
        <v/>
      </c>
      <c r="T183" t="n">
        <v>75800</v>
      </c>
      <c r="U183">
        <f>U129</f>
        <v/>
      </c>
      <c r="V183" t="n">
        <v>75000</v>
      </c>
      <c r="W183">
        <f>W129</f>
        <v/>
      </c>
      <c r="X183">
        <f>W129/I129</f>
        <v/>
      </c>
      <c r="Y183">
        <f>SUM(W129-U129)/U129</f>
        <v/>
      </c>
      <c r="Z183" t="inlineStr">
        <is>
          <t>B</t>
        </is>
      </c>
      <c r="AC183" t="inlineStr">
        <is>
          <t>No</t>
        </is>
      </c>
      <c r="AD183" t="inlineStr">
        <is>
          <t>Tenant break on 6 months notice. Rent free 01/06/26 to 31/08/26 if not exercised. Landlord rolling break from 07/10/25.</t>
        </is>
      </c>
      <c r="AI183" t="inlineStr">
        <is>
          <t>Let</t>
        </is>
      </c>
    </row>
    <row r="184">
      <c r="A184" t="inlineStr">
        <is>
          <t xml:space="preserve">  Office</t>
        </is>
      </c>
      <c r="B184" t="inlineStr">
        <is>
          <t>SH</t>
        </is>
      </c>
      <c r="C184" t="inlineStr">
        <is>
          <t>MEL</t>
        </is>
      </c>
      <c r="D184" t="n">
        <v>550190</v>
      </c>
      <c r="E184" t="inlineStr">
        <is>
          <t>Circus House,  21 Great Titchfield Street</t>
        </is>
      </c>
      <c r="F184" t="inlineStr">
        <is>
          <t>Ground Floor (West)</t>
        </is>
      </c>
      <c r="G184" t="inlineStr">
        <is>
          <t>Office</t>
        </is>
      </c>
      <c r="H184" t="n">
        <v>1946</v>
      </c>
      <c r="I184">
        <f>I130</f>
        <v/>
      </c>
      <c r="J184" t="n">
        <v>2000</v>
      </c>
      <c r="K184" t="inlineStr">
        <is>
          <t>Vacant</t>
        </is>
      </c>
      <c r="N184" s="869" t="n">
        <v>45154</v>
      </c>
      <c r="Q184" t="n">
        <v>0</v>
      </c>
      <c r="R184">
        <f>R130</f>
        <v/>
      </c>
      <c r="T184" t="n">
        <v>113900</v>
      </c>
      <c r="U184">
        <f>U130</f>
        <v/>
      </c>
      <c r="V184" t="n">
        <v>116800</v>
      </c>
      <c r="W184">
        <f>W130</f>
        <v/>
      </c>
      <c r="X184">
        <f>W130/I130</f>
        <v/>
      </c>
      <c r="Y184">
        <f>SUM(W130-U130)/U130</f>
        <v/>
      </c>
      <c r="Z184" t="inlineStr">
        <is>
          <t>E</t>
        </is>
      </c>
      <c r="AC184" t="inlineStr">
        <is>
          <t>No</t>
        </is>
      </c>
      <c r="AD184" t="inlineStr">
        <is>
          <t>LEM marketing.</t>
        </is>
      </c>
      <c r="AE184" t="n">
        <v>60</v>
      </c>
      <c r="AF184" t="n">
        <v>5</v>
      </c>
      <c r="AG184" t="n">
        <v>11</v>
      </c>
      <c r="AH184" t="inlineStr">
        <is>
          <t>LEM</t>
        </is>
      </c>
      <c r="AI184" t="inlineStr">
        <is>
          <t>Void</t>
        </is>
      </c>
    </row>
    <row r="185">
      <c r="A185" t="inlineStr">
        <is>
          <t xml:space="preserve">  Office</t>
        </is>
      </c>
      <c r="B185" t="inlineStr">
        <is>
          <t>SH</t>
        </is>
      </c>
      <c r="C185" t="inlineStr">
        <is>
          <t>MEL</t>
        </is>
      </c>
      <c r="D185" t="n">
        <v>550190</v>
      </c>
      <c r="E185" t="inlineStr">
        <is>
          <t>Circus House,  21 Great Titchfield Street</t>
        </is>
      </c>
      <c r="F185" t="inlineStr">
        <is>
          <t>First Floor</t>
        </is>
      </c>
      <c r="G185" t="inlineStr">
        <is>
          <t>Office</t>
        </is>
      </c>
      <c r="H185" t="n">
        <v>2319</v>
      </c>
      <c r="I185">
        <f>I131</f>
        <v/>
      </c>
      <c r="J185" t="n">
        <v>2250</v>
      </c>
      <c r="K185" t="inlineStr">
        <is>
          <t>Dawbell Limited</t>
        </is>
      </c>
      <c r="L185" s="869" t="n">
        <v>44839</v>
      </c>
      <c r="M185" s="869" t="n">
        <v>46664</v>
      </c>
      <c r="P185" s="869" t="n">
        <v>45935</v>
      </c>
      <c r="Q185" t="n">
        <v>153216</v>
      </c>
      <c r="R185">
        <f>R131</f>
        <v/>
      </c>
      <c r="T185" t="n">
        <v>153600</v>
      </c>
      <c r="U185">
        <f>U131</f>
        <v/>
      </c>
      <c r="V185" t="n">
        <v>151900</v>
      </c>
      <c r="W185">
        <f>W131</f>
        <v/>
      </c>
      <c r="X185">
        <f>W131/I131</f>
        <v/>
      </c>
      <c r="Y185">
        <f>SUM(W131-U131)/U131</f>
        <v/>
      </c>
      <c r="Z185" t="inlineStr">
        <is>
          <t>D</t>
        </is>
      </c>
      <c r="AC185" t="inlineStr">
        <is>
          <t>No</t>
        </is>
      </c>
      <c r="AD185" t="inlineStr">
        <is>
          <t>Rent reducing to £134,064 wef 05/10/25. Tenant break on 6 months notice.</t>
        </is>
      </c>
      <c r="AI185" t="inlineStr">
        <is>
          <t>Let</t>
        </is>
      </c>
    </row>
    <row r="186">
      <c r="A186" t="inlineStr">
        <is>
          <t xml:space="preserve">  Office</t>
        </is>
      </c>
      <c r="B186" t="inlineStr">
        <is>
          <t>SH</t>
        </is>
      </c>
      <c r="C186" t="inlineStr">
        <is>
          <t>MEL</t>
        </is>
      </c>
      <c r="D186" t="n">
        <v>550190</v>
      </c>
      <c r="E186" t="inlineStr">
        <is>
          <t>Circus House,  21 Great Titchfield Street</t>
        </is>
      </c>
      <c r="F186" t="inlineStr">
        <is>
          <t>Second &amp; Third Floors</t>
        </is>
      </c>
      <c r="G186" t="inlineStr">
        <is>
          <t>Office</t>
        </is>
      </c>
      <c r="H186" t="n">
        <v>4653</v>
      </c>
      <c r="I186">
        <f>I132</f>
        <v/>
      </c>
      <c r="J186" t="n">
        <v>4500</v>
      </c>
      <c r="K186" t="inlineStr">
        <is>
          <t>Mesmerise Global Limited</t>
        </is>
      </c>
      <c r="L186" s="869" t="n">
        <v>44879</v>
      </c>
      <c r="M186" s="869" t="n">
        <v>46704</v>
      </c>
      <c r="P186" s="869" t="n">
        <v>45974</v>
      </c>
      <c r="Q186" t="n">
        <v>310500</v>
      </c>
      <c r="R186">
        <f>R132</f>
        <v/>
      </c>
      <c r="T186" t="n">
        <v>310800</v>
      </c>
      <c r="U186">
        <f>U132</f>
        <v/>
      </c>
      <c r="V186" t="n">
        <v>316400</v>
      </c>
      <c r="W186">
        <f>W132</f>
        <v/>
      </c>
      <c r="X186">
        <f>W132/I132</f>
        <v/>
      </c>
      <c r="Y186">
        <f>SUM(W132-U132)/U132</f>
        <v/>
      </c>
      <c r="Z186" t="inlineStr">
        <is>
          <t>D</t>
        </is>
      </c>
      <c r="AC186" t="inlineStr">
        <is>
          <t>No</t>
        </is>
      </c>
      <c r="AD186" t="inlineStr">
        <is>
          <t>Tenant break on 6 months notice. 3 months rent free if not exercised. Break notice served. Ongoing discussions regarding renewal of one floor.</t>
        </is>
      </c>
      <c r="AI186" t="inlineStr">
        <is>
          <t>Let</t>
        </is>
      </c>
    </row>
    <row r="187">
      <c r="A187" t="inlineStr">
        <is>
          <t xml:space="preserve">  Office</t>
        </is>
      </c>
      <c r="B187" t="inlineStr">
        <is>
          <t>SH</t>
        </is>
      </c>
      <c r="C187" t="inlineStr">
        <is>
          <t>MEL</t>
        </is>
      </c>
      <c r="D187" t="n">
        <v>550190</v>
      </c>
      <c r="E187" t="inlineStr">
        <is>
          <t>Circus House,  21 Great Titchfield Street</t>
        </is>
      </c>
      <c r="F187" t="inlineStr">
        <is>
          <t>Fourth Floor</t>
        </is>
      </c>
      <c r="G187" t="inlineStr">
        <is>
          <t>Office</t>
        </is>
      </c>
      <c r="H187" t="n">
        <v>2316</v>
      </c>
      <c r="I187">
        <f>I133</f>
        <v/>
      </c>
      <c r="J187" t="n">
        <v>2250</v>
      </c>
      <c r="K187" t="inlineStr">
        <is>
          <t>Marstead Living Limited</t>
        </is>
      </c>
      <c r="L187" s="869" t="n">
        <v>44883</v>
      </c>
      <c r="M187" s="869" t="n">
        <v>46708</v>
      </c>
      <c r="P187" s="869" t="n">
        <v>45978</v>
      </c>
      <c r="Q187" t="n">
        <v>151875</v>
      </c>
      <c r="R187">
        <f>R133</f>
        <v/>
      </c>
      <c r="T187" t="n">
        <v>152900</v>
      </c>
      <c r="U187">
        <f>U133</f>
        <v/>
      </c>
      <c r="V187" t="n">
        <v>157500</v>
      </c>
      <c r="W187">
        <f>W133</f>
        <v/>
      </c>
      <c r="X187">
        <f>W133/I133</f>
        <v/>
      </c>
      <c r="Y187">
        <f>SUM(W133-U133)/U133</f>
        <v/>
      </c>
      <c r="Z187" t="inlineStr">
        <is>
          <t>E</t>
        </is>
      </c>
      <c r="AC187" t="inlineStr">
        <is>
          <t>No</t>
        </is>
      </c>
      <c r="AD187" t="inlineStr">
        <is>
          <t>Tenant break on 6 months notice. 3 months rent free if not exercised.</t>
        </is>
      </c>
      <c r="AI187" t="inlineStr">
        <is>
          <t>Let</t>
        </is>
      </c>
    </row>
    <row r="188">
      <c r="A188" t="inlineStr">
        <is>
          <t xml:space="preserve">  Office</t>
        </is>
      </c>
      <c r="B188" t="inlineStr">
        <is>
          <t>SH</t>
        </is>
      </c>
      <c r="C188" t="inlineStr">
        <is>
          <t>MEL</t>
        </is>
      </c>
      <c r="D188" t="n">
        <v>550190</v>
      </c>
      <c r="E188" t="inlineStr">
        <is>
          <t>Circus House,  21 Great Titchfield Street</t>
        </is>
      </c>
      <c r="F188" t="inlineStr">
        <is>
          <t>Fifth Floor</t>
        </is>
      </c>
      <c r="G188" t="inlineStr">
        <is>
          <t>Office</t>
        </is>
      </c>
      <c r="H188" t="n">
        <v>2096</v>
      </c>
      <c r="I188">
        <f>I134</f>
        <v/>
      </c>
      <c r="J188" t="n">
        <v>2000</v>
      </c>
      <c r="K188" t="inlineStr">
        <is>
          <t>NSL Limited</t>
        </is>
      </c>
      <c r="L188" s="869" t="n">
        <v>44470</v>
      </c>
      <c r="M188" s="869" t="n">
        <v>46295</v>
      </c>
      <c r="Q188" t="n">
        <v>120750</v>
      </c>
      <c r="R188">
        <f>R134</f>
        <v/>
      </c>
      <c r="T188" t="n">
        <v>141800</v>
      </c>
      <c r="U188">
        <f>U134</f>
        <v/>
      </c>
      <c r="V188" t="n">
        <v>142500</v>
      </c>
      <c r="W188">
        <f>W134</f>
        <v/>
      </c>
      <c r="X188">
        <f>W134/I134</f>
        <v/>
      </c>
      <c r="Y188">
        <f>SUM(W134-U134)/U134</f>
        <v/>
      </c>
      <c r="Z188" t="inlineStr">
        <is>
          <t>E</t>
        </is>
      </c>
      <c r="AC188" t="inlineStr">
        <is>
          <t>No</t>
        </is>
      </c>
      <c r="AD188" t="inlineStr">
        <is>
          <t>Ongoing legal action withdrawn. Rent stop removed. Tenant repaid all arrears.</t>
        </is>
      </c>
      <c r="AI188" t="inlineStr">
        <is>
          <t>Let</t>
        </is>
      </c>
    </row>
    <row r="189"/>
    <row r="190">
      <c r="A190" s="868" t="inlineStr">
        <is>
          <t>Moray House, 23-35 Great Titchfield Street &amp; 63-65 Mortimer Street</t>
        </is>
      </c>
    </row>
    <row r="191">
      <c r="A191" t="inlineStr">
        <is>
          <t xml:space="preserve">  Gym / D1</t>
        </is>
      </c>
      <c r="B191" t="inlineStr">
        <is>
          <t>WS</t>
        </is>
      </c>
      <c r="C191" t="inlineStr">
        <is>
          <t>MEL</t>
        </is>
      </c>
      <c r="D191" t="n">
        <v>550570</v>
      </c>
      <c r="E191" t="inlineStr">
        <is>
          <t>Moray House, 23-35 Great Titchfield Street &amp; 63-65 Mortimer Street</t>
        </is>
      </c>
      <c r="F191" t="inlineStr">
        <is>
          <t>Part Lower Ground</t>
        </is>
      </c>
      <c r="G191" t="inlineStr">
        <is>
          <t>Gym / D1</t>
        </is>
      </c>
      <c r="H191" t="n">
        <v>2604</v>
      </c>
      <c r="I191">
        <f>I135</f>
        <v/>
      </c>
      <c r="J191" t="n">
        <v>2500</v>
      </c>
      <c r="K191" t="inlineStr">
        <is>
          <t>Rehabilitation &amp; Athletics Performance UK Ltd.</t>
        </is>
      </c>
      <c r="L191" s="869" t="n">
        <v>44941</v>
      </c>
      <c r="M191" s="869" t="n">
        <v>47057</v>
      </c>
      <c r="Q191" t="n">
        <v>80000</v>
      </c>
      <c r="R191">
        <f>R135</f>
        <v/>
      </c>
      <c r="T191" t="n">
        <v>80000</v>
      </c>
      <c r="U191">
        <f>U135</f>
        <v/>
      </c>
      <c r="V191" t="n">
        <v>70000</v>
      </c>
      <c r="W191">
        <f>W135</f>
        <v/>
      </c>
      <c r="X191">
        <f>W135/I135</f>
        <v/>
      </c>
      <c r="Y191">
        <f>SUM(W135-U135)/U135</f>
        <v/>
      </c>
      <c r="Z191" t="inlineStr">
        <is>
          <t>D</t>
        </is>
      </c>
      <c r="AC191" t="inlineStr">
        <is>
          <t>No</t>
        </is>
      </c>
      <c r="AD191" t="inlineStr">
        <is>
          <t>Fixed increases 01/05/26 wef  £85,000, 01/05/27 wef £90,000 and 01/05/28 wef £95,000.</t>
        </is>
      </c>
      <c r="AI191" t="inlineStr">
        <is>
          <t>Let</t>
        </is>
      </c>
    </row>
    <row r="192">
      <c r="A192" t="inlineStr">
        <is>
          <t xml:space="preserve">  Shop/Showroom</t>
        </is>
      </c>
      <c r="B192" t="inlineStr">
        <is>
          <t>WS</t>
        </is>
      </c>
      <c r="C192" t="inlineStr">
        <is>
          <t>MEL</t>
        </is>
      </c>
      <c r="D192" t="n">
        <v>550570</v>
      </c>
      <c r="E192" t="inlineStr">
        <is>
          <t>Moray House, 23-35 Great Titchfield Street &amp; 63-65 Mortimer Street</t>
        </is>
      </c>
      <c r="F192" t="inlineStr">
        <is>
          <t>Unit A &amp; B. Ground Floor</t>
        </is>
      </c>
      <c r="G192" t="inlineStr">
        <is>
          <t>Shop/Showroom</t>
        </is>
      </c>
      <c r="H192" t="n">
        <v>1452</v>
      </c>
      <c r="I192">
        <f>I136</f>
        <v/>
      </c>
      <c r="J192" t="n">
        <v>1500</v>
      </c>
      <c r="K192" t="inlineStr">
        <is>
          <t>Medialab Group Ltd.</t>
        </is>
      </c>
      <c r="L192" s="869" t="n">
        <v>45586</v>
      </c>
      <c r="M192" s="869" t="n">
        <v>46827</v>
      </c>
      <c r="P192" s="869" t="n">
        <v>46097</v>
      </c>
      <c r="Q192" t="n">
        <v>117500</v>
      </c>
      <c r="R192">
        <f>R136</f>
        <v/>
      </c>
      <c r="T192" t="n">
        <v>115000</v>
      </c>
      <c r="U192">
        <f>U136</f>
        <v/>
      </c>
      <c r="V192" t="n">
        <v>115000</v>
      </c>
      <c r="W192">
        <f>W136</f>
        <v/>
      </c>
      <c r="X192">
        <f>W136/I136</f>
        <v/>
      </c>
      <c r="Y192">
        <f>SUM(W136-U136)/U136</f>
        <v/>
      </c>
      <c r="Z192" t="inlineStr">
        <is>
          <t>B</t>
        </is>
      </c>
      <c r="AC192" t="inlineStr">
        <is>
          <t>No</t>
        </is>
      </c>
      <c r="AD192" t="inlineStr">
        <is>
          <t>Tenant break on 6 months notice.</t>
        </is>
      </c>
      <c r="AI192" t="inlineStr">
        <is>
          <t>Let</t>
        </is>
      </c>
    </row>
    <row r="193">
      <c r="A193" t="inlineStr">
        <is>
          <t xml:space="preserve">  Office/ Showroom</t>
        </is>
      </c>
      <c r="B193" t="inlineStr">
        <is>
          <t>WS</t>
        </is>
      </c>
      <c r="C193" t="inlineStr">
        <is>
          <t>MEL</t>
        </is>
      </c>
      <c r="D193" t="n">
        <v>550570</v>
      </c>
      <c r="E193" t="inlineStr">
        <is>
          <t>Moray House, 23-35 Great Titchfield Street &amp; 63-65 Mortimer Street</t>
        </is>
      </c>
      <c r="F193" t="inlineStr">
        <is>
          <t>Unit C. Ground Floor &amp; Basement</t>
        </is>
      </c>
      <c r="G193" t="inlineStr">
        <is>
          <t>Office/ Showroom</t>
        </is>
      </c>
      <c r="H193" t="n">
        <v>1949</v>
      </c>
      <c r="I193">
        <f>I137</f>
        <v/>
      </c>
      <c r="J193" t="n">
        <v>2000</v>
      </c>
      <c r="K193" t="inlineStr">
        <is>
          <t>H Illume Ltd (t/a LAPO)</t>
        </is>
      </c>
      <c r="L193" s="869" t="n">
        <v>45687</v>
      </c>
      <c r="M193" s="869" t="n">
        <v>49338</v>
      </c>
      <c r="O193" s="869" t="n">
        <v>47513</v>
      </c>
      <c r="Q193" t="n">
        <v>59000</v>
      </c>
      <c r="R193">
        <f>R137</f>
        <v/>
      </c>
      <c r="T193" t="n">
        <v>91000</v>
      </c>
      <c r="U193">
        <f>U137</f>
        <v/>
      </c>
      <c r="V193" t="n">
        <v>115000</v>
      </c>
      <c r="W193">
        <f>W137</f>
        <v/>
      </c>
      <c r="X193">
        <f>W137/I137</f>
        <v/>
      </c>
      <c r="Y193">
        <f>SUM(W137-U137)/U137</f>
        <v/>
      </c>
      <c r="Z193" t="inlineStr">
        <is>
          <t>D</t>
        </is>
      </c>
      <c r="AC193" t="inlineStr">
        <is>
          <t>No</t>
        </is>
      </c>
      <c r="AD193" t="inlineStr">
        <is>
          <t>Rent increasing to £118,000 wef 30/04/26.</t>
        </is>
      </c>
      <c r="AG193" t="n">
        <v>3</v>
      </c>
      <c r="AH193" t="inlineStr">
        <is>
          <t>LEM</t>
        </is>
      </c>
      <c r="AI193" t="inlineStr">
        <is>
          <t>Let</t>
        </is>
      </c>
    </row>
    <row r="194">
      <c r="A194" t="inlineStr">
        <is>
          <t xml:space="preserve">  Gym / D1</t>
        </is>
      </c>
      <c r="B194" t="inlineStr">
        <is>
          <t>WS</t>
        </is>
      </c>
      <c r="C194" t="inlineStr">
        <is>
          <t>MEL</t>
        </is>
      </c>
      <c r="D194" t="n">
        <v>550570</v>
      </c>
      <c r="E194" t="inlineStr">
        <is>
          <t>Moray House, 23-35 Great Titchfield Street &amp; 63-65 Mortimer Street</t>
        </is>
      </c>
      <c r="F194" t="inlineStr">
        <is>
          <t>Unit D &amp; E. Ground Floor &amp; Part Basement</t>
        </is>
      </c>
      <c r="G194" t="inlineStr">
        <is>
          <t>Gym / D1</t>
        </is>
      </c>
      <c r="H194" t="n">
        <v>4976</v>
      </c>
      <c r="I194">
        <f>I138</f>
        <v/>
      </c>
      <c r="J194" t="n">
        <v>5000</v>
      </c>
      <c r="K194" t="inlineStr">
        <is>
          <t>CSS F45 UK Ltd</t>
        </is>
      </c>
      <c r="L194" s="869" t="n">
        <v>44722</v>
      </c>
      <c r="M194" s="869" t="n">
        <v>48374</v>
      </c>
      <c r="O194" s="869" t="n">
        <v>46548</v>
      </c>
      <c r="P194" s="869" t="n">
        <v>46547</v>
      </c>
      <c r="Q194" t="n">
        <v>230000</v>
      </c>
      <c r="R194">
        <f>R138</f>
        <v/>
      </c>
      <c r="T194" t="n">
        <v>230000</v>
      </c>
      <c r="U194">
        <f>U138</f>
        <v/>
      </c>
      <c r="V194" t="n">
        <v>230000</v>
      </c>
      <c r="W194">
        <f>W138</f>
        <v/>
      </c>
      <c r="X194">
        <f>W138/I138</f>
        <v/>
      </c>
      <c r="Y194">
        <f>SUM(W138-U138)/U138</f>
        <v/>
      </c>
      <c r="Z194" t="inlineStr">
        <is>
          <t>B</t>
        </is>
      </c>
      <c r="AC194" t="inlineStr">
        <is>
          <t>No</t>
        </is>
      </c>
      <c r="AD194" t="inlineStr">
        <is>
          <t xml:space="preserve">Tenant break on 6 months notice. </t>
        </is>
      </c>
      <c r="AI194" t="inlineStr">
        <is>
          <t>Let</t>
        </is>
      </c>
    </row>
    <row r="195">
      <c r="A195" t="inlineStr">
        <is>
          <t xml:space="preserve">  Office</t>
        </is>
      </c>
      <c r="B195" t="inlineStr">
        <is>
          <t>WS</t>
        </is>
      </c>
      <c r="C195" t="inlineStr">
        <is>
          <t>MEL</t>
        </is>
      </c>
      <c r="D195" t="n">
        <v>550570</v>
      </c>
      <c r="E195" t="inlineStr">
        <is>
          <t>Moray House, 23-35 Great Titchfield Street &amp; 63-65 Mortimer Street</t>
        </is>
      </c>
      <c r="F195" t="inlineStr">
        <is>
          <t>Suite 1.1 First Floor</t>
        </is>
      </c>
      <c r="G195" t="inlineStr">
        <is>
          <t>Office</t>
        </is>
      </c>
      <c r="H195" t="n">
        <v>1443</v>
      </c>
      <c r="I195">
        <f>I139</f>
        <v/>
      </c>
      <c r="J195" t="n">
        <v>1500</v>
      </c>
      <c r="K195" t="inlineStr">
        <is>
          <t>Vacant</t>
        </is>
      </c>
      <c r="N195" s="869" t="n">
        <v>44121</v>
      </c>
      <c r="Q195" t="n">
        <v>0</v>
      </c>
      <c r="R195">
        <f>R139</f>
        <v/>
      </c>
      <c r="T195" t="n">
        <v>87800</v>
      </c>
      <c r="U195">
        <f>U139</f>
        <v/>
      </c>
      <c r="V195" t="n">
        <v>90200</v>
      </c>
      <c r="W195">
        <f>W139</f>
        <v/>
      </c>
      <c r="X195">
        <f>W139/I139</f>
        <v/>
      </c>
      <c r="Y195">
        <f>SUM(W139-U139)/U139</f>
        <v/>
      </c>
      <c r="Z195" t="inlineStr">
        <is>
          <t>D</t>
        </is>
      </c>
      <c r="AC195" t="inlineStr">
        <is>
          <t>No</t>
        </is>
      </c>
      <c r="AD195" t="inlineStr">
        <is>
          <t>To be refurbished.</t>
        </is>
      </c>
      <c r="AE195" t="n">
        <v>65</v>
      </c>
      <c r="AG195" t="n">
        <v>3</v>
      </c>
      <c r="AH195" t="inlineStr">
        <is>
          <t>LEM</t>
        </is>
      </c>
      <c r="AI195" t="inlineStr">
        <is>
          <t>Void</t>
        </is>
      </c>
    </row>
    <row r="196">
      <c r="A196" t="inlineStr">
        <is>
          <t xml:space="preserve">  Showroom/Office</t>
        </is>
      </c>
      <c r="B196" t="inlineStr">
        <is>
          <t>WS</t>
        </is>
      </c>
      <c r="C196" t="inlineStr">
        <is>
          <t>MEL</t>
        </is>
      </c>
      <c r="D196" t="n">
        <v>550570</v>
      </c>
      <c r="E196" t="inlineStr">
        <is>
          <t>Moray House, 23-35 Great Titchfield Street &amp; 63-65 Mortimer Street</t>
        </is>
      </c>
      <c r="F196" t="inlineStr">
        <is>
          <t xml:space="preserve">Suites 2 &amp; 3 First Floor  </t>
        </is>
      </c>
      <c r="G196" t="inlineStr">
        <is>
          <t>Showroom/Office</t>
        </is>
      </c>
      <c r="H196" t="n">
        <v>2851</v>
      </c>
      <c r="I196">
        <f>I140</f>
        <v/>
      </c>
      <c r="J196" t="n">
        <v>2750</v>
      </c>
      <c r="K196" t="inlineStr">
        <is>
          <t>Wacoal Emea Ltd.</t>
        </is>
      </c>
      <c r="L196" s="869" t="n">
        <v>42192</v>
      </c>
      <c r="M196" s="869" t="n">
        <v>45844</v>
      </c>
      <c r="O196" s="869" t="n">
        <v>44019</v>
      </c>
      <c r="Q196" t="n">
        <v>156000</v>
      </c>
      <c r="R196">
        <f>R140</f>
        <v/>
      </c>
      <c r="T196" t="n">
        <v>151300</v>
      </c>
      <c r="U196">
        <f>U140</f>
        <v/>
      </c>
      <c r="V196" t="n">
        <v>178200</v>
      </c>
      <c r="W196">
        <f>W140</f>
        <v/>
      </c>
      <c r="X196">
        <f>W140/I140</f>
        <v/>
      </c>
      <c r="Y196">
        <f>SUM(W140-U140)/U140</f>
        <v/>
      </c>
      <c r="Z196" t="inlineStr">
        <is>
          <t>C</t>
        </is>
      </c>
      <c r="AC196" t="inlineStr">
        <is>
          <t>No</t>
        </is>
      </c>
      <c r="AD196" t="inlineStr">
        <is>
          <t>Tenant vacating on expiry. Renewal discussions ended.</t>
        </is>
      </c>
      <c r="AI196" t="inlineStr">
        <is>
          <t>Let</t>
        </is>
      </c>
    </row>
    <row r="197">
      <c r="A197" t="inlineStr">
        <is>
          <t xml:space="preserve">  Showroom/Office</t>
        </is>
      </c>
      <c r="B197" t="inlineStr">
        <is>
          <t>WS</t>
        </is>
      </c>
      <c r="C197" t="inlineStr">
        <is>
          <t>MEL</t>
        </is>
      </c>
      <c r="D197" t="n">
        <v>550570</v>
      </c>
      <c r="E197" t="inlineStr">
        <is>
          <t>Moray House, 23-35 Great Titchfield Street &amp; 63-65 Mortimer Street</t>
        </is>
      </c>
      <c r="F197" t="inlineStr">
        <is>
          <t>Suite 4 First Floor</t>
        </is>
      </c>
      <c r="G197" t="inlineStr">
        <is>
          <t>Showroom/Office</t>
        </is>
      </c>
      <c r="H197" t="n">
        <v>483</v>
      </c>
      <c r="I197">
        <f>I141</f>
        <v/>
      </c>
      <c r="J197" t="n">
        <v>500</v>
      </c>
      <c r="K197" t="inlineStr">
        <is>
          <t>Oldie Publications Ltd</t>
        </is>
      </c>
      <c r="L197" s="869" t="n">
        <v>44272</v>
      </c>
      <c r="M197" s="869" t="n">
        <v>46097</v>
      </c>
      <c r="Q197" t="n">
        <v>52200</v>
      </c>
      <c r="R197">
        <f>R141</f>
        <v/>
      </c>
      <c r="T197" t="n">
        <v>54900</v>
      </c>
      <c r="U197">
        <f>U141</f>
        <v/>
      </c>
      <c r="V197" t="n">
        <v>30200</v>
      </c>
      <c r="W197">
        <f>W141</f>
        <v/>
      </c>
      <c r="X197">
        <f>W141/I141</f>
        <v/>
      </c>
      <c r="Y197">
        <f>SUM(W141-U141)/U141</f>
        <v/>
      </c>
      <c r="Z197" t="inlineStr">
        <is>
          <t>E</t>
        </is>
      </c>
      <c r="AC197" t="inlineStr">
        <is>
          <t>No</t>
        </is>
      </c>
      <c r="AI197" t="inlineStr">
        <is>
          <t>Let</t>
        </is>
      </c>
    </row>
    <row r="198">
      <c r="A198" t="inlineStr">
        <is>
          <t xml:space="preserve">  Showroom</t>
        </is>
      </c>
      <c r="B198" t="inlineStr">
        <is>
          <t>WS</t>
        </is>
      </c>
      <c r="C198" t="inlineStr">
        <is>
          <t>MEL</t>
        </is>
      </c>
      <c r="D198" t="n">
        <v>550570</v>
      </c>
      <c r="E198" t="inlineStr">
        <is>
          <t>Moray House, 23-35 Great Titchfield Street &amp; 63-65 Mortimer Street</t>
        </is>
      </c>
      <c r="F198" t="inlineStr">
        <is>
          <t>Suites 1, 2, 3 &amp; 4, Second Floor</t>
        </is>
      </c>
      <c r="G198" t="inlineStr">
        <is>
          <t>Showroom</t>
        </is>
      </c>
      <c r="H198" t="n">
        <v>3299</v>
      </c>
      <c r="I198">
        <f>I142</f>
        <v/>
      </c>
      <c r="J198" t="n">
        <v>3250</v>
      </c>
      <c r="K198" t="inlineStr">
        <is>
          <t>InPost UK Limited</t>
        </is>
      </c>
      <c r="L198" s="869" t="n">
        <v>45807</v>
      </c>
      <c r="M198" s="869" t="n">
        <v>47143</v>
      </c>
      <c r="P198" s="869" t="n">
        <v>46408</v>
      </c>
      <c r="Q198" t="n">
        <v>0</v>
      </c>
      <c r="R198">
        <f>R142</f>
        <v/>
      </c>
      <c r="T198" t="n">
        <v>193200</v>
      </c>
      <c r="U198">
        <f>U142</f>
        <v/>
      </c>
      <c r="V198" t="n">
        <v>209500</v>
      </c>
      <c r="W198">
        <f>W142</f>
        <v/>
      </c>
      <c r="X198">
        <f>W142/I142</f>
        <v/>
      </c>
      <c r="Y198">
        <f>SUM(W142-U142)/U142</f>
        <v/>
      </c>
      <c r="Z198" t="inlineStr">
        <is>
          <t>B</t>
        </is>
      </c>
      <c r="AC198" t="inlineStr">
        <is>
          <t>No</t>
        </is>
      </c>
      <c r="AD198" t="inlineStr">
        <is>
          <t>Rent £231,000 wef 30/07/25. Tenant break on 6 months notice. 1 month rent free wef 22/01/27 if break not exercised.</t>
        </is>
      </c>
      <c r="AF198" t="n">
        <v>3</v>
      </c>
      <c r="AG198" t="n">
        <v>5</v>
      </c>
      <c r="AI198" t="inlineStr">
        <is>
          <t>Let</t>
        </is>
      </c>
    </row>
    <row r="199">
      <c r="A199" t="inlineStr">
        <is>
          <t xml:space="preserve">  Showroom/ Office</t>
        </is>
      </c>
      <c r="B199" t="inlineStr">
        <is>
          <t>WS</t>
        </is>
      </c>
      <c r="C199" t="inlineStr">
        <is>
          <t>MEL</t>
        </is>
      </c>
      <c r="D199" t="n">
        <v>550570</v>
      </c>
      <c r="E199" t="inlineStr">
        <is>
          <t>Moray House, 23-35 Great Titchfield Street &amp; 63-65 Mortimer Street</t>
        </is>
      </c>
      <c r="F199" t="inlineStr">
        <is>
          <t>Suite 5, Second Floor</t>
        </is>
      </c>
      <c r="G199" t="inlineStr">
        <is>
          <t>Showroom/ Office</t>
        </is>
      </c>
      <c r="H199" t="n">
        <v>882</v>
      </c>
      <c r="I199">
        <f>I143</f>
        <v/>
      </c>
      <c r="J199" t="n">
        <v>1000</v>
      </c>
      <c r="K199" t="inlineStr">
        <is>
          <t>Carbonaires Ltd</t>
        </is>
      </c>
      <c r="L199" s="869" t="n">
        <v>45114</v>
      </c>
      <c r="M199" s="869" t="n">
        <v>46209</v>
      </c>
      <c r="P199" s="869" t="n">
        <v>45844</v>
      </c>
      <c r="Q199" t="n">
        <v>56225</v>
      </c>
      <c r="R199">
        <f>R143</f>
        <v/>
      </c>
      <c r="T199" t="n">
        <v>52800</v>
      </c>
      <c r="U199">
        <f>U143</f>
        <v/>
      </c>
      <c r="V199" t="n">
        <v>56225</v>
      </c>
      <c r="W199">
        <f>W143</f>
        <v/>
      </c>
      <c r="X199">
        <f>W143/I143</f>
        <v/>
      </c>
      <c r="Y199">
        <f>SUM(W143-U143)/U143</f>
        <v/>
      </c>
      <c r="Z199" t="inlineStr">
        <is>
          <t>D</t>
        </is>
      </c>
      <c r="AC199" t="inlineStr">
        <is>
          <t>No</t>
        </is>
      </c>
      <c r="AD199" t="inlineStr">
        <is>
          <t>Tenant break on 6 months notice. Rent free @ 07/07/25 to 20/09/25 if not exercised.</t>
        </is>
      </c>
      <c r="AI199" t="inlineStr">
        <is>
          <t>Let</t>
        </is>
      </c>
    </row>
    <row r="200">
      <c r="A200" t="inlineStr">
        <is>
          <t xml:space="preserve">  Showroom/ Office</t>
        </is>
      </c>
      <c r="B200" t="inlineStr">
        <is>
          <t>WS</t>
        </is>
      </c>
      <c r="C200" t="inlineStr">
        <is>
          <t>MEL</t>
        </is>
      </c>
      <c r="D200" t="n">
        <v>550570</v>
      </c>
      <c r="E200" t="inlineStr">
        <is>
          <t>Moray House, 23-35 Great Titchfield Street &amp; 63-65 Mortimer Street</t>
        </is>
      </c>
      <c r="F200" t="inlineStr">
        <is>
          <t>Third Floor</t>
        </is>
      </c>
      <c r="G200" t="inlineStr">
        <is>
          <t>Showroom/ Office</t>
        </is>
      </c>
      <c r="H200" t="n">
        <v>4169</v>
      </c>
      <c r="I200">
        <f>I144</f>
        <v/>
      </c>
      <c r="J200" t="n">
        <v>4000</v>
      </c>
      <c r="K200" t="inlineStr">
        <is>
          <t>Knotel Moray House Ltd.</t>
        </is>
      </c>
      <c r="L200" s="869" t="n">
        <v>43378</v>
      </c>
      <c r="M200" s="869" t="n">
        <v>47030</v>
      </c>
      <c r="O200" s="869" t="n">
        <v>45204</v>
      </c>
      <c r="Q200" t="n">
        <v>257635</v>
      </c>
      <c r="R200">
        <f>R144</f>
        <v/>
      </c>
      <c r="T200" t="n">
        <v>264100</v>
      </c>
      <c r="U200">
        <f>U144</f>
        <v/>
      </c>
      <c r="V200" t="n">
        <v>271000</v>
      </c>
      <c r="W200">
        <f>W144</f>
        <v/>
      </c>
      <c r="X200">
        <f>W144/I144</f>
        <v/>
      </c>
      <c r="Y200">
        <f>SUM(W144-U144)/U144</f>
        <v/>
      </c>
      <c r="Z200" t="inlineStr">
        <is>
          <t>D</t>
        </is>
      </c>
      <c r="AC200" t="inlineStr">
        <is>
          <t>No</t>
        </is>
      </c>
      <c r="AD200" t="inlineStr">
        <is>
          <t>Landlords redevelopment break @ 04/10/26 on 9 months notice.</t>
        </is>
      </c>
      <c r="AF200" t="n">
        <v>1</v>
      </c>
      <c r="AG200" t="n">
        <v>1</v>
      </c>
      <c r="AI200" t="inlineStr">
        <is>
          <t>Let</t>
        </is>
      </c>
    </row>
    <row r="201">
      <c r="A201" t="inlineStr">
        <is>
          <t xml:space="preserve">  Office</t>
        </is>
      </c>
      <c r="B201" t="inlineStr">
        <is>
          <t>WS</t>
        </is>
      </c>
      <c r="C201" t="inlineStr">
        <is>
          <t>MEL</t>
        </is>
      </c>
      <c r="D201" t="n">
        <v>550570</v>
      </c>
      <c r="E201" t="inlineStr">
        <is>
          <t>Moray House, 23-35 Great Titchfield Street &amp; 63-65 Mortimer Street</t>
        </is>
      </c>
      <c r="F201" t="inlineStr">
        <is>
          <t>Suite 1, 2 &amp; 3  Fourth Floor</t>
        </is>
      </c>
      <c r="G201" t="inlineStr">
        <is>
          <t>Office</t>
        </is>
      </c>
      <c r="H201" t="n">
        <v>4098</v>
      </c>
      <c r="I201">
        <f>I145</f>
        <v/>
      </c>
      <c r="J201" t="n">
        <v>4000</v>
      </c>
      <c r="K201" t="inlineStr">
        <is>
          <t>InPost UK Limited</t>
        </is>
      </c>
      <c r="L201" s="869" t="n">
        <v>45317</v>
      </c>
      <c r="M201" s="869" t="n">
        <v>47143</v>
      </c>
      <c r="P201" s="869" t="n">
        <v>46047</v>
      </c>
      <c r="Q201" t="n">
        <v>304500</v>
      </c>
      <c r="R201">
        <f>R145</f>
        <v/>
      </c>
      <c r="T201" t="n">
        <v>255600</v>
      </c>
      <c r="U201">
        <f>U145</f>
        <v/>
      </c>
      <c r="V201" t="n">
        <v>304500</v>
      </c>
      <c r="W201">
        <f>W145</f>
        <v/>
      </c>
      <c r="X201">
        <f>W145/I145</f>
        <v/>
      </c>
      <c r="Y201">
        <f>SUM(W145-U145)/U145</f>
        <v/>
      </c>
      <c r="Z201" t="inlineStr">
        <is>
          <t>B</t>
        </is>
      </c>
      <c r="AC201" t="inlineStr">
        <is>
          <t>No</t>
        </is>
      </c>
      <c r="AD201" t="inlineStr">
        <is>
          <t>Tenant breaks @ 26/01/26 &amp; 21/01/27 on 3 months notice. One month rent free if not exercised.</t>
        </is>
      </c>
      <c r="AI201" t="inlineStr">
        <is>
          <t>Let</t>
        </is>
      </c>
    </row>
    <row r="202">
      <c r="A202" t="inlineStr">
        <is>
          <t xml:space="preserve">  Office</t>
        </is>
      </c>
      <c r="B202" t="inlineStr">
        <is>
          <t>WS</t>
        </is>
      </c>
      <c r="C202" t="inlineStr">
        <is>
          <t>MEL</t>
        </is>
      </c>
      <c r="D202" t="n">
        <v>550570</v>
      </c>
      <c r="E202" t="inlineStr">
        <is>
          <t>Moray House, 23-35 Great Titchfield Street &amp; 63-65 Mortimer Street</t>
        </is>
      </c>
      <c r="F202" t="inlineStr">
        <is>
          <t>Fifth Floor</t>
        </is>
      </c>
      <c r="G202" t="inlineStr">
        <is>
          <t>Office</t>
        </is>
      </c>
      <c r="H202" t="n">
        <v>3179</v>
      </c>
      <c r="I202">
        <f>I146</f>
        <v/>
      </c>
      <c r="J202" t="n">
        <v>3000</v>
      </c>
      <c r="K202" t="inlineStr">
        <is>
          <t xml:space="preserve">ACP Ltd &amp; ACM Ltd </t>
        </is>
      </c>
      <c r="L202" s="869" t="n">
        <v>45086</v>
      </c>
      <c r="M202" s="869" t="n">
        <v>46912</v>
      </c>
      <c r="P202" s="869" t="n">
        <v>46181</v>
      </c>
      <c r="Q202" t="n">
        <v>225875</v>
      </c>
      <c r="R202">
        <f>R146</f>
        <v/>
      </c>
      <c r="T202" t="n">
        <v>196883</v>
      </c>
      <c r="U202">
        <f>U146</f>
        <v/>
      </c>
      <c r="V202" t="n">
        <v>230500</v>
      </c>
      <c r="W202">
        <f>W146</f>
        <v/>
      </c>
      <c r="X202">
        <f>W146/I146</f>
        <v/>
      </c>
      <c r="Y202">
        <f>SUM(W146-U146)/U146</f>
        <v/>
      </c>
      <c r="Z202" t="inlineStr">
        <is>
          <t>D</t>
        </is>
      </c>
      <c r="AC202" t="inlineStr">
        <is>
          <t>No</t>
        </is>
      </c>
      <c r="AD202" t="inlineStr">
        <is>
          <t>Tenant break on 6 months notice. Rent free @ 09/06/26 to 23/09/26 if not exercised.</t>
        </is>
      </c>
      <c r="AI202" t="inlineStr">
        <is>
          <t>Let</t>
        </is>
      </c>
    </row>
    <row r="203">
      <c r="A203" t="inlineStr">
        <is>
          <t xml:space="preserve">  Office</t>
        </is>
      </c>
      <c r="B203" t="inlineStr">
        <is>
          <t>WS</t>
        </is>
      </c>
      <c r="C203" t="inlineStr">
        <is>
          <t>MEL</t>
        </is>
      </c>
      <c r="D203" t="n">
        <v>550570</v>
      </c>
      <c r="E203" t="inlineStr">
        <is>
          <t>Moray House, 23-35 Great Titchfield Street &amp; 63-65 Mortimer Street</t>
        </is>
      </c>
      <c r="F203" t="inlineStr">
        <is>
          <t>Suites 1 &amp; 2 , Sixth Floor</t>
        </is>
      </c>
      <c r="G203" t="inlineStr">
        <is>
          <t>Office</t>
        </is>
      </c>
      <c r="H203" t="n">
        <v>2099</v>
      </c>
      <c r="I203">
        <f>I147</f>
        <v/>
      </c>
      <c r="J203" t="n">
        <v>2000</v>
      </c>
      <c r="K203" t="inlineStr">
        <is>
          <t>Katch Investment Management Ltd</t>
        </is>
      </c>
      <c r="L203" s="869" t="n">
        <v>45019</v>
      </c>
      <c r="M203" s="869" t="n">
        <v>46845</v>
      </c>
      <c r="P203" s="869" t="n">
        <v>46114</v>
      </c>
      <c r="Q203" t="n">
        <v>133250</v>
      </c>
      <c r="R203">
        <f>R147</f>
        <v/>
      </c>
      <c r="T203" t="n">
        <v>135167</v>
      </c>
      <c r="U203">
        <f>U147</f>
        <v/>
      </c>
      <c r="V203" t="n">
        <v>152200</v>
      </c>
      <c r="W203">
        <f>W147</f>
        <v/>
      </c>
      <c r="X203">
        <f>W147/I147</f>
        <v/>
      </c>
      <c r="Y203">
        <f>SUM(W147-U147)/U147</f>
        <v/>
      </c>
      <c r="Z203" t="inlineStr">
        <is>
          <t>D</t>
        </is>
      </c>
      <c r="AC203" t="inlineStr">
        <is>
          <t>No</t>
        </is>
      </c>
      <c r="AD203" t="inlineStr">
        <is>
          <t>Tenant break on 6 months notice. Rent reduces to £66,625 for 2 months if not exercised.</t>
        </is>
      </c>
      <c r="AI203" t="inlineStr">
        <is>
          <t>Let</t>
        </is>
      </c>
    </row>
    <row r="204">
      <c r="A204" t="inlineStr">
        <is>
          <t xml:space="preserve">  Residential</t>
        </is>
      </c>
      <c r="B204" t="inlineStr">
        <is>
          <t>WS</t>
        </is>
      </c>
      <c r="C204" t="inlineStr">
        <is>
          <t>MEL</t>
        </is>
      </c>
      <c r="D204" t="n">
        <v>550570</v>
      </c>
      <c r="E204" t="inlineStr">
        <is>
          <t>Moray House, 23-35 Great Titchfield Street &amp; 63-65 Mortimer Street</t>
        </is>
      </c>
      <c r="F204" t="inlineStr">
        <is>
          <t>Sixth Floor</t>
        </is>
      </c>
      <c r="G204" t="inlineStr">
        <is>
          <t>Residential</t>
        </is>
      </c>
      <c r="H204" t="n">
        <v>580</v>
      </c>
      <c r="I204">
        <f>I148</f>
        <v/>
      </c>
      <c r="J204" t="n">
        <v>500</v>
      </c>
      <c r="K204" t="inlineStr">
        <is>
          <t>Mr M Versteegh &amp; Mr W Antell</t>
        </is>
      </c>
      <c r="L204" s="869" t="n">
        <v>45546</v>
      </c>
      <c r="M204" s="869" t="n">
        <v>45910</v>
      </c>
      <c r="Q204" t="n">
        <v>42016</v>
      </c>
      <c r="R204">
        <f>R148</f>
        <v/>
      </c>
      <c r="T204" t="n">
        <v>26496</v>
      </c>
      <c r="U204">
        <f>U148</f>
        <v/>
      </c>
      <c r="V204" t="n">
        <v>26496</v>
      </c>
      <c r="W204">
        <f>W148</f>
        <v/>
      </c>
      <c r="X204">
        <f>W148/I148</f>
        <v/>
      </c>
      <c r="Y204">
        <f>SUM(W148-U148)/U148</f>
        <v/>
      </c>
      <c r="Z204" t="inlineStr">
        <is>
          <t>E</t>
        </is>
      </c>
      <c r="AC204" t="inlineStr">
        <is>
          <t>No</t>
        </is>
      </c>
      <c r="AI204" t="inlineStr">
        <is>
          <t>Let</t>
        </is>
      </c>
    </row>
    <row r="205"/>
    <row r="206">
      <c r="A206" s="868" t="inlineStr">
        <is>
          <t>56 Great Titchfield Street</t>
        </is>
      </c>
    </row>
    <row r="207">
      <c r="A207" t="inlineStr">
        <is>
          <t xml:space="preserve">  Retail</t>
        </is>
      </c>
      <c r="B207" t="inlineStr">
        <is>
          <t>CD</t>
        </is>
      </c>
      <c r="C207" t="inlineStr">
        <is>
          <t>MEL</t>
        </is>
      </c>
      <c r="D207" t="n">
        <v>550430</v>
      </c>
      <c r="E207" t="inlineStr">
        <is>
          <t>56 Great Titchfield Street</t>
        </is>
      </c>
      <c r="F207" t="inlineStr">
        <is>
          <t>Whole Building</t>
        </is>
      </c>
      <c r="G207" t="inlineStr">
        <is>
          <t>Retail</t>
        </is>
      </c>
      <c r="H207" t="n">
        <v>2692</v>
      </c>
      <c r="I207">
        <f>I149</f>
        <v/>
      </c>
      <c r="J207" t="n">
        <v>2750</v>
      </c>
      <c r="K207" t="inlineStr">
        <is>
          <t>Morplan Ltd.</t>
        </is>
      </c>
      <c r="L207" s="869" t="n">
        <v>39814</v>
      </c>
      <c r="M207" s="869" t="n">
        <v>45747</v>
      </c>
      <c r="Q207" t="n">
        <v>104500</v>
      </c>
      <c r="R207">
        <f>R149</f>
        <v/>
      </c>
      <c r="S207">
        <f>S149</f>
        <v/>
      </c>
      <c r="T207" t="n">
        <v>94400</v>
      </c>
      <c r="U207">
        <f>U149</f>
        <v/>
      </c>
      <c r="V207" t="n">
        <v>94400</v>
      </c>
      <c r="W207">
        <f>W149</f>
        <v/>
      </c>
      <c r="X207">
        <f>W149/I149</f>
        <v/>
      </c>
      <c r="Y207">
        <f>SUM(W149-U149)/U149</f>
        <v/>
      </c>
      <c r="Z207" t="inlineStr">
        <is>
          <t>B</t>
        </is>
      </c>
      <c r="AB207" t="n">
        <v>1425000</v>
      </c>
      <c r="AC207" t="inlineStr">
        <is>
          <t>Yes</t>
        </is>
      </c>
      <c r="AD207" t="inlineStr">
        <is>
          <t>Tenant holding over. S25 served terminating tenancy @ 12/10/24. Lease renewal agreed. Awaiting completion. Lease extension agreed to 31/03/25</t>
        </is>
      </c>
      <c r="AI207" t="inlineStr">
        <is>
          <t>Let</t>
        </is>
      </c>
    </row>
    <row r="208"/>
    <row r="209">
      <c r="A209" s="868" t="inlineStr">
        <is>
          <t>58 Great Titchfield Street</t>
        </is>
      </c>
    </row>
    <row r="210">
      <c r="A210" t="inlineStr">
        <is>
          <t xml:space="preserve">  Retail</t>
        </is>
      </c>
      <c r="B210" t="inlineStr">
        <is>
          <t>CD</t>
        </is>
      </c>
      <c r="C210" t="inlineStr">
        <is>
          <t>MEL</t>
        </is>
      </c>
      <c r="D210" t="n">
        <v>550440</v>
      </c>
      <c r="E210" t="inlineStr">
        <is>
          <t>58 Great Titchfield Street</t>
        </is>
      </c>
      <c r="F210" t="inlineStr">
        <is>
          <t>Basement &amp; Ground Floor</t>
        </is>
      </c>
      <c r="G210" t="inlineStr">
        <is>
          <t>Retail</t>
        </is>
      </c>
      <c r="H210" t="n">
        <v>1171</v>
      </c>
      <c r="I210">
        <f>I150</f>
        <v/>
      </c>
      <c r="J210" t="n">
        <v>1000</v>
      </c>
      <c r="K210" t="inlineStr">
        <is>
          <t>Morplan Ltd.</t>
        </is>
      </c>
      <c r="L210" s="869" t="n">
        <v>39814</v>
      </c>
      <c r="M210" s="869" t="n">
        <v>45747</v>
      </c>
      <c r="Q210" t="n">
        <v>50425</v>
      </c>
      <c r="R210">
        <f>R150</f>
        <v/>
      </c>
      <c r="T210" t="n">
        <v>41000</v>
      </c>
      <c r="U210">
        <f>U150</f>
        <v/>
      </c>
      <c r="V210" t="n">
        <v>41000</v>
      </c>
      <c r="W210">
        <f>W150</f>
        <v/>
      </c>
      <c r="X210">
        <f>W150/I150</f>
        <v/>
      </c>
      <c r="Y210">
        <f>SUM(W150-U150)/U150</f>
        <v/>
      </c>
      <c r="Z210" t="inlineStr">
        <is>
          <t>B</t>
        </is>
      </c>
      <c r="AC210" t="inlineStr">
        <is>
          <t>Yes</t>
        </is>
      </c>
      <c r="AD210" t="inlineStr">
        <is>
          <t>Tenant holding over. S25 served terminating tenancy @ 12/10/24. Lease renewal agreed. Awaiting completion. Lease extension agreed to 31/03/25</t>
        </is>
      </c>
      <c r="AI210" t="inlineStr">
        <is>
          <t>Let</t>
        </is>
      </c>
    </row>
    <row r="211">
      <c r="A211" t="inlineStr">
        <is>
          <t xml:space="preserve">  Retail/Showroom/Office</t>
        </is>
      </c>
      <c r="B211" t="inlineStr">
        <is>
          <t>CD</t>
        </is>
      </c>
      <c r="C211" t="inlineStr">
        <is>
          <t>MEL</t>
        </is>
      </c>
      <c r="D211" t="n">
        <v>550440</v>
      </c>
      <c r="E211" t="inlineStr">
        <is>
          <t>58 Great Titchfield Street</t>
        </is>
      </c>
      <c r="F211" t="inlineStr">
        <is>
          <t>First, Second &amp; Third Floors</t>
        </is>
      </c>
      <c r="G211" t="inlineStr">
        <is>
          <t>Retail/Showroom/Office</t>
        </is>
      </c>
      <c r="H211" t="n">
        <v>1120</v>
      </c>
      <c r="I211">
        <f>I151</f>
        <v/>
      </c>
      <c r="J211" t="n">
        <v>1000</v>
      </c>
      <c r="K211" t="inlineStr">
        <is>
          <t>Morplan Ltd.</t>
        </is>
      </c>
      <c r="L211" s="869" t="n">
        <v>45292</v>
      </c>
      <c r="Q211" t="n">
        <v>61575</v>
      </c>
      <c r="R211">
        <f>R151</f>
        <v/>
      </c>
      <c r="T211" t="n">
        <v>58800</v>
      </c>
      <c r="U211">
        <f>U151</f>
        <v/>
      </c>
      <c r="V211" t="n">
        <v>58800</v>
      </c>
      <c r="W211">
        <f>W151</f>
        <v/>
      </c>
      <c r="X211">
        <f>W151/I151</f>
        <v/>
      </c>
      <c r="Z211" t="inlineStr">
        <is>
          <t>E</t>
        </is>
      </c>
      <c r="AC211" t="inlineStr">
        <is>
          <t>No</t>
        </is>
      </c>
      <c r="AD211" t="inlineStr">
        <is>
          <t>Lease renewal terms being discussed.</t>
        </is>
      </c>
      <c r="AI211" t="inlineStr">
        <is>
          <t>Let</t>
        </is>
      </c>
    </row>
    <row r="212"/>
    <row r="213">
      <c r="A213" s="868" t="inlineStr">
        <is>
          <t>12 Hallam Street (The Hallam Hotel)</t>
        </is>
      </c>
    </row>
    <row r="214">
      <c r="A214" t="inlineStr">
        <is>
          <t xml:space="preserve">  Hotel                       25 Beds</t>
        </is>
      </c>
      <c r="B214" t="inlineStr">
        <is>
          <t>WS</t>
        </is>
      </c>
      <c r="C214" t="inlineStr">
        <is>
          <t>MEL</t>
        </is>
      </c>
      <c r="D214" t="n">
        <v>550220</v>
      </c>
      <c r="E214" t="inlineStr">
        <is>
          <t>12 Hallam Street (The Hallam Hotel)</t>
        </is>
      </c>
      <c r="F214" t="inlineStr">
        <is>
          <t xml:space="preserve">Whole Building </t>
        </is>
      </c>
      <c r="G214" t="inlineStr">
        <is>
          <t>Hotel                       25 Beds</t>
        </is>
      </c>
      <c r="H214" t="n">
        <v>4284</v>
      </c>
      <c r="I214">
        <f>I152</f>
        <v/>
      </c>
      <c r="J214" t="n">
        <v>4250</v>
      </c>
      <c r="K214" t="inlineStr">
        <is>
          <t>Vacant</t>
        </is>
      </c>
      <c r="N214" s="869" t="n">
        <v>44387</v>
      </c>
      <c r="Q214" t="n">
        <v>0</v>
      </c>
      <c r="R214">
        <f>R152</f>
        <v/>
      </c>
      <c r="S214">
        <f>S152</f>
        <v/>
      </c>
      <c r="T214" t="n">
        <v>0</v>
      </c>
      <c r="U214">
        <f>U152</f>
        <v/>
      </c>
      <c r="V214" t="n">
        <v>0</v>
      </c>
      <c r="W214">
        <f>W152</f>
        <v/>
      </c>
      <c r="AB214" t="n">
        <v>1500000</v>
      </c>
      <c r="AC214" t="inlineStr">
        <is>
          <t>No</t>
        </is>
      </c>
      <c r="AD214" t="inlineStr">
        <is>
          <t>Mothballed.</t>
        </is>
      </c>
      <c r="AI214" t="inlineStr">
        <is>
          <t>Void</t>
        </is>
      </c>
    </row>
    <row r="215"/>
    <row r="216">
      <c r="A216" s="868" t="inlineStr">
        <is>
          <t>16-20 Hallam Street  (Astor Court Hotel)</t>
        </is>
      </c>
    </row>
    <row r="217">
      <c r="A217" t="inlineStr">
        <is>
          <t xml:space="preserve">  Hotel 52 Beds</t>
        </is>
      </c>
      <c r="B217" t="inlineStr">
        <is>
          <t>WS</t>
        </is>
      </c>
      <c r="C217" t="inlineStr">
        <is>
          <t>MEL</t>
        </is>
      </c>
      <c r="D217" t="n">
        <v>550890</v>
      </c>
      <c r="E217" t="inlineStr">
        <is>
          <t>16-20 Hallam Street  (Astor Court Hotel)</t>
        </is>
      </c>
      <c r="F217" t="inlineStr">
        <is>
          <t>Whole Building</t>
        </is>
      </c>
      <c r="G217" t="inlineStr">
        <is>
          <t>Hotel 52 Beds</t>
        </is>
      </c>
      <c r="H217" t="n">
        <v>23500</v>
      </c>
      <c r="I217">
        <f>I153</f>
        <v/>
      </c>
      <c r="J217" t="n">
        <v>23500</v>
      </c>
      <c r="K217" t="inlineStr">
        <is>
          <t>Wesdom Investments Ltd.</t>
        </is>
      </c>
      <c r="L217" s="869" t="n">
        <v>45651</v>
      </c>
      <c r="M217" s="869" t="n">
        <v>49302</v>
      </c>
      <c r="O217" s="869" t="n">
        <v>47477</v>
      </c>
      <c r="Q217" t="n">
        <v>660000</v>
      </c>
      <c r="R217">
        <f>R153</f>
        <v/>
      </c>
      <c r="S217">
        <f>S153</f>
        <v/>
      </c>
      <c r="T217" t="n">
        <v>0</v>
      </c>
      <c r="U217">
        <f>U153</f>
        <v/>
      </c>
      <c r="V217" t="n">
        <v>0</v>
      </c>
      <c r="W217">
        <f>W153</f>
        <v/>
      </c>
      <c r="Z217" t="inlineStr">
        <is>
          <t>B</t>
        </is>
      </c>
      <c r="AB217" t="n">
        <v>17500000</v>
      </c>
      <c r="AC217" t="inlineStr">
        <is>
          <t>No</t>
        </is>
      </c>
      <c r="AD217" t="inlineStr">
        <is>
          <t>Internal Lease to another Lee Family Group Company. CBRE value on a DCF basis and do not adopt ERV for valuation purposes. Guide ERV is £660,000 pa. Rent review is CPI indexed.</t>
        </is>
      </c>
      <c r="AI217" t="inlineStr">
        <is>
          <t>Let</t>
        </is>
      </c>
    </row>
    <row r="218"/>
    <row r="219">
      <c r="A219" s="868" t="inlineStr">
        <is>
          <t>Flat 1, 2 Little Portland Street</t>
        </is>
      </c>
    </row>
    <row r="220">
      <c r="A220" t="inlineStr">
        <is>
          <t xml:space="preserve">  Residential</t>
        </is>
      </c>
      <c r="B220" t="inlineStr">
        <is>
          <t>CM</t>
        </is>
      </c>
      <c r="C220" t="inlineStr">
        <is>
          <t>MEL</t>
        </is>
      </c>
      <c r="D220" t="n">
        <v>550586</v>
      </c>
      <c r="E220" t="inlineStr">
        <is>
          <t>Flat 1, 2 Little Portland Street</t>
        </is>
      </c>
      <c r="F220" t="inlineStr">
        <is>
          <t>Flat 1</t>
        </is>
      </c>
      <c r="G220" t="inlineStr">
        <is>
          <t>Residential</t>
        </is>
      </c>
      <c r="H220" t="n">
        <v>420</v>
      </c>
      <c r="I220">
        <f>I154</f>
        <v/>
      </c>
      <c r="J220" t="n">
        <v>500</v>
      </c>
      <c r="K220" t="inlineStr">
        <is>
          <t>Miss Julia Tressler</t>
        </is>
      </c>
      <c r="L220" s="869" t="n">
        <v>45664</v>
      </c>
      <c r="M220" s="869" t="n">
        <v>46028</v>
      </c>
      <c r="Q220" t="n">
        <v>25220</v>
      </c>
      <c r="R220">
        <f>R154</f>
        <v/>
      </c>
      <c r="S220">
        <f>S154</f>
        <v/>
      </c>
      <c r="T220" t="n">
        <v>27000</v>
      </c>
      <c r="U220">
        <f>U154</f>
        <v/>
      </c>
      <c r="V220" t="n">
        <v>27000</v>
      </c>
      <c r="W220">
        <f>W154</f>
        <v/>
      </c>
      <c r="Y220">
        <f>SUM(W154-U154)/U154</f>
        <v/>
      </c>
      <c r="Z220" t="inlineStr">
        <is>
          <t>D</t>
        </is>
      </c>
      <c r="AB220" t="n">
        <v>590000</v>
      </c>
      <c r="AC220" t="inlineStr">
        <is>
          <t>No</t>
        </is>
      </c>
      <c r="AD220" t="inlineStr">
        <is>
          <t>Tenant break passed.</t>
        </is>
      </c>
      <c r="AI220" t="inlineStr">
        <is>
          <t>Let</t>
        </is>
      </c>
    </row>
    <row r="221"/>
    <row r="222">
      <c r="A222" s="868" t="inlineStr">
        <is>
          <t>3/4/4a Little Portland Street</t>
        </is>
      </c>
    </row>
    <row r="223">
      <c r="A223" t="inlineStr">
        <is>
          <t xml:space="preserve">  Storage/Cloakroom</t>
        </is>
      </c>
      <c r="B223" t="inlineStr">
        <is>
          <t>CD</t>
        </is>
      </c>
      <c r="C223" t="inlineStr">
        <is>
          <t>MEL</t>
        </is>
      </c>
      <c r="D223" t="n">
        <v>550300</v>
      </c>
      <c r="E223" t="inlineStr">
        <is>
          <t>3/4/4a Little Portland Street</t>
        </is>
      </c>
      <c r="F223" t="inlineStr">
        <is>
          <t>Basement (North &amp; Centre) Part Ground</t>
        </is>
      </c>
      <c r="G223" t="inlineStr">
        <is>
          <t>Storage/Cloakroom</t>
        </is>
      </c>
      <c r="H223" t="n">
        <v>1911</v>
      </c>
      <c r="I223">
        <f>I155</f>
        <v/>
      </c>
      <c r="J223" t="n">
        <v>2000</v>
      </c>
      <c r="K223" t="inlineStr">
        <is>
          <t>Pure Public Relations Ltd.</t>
        </is>
      </c>
      <c r="L223" s="869" t="n">
        <v>44774</v>
      </c>
      <c r="M223" s="869" t="n">
        <v>46599</v>
      </c>
      <c r="P223" s="869" t="n">
        <v>45870</v>
      </c>
      <c r="Q223" t="n">
        <v>44735</v>
      </c>
      <c r="R223">
        <f>R155</f>
        <v/>
      </c>
      <c r="T223" t="n">
        <v>45700</v>
      </c>
      <c r="U223">
        <f>U155</f>
        <v/>
      </c>
      <c r="V223" t="n">
        <v>47800</v>
      </c>
      <c r="W223">
        <f>W155</f>
        <v/>
      </c>
      <c r="X223">
        <f>W155/I155</f>
        <v/>
      </c>
      <c r="Y223">
        <f>SUM(W155-U155)/U155</f>
        <v/>
      </c>
      <c r="Z223" t="inlineStr">
        <is>
          <t>E</t>
        </is>
      </c>
      <c r="AC223" t="inlineStr">
        <is>
          <t>No</t>
        </is>
      </c>
      <c r="AD223" t="inlineStr">
        <is>
          <t>Tenant break on 6 months notice. 3 months rent free if not exercised.</t>
        </is>
      </c>
      <c r="AI223" t="inlineStr">
        <is>
          <t>Let</t>
        </is>
      </c>
    </row>
    <row r="224">
      <c r="A224" t="inlineStr">
        <is>
          <t xml:space="preserve">  Cloakroom</t>
        </is>
      </c>
      <c r="B224" t="inlineStr">
        <is>
          <t>CD</t>
        </is>
      </c>
      <c r="C224" t="inlineStr">
        <is>
          <t>MEL</t>
        </is>
      </c>
      <c r="D224" t="n">
        <v>550300</v>
      </c>
      <c r="E224" t="inlineStr">
        <is>
          <t>3/4/4a Little Portland Street</t>
        </is>
      </c>
      <c r="F224" t="inlineStr">
        <is>
          <t>Ground Floor (Rear)</t>
        </is>
      </c>
      <c r="G224" t="inlineStr">
        <is>
          <t>Cloakroom</t>
        </is>
      </c>
      <c r="H224" t="n">
        <v>0</v>
      </c>
      <c r="I224">
        <f>I156</f>
        <v/>
      </c>
      <c r="K224" t="inlineStr">
        <is>
          <t>Vacant / Landlord</t>
        </is>
      </c>
      <c r="N224" s="869" t="n">
        <v>45456</v>
      </c>
      <c r="Q224" t="n">
        <v>0</v>
      </c>
      <c r="R224">
        <f>R156</f>
        <v/>
      </c>
      <c r="T224" t="n">
        <v>0</v>
      </c>
      <c r="U224">
        <f>U156</f>
        <v/>
      </c>
      <c r="V224" t="n">
        <v>0</v>
      </c>
      <c r="W224">
        <f>W156</f>
        <v/>
      </c>
      <c r="Z224" t="inlineStr">
        <is>
          <t>E</t>
        </is>
      </c>
      <c r="AC224" t="inlineStr">
        <is>
          <t>No</t>
        </is>
      </c>
      <c r="AI224" t="inlineStr">
        <is>
          <t>Void</t>
        </is>
      </c>
    </row>
    <row r="225">
      <c r="A225" t="inlineStr">
        <is>
          <t xml:space="preserve">  Showroom</t>
        </is>
      </c>
      <c r="B225" t="inlineStr">
        <is>
          <t>CD</t>
        </is>
      </c>
      <c r="C225" t="inlineStr">
        <is>
          <t>MEL</t>
        </is>
      </c>
      <c r="D225" t="n">
        <v>550300</v>
      </c>
      <c r="E225" t="inlineStr">
        <is>
          <t>3/4/4a Little Portland Street</t>
        </is>
      </c>
      <c r="F225" t="inlineStr">
        <is>
          <t>Ground Floor (East)</t>
        </is>
      </c>
      <c r="G225" t="inlineStr">
        <is>
          <t>Showroom</t>
        </is>
      </c>
      <c r="H225" t="n">
        <v>495</v>
      </c>
      <c r="I225">
        <f>I157</f>
        <v/>
      </c>
      <c r="J225" t="n">
        <v>500</v>
      </c>
      <c r="K225" t="inlineStr">
        <is>
          <t>Econnective UK Ltd.</t>
        </is>
      </c>
      <c r="L225" s="869" t="n">
        <v>45010</v>
      </c>
      <c r="M225" s="869" t="n">
        <v>48662</v>
      </c>
      <c r="O225" s="869" t="n">
        <v>46837</v>
      </c>
      <c r="Q225" t="n">
        <v>35000</v>
      </c>
      <c r="R225">
        <f>R157</f>
        <v/>
      </c>
      <c r="T225" t="n">
        <v>35400</v>
      </c>
      <c r="U225">
        <f>U157</f>
        <v/>
      </c>
      <c r="V225" t="n">
        <v>35000</v>
      </c>
      <c r="W225">
        <f>W157</f>
        <v/>
      </c>
      <c r="X225">
        <f>W157/I157</f>
        <v/>
      </c>
      <c r="Y225">
        <f>SUM(W157-U157)/U157</f>
        <v/>
      </c>
      <c r="Z225" t="inlineStr">
        <is>
          <t>E</t>
        </is>
      </c>
      <c r="AC225" t="inlineStr">
        <is>
          <t>No</t>
        </is>
      </c>
      <c r="AI225" t="inlineStr">
        <is>
          <t>Let</t>
        </is>
      </c>
    </row>
    <row r="226">
      <c r="A226" t="inlineStr">
        <is>
          <t xml:space="preserve">  Workshop</t>
        </is>
      </c>
      <c r="B226" t="inlineStr">
        <is>
          <t>CD</t>
        </is>
      </c>
      <c r="C226" t="inlineStr">
        <is>
          <t>MEL</t>
        </is>
      </c>
      <c r="D226" t="n">
        <v>550300</v>
      </c>
      <c r="E226" t="inlineStr">
        <is>
          <t>3/4/4a Little Portland Street</t>
        </is>
      </c>
      <c r="F226" t="inlineStr">
        <is>
          <t>Basement (South) (Front)</t>
        </is>
      </c>
      <c r="G226" t="inlineStr">
        <is>
          <t>Workshop</t>
        </is>
      </c>
      <c r="H226" t="n">
        <v>1051</v>
      </c>
      <c r="I226">
        <f>I158</f>
        <v/>
      </c>
      <c r="J226" t="n">
        <v>1000</v>
      </c>
      <c r="K226" t="inlineStr">
        <is>
          <t>Langham Estate Management Ltd</t>
        </is>
      </c>
      <c r="L226" s="869" t="n">
        <v>43549</v>
      </c>
      <c r="M226" s="869" t="n">
        <v>46836</v>
      </c>
      <c r="O226" s="869" t="n">
        <v>45010</v>
      </c>
      <c r="Q226" t="n">
        <v>28200</v>
      </c>
      <c r="R226">
        <f>R158</f>
        <v/>
      </c>
      <c r="T226" t="n">
        <v>32000</v>
      </c>
      <c r="U226">
        <f>U158</f>
        <v/>
      </c>
      <c r="V226" t="n">
        <v>21000</v>
      </c>
      <c r="W226">
        <f>W158</f>
        <v/>
      </c>
      <c r="X226">
        <f>W158/I158</f>
        <v/>
      </c>
      <c r="Y226">
        <f>SUM(W158-U158)/U158</f>
        <v/>
      </c>
      <c r="Z226" t="inlineStr">
        <is>
          <t>E</t>
        </is>
      </c>
      <c r="AC226" t="inlineStr">
        <is>
          <t>No</t>
        </is>
      </c>
      <c r="AD226" t="inlineStr">
        <is>
          <t>Mutual rolling break on 6 months notice. Internal Lease to another Lee Family Group Company.</t>
        </is>
      </c>
      <c r="AI226" t="inlineStr">
        <is>
          <t>Let</t>
        </is>
      </c>
    </row>
    <row r="227">
      <c r="A227" t="inlineStr">
        <is>
          <t xml:space="preserve">  Offices</t>
        </is>
      </c>
      <c r="B227" t="inlineStr">
        <is>
          <t>CD</t>
        </is>
      </c>
      <c r="C227" t="inlineStr">
        <is>
          <t>MEL</t>
        </is>
      </c>
      <c r="D227" t="n">
        <v>550300</v>
      </c>
      <c r="E227" t="inlineStr">
        <is>
          <t>3/4/4a Little Portland Street</t>
        </is>
      </c>
      <c r="F227" t="inlineStr">
        <is>
          <t>Ground Floor (West)</t>
        </is>
      </c>
      <c r="G227" t="inlineStr">
        <is>
          <t>Offices</t>
        </is>
      </c>
      <c r="H227" t="n">
        <v>2254</v>
      </c>
      <c r="I227">
        <f>I159</f>
        <v/>
      </c>
      <c r="J227" t="n">
        <v>2250</v>
      </c>
      <c r="K227" t="inlineStr">
        <is>
          <t>Medialab Group Ltd.</t>
        </is>
      </c>
      <c r="L227" s="869" t="n">
        <v>45001</v>
      </c>
      <c r="M227" s="869" t="n">
        <v>46827</v>
      </c>
      <c r="P227" s="869" t="n">
        <v>46097</v>
      </c>
      <c r="Q227" t="n">
        <v>148590</v>
      </c>
      <c r="R227">
        <f>R159</f>
        <v/>
      </c>
      <c r="T227" t="n">
        <v>148600</v>
      </c>
      <c r="U227">
        <f>U159</f>
        <v/>
      </c>
      <c r="V227" t="n">
        <v>148590</v>
      </c>
      <c r="W227">
        <f>W159</f>
        <v/>
      </c>
      <c r="X227">
        <f>W159/I159</f>
        <v/>
      </c>
      <c r="Y227">
        <f>SUM(W159-U159)/U159</f>
        <v/>
      </c>
      <c r="Z227" t="inlineStr">
        <is>
          <t>E</t>
        </is>
      </c>
      <c r="AC227" t="inlineStr">
        <is>
          <t>No</t>
        </is>
      </c>
      <c r="AD227" t="inlineStr">
        <is>
          <t>Mutual break in the event of planning enforcement. Tenant break on 6 months notice. 3 months rent free if not exercised.</t>
        </is>
      </c>
      <c r="AI227" t="inlineStr">
        <is>
          <t>Let</t>
        </is>
      </c>
    </row>
    <row r="228">
      <c r="A228" t="inlineStr">
        <is>
          <t xml:space="preserve">  Office</t>
        </is>
      </c>
      <c r="B228" t="inlineStr">
        <is>
          <t>CD</t>
        </is>
      </c>
      <c r="C228" t="inlineStr">
        <is>
          <t>MEL</t>
        </is>
      </c>
      <c r="D228" t="n">
        <v>550300</v>
      </c>
      <c r="E228" t="inlineStr">
        <is>
          <t>3/4/4a Little Portland Street</t>
        </is>
      </c>
      <c r="F228" t="inlineStr">
        <is>
          <t>First Floor</t>
        </is>
      </c>
      <c r="G228" t="inlineStr">
        <is>
          <t>Office</t>
        </is>
      </c>
      <c r="H228" t="n">
        <v>3205</v>
      </c>
      <c r="I228">
        <f>I160</f>
        <v/>
      </c>
      <c r="J228" t="n">
        <v>3250</v>
      </c>
      <c r="K228" t="inlineStr">
        <is>
          <t>Medialab Group Ltd.</t>
        </is>
      </c>
      <c r="L228" s="869" t="n">
        <v>45000</v>
      </c>
      <c r="M228" s="869" t="n">
        <v>46827</v>
      </c>
      <c r="P228" s="869" t="n">
        <v>46097</v>
      </c>
      <c r="Q228" t="n">
        <v>218325</v>
      </c>
      <c r="R228">
        <f>R160</f>
        <v/>
      </c>
      <c r="T228" t="n">
        <v>218300</v>
      </c>
      <c r="U228">
        <f>U160</f>
        <v/>
      </c>
      <c r="V228" t="n">
        <v>218325</v>
      </c>
      <c r="W228">
        <f>W160</f>
        <v/>
      </c>
      <c r="X228">
        <f>W160/I160</f>
        <v/>
      </c>
      <c r="Y228">
        <f>SUM(W160-U160)/U160</f>
        <v/>
      </c>
      <c r="Z228" t="inlineStr">
        <is>
          <t>E</t>
        </is>
      </c>
      <c r="AC228" t="inlineStr">
        <is>
          <t>No</t>
        </is>
      </c>
      <c r="AD228" t="inlineStr">
        <is>
          <t>Mutual break in the event of planning enforcement. Tenant break on 6 months notice. 3 months rent free if not exercised.</t>
        </is>
      </c>
      <c r="AI228" t="inlineStr">
        <is>
          <t>Let</t>
        </is>
      </c>
    </row>
    <row r="229">
      <c r="A229" t="inlineStr">
        <is>
          <t xml:space="preserve">  Office</t>
        </is>
      </c>
      <c r="B229" t="inlineStr">
        <is>
          <t>CD</t>
        </is>
      </c>
      <c r="C229" t="inlineStr">
        <is>
          <t>MEL</t>
        </is>
      </c>
      <c r="D229" t="n">
        <v>550300</v>
      </c>
      <c r="E229" t="inlineStr">
        <is>
          <t>3/4/4a Little Portland Street</t>
        </is>
      </c>
      <c r="F229" t="inlineStr">
        <is>
          <t>Second Floor (Middle &amp; West)</t>
        </is>
      </c>
      <c r="G229" t="inlineStr">
        <is>
          <t>Office</t>
        </is>
      </c>
      <c r="H229" t="n">
        <v>1510</v>
      </c>
      <c r="I229">
        <f>I161</f>
        <v/>
      </c>
      <c r="J229" t="n">
        <v>1500</v>
      </c>
      <c r="K229" t="inlineStr">
        <is>
          <t>Medialab Group Ltd.</t>
        </is>
      </c>
      <c r="L229" s="869" t="n">
        <v>45200</v>
      </c>
      <c r="M229" s="869" t="n">
        <v>46827</v>
      </c>
      <c r="P229" s="869" t="n">
        <v>46097</v>
      </c>
      <c r="Q229" t="n">
        <v>92250</v>
      </c>
      <c r="R229">
        <f>R161</f>
        <v/>
      </c>
      <c r="T229" t="n">
        <v>92300</v>
      </c>
      <c r="U229">
        <f>U161</f>
        <v/>
      </c>
      <c r="V229" t="n">
        <v>92250</v>
      </c>
      <c r="W229">
        <f>W161</f>
        <v/>
      </c>
      <c r="X229">
        <f>W161/I161</f>
        <v/>
      </c>
      <c r="Y229">
        <f>SUM(W161-U161)/U161</f>
        <v/>
      </c>
      <c r="Z229" t="inlineStr">
        <is>
          <t>E</t>
        </is>
      </c>
      <c r="AC229" t="inlineStr">
        <is>
          <t>No</t>
        </is>
      </c>
      <c r="AD229" t="inlineStr">
        <is>
          <t>Tenant break on 6 months notice with £7.7k penalty clause.</t>
        </is>
      </c>
      <c r="AI229" t="inlineStr">
        <is>
          <t>Let</t>
        </is>
      </c>
    </row>
    <row r="230">
      <c r="A230" t="inlineStr">
        <is>
          <t xml:space="preserve">  Office</t>
        </is>
      </c>
      <c r="B230" t="inlineStr">
        <is>
          <t>CD</t>
        </is>
      </c>
      <c r="C230" t="inlineStr">
        <is>
          <t>MEL</t>
        </is>
      </c>
      <c r="D230" t="n">
        <v>550300</v>
      </c>
      <c r="E230" t="inlineStr">
        <is>
          <t>3/4/4a Little Portland Street</t>
        </is>
      </c>
      <c r="F230" t="inlineStr">
        <is>
          <t xml:space="preserve">Second Floor (East) </t>
        </is>
      </c>
      <c r="G230" t="inlineStr">
        <is>
          <t>Office</t>
        </is>
      </c>
      <c r="H230" t="n">
        <v>130</v>
      </c>
      <c r="I230">
        <f>I162</f>
        <v/>
      </c>
      <c r="J230" t="n">
        <v>250</v>
      </c>
      <c r="K230" t="inlineStr">
        <is>
          <t>Vacant</t>
        </is>
      </c>
      <c r="N230" s="869" t="n">
        <v>45173</v>
      </c>
      <c r="Q230" t="n">
        <v>0</v>
      </c>
      <c r="R230">
        <f>R162</f>
        <v/>
      </c>
      <c r="T230" t="n">
        <v>8120</v>
      </c>
      <c r="U230">
        <f>U162</f>
        <v/>
      </c>
      <c r="V230" t="n">
        <v>8000</v>
      </c>
      <c r="W230">
        <f>W162</f>
        <v/>
      </c>
      <c r="X230">
        <f>W162/I162</f>
        <v/>
      </c>
      <c r="Y230">
        <f>SUM(W162-U162)/U162</f>
        <v/>
      </c>
      <c r="Z230" t="inlineStr">
        <is>
          <t>E</t>
        </is>
      </c>
      <c r="AC230" t="inlineStr">
        <is>
          <t>No</t>
        </is>
      </c>
      <c r="AD230" t="inlineStr">
        <is>
          <t>LEM marketing.</t>
        </is>
      </c>
      <c r="AI230" t="inlineStr">
        <is>
          <t>Void</t>
        </is>
      </c>
    </row>
    <row r="231">
      <c r="A231" t="inlineStr">
        <is>
          <t xml:space="preserve">   Office &amp; Storage</t>
        </is>
      </c>
      <c r="B231" t="inlineStr">
        <is>
          <t>CD</t>
        </is>
      </c>
      <c r="C231" t="inlineStr">
        <is>
          <t>MEL</t>
        </is>
      </c>
      <c r="D231" t="n">
        <v>550300</v>
      </c>
      <c r="E231" t="inlineStr">
        <is>
          <t>3/4/4a Little Portland Street</t>
        </is>
      </c>
      <c r="F231" t="inlineStr">
        <is>
          <t>Second (Rear) &amp; Part Ground (Storage)</t>
        </is>
      </c>
      <c r="G231" t="inlineStr">
        <is>
          <t xml:space="preserve"> Office &amp; Storage</t>
        </is>
      </c>
      <c r="H231" t="n">
        <v>1074</v>
      </c>
      <c r="I231">
        <f>I163</f>
        <v/>
      </c>
      <c r="J231" t="n">
        <v>1000</v>
      </c>
      <c r="K231" t="inlineStr">
        <is>
          <t>Vacant</t>
        </is>
      </c>
      <c r="N231" s="869" t="n">
        <v>45003</v>
      </c>
      <c r="Q231" t="n">
        <v>0</v>
      </c>
      <c r="R231">
        <f>R163</f>
        <v/>
      </c>
      <c r="T231" t="n">
        <v>72100</v>
      </c>
      <c r="U231">
        <f>U163</f>
        <v/>
      </c>
      <c r="V231" t="n">
        <v>66100</v>
      </c>
      <c r="W231">
        <f>W163</f>
        <v/>
      </c>
      <c r="X231">
        <f>W163/I163</f>
        <v/>
      </c>
      <c r="Y231">
        <f>SUM(W163-U163)/U163</f>
        <v/>
      </c>
      <c r="Z231" t="inlineStr">
        <is>
          <t>E</t>
        </is>
      </c>
      <c r="AA231" t="inlineStr">
        <is>
          <t>*</t>
        </is>
      </c>
      <c r="AC231" t="inlineStr">
        <is>
          <t>No</t>
        </is>
      </c>
      <c r="AD231" t="inlineStr">
        <is>
          <t>LEM marketing.</t>
        </is>
      </c>
      <c r="AE231" t="n">
        <v>67.5</v>
      </c>
      <c r="AF231" t="n">
        <v>2</v>
      </c>
      <c r="AG231" t="n">
        <v>5</v>
      </c>
      <c r="AI231" t="inlineStr">
        <is>
          <t>Void</t>
        </is>
      </c>
    </row>
    <row r="232">
      <c r="A232" t="inlineStr">
        <is>
          <t xml:space="preserve">  Office</t>
        </is>
      </c>
      <c r="B232" t="inlineStr">
        <is>
          <t>CD</t>
        </is>
      </c>
      <c r="C232" t="inlineStr">
        <is>
          <t>MEL</t>
        </is>
      </c>
      <c r="D232" t="n">
        <v>550300</v>
      </c>
      <c r="E232" t="inlineStr">
        <is>
          <t>3/4/4a Little Portland Street</t>
        </is>
      </c>
      <c r="F232" t="inlineStr">
        <is>
          <t>Third Floor</t>
        </is>
      </c>
      <c r="G232" t="inlineStr">
        <is>
          <t>Office</t>
        </is>
      </c>
      <c r="H232" t="n">
        <v>2018</v>
      </c>
      <c r="I232">
        <f>I164</f>
        <v/>
      </c>
      <c r="J232" t="n">
        <v>2000</v>
      </c>
      <c r="K232" t="inlineStr">
        <is>
          <t>Total Recruitment Specialists Ltd</t>
        </is>
      </c>
      <c r="L232" s="869" t="n">
        <v>45456</v>
      </c>
      <c r="M232" s="869" t="n">
        <v>47281</v>
      </c>
      <c r="P232" s="869" t="n">
        <v>46550</v>
      </c>
      <c r="Q232" t="n">
        <v>140315</v>
      </c>
      <c r="R232">
        <f>R164</f>
        <v/>
      </c>
      <c r="T232" t="n">
        <v>129800</v>
      </c>
      <c r="U232">
        <f>U164</f>
        <v/>
      </c>
      <c r="V232" t="n">
        <v>140315</v>
      </c>
      <c r="W232">
        <f>W164</f>
        <v/>
      </c>
      <c r="X232">
        <f>W164/I164</f>
        <v/>
      </c>
      <c r="Y232">
        <f>SUM(W164-U164)/U164</f>
        <v/>
      </c>
      <c r="Z232" t="inlineStr">
        <is>
          <t>E</t>
        </is>
      </c>
      <c r="AC232" t="inlineStr">
        <is>
          <t>No</t>
        </is>
      </c>
      <c r="AD232" t="inlineStr">
        <is>
          <t>Tenant break on 6 months notice.</t>
        </is>
      </c>
      <c r="AI232" t="inlineStr">
        <is>
          <t>Let</t>
        </is>
      </c>
    </row>
    <row r="233">
      <c r="A233" t="inlineStr">
        <is>
          <t xml:space="preserve">  Sub-Station</t>
        </is>
      </c>
      <c r="B233" t="inlineStr">
        <is>
          <t>CD</t>
        </is>
      </c>
      <c r="C233" t="inlineStr">
        <is>
          <t>MEL</t>
        </is>
      </c>
      <c r="D233" t="n">
        <v>550300</v>
      </c>
      <c r="E233" t="inlineStr">
        <is>
          <t>3/4/4a Little Portland Street</t>
        </is>
      </c>
      <c r="F233" t="inlineStr">
        <is>
          <t>Electricity Sub-Station</t>
        </is>
      </c>
      <c r="G233" t="inlineStr">
        <is>
          <t>Sub-Station</t>
        </is>
      </c>
      <c r="H233" t="n">
        <v>0</v>
      </c>
      <c r="I233">
        <f>I165</f>
        <v/>
      </c>
      <c r="K233" t="inlineStr">
        <is>
          <t>London Power Networks Plc</t>
        </is>
      </c>
      <c r="L233" s="869" t="n">
        <v>43866</v>
      </c>
      <c r="M233" s="869" t="n">
        <v>47518</v>
      </c>
      <c r="O233" s="869" t="n">
        <v>45693</v>
      </c>
      <c r="Q233" t="n">
        <v>1000</v>
      </c>
      <c r="R233">
        <f>R165</f>
        <v/>
      </c>
      <c r="T233" t="n">
        <v>1000</v>
      </c>
      <c r="U233">
        <f>U165</f>
        <v/>
      </c>
      <c r="V233" t="n">
        <v>1000</v>
      </c>
      <c r="W233">
        <f>W165</f>
        <v/>
      </c>
      <c r="AC233" t="inlineStr">
        <is>
          <t>Yes</t>
        </is>
      </c>
      <c r="AD233" t="inlineStr">
        <is>
          <t>Rent review is RPI. Rolling landlords redevelopment break after 04/02/25 on 9 months notice.</t>
        </is>
      </c>
      <c r="AI233" t="inlineStr">
        <is>
          <t>Let</t>
        </is>
      </c>
    </row>
    <row r="234"/>
    <row r="235">
      <c r="A235" s="868" t="inlineStr">
        <is>
          <t>5 Little Portland Street</t>
        </is>
      </c>
    </row>
    <row r="236">
      <c r="A236" t="inlineStr">
        <is>
          <t xml:space="preserve">  Bar</t>
        </is>
      </c>
      <c r="B236" t="inlineStr">
        <is>
          <t>CD</t>
        </is>
      </c>
      <c r="C236" t="inlineStr">
        <is>
          <t>MEL</t>
        </is>
      </c>
      <c r="D236" t="n">
        <v>550500</v>
      </c>
      <c r="E236" t="inlineStr">
        <is>
          <t>5 Little Portland Street</t>
        </is>
      </c>
      <c r="F236" t="inlineStr">
        <is>
          <t>Ground &amp; Basement</t>
        </is>
      </c>
      <c r="G236" t="inlineStr">
        <is>
          <t>Bar</t>
        </is>
      </c>
      <c r="H236" t="n">
        <v>2520</v>
      </c>
      <c r="I236">
        <f>I166</f>
        <v/>
      </c>
      <c r="J236" t="n">
        <v>2500</v>
      </c>
      <c r="K236" t="inlineStr">
        <is>
          <t>The Social Little Portland Street Ltd.</t>
        </is>
      </c>
      <c r="L236" s="869" t="n">
        <v>43571</v>
      </c>
      <c r="M236" s="869" t="n">
        <v>47223</v>
      </c>
      <c r="O236" s="869" t="n">
        <v>45398</v>
      </c>
      <c r="Q236" t="n">
        <v>82500</v>
      </c>
      <c r="R236">
        <f>R166</f>
        <v/>
      </c>
      <c r="T236" t="n">
        <v>70000</v>
      </c>
      <c r="U236">
        <f>U166</f>
        <v/>
      </c>
      <c r="V236" t="n">
        <v>70000</v>
      </c>
      <c r="W236">
        <f>W166</f>
        <v/>
      </c>
      <c r="X236">
        <f>W166/I166</f>
        <v/>
      </c>
      <c r="Y236">
        <f>SUM(W166-U166)/U166</f>
        <v/>
      </c>
      <c r="Z236" t="inlineStr">
        <is>
          <t>B</t>
        </is>
      </c>
      <c r="AC236" t="inlineStr">
        <is>
          <t>No</t>
        </is>
      </c>
      <c r="AI236" t="inlineStr">
        <is>
          <t>Let</t>
        </is>
      </c>
    </row>
    <row r="237">
      <c r="A237" t="inlineStr">
        <is>
          <t xml:space="preserve">  Office</t>
        </is>
      </c>
      <c r="B237" t="inlineStr">
        <is>
          <t>CD</t>
        </is>
      </c>
      <c r="C237" t="inlineStr">
        <is>
          <t>MEL</t>
        </is>
      </c>
      <c r="D237" t="n">
        <v>550500</v>
      </c>
      <c r="E237" t="inlineStr">
        <is>
          <t>5 Little Portland Street</t>
        </is>
      </c>
      <c r="F237" t="inlineStr">
        <is>
          <t>First to Third Floors</t>
        </is>
      </c>
      <c r="G237" t="inlineStr">
        <is>
          <t>Office</t>
        </is>
      </c>
      <c r="H237" t="n">
        <v>2186</v>
      </c>
      <c r="I237">
        <f>I167</f>
        <v/>
      </c>
      <c r="J237" t="n">
        <v>2000</v>
      </c>
      <c r="K237" t="inlineStr">
        <is>
          <t>Oaxaca Ltd.</t>
        </is>
      </c>
      <c r="L237" s="869" t="n">
        <v>43398</v>
      </c>
      <c r="M237" s="869" t="n">
        <v>47050</v>
      </c>
      <c r="O237" s="869" t="n">
        <v>45955</v>
      </c>
      <c r="P237" s="869" t="n">
        <v>45954</v>
      </c>
      <c r="Q237" t="n">
        <v>101200</v>
      </c>
      <c r="R237">
        <f>R167</f>
        <v/>
      </c>
      <c r="T237" t="n">
        <v>117100</v>
      </c>
      <c r="U237">
        <f>U167</f>
        <v/>
      </c>
      <c r="V237" t="n">
        <v>117100</v>
      </c>
      <c r="W237">
        <f>W167</f>
        <v/>
      </c>
      <c r="X237">
        <f>W167/I167</f>
        <v/>
      </c>
      <c r="Y237">
        <f>SUM(W167-U167)/U167</f>
        <v/>
      </c>
      <c r="Z237" t="inlineStr">
        <is>
          <t>E</t>
        </is>
      </c>
      <c r="AC237" t="inlineStr">
        <is>
          <t>No</t>
        </is>
      </c>
      <c r="AD237" t="inlineStr">
        <is>
          <t>Tenant break on 6 months notice. Tenant has a 20% concession reducing the rent until the 25/10/25 review date, after this date it reverts to £126,500 pa.</t>
        </is>
      </c>
      <c r="AI237" t="inlineStr">
        <is>
          <t>Let</t>
        </is>
      </c>
    </row>
    <row r="238"/>
    <row r="239">
      <c r="A239" s="868" t="inlineStr">
        <is>
          <t>Alexandra House, 6 Little Portland Street</t>
        </is>
      </c>
    </row>
    <row r="240">
      <c r="A240" t="inlineStr">
        <is>
          <t xml:space="preserve">  Restaurant</t>
        </is>
      </c>
      <c r="B240" t="inlineStr">
        <is>
          <t>CD</t>
        </is>
      </c>
      <c r="C240" t="inlineStr">
        <is>
          <t>MEL</t>
        </is>
      </c>
      <c r="D240" t="n">
        <v>550310</v>
      </c>
      <c r="E240" t="inlineStr">
        <is>
          <t>Alexandra House, 6 Little Portland Street</t>
        </is>
      </c>
      <c r="F240" t="inlineStr">
        <is>
          <t>Ground Floor &amp; Part Basement</t>
        </is>
      </c>
      <c r="G240" t="inlineStr">
        <is>
          <t>Restaurant</t>
        </is>
      </c>
      <c r="H240" t="n">
        <v>4430</v>
      </c>
      <c r="I240">
        <f>I168</f>
        <v/>
      </c>
      <c r="J240" t="n">
        <v>4500</v>
      </c>
      <c r="K240" t="inlineStr">
        <is>
          <t>Burger &amp; Lobster Restaurant Group Ltd.</t>
        </is>
      </c>
      <c r="L240" s="869" t="n">
        <v>41585</v>
      </c>
      <c r="M240" s="869" t="n">
        <v>47063</v>
      </c>
      <c r="O240" s="869" t="n">
        <v>45237</v>
      </c>
      <c r="Q240" t="n">
        <v>170000</v>
      </c>
      <c r="R240">
        <f>R168</f>
        <v/>
      </c>
      <c r="T240" t="n">
        <v>146900</v>
      </c>
      <c r="U240">
        <f>U168</f>
        <v/>
      </c>
      <c r="V240" t="n">
        <v>152100</v>
      </c>
      <c r="W240">
        <f>W168</f>
        <v/>
      </c>
      <c r="X240">
        <f>W168/I168</f>
        <v/>
      </c>
      <c r="Y240">
        <f>SUM(W168-U168)/U168</f>
        <v/>
      </c>
      <c r="Z240" t="inlineStr">
        <is>
          <t>B</t>
        </is>
      </c>
      <c r="AC240" t="inlineStr">
        <is>
          <t>No</t>
        </is>
      </c>
      <c r="AD240" t="inlineStr">
        <is>
          <t>Rent review not yet activated due to level of passing rent.</t>
        </is>
      </c>
      <c r="AI240" t="inlineStr">
        <is>
          <t>Let</t>
        </is>
      </c>
    </row>
    <row r="241">
      <c r="A241" t="inlineStr">
        <is>
          <t xml:space="preserve">  Office</t>
        </is>
      </c>
      <c r="B241" t="inlineStr">
        <is>
          <t>CD</t>
        </is>
      </c>
      <c r="C241" t="inlineStr">
        <is>
          <t>MEL</t>
        </is>
      </c>
      <c r="D241" t="n">
        <v>550310</v>
      </c>
      <c r="E241" t="inlineStr">
        <is>
          <t>Alexandra House, 6 Little Portland Street</t>
        </is>
      </c>
      <c r="F241" t="inlineStr">
        <is>
          <t>First to Fourth Floors</t>
        </is>
      </c>
      <c r="G241" t="inlineStr">
        <is>
          <t>Office</t>
        </is>
      </c>
      <c r="H241" t="n">
        <v>10421</v>
      </c>
      <c r="I241">
        <f>I169</f>
        <v/>
      </c>
      <c r="J241" t="n">
        <v>10500</v>
      </c>
      <c r="K241" t="inlineStr">
        <is>
          <t>Exposure Promotions Ltd.</t>
        </is>
      </c>
      <c r="L241" s="869" t="n">
        <v>44552</v>
      </c>
      <c r="M241" s="869" t="n">
        <v>46377</v>
      </c>
      <c r="Q241" t="n">
        <v>573565</v>
      </c>
      <c r="R241">
        <f>R169</f>
        <v/>
      </c>
      <c r="T241" t="n">
        <v>572700</v>
      </c>
      <c r="U241">
        <f>U169</f>
        <v/>
      </c>
      <c r="V241" t="n">
        <v>589700</v>
      </c>
      <c r="W241">
        <f>W169</f>
        <v/>
      </c>
      <c r="X241">
        <f>W169/I169</f>
        <v/>
      </c>
      <c r="Y241">
        <f>SUM(W169-U169)/U169</f>
        <v/>
      </c>
      <c r="Z241" t="inlineStr">
        <is>
          <t>C</t>
        </is>
      </c>
      <c r="AC241" t="inlineStr">
        <is>
          <t>No</t>
        </is>
      </c>
      <c r="AD241" t="inlineStr">
        <is>
          <t>Tenant break on 6 months notice. 3 months rent free if not exercised.</t>
        </is>
      </c>
      <c r="AI241" t="inlineStr">
        <is>
          <t>Let</t>
        </is>
      </c>
    </row>
    <row r="242"/>
    <row r="243">
      <c r="A243" s="868" t="inlineStr">
        <is>
          <t>9 Little Portland Street</t>
        </is>
      </c>
    </row>
    <row r="244">
      <c r="A244" t="inlineStr">
        <is>
          <t xml:space="preserve">  Showroom / Office</t>
        </is>
      </c>
      <c r="B244" t="inlineStr">
        <is>
          <t>CD</t>
        </is>
      </c>
      <c r="C244" t="inlineStr">
        <is>
          <t>MEL</t>
        </is>
      </c>
      <c r="D244" t="n">
        <v>551010</v>
      </c>
      <c r="E244" t="inlineStr">
        <is>
          <t>9 Little Portland Street</t>
        </is>
      </c>
      <c r="F244" t="inlineStr">
        <is>
          <t>Lower Ground and Ground Floors</t>
        </is>
      </c>
      <c r="G244" t="inlineStr">
        <is>
          <t>Showroom / Office</t>
        </is>
      </c>
      <c r="H244" t="n">
        <v>747</v>
      </c>
      <c r="I244">
        <f>I170</f>
        <v/>
      </c>
      <c r="J244" t="n">
        <v>750</v>
      </c>
      <c r="K244" t="inlineStr">
        <is>
          <t>Order Line Ltd</t>
        </is>
      </c>
      <c r="L244" s="869" t="n">
        <v>44724</v>
      </c>
      <c r="Q244" t="n">
        <v>45000</v>
      </c>
      <c r="R244">
        <f>R170</f>
        <v/>
      </c>
      <c r="T244" t="n">
        <v>41700</v>
      </c>
      <c r="U244">
        <f>U170</f>
        <v/>
      </c>
      <c r="V244" t="n">
        <v>45000</v>
      </c>
      <c r="W244">
        <f>W170</f>
        <v/>
      </c>
      <c r="X244">
        <f>W170/I170</f>
        <v/>
      </c>
      <c r="Y244">
        <f>SUM(W170-U170)/U170</f>
        <v/>
      </c>
      <c r="Z244" t="inlineStr">
        <is>
          <t>E</t>
        </is>
      </c>
      <c r="AC244" t="inlineStr">
        <is>
          <t>No</t>
        </is>
      </c>
      <c r="AD244" t="inlineStr">
        <is>
          <t>Tenancy at will granted based at existing rent.</t>
        </is>
      </c>
      <c r="AI244" t="inlineStr">
        <is>
          <t>Let</t>
        </is>
      </c>
    </row>
    <row r="245">
      <c r="A245" t="inlineStr">
        <is>
          <t xml:space="preserve">  Office</t>
        </is>
      </c>
      <c r="B245" t="inlineStr">
        <is>
          <t>CD</t>
        </is>
      </c>
      <c r="C245" t="inlineStr">
        <is>
          <t>MEL</t>
        </is>
      </c>
      <c r="D245" t="n">
        <v>551010</v>
      </c>
      <c r="E245" t="inlineStr">
        <is>
          <t>9 Little Portland Street</t>
        </is>
      </c>
      <c r="F245" t="inlineStr">
        <is>
          <t>First Floor</t>
        </is>
      </c>
      <c r="G245" t="inlineStr">
        <is>
          <t>Office</t>
        </is>
      </c>
      <c r="H245" t="n">
        <v>452</v>
      </c>
      <c r="I245">
        <f>I171</f>
        <v/>
      </c>
      <c r="J245" t="n">
        <v>500</v>
      </c>
      <c r="K245" t="inlineStr">
        <is>
          <t>Vacant</t>
        </is>
      </c>
      <c r="N245" s="869" t="n">
        <v>43466</v>
      </c>
      <c r="Q245" t="n">
        <v>0</v>
      </c>
      <c r="R245">
        <f>R171</f>
        <v/>
      </c>
      <c r="T245" t="n">
        <v>24900</v>
      </c>
      <c r="U245">
        <f>U171</f>
        <v/>
      </c>
      <c r="V245" t="n">
        <v>24900</v>
      </c>
      <c r="W245">
        <f>W171</f>
        <v/>
      </c>
      <c r="X245">
        <f>W171/I171</f>
        <v/>
      </c>
      <c r="Y245">
        <f>SUM(W171-U171)/U171</f>
        <v/>
      </c>
      <c r="Z245" t="inlineStr">
        <is>
          <t>E</t>
        </is>
      </c>
      <c r="AC245" t="inlineStr">
        <is>
          <t>No</t>
        </is>
      </c>
      <c r="AD245" t="inlineStr">
        <is>
          <t>To be refurbished.</t>
        </is>
      </c>
      <c r="AI245" t="inlineStr">
        <is>
          <t>Void</t>
        </is>
      </c>
    </row>
    <row r="246">
      <c r="A246" t="inlineStr">
        <is>
          <t xml:space="preserve">  Office</t>
        </is>
      </c>
      <c r="B246" t="inlineStr">
        <is>
          <t>CD</t>
        </is>
      </c>
      <c r="C246" t="inlineStr">
        <is>
          <t>MEL</t>
        </is>
      </c>
      <c r="D246" t="n">
        <v>551010</v>
      </c>
      <c r="E246" t="inlineStr">
        <is>
          <t>9 Little Portland Street</t>
        </is>
      </c>
      <c r="F246" t="inlineStr">
        <is>
          <t xml:space="preserve">Second Floor </t>
        </is>
      </c>
      <c r="G246" t="inlineStr">
        <is>
          <t>Office</t>
        </is>
      </c>
      <c r="H246" t="n">
        <v>437</v>
      </c>
      <c r="I246">
        <f>I172</f>
        <v/>
      </c>
      <c r="J246" t="n">
        <v>500</v>
      </c>
      <c r="K246" t="inlineStr">
        <is>
          <t>Vacant</t>
        </is>
      </c>
      <c r="N246" s="869" t="n">
        <v>43466</v>
      </c>
      <c r="Q246" t="n">
        <v>0</v>
      </c>
      <c r="R246">
        <f>R172</f>
        <v/>
      </c>
      <c r="T246" t="n">
        <v>24000</v>
      </c>
      <c r="U246">
        <f>U172</f>
        <v/>
      </c>
      <c r="V246" t="n">
        <v>24000</v>
      </c>
      <c r="W246">
        <f>W172</f>
        <v/>
      </c>
      <c r="X246">
        <f>W172/I172</f>
        <v/>
      </c>
      <c r="Y246">
        <f>SUM(W172-U172)/U172</f>
        <v/>
      </c>
      <c r="Z246" t="inlineStr">
        <is>
          <t>E</t>
        </is>
      </c>
      <c r="AC246" t="inlineStr">
        <is>
          <t>No</t>
        </is>
      </c>
      <c r="AD246" t="inlineStr">
        <is>
          <t>To be refurbished.</t>
        </is>
      </c>
      <c r="AI246" t="inlineStr">
        <is>
          <t>Void</t>
        </is>
      </c>
    </row>
    <row r="247">
      <c r="A247" t="inlineStr">
        <is>
          <t xml:space="preserve">  Office</t>
        </is>
      </c>
      <c r="B247" t="inlineStr">
        <is>
          <t>CD</t>
        </is>
      </c>
      <c r="C247" t="inlineStr">
        <is>
          <t>MEL</t>
        </is>
      </c>
      <c r="D247" t="n">
        <v>551010</v>
      </c>
      <c r="E247" t="inlineStr">
        <is>
          <t>9 Little Portland Street</t>
        </is>
      </c>
      <c r="F247" t="inlineStr">
        <is>
          <t>Third Floor</t>
        </is>
      </c>
      <c r="G247" t="inlineStr">
        <is>
          <t>Office</t>
        </is>
      </c>
      <c r="H247" t="n">
        <v>350</v>
      </c>
      <c r="I247">
        <f>I173</f>
        <v/>
      </c>
      <c r="J247" t="n">
        <v>500</v>
      </c>
      <c r="K247" t="inlineStr">
        <is>
          <t>Skynet Ltd</t>
        </is>
      </c>
      <c r="L247" s="869" t="n">
        <v>44724</v>
      </c>
      <c r="Q247" t="n">
        <v>21060</v>
      </c>
      <c r="R247">
        <f>R173</f>
        <v/>
      </c>
      <c r="T247" t="n">
        <v>19300</v>
      </c>
      <c r="U247">
        <f>U173</f>
        <v/>
      </c>
      <c r="V247" t="n">
        <v>19300</v>
      </c>
      <c r="W247">
        <f>W173</f>
        <v/>
      </c>
      <c r="X247">
        <f>W173/I173</f>
        <v/>
      </c>
      <c r="Y247">
        <f>SUM(W173-U173)/U173</f>
        <v/>
      </c>
      <c r="Z247" t="inlineStr">
        <is>
          <t>E</t>
        </is>
      </c>
      <c r="AC247" t="inlineStr">
        <is>
          <t>No</t>
        </is>
      </c>
      <c r="AD247" t="inlineStr">
        <is>
          <t>Tenancy at will granted based at existing rent.</t>
        </is>
      </c>
      <c r="AI247" t="inlineStr">
        <is>
          <t>Let</t>
        </is>
      </c>
    </row>
    <row r="248"/>
    <row r="249">
      <c r="A249" s="868" t="inlineStr">
        <is>
          <t>21 Little Portland Street</t>
        </is>
      </c>
    </row>
    <row r="250">
      <c r="A250" t="inlineStr">
        <is>
          <t xml:space="preserve">  Office</t>
        </is>
      </c>
      <c r="B250" t="inlineStr">
        <is>
          <t>WS</t>
        </is>
      </c>
      <c r="C250" t="inlineStr">
        <is>
          <t>MEL</t>
        </is>
      </c>
      <c r="D250" t="n">
        <v>550960</v>
      </c>
      <c r="E250" t="inlineStr">
        <is>
          <t>21 Little Portland Street</t>
        </is>
      </c>
      <c r="F250" t="inlineStr">
        <is>
          <t>Lower Ground and Ground Floors</t>
        </is>
      </c>
      <c r="G250" t="inlineStr">
        <is>
          <t>Office</t>
        </is>
      </c>
      <c r="H250" t="n">
        <v>2820</v>
      </c>
      <c r="I250">
        <f>I174</f>
        <v/>
      </c>
      <c r="J250" t="n">
        <v>3000</v>
      </c>
      <c r="K250" t="inlineStr">
        <is>
          <t>FRIBA Limited</t>
        </is>
      </c>
      <c r="L250" s="869" t="n">
        <v>43794</v>
      </c>
      <c r="M250" s="869" t="n">
        <v>47446</v>
      </c>
      <c r="O250" s="869" t="n">
        <v>45621</v>
      </c>
      <c r="Q250" t="n">
        <v>124773</v>
      </c>
      <c r="R250">
        <f>R174</f>
        <v/>
      </c>
      <c r="T250" t="n">
        <v>126900</v>
      </c>
      <c r="U250">
        <f>U174</f>
        <v/>
      </c>
      <c r="V250" t="n">
        <v>141000</v>
      </c>
      <c r="W250">
        <f>W174</f>
        <v/>
      </c>
      <c r="X250">
        <f>W174/I174</f>
        <v/>
      </c>
      <c r="Y250">
        <f>SUM(W174-U174)/U174</f>
        <v/>
      </c>
      <c r="Z250" t="inlineStr">
        <is>
          <t>D</t>
        </is>
      </c>
      <c r="AC250" t="inlineStr">
        <is>
          <t>No</t>
        </is>
      </c>
      <c r="AD250" t="inlineStr">
        <is>
          <t>Premises inter connected with 19 Margaret Street and let under a single lease. The floor area is shown for this building only. Rent shown pro rata.</t>
        </is>
      </c>
      <c r="AI250" t="inlineStr">
        <is>
          <t>Let</t>
        </is>
      </c>
    </row>
    <row r="251">
      <c r="A251" t="inlineStr">
        <is>
          <t xml:space="preserve">  Office</t>
        </is>
      </c>
      <c r="B251" t="inlineStr">
        <is>
          <t>WS</t>
        </is>
      </c>
      <c r="C251" t="inlineStr">
        <is>
          <t>MEL</t>
        </is>
      </c>
      <c r="D251" t="n">
        <v>550960</v>
      </c>
      <c r="E251" t="inlineStr">
        <is>
          <t>21 Little Portland Street</t>
        </is>
      </c>
      <c r="F251" t="inlineStr">
        <is>
          <t>First Floor</t>
        </is>
      </c>
      <c r="G251" t="inlineStr">
        <is>
          <t>Office</t>
        </is>
      </c>
      <c r="H251" t="n">
        <v>1282</v>
      </c>
      <c r="I251">
        <f>I175</f>
        <v/>
      </c>
      <c r="J251" t="n">
        <v>1250</v>
      </c>
      <c r="K251" t="inlineStr">
        <is>
          <t>Vacant</t>
        </is>
      </c>
      <c r="N251" s="869" t="n">
        <v>44747</v>
      </c>
      <c r="Q251" t="n">
        <v>0</v>
      </c>
      <c r="R251">
        <f>R175</f>
        <v/>
      </c>
      <c r="T251" t="n">
        <v>70500</v>
      </c>
      <c r="U251">
        <f>U175</f>
        <v/>
      </c>
      <c r="V251" t="n">
        <v>70500</v>
      </c>
      <c r="W251">
        <f>W175</f>
        <v/>
      </c>
      <c r="X251">
        <f>W175/I175</f>
        <v/>
      </c>
      <c r="Y251">
        <f>SUM(W175-U175)/U175</f>
        <v/>
      </c>
      <c r="Z251" t="inlineStr">
        <is>
          <t>D</t>
        </is>
      </c>
      <c r="AC251" t="inlineStr">
        <is>
          <t>No</t>
        </is>
      </c>
      <c r="AD251" t="inlineStr">
        <is>
          <t>To be refurbished.</t>
        </is>
      </c>
      <c r="AE251" t="n">
        <v>67.5</v>
      </c>
      <c r="AF251" t="n">
        <v>6</v>
      </c>
      <c r="AG251" t="n">
        <v>7</v>
      </c>
      <c r="AH251" t="inlineStr">
        <is>
          <t>LEM</t>
        </is>
      </c>
      <c r="AI251" t="inlineStr">
        <is>
          <t>Void</t>
        </is>
      </c>
    </row>
    <row r="252">
      <c r="A252" t="inlineStr">
        <is>
          <t xml:space="preserve">  Office</t>
        </is>
      </c>
      <c r="B252" t="inlineStr">
        <is>
          <t>WS</t>
        </is>
      </c>
      <c r="C252" t="inlineStr">
        <is>
          <t>MEL</t>
        </is>
      </c>
      <c r="D252" t="n">
        <v>550960</v>
      </c>
      <c r="E252" t="inlineStr">
        <is>
          <t>21 Little Portland Street</t>
        </is>
      </c>
      <c r="F252" t="inlineStr">
        <is>
          <t>Second Floor</t>
        </is>
      </c>
      <c r="G252" t="inlineStr">
        <is>
          <t>Office</t>
        </is>
      </c>
      <c r="H252" t="n">
        <v>1214</v>
      </c>
      <c r="I252">
        <f>I176</f>
        <v/>
      </c>
      <c r="J252" t="n">
        <v>1250</v>
      </c>
      <c r="K252" t="inlineStr">
        <is>
          <t>Spanx UK Ltd</t>
        </is>
      </c>
      <c r="L252" s="869" t="n">
        <v>44733</v>
      </c>
      <c r="M252" s="869" t="n">
        <v>46558</v>
      </c>
      <c r="P252" s="869" t="n">
        <v>45828</v>
      </c>
      <c r="Q252" t="n">
        <v>71000</v>
      </c>
      <c r="R252">
        <f>R176</f>
        <v/>
      </c>
      <c r="T252" t="n">
        <v>71000</v>
      </c>
      <c r="U252">
        <f>U176</f>
        <v/>
      </c>
      <c r="V252" t="n">
        <v>71000</v>
      </c>
      <c r="W252">
        <f>W176</f>
        <v/>
      </c>
      <c r="X252">
        <f>W176/I176</f>
        <v/>
      </c>
      <c r="Y252">
        <f>SUM(W176-U176)/U176</f>
        <v/>
      </c>
      <c r="Z252" t="inlineStr">
        <is>
          <t>D</t>
        </is>
      </c>
      <c r="AC252" t="inlineStr">
        <is>
          <t>No</t>
        </is>
      </c>
      <c r="AD252" t="inlineStr">
        <is>
          <t>Mutual break @ 20/06/25 on 6 months notice. Tenant break exercised. Break conditions not met. Lease to continue.</t>
        </is>
      </c>
      <c r="AI252" t="inlineStr">
        <is>
          <t>Let</t>
        </is>
      </c>
    </row>
    <row r="253">
      <c r="A253" t="inlineStr">
        <is>
          <t xml:space="preserve">  Office</t>
        </is>
      </c>
      <c r="B253" t="inlineStr">
        <is>
          <t>WS</t>
        </is>
      </c>
      <c r="C253" t="inlineStr">
        <is>
          <t>MEL</t>
        </is>
      </c>
      <c r="D253" t="n">
        <v>550960</v>
      </c>
      <c r="E253" t="inlineStr">
        <is>
          <t>21 Little Portland Street</t>
        </is>
      </c>
      <c r="F253" t="inlineStr">
        <is>
          <t>Third Floor</t>
        </is>
      </c>
      <c r="G253" t="inlineStr">
        <is>
          <t>Office</t>
        </is>
      </c>
      <c r="H253" t="n">
        <v>1226</v>
      </c>
      <c r="I253">
        <f>I177</f>
        <v/>
      </c>
      <c r="J253" t="n">
        <v>1250</v>
      </c>
      <c r="K253" t="inlineStr">
        <is>
          <t>Caneparo Associates Ltd</t>
        </is>
      </c>
      <c r="L253" s="869" t="n">
        <v>44605</v>
      </c>
      <c r="M253" s="869" t="n">
        <v>46430</v>
      </c>
      <c r="Q253" t="n">
        <v>63000</v>
      </c>
      <c r="R253">
        <f>R177</f>
        <v/>
      </c>
      <c r="T253" t="n">
        <v>63100</v>
      </c>
      <c r="U253">
        <f>U177</f>
        <v/>
      </c>
      <c r="V253" t="n">
        <v>63100</v>
      </c>
      <c r="W253">
        <f>W177</f>
        <v/>
      </c>
      <c r="X253">
        <f>W177/I177</f>
        <v/>
      </c>
      <c r="Y253">
        <f>SUM(W177-U177)/U177</f>
        <v/>
      </c>
      <c r="Z253" t="inlineStr">
        <is>
          <t>D</t>
        </is>
      </c>
      <c r="AC253" t="inlineStr">
        <is>
          <t>No</t>
        </is>
      </c>
      <c r="AI253" t="inlineStr">
        <is>
          <t>Let</t>
        </is>
      </c>
    </row>
    <row r="254"/>
    <row r="255">
      <c r="A255" s="868" t="inlineStr">
        <is>
          <t>22 Little Portland Street (formerly 22-23 LPS)</t>
        </is>
      </c>
    </row>
    <row r="256">
      <c r="A256" t="inlineStr">
        <is>
          <t xml:space="preserve">  Office/ Showroom/ Storage</t>
        </is>
      </c>
      <c r="B256" t="inlineStr">
        <is>
          <t>WS</t>
        </is>
      </c>
      <c r="C256" t="inlineStr">
        <is>
          <t>MEL</t>
        </is>
      </c>
      <c r="D256" t="n">
        <v>550320</v>
      </c>
      <c r="E256" t="inlineStr">
        <is>
          <t>22-23 Little Portland Street</t>
        </is>
      </c>
      <c r="F256" t="inlineStr">
        <is>
          <t>Whole Building</t>
        </is>
      </c>
      <c r="G256" t="inlineStr">
        <is>
          <t>Office/ Showroom/ Storage</t>
        </is>
      </c>
      <c r="H256" t="n">
        <v>9776</v>
      </c>
      <c r="I256">
        <f>I178</f>
        <v/>
      </c>
      <c r="J256" t="n">
        <v>10000</v>
      </c>
      <c r="K256" t="inlineStr">
        <is>
          <t>David Chipperfield Architects Ltd</t>
        </is>
      </c>
      <c r="L256" s="869" t="n">
        <v>45463</v>
      </c>
      <c r="M256" s="869" t="n">
        <v>49114</v>
      </c>
      <c r="O256" s="869" t="n">
        <v>47289</v>
      </c>
      <c r="P256" s="869" t="n">
        <v>47288</v>
      </c>
      <c r="Q256" t="n">
        <v>715000</v>
      </c>
      <c r="R256">
        <f>R178</f>
        <v/>
      </c>
      <c r="S256">
        <f>S178</f>
        <v/>
      </c>
      <c r="T256" t="n">
        <v>715000</v>
      </c>
      <c r="U256">
        <f>U178</f>
        <v/>
      </c>
      <c r="V256" t="n">
        <v>715000</v>
      </c>
      <c r="W256">
        <f>W178</f>
        <v/>
      </c>
      <c r="X256">
        <f>W178/I178</f>
        <v/>
      </c>
      <c r="Y256">
        <f>SUM(W178-U178)/U178</f>
        <v/>
      </c>
      <c r="Z256" t="inlineStr">
        <is>
          <t>A</t>
        </is>
      </c>
      <c r="AB256" t="n">
        <v>12325000</v>
      </c>
      <c r="AC256" t="inlineStr">
        <is>
          <t>No</t>
        </is>
      </c>
      <c r="AD256" t="inlineStr">
        <is>
          <t>Tenant break on 6 months notice.</t>
        </is>
      </c>
      <c r="AI256" t="inlineStr">
        <is>
          <t>Let</t>
        </is>
      </c>
    </row>
    <row r="257"/>
    <row r="258">
      <c r="A258" s="868" t="inlineStr">
        <is>
          <t>9 Margaret Street</t>
        </is>
      </c>
    </row>
    <row r="259">
      <c r="A259" t="inlineStr">
        <is>
          <t xml:space="preserve">  Office</t>
        </is>
      </c>
      <c r="B259" t="inlineStr">
        <is>
          <t>WS</t>
        </is>
      </c>
      <c r="C259" t="inlineStr">
        <is>
          <t>MEL</t>
        </is>
      </c>
      <c r="D259" t="n">
        <v>550330</v>
      </c>
      <c r="E259" t="inlineStr">
        <is>
          <t>9 Margaret Street</t>
        </is>
      </c>
      <c r="F259" t="inlineStr">
        <is>
          <t>Whole</t>
        </is>
      </c>
      <c r="G259" t="inlineStr">
        <is>
          <t>Office</t>
        </is>
      </c>
      <c r="H259" t="n">
        <v>4969</v>
      </c>
      <c r="I259">
        <f>I179</f>
        <v/>
      </c>
      <c r="J259" t="n">
        <v>5000</v>
      </c>
      <c r="K259" t="inlineStr">
        <is>
          <t>Racoon Media Services Limited</t>
        </is>
      </c>
      <c r="L259" s="869" t="n">
        <v>45198</v>
      </c>
      <c r="M259" s="869" t="n">
        <v>48850</v>
      </c>
      <c r="O259" s="869" t="n">
        <v>47025</v>
      </c>
      <c r="P259" s="869" t="n">
        <v>46293</v>
      </c>
      <c r="Q259" t="n">
        <v>315000</v>
      </c>
      <c r="R259">
        <f>R179</f>
        <v/>
      </c>
      <c r="S259">
        <f>S179</f>
        <v/>
      </c>
      <c r="T259" t="n">
        <v>266600</v>
      </c>
      <c r="U259">
        <f>U179</f>
        <v/>
      </c>
      <c r="V259" t="n">
        <v>315000</v>
      </c>
      <c r="W259">
        <f>W179</f>
        <v/>
      </c>
      <c r="X259">
        <f>W179/I179</f>
        <v/>
      </c>
      <c r="Y259">
        <f>SUM(W179-U179)/U179</f>
        <v/>
      </c>
      <c r="Z259" t="inlineStr">
        <is>
          <t>C</t>
        </is>
      </c>
      <c r="AB259" t="n">
        <v>5575000</v>
      </c>
      <c r="AC259" t="inlineStr">
        <is>
          <t>No</t>
        </is>
      </c>
      <c r="AD259" t="inlineStr">
        <is>
          <t>Tenant break on 6 months notice, if not exercised then a further 3 months rent free.</t>
        </is>
      </c>
      <c r="AI259" t="inlineStr">
        <is>
          <t>Let</t>
        </is>
      </c>
    </row>
    <row r="260"/>
    <row r="261">
      <c r="A261" s="868" t="inlineStr">
        <is>
          <t>London House, 9a Margaret Street</t>
        </is>
      </c>
    </row>
    <row r="262">
      <c r="A262" t="inlineStr">
        <is>
          <t xml:space="preserve">  Storage</t>
        </is>
      </c>
      <c r="B262" t="inlineStr">
        <is>
          <t>CM</t>
        </is>
      </c>
      <c r="C262" t="inlineStr">
        <is>
          <t>MEL</t>
        </is>
      </c>
      <c r="D262" t="n">
        <v>550340</v>
      </c>
      <c r="E262" t="inlineStr">
        <is>
          <t>London House, 9a Margaret Street</t>
        </is>
      </c>
      <c r="F262" t="inlineStr">
        <is>
          <t>Basement (Vaults)</t>
        </is>
      </c>
      <c r="G262" t="inlineStr">
        <is>
          <t>Storage</t>
        </is>
      </c>
      <c r="H262" t="n">
        <v>400</v>
      </c>
      <c r="I262">
        <f>I180</f>
        <v/>
      </c>
      <c r="K262" t="inlineStr">
        <is>
          <t>Langham Estate Management Ltd</t>
        </is>
      </c>
      <c r="L262" s="869" t="n">
        <v>43184</v>
      </c>
      <c r="M262" s="869" t="n">
        <v>46836</v>
      </c>
      <c r="O262" s="869" t="n">
        <v>45010</v>
      </c>
      <c r="Q262" t="n">
        <v>2400</v>
      </c>
      <c r="R262">
        <f>R180</f>
        <v/>
      </c>
      <c r="T262" t="n">
        <v>2000</v>
      </c>
      <c r="U262">
        <f>U180</f>
        <v/>
      </c>
      <c r="V262" t="n">
        <v>2000</v>
      </c>
      <c r="W262">
        <f>W180</f>
        <v/>
      </c>
      <c r="X262">
        <f>W180/I180</f>
        <v/>
      </c>
      <c r="Y262">
        <f>SUM(W180-U180)/U180</f>
        <v/>
      </c>
      <c r="AC262" t="inlineStr">
        <is>
          <t>No</t>
        </is>
      </c>
      <c r="AD262" t="inlineStr">
        <is>
          <t>Mutual rolling break on 6 months notice. Internal Lease to another Lee Family Group Company.</t>
        </is>
      </c>
      <c r="AI262" t="inlineStr">
        <is>
          <t>Let</t>
        </is>
      </c>
    </row>
    <row r="263">
      <c r="A263" t="inlineStr">
        <is>
          <t xml:space="preserve">  Office/ Storage</t>
        </is>
      </c>
      <c r="B263" t="inlineStr">
        <is>
          <t>CM</t>
        </is>
      </c>
      <c r="C263" t="inlineStr">
        <is>
          <t>MEL</t>
        </is>
      </c>
      <c r="D263" t="n">
        <v>550340</v>
      </c>
      <c r="E263" t="inlineStr">
        <is>
          <t>London House, 9a Margaret Street</t>
        </is>
      </c>
      <c r="F263" t="inlineStr">
        <is>
          <t>Basement (South)</t>
        </is>
      </c>
      <c r="G263" t="inlineStr">
        <is>
          <t>Office/ Storage</t>
        </is>
      </c>
      <c r="H263" t="n">
        <v>873</v>
      </c>
      <c r="I263">
        <f>I181</f>
        <v/>
      </c>
      <c r="K263" t="inlineStr">
        <is>
          <t>Langham Estate Management Ltd</t>
        </is>
      </c>
      <c r="L263" s="869" t="n">
        <v>43184</v>
      </c>
      <c r="M263" s="869" t="n">
        <v>46836</v>
      </c>
      <c r="O263" s="869" t="n">
        <v>45010</v>
      </c>
      <c r="Q263" t="n">
        <v>24500</v>
      </c>
      <c r="R263">
        <f>R181</f>
        <v/>
      </c>
      <c r="T263" t="n">
        <v>17500</v>
      </c>
      <c r="U263">
        <f>U181</f>
        <v/>
      </c>
      <c r="V263" t="n">
        <v>26200</v>
      </c>
      <c r="W263">
        <f>W181</f>
        <v/>
      </c>
      <c r="X263">
        <f>W181/I181</f>
        <v/>
      </c>
      <c r="Y263">
        <f>SUM(W181-U181)/U181</f>
        <v/>
      </c>
      <c r="Z263" t="inlineStr">
        <is>
          <t>D</t>
        </is>
      </c>
      <c r="AC263" t="inlineStr">
        <is>
          <t>No</t>
        </is>
      </c>
      <c r="AD263" t="inlineStr">
        <is>
          <t>Mutual rolling break on 6 months notice. Internal Lease to another Lee Family Group Company.</t>
        </is>
      </c>
      <c r="AI263" t="inlineStr">
        <is>
          <t>Let</t>
        </is>
      </c>
    </row>
    <row r="264">
      <c r="A264" t="inlineStr">
        <is>
          <t xml:space="preserve">  Office</t>
        </is>
      </c>
      <c r="B264" t="inlineStr">
        <is>
          <t>CM</t>
        </is>
      </c>
      <c r="C264" t="inlineStr">
        <is>
          <t>MEL</t>
        </is>
      </c>
      <c r="D264" t="n">
        <v>550340</v>
      </c>
      <c r="E264" t="inlineStr">
        <is>
          <t>London House, 9a Margaret Street</t>
        </is>
      </c>
      <c r="F264" t="inlineStr">
        <is>
          <t>Basement (North)</t>
        </is>
      </c>
      <c r="G264" t="inlineStr">
        <is>
          <t>Office</t>
        </is>
      </c>
      <c r="H264" t="n">
        <v>624</v>
      </c>
      <c r="I264">
        <f>I182</f>
        <v/>
      </c>
      <c r="K264" t="inlineStr">
        <is>
          <t>Langham Estate Management Ltd</t>
        </is>
      </c>
      <c r="L264" s="869" t="n">
        <v>43184</v>
      </c>
      <c r="M264" s="869" t="n">
        <v>46836</v>
      </c>
      <c r="O264" s="869" t="n">
        <v>45010</v>
      </c>
      <c r="Q264" t="n">
        <v>15600</v>
      </c>
      <c r="R264">
        <f>R182</f>
        <v/>
      </c>
      <c r="T264" t="n">
        <v>12500</v>
      </c>
      <c r="U264">
        <f>U182</f>
        <v/>
      </c>
      <c r="V264" t="n">
        <v>18700</v>
      </c>
      <c r="W264">
        <f>W182</f>
        <v/>
      </c>
      <c r="X264">
        <f>W182/I182</f>
        <v/>
      </c>
      <c r="Y264">
        <f>SUM(W182-U182)/U182</f>
        <v/>
      </c>
      <c r="Z264" t="inlineStr">
        <is>
          <t>D</t>
        </is>
      </c>
      <c r="AC264" t="inlineStr">
        <is>
          <t>No</t>
        </is>
      </c>
      <c r="AD264" t="inlineStr">
        <is>
          <t>Mutual rolling break on 6 months notice. Internal Lease to another Lee Family Group Company.</t>
        </is>
      </c>
      <c r="AI264" t="inlineStr">
        <is>
          <t>Let</t>
        </is>
      </c>
    </row>
    <row r="265">
      <c r="A265" t="inlineStr">
        <is>
          <t xml:space="preserve">  Office</t>
        </is>
      </c>
      <c r="B265" t="inlineStr">
        <is>
          <t>CM</t>
        </is>
      </c>
      <c r="C265" t="inlineStr">
        <is>
          <t>MEL</t>
        </is>
      </c>
      <c r="D265" t="n">
        <v>550340</v>
      </c>
      <c r="E265" t="inlineStr">
        <is>
          <t>London House, 9a Margaret Street</t>
        </is>
      </c>
      <c r="F265" t="inlineStr">
        <is>
          <t>Ground Floor (East)</t>
        </is>
      </c>
      <c r="G265" t="inlineStr">
        <is>
          <t>Office</t>
        </is>
      </c>
      <c r="H265" t="n">
        <v>1497</v>
      </c>
      <c r="I265">
        <f>I183</f>
        <v/>
      </c>
      <c r="K265" t="inlineStr">
        <is>
          <t>Langham Estate Management Ltd</t>
        </is>
      </c>
      <c r="L265" s="869" t="n">
        <v>45010</v>
      </c>
      <c r="M265" s="869" t="n">
        <v>46836</v>
      </c>
      <c r="Q265" t="n">
        <v>84600</v>
      </c>
      <c r="R265">
        <f>R183</f>
        <v/>
      </c>
      <c r="T265" t="n">
        <v>86100</v>
      </c>
      <c r="U265">
        <f>U183</f>
        <v/>
      </c>
      <c r="V265" t="n">
        <v>89800</v>
      </c>
      <c r="W265">
        <f>W183</f>
        <v/>
      </c>
      <c r="X265">
        <f>W183/I183</f>
        <v/>
      </c>
      <c r="Y265">
        <f>SUM(W183-U183)/U183</f>
        <v/>
      </c>
      <c r="Z265" t="inlineStr">
        <is>
          <t>C</t>
        </is>
      </c>
      <c r="AC265" t="inlineStr">
        <is>
          <t>No</t>
        </is>
      </c>
      <c r="AD265" t="inlineStr">
        <is>
          <t>Mutual rolling break on 6 months notice. Internal Lease to another Lee Family Group Company.</t>
        </is>
      </c>
      <c r="AI265" t="inlineStr">
        <is>
          <t>Let</t>
        </is>
      </c>
    </row>
    <row r="266">
      <c r="A266" t="inlineStr">
        <is>
          <t xml:space="preserve">  Office</t>
        </is>
      </c>
      <c r="B266" t="inlineStr">
        <is>
          <t>CM</t>
        </is>
      </c>
      <c r="C266" t="inlineStr">
        <is>
          <t>MEL</t>
        </is>
      </c>
      <c r="D266" t="n">
        <v>550340</v>
      </c>
      <c r="E266" t="inlineStr">
        <is>
          <t>London House, 9a Margaret Street</t>
        </is>
      </c>
      <c r="F266" t="inlineStr">
        <is>
          <t>Ground Floor (West)</t>
        </is>
      </c>
      <c r="G266" t="inlineStr">
        <is>
          <t>Office</t>
        </is>
      </c>
      <c r="H266" t="n">
        <v>1553</v>
      </c>
      <c r="I266">
        <f>I184</f>
        <v/>
      </c>
      <c r="K266" t="inlineStr">
        <is>
          <t>Langham Estate Management Ltd</t>
        </is>
      </c>
      <c r="L266" s="869" t="n">
        <v>45269</v>
      </c>
      <c r="M266" s="869" t="n">
        <v>46836</v>
      </c>
      <c r="Q266" t="n">
        <v>87750</v>
      </c>
      <c r="R266">
        <f>R184</f>
        <v/>
      </c>
      <c r="T266" t="n">
        <v>89300</v>
      </c>
      <c r="U266">
        <f>U184</f>
        <v/>
      </c>
      <c r="V266" t="n">
        <v>93200</v>
      </c>
      <c r="W266">
        <f>W184</f>
        <v/>
      </c>
      <c r="X266">
        <f>W184/I184</f>
        <v/>
      </c>
      <c r="Y266">
        <f>SUM(W184-U184)/U184</f>
        <v/>
      </c>
      <c r="Z266" t="inlineStr">
        <is>
          <t>D</t>
        </is>
      </c>
      <c r="AC266" t="inlineStr">
        <is>
          <t>No</t>
        </is>
      </c>
      <c r="AD266" t="inlineStr">
        <is>
          <t>Mutual rolling break on 6 months notice. Internal Lease to another Lee Family Group Company.</t>
        </is>
      </c>
      <c r="AI266" t="inlineStr">
        <is>
          <t>Let</t>
        </is>
      </c>
    </row>
    <row r="267">
      <c r="A267" t="inlineStr">
        <is>
          <t xml:space="preserve">  Office</t>
        </is>
      </c>
      <c r="B267" t="inlineStr">
        <is>
          <t>CM</t>
        </is>
      </c>
      <c r="C267" t="inlineStr">
        <is>
          <t>MEL</t>
        </is>
      </c>
      <c r="D267" t="n">
        <v>550340</v>
      </c>
      <c r="E267" t="inlineStr">
        <is>
          <t>London House, 9a Margaret Street</t>
        </is>
      </c>
      <c r="F267" t="inlineStr">
        <is>
          <t>First Floor (East)</t>
        </is>
      </c>
      <c r="G267" t="inlineStr">
        <is>
          <t>Office</t>
        </is>
      </c>
      <c r="H267" t="n">
        <v>1445</v>
      </c>
      <c r="I267">
        <f>I185</f>
        <v/>
      </c>
      <c r="K267" t="inlineStr">
        <is>
          <t>Langham Estate Management Ltd</t>
        </is>
      </c>
      <c r="L267" s="869" t="n">
        <v>43184</v>
      </c>
      <c r="M267" s="869" t="n">
        <v>46836</v>
      </c>
      <c r="O267" s="869" t="n">
        <v>45010</v>
      </c>
      <c r="Q267" t="n">
        <v>79500</v>
      </c>
      <c r="R267">
        <f>R185</f>
        <v/>
      </c>
      <c r="T267" t="n">
        <v>86700</v>
      </c>
      <c r="U267">
        <f>U185</f>
        <v/>
      </c>
      <c r="V267" t="n">
        <v>90300</v>
      </c>
      <c r="W267">
        <f>W185</f>
        <v/>
      </c>
      <c r="X267">
        <f>W185/I185</f>
        <v/>
      </c>
      <c r="Y267">
        <f>SUM(W185-U185)/U185</f>
        <v/>
      </c>
      <c r="Z267" t="inlineStr">
        <is>
          <t>D</t>
        </is>
      </c>
      <c r="AC267" t="inlineStr">
        <is>
          <t>No</t>
        </is>
      </c>
      <c r="AD267" t="inlineStr">
        <is>
          <t>Mutual rolling break on 6 months notice. Internal Lease to another Lee Family Group Company.</t>
        </is>
      </c>
      <c r="AI267" t="inlineStr">
        <is>
          <t>Let</t>
        </is>
      </c>
    </row>
    <row r="268">
      <c r="A268" t="inlineStr">
        <is>
          <t xml:space="preserve">  Office</t>
        </is>
      </c>
      <c r="B268" t="inlineStr">
        <is>
          <t>CM</t>
        </is>
      </c>
      <c r="C268" t="inlineStr">
        <is>
          <t>MEL</t>
        </is>
      </c>
      <c r="D268" t="n">
        <v>550340</v>
      </c>
      <c r="E268" t="inlineStr">
        <is>
          <t>London House, 9a Margaret Street</t>
        </is>
      </c>
      <c r="F268" t="inlineStr">
        <is>
          <t>First Floor (West)</t>
        </is>
      </c>
      <c r="G268" t="inlineStr">
        <is>
          <t>Office</t>
        </is>
      </c>
      <c r="H268" t="n">
        <v>1200</v>
      </c>
      <c r="I268">
        <f>I186</f>
        <v/>
      </c>
      <c r="K268" t="inlineStr">
        <is>
          <t>Langham Estate Management Ltd</t>
        </is>
      </c>
      <c r="L268" s="869" t="n">
        <v>43184</v>
      </c>
      <c r="M268" s="869" t="n">
        <v>46836</v>
      </c>
      <c r="O268" s="869" t="n">
        <v>45010</v>
      </c>
      <c r="Q268" t="n">
        <v>66000</v>
      </c>
      <c r="R268">
        <f>R186</f>
        <v/>
      </c>
      <c r="T268" t="n">
        <v>72000</v>
      </c>
      <c r="U268">
        <f>U186</f>
        <v/>
      </c>
      <c r="V268" t="n">
        <v>75000</v>
      </c>
      <c r="W268">
        <f>W186</f>
        <v/>
      </c>
      <c r="X268">
        <f>W186/I186</f>
        <v/>
      </c>
      <c r="Y268">
        <f>SUM(W186-U186)/U186</f>
        <v/>
      </c>
      <c r="Z268" t="inlineStr">
        <is>
          <t>C</t>
        </is>
      </c>
      <c r="AC268" t="inlineStr">
        <is>
          <t>No</t>
        </is>
      </c>
      <c r="AD268" t="inlineStr">
        <is>
          <t>Mutual rolling break on 6 months notice. Internal Lease to another Lee Family Group Company.</t>
        </is>
      </c>
      <c r="AI268" t="inlineStr">
        <is>
          <t>Let</t>
        </is>
      </c>
    </row>
    <row r="269">
      <c r="A269" t="inlineStr">
        <is>
          <t xml:space="preserve">  Office</t>
        </is>
      </c>
      <c r="B269" t="inlineStr">
        <is>
          <t>CM</t>
        </is>
      </c>
      <c r="C269" t="inlineStr">
        <is>
          <t>MEL</t>
        </is>
      </c>
      <c r="D269" t="n">
        <v>550340</v>
      </c>
      <c r="E269" t="inlineStr">
        <is>
          <t>London House, 9a Margaret Street</t>
        </is>
      </c>
      <c r="F269" t="inlineStr">
        <is>
          <t>Second Floor (East)</t>
        </is>
      </c>
      <c r="G269" t="inlineStr">
        <is>
          <t>Office</t>
        </is>
      </c>
      <c r="H269" t="n">
        <v>373</v>
      </c>
      <c r="I269">
        <f>I187</f>
        <v/>
      </c>
      <c r="K269" t="inlineStr">
        <is>
          <t>Langham Estate Management Ltd</t>
        </is>
      </c>
      <c r="L269" s="869" t="n">
        <v>43184</v>
      </c>
      <c r="M269" s="869" t="n">
        <v>46836</v>
      </c>
      <c r="O269" s="869" t="n">
        <v>45010</v>
      </c>
      <c r="Q269" t="n">
        <v>18650</v>
      </c>
      <c r="R269">
        <f>R187</f>
        <v/>
      </c>
      <c r="T269" t="n">
        <v>22400</v>
      </c>
      <c r="U269">
        <f>U187</f>
        <v/>
      </c>
      <c r="V269" t="n">
        <v>23300</v>
      </c>
      <c r="W269">
        <f>W187</f>
        <v/>
      </c>
      <c r="X269">
        <f>W187/I187</f>
        <v/>
      </c>
      <c r="Y269">
        <f>SUM(W187-U187)/U187</f>
        <v/>
      </c>
      <c r="Z269" t="inlineStr">
        <is>
          <t>D</t>
        </is>
      </c>
      <c r="AC269" t="inlineStr">
        <is>
          <t>No</t>
        </is>
      </c>
      <c r="AD269" t="inlineStr">
        <is>
          <t>Mutual rolling break on 6 months notice. Internal Lease to another Lee Family Group Company.</t>
        </is>
      </c>
      <c r="AI269" t="inlineStr">
        <is>
          <t>Let</t>
        </is>
      </c>
    </row>
    <row r="270">
      <c r="A270" t="inlineStr">
        <is>
          <t xml:space="preserve">  Office</t>
        </is>
      </c>
      <c r="B270" t="inlineStr">
        <is>
          <t>CM</t>
        </is>
      </c>
      <c r="C270" t="inlineStr">
        <is>
          <t>MEL</t>
        </is>
      </c>
      <c r="D270" t="n">
        <v>550340</v>
      </c>
      <c r="E270" t="inlineStr">
        <is>
          <t>London House, 9a Margaret Street</t>
        </is>
      </c>
      <c r="F270" t="inlineStr">
        <is>
          <t>Second Floor (West)</t>
        </is>
      </c>
      <c r="G270" t="inlineStr">
        <is>
          <t>Office</t>
        </is>
      </c>
      <c r="H270" t="n">
        <v>346</v>
      </c>
      <c r="I270">
        <f>I188</f>
        <v/>
      </c>
      <c r="K270" t="inlineStr">
        <is>
          <t>Langham Estate Management Ltd</t>
        </is>
      </c>
      <c r="L270" s="869" t="n">
        <v>43184</v>
      </c>
      <c r="M270" s="869" t="n">
        <v>46836</v>
      </c>
      <c r="O270" s="869" t="n">
        <v>45010</v>
      </c>
      <c r="Q270" t="n">
        <v>18150</v>
      </c>
      <c r="R270">
        <f>R188</f>
        <v/>
      </c>
      <c r="T270" t="n">
        <v>20800</v>
      </c>
      <c r="U270">
        <f>U188</f>
        <v/>
      </c>
      <c r="V270" t="n">
        <v>21600</v>
      </c>
      <c r="W270">
        <f>W188</f>
        <v/>
      </c>
      <c r="X270">
        <f>W188/I188</f>
        <v/>
      </c>
      <c r="Y270">
        <f>SUM(W188-U188)/U188</f>
        <v/>
      </c>
      <c r="Z270" t="inlineStr">
        <is>
          <t>D</t>
        </is>
      </c>
      <c r="AC270" t="inlineStr">
        <is>
          <t>No</t>
        </is>
      </c>
      <c r="AD270" t="inlineStr">
        <is>
          <t>Mutual rolling break on 6 months notice. Internal Lease to another Lee Family Group Company.</t>
        </is>
      </c>
      <c r="AI270" t="inlineStr">
        <is>
          <t>Let</t>
        </is>
      </c>
    </row>
    <row r="271"/>
    <row r="272">
      <c r="A272" s="868" t="inlineStr">
        <is>
          <t>10 Margaret Street</t>
        </is>
      </c>
    </row>
    <row r="273">
      <c r="A273" t="inlineStr">
        <is>
          <t xml:space="preserve">  Office</t>
        </is>
      </c>
      <c r="B273" t="inlineStr">
        <is>
          <t>SH</t>
        </is>
      </c>
      <c r="C273" t="inlineStr">
        <is>
          <t>MEL</t>
        </is>
      </c>
      <c r="D273" t="n">
        <v>550900</v>
      </c>
      <c r="E273" t="inlineStr">
        <is>
          <t>10 Margaret Street</t>
        </is>
      </c>
      <c r="F273" t="inlineStr">
        <is>
          <t>Whole</t>
        </is>
      </c>
      <c r="G273" t="inlineStr">
        <is>
          <t>Office</t>
        </is>
      </c>
      <c r="H273" t="n">
        <v>8445</v>
      </c>
      <c r="I273">
        <f>I189</f>
        <v/>
      </c>
      <c r="J273" t="n">
        <v>8500</v>
      </c>
      <c r="K273" t="inlineStr">
        <is>
          <t>DMR Film Ventures (Facilities) Ltd.</t>
        </is>
      </c>
      <c r="L273" s="869" t="n">
        <v>44390</v>
      </c>
      <c r="M273" s="869" t="n">
        <v>48041</v>
      </c>
      <c r="O273" s="869" t="n">
        <v>46216</v>
      </c>
      <c r="P273" s="869" t="n">
        <v>46215</v>
      </c>
      <c r="Q273" t="n">
        <v>450500</v>
      </c>
      <c r="R273">
        <f>R189</f>
        <v/>
      </c>
      <c r="T273" t="n">
        <v>450500</v>
      </c>
      <c r="U273">
        <f>U189</f>
        <v/>
      </c>
      <c r="V273" t="n">
        <v>495300</v>
      </c>
      <c r="W273">
        <f>W189</f>
        <v/>
      </c>
      <c r="X273">
        <f>W189/I189</f>
        <v/>
      </c>
      <c r="Y273">
        <f>SUM(W189-U189)/U189</f>
        <v/>
      </c>
      <c r="Z273" t="inlineStr">
        <is>
          <t>C</t>
        </is>
      </c>
      <c r="AC273" t="inlineStr">
        <is>
          <t>No</t>
        </is>
      </c>
      <c r="AD273" t="inlineStr">
        <is>
          <t>Tenant break on 6 months notice. 6 months rent free if break not exercised.</t>
        </is>
      </c>
      <c r="AI273" t="inlineStr">
        <is>
          <t>Let</t>
        </is>
      </c>
    </row>
    <row r="274">
      <c r="A274" t="inlineStr">
        <is>
          <t xml:space="preserve">  Sub-Station</t>
        </is>
      </c>
      <c r="B274" t="inlineStr">
        <is>
          <t>SH</t>
        </is>
      </c>
      <c r="C274" t="inlineStr">
        <is>
          <t>MEL</t>
        </is>
      </c>
      <c r="D274" t="n">
        <v>550900</v>
      </c>
      <c r="E274" t="inlineStr">
        <is>
          <t>10 Margaret Street</t>
        </is>
      </c>
      <c r="F274" t="inlineStr">
        <is>
          <t>Pavement Vaults</t>
        </is>
      </c>
      <c r="G274" t="inlineStr">
        <is>
          <t>Sub-Station</t>
        </is>
      </c>
      <c r="H274" t="n">
        <v>0</v>
      </c>
      <c r="I274">
        <f>I190</f>
        <v/>
      </c>
      <c r="K274" t="inlineStr">
        <is>
          <t>London Power Networks Plc</t>
        </is>
      </c>
      <c r="L274" s="869" t="n">
        <v>38840</v>
      </c>
      <c r="M274" s="869" t="n">
        <v>46144</v>
      </c>
      <c r="Q274" t="n">
        <v>1100</v>
      </c>
      <c r="R274">
        <f>R190</f>
        <v/>
      </c>
      <c r="T274" t="n">
        <v>1100</v>
      </c>
      <c r="U274">
        <f>U190</f>
        <v/>
      </c>
      <c r="V274" t="n">
        <v>1100</v>
      </c>
      <c r="W274">
        <f>W190</f>
        <v/>
      </c>
      <c r="AC274" t="inlineStr">
        <is>
          <t>No</t>
        </is>
      </c>
      <c r="AD274" t="inlineStr">
        <is>
          <t>Landlords rolling redevelopment option on 6 months notice.</t>
        </is>
      </c>
      <c r="AI274" t="inlineStr">
        <is>
          <t>Let</t>
        </is>
      </c>
    </row>
    <row r="275"/>
    <row r="276">
      <c r="A276" s="868" t="inlineStr">
        <is>
          <t>Audley House,  12 Margaret Street</t>
        </is>
      </c>
    </row>
    <row r="277">
      <c r="A277" t="inlineStr">
        <is>
          <t xml:space="preserve">  Office</t>
        </is>
      </c>
      <c r="B277" t="inlineStr">
        <is>
          <t>SH</t>
        </is>
      </c>
      <c r="C277" t="inlineStr">
        <is>
          <t>MEL</t>
        </is>
      </c>
      <c r="D277" t="n">
        <v>550350</v>
      </c>
      <c r="E277" t="inlineStr">
        <is>
          <t>Audley House,  12 Margaret Street</t>
        </is>
      </c>
      <c r="F277" t="inlineStr">
        <is>
          <t>Whole</t>
        </is>
      </c>
      <c r="G277" t="inlineStr">
        <is>
          <t>Office</t>
        </is>
      </c>
      <c r="H277" t="n">
        <v>6563</v>
      </c>
      <c r="I277">
        <f>I191</f>
        <v/>
      </c>
      <c r="J277" t="n">
        <v>6500</v>
      </c>
      <c r="K277" t="inlineStr">
        <is>
          <t>Wimbledon Business Centre Ltd.</t>
        </is>
      </c>
      <c r="L277" s="869" t="n">
        <v>45062</v>
      </c>
      <c r="M277" s="869" t="n">
        <v>48714</v>
      </c>
      <c r="O277" s="869" t="n">
        <v>46889</v>
      </c>
      <c r="Q277" t="n">
        <v>350000</v>
      </c>
      <c r="R277">
        <f>R191</f>
        <v/>
      </c>
      <c r="S277">
        <f>S191</f>
        <v/>
      </c>
      <c r="T277" t="n">
        <v>350000</v>
      </c>
      <c r="U277">
        <f>U191</f>
        <v/>
      </c>
      <c r="V277" t="n">
        <v>350000</v>
      </c>
      <c r="W277">
        <f>W191</f>
        <v/>
      </c>
      <c r="X277">
        <f>W191/I191</f>
        <v/>
      </c>
      <c r="Y277">
        <f>SUM(W191-U191)/U191</f>
        <v/>
      </c>
      <c r="Z277" t="inlineStr">
        <is>
          <t>D</t>
        </is>
      </c>
      <c r="AB277" t="n">
        <v>6575000</v>
      </c>
      <c r="AC277" t="inlineStr">
        <is>
          <t>No</t>
        </is>
      </c>
      <c r="AI277" t="inlineStr">
        <is>
          <t>Let</t>
        </is>
      </c>
    </row>
    <row r="278"/>
    <row r="279">
      <c r="A279" s="868" t="inlineStr">
        <is>
          <t>13-14 Margaret Street</t>
        </is>
      </c>
    </row>
    <row r="280">
      <c r="A280" t="inlineStr">
        <is>
          <t xml:space="preserve">  Retail</t>
        </is>
      </c>
      <c r="B280" t="inlineStr">
        <is>
          <t>WS</t>
        </is>
      </c>
      <c r="C280" t="inlineStr">
        <is>
          <t>MEL</t>
        </is>
      </c>
      <c r="D280" t="n">
        <v>550360</v>
      </c>
      <c r="E280" t="inlineStr">
        <is>
          <t>13-14 Margaret Street</t>
        </is>
      </c>
      <c r="F280" t="inlineStr">
        <is>
          <t>Basement &amp; Ground</t>
        </is>
      </c>
      <c r="G280" t="inlineStr">
        <is>
          <t>Retail</t>
        </is>
      </c>
      <c r="H280" t="n">
        <v>5735</v>
      </c>
      <c r="I280">
        <f>I192</f>
        <v/>
      </c>
      <c r="J280" t="n">
        <v>5750</v>
      </c>
      <c r="K280" t="inlineStr">
        <is>
          <t>Arlettie London Ltd.</t>
        </is>
      </c>
      <c r="L280" s="869" t="n">
        <v>45240</v>
      </c>
      <c r="M280" s="869" t="n">
        <v>48892</v>
      </c>
      <c r="O280" s="869" t="n">
        <v>47067</v>
      </c>
      <c r="P280" s="869" t="n">
        <v>47066</v>
      </c>
      <c r="Q280" t="n">
        <v>282288</v>
      </c>
      <c r="R280">
        <f>R192</f>
        <v/>
      </c>
      <c r="T280" t="n">
        <v>258600</v>
      </c>
      <c r="U280">
        <f>U192</f>
        <v/>
      </c>
      <c r="V280" t="n">
        <v>282288</v>
      </c>
      <c r="W280">
        <f>W192</f>
        <v/>
      </c>
      <c r="X280">
        <f>W192/I192</f>
        <v/>
      </c>
      <c r="Y280">
        <f>SUM(W192-U192)/U192</f>
        <v/>
      </c>
      <c r="Z280" t="inlineStr">
        <is>
          <t>C</t>
        </is>
      </c>
      <c r="AC280" t="inlineStr">
        <is>
          <t>No</t>
        </is>
      </c>
      <c r="AD280" t="inlineStr">
        <is>
          <t>Tenant break on 6 months notice and penalty clause of £48,345.</t>
        </is>
      </c>
      <c r="AI280" t="inlineStr">
        <is>
          <t>Let</t>
        </is>
      </c>
    </row>
    <row r="281">
      <c r="A281" t="inlineStr">
        <is>
          <t xml:space="preserve">  Office</t>
        </is>
      </c>
      <c r="B281" t="inlineStr">
        <is>
          <t>WS</t>
        </is>
      </c>
      <c r="C281" t="inlineStr">
        <is>
          <t>MEL</t>
        </is>
      </c>
      <c r="D281" t="n">
        <v>550360</v>
      </c>
      <c r="E281" t="inlineStr">
        <is>
          <t>13-14 Margaret Street</t>
        </is>
      </c>
      <c r="F281" t="inlineStr">
        <is>
          <t>First Floor</t>
        </is>
      </c>
      <c r="G281" t="inlineStr">
        <is>
          <t>Office</t>
        </is>
      </c>
      <c r="H281" t="n">
        <v>2400</v>
      </c>
      <c r="I281">
        <f>I193</f>
        <v/>
      </c>
      <c r="J281" t="n">
        <v>2500</v>
      </c>
      <c r="K281" t="inlineStr">
        <is>
          <t>Final Cut Ltd.</t>
        </is>
      </c>
      <c r="L281" s="869" t="n">
        <v>44665</v>
      </c>
      <c r="M281" s="869" t="n">
        <v>48852</v>
      </c>
      <c r="O281" s="869" t="n">
        <v>46491</v>
      </c>
      <c r="P281" s="869" t="n">
        <v>47026</v>
      </c>
      <c r="Q281" t="n">
        <v>152500</v>
      </c>
      <c r="R281">
        <f>R193</f>
        <v/>
      </c>
      <c r="T281" t="n">
        <v>152400</v>
      </c>
      <c r="U281">
        <f>U193</f>
        <v/>
      </c>
      <c r="V281" t="n">
        <v>152400</v>
      </c>
      <c r="W281">
        <f>W193</f>
        <v/>
      </c>
      <c r="X281">
        <f>W193/I193</f>
        <v/>
      </c>
      <c r="Y281">
        <f>SUM(W193-U193)/U193</f>
        <v/>
      </c>
      <c r="Z281" t="inlineStr">
        <is>
          <t>E</t>
        </is>
      </c>
      <c r="AC281" t="inlineStr">
        <is>
          <t>No</t>
        </is>
      </c>
      <c r="AD281" t="inlineStr">
        <is>
          <t xml:space="preserve">Tenant break on 6 months notice. </t>
        </is>
      </c>
      <c r="AI281" t="inlineStr">
        <is>
          <t>Let</t>
        </is>
      </c>
    </row>
    <row r="282">
      <c r="A282" t="inlineStr">
        <is>
          <t xml:space="preserve">  Office</t>
        </is>
      </c>
      <c r="B282" t="inlineStr">
        <is>
          <t>WS</t>
        </is>
      </c>
      <c r="C282" t="inlineStr">
        <is>
          <t>MEL</t>
        </is>
      </c>
      <c r="D282" t="n">
        <v>550360</v>
      </c>
      <c r="E282" t="inlineStr">
        <is>
          <t>13-14 Margaret Street</t>
        </is>
      </c>
      <c r="F282" t="inlineStr">
        <is>
          <t>Second Floor</t>
        </is>
      </c>
      <c r="G282" t="inlineStr">
        <is>
          <t>Office</t>
        </is>
      </c>
      <c r="H282" t="n">
        <v>2516</v>
      </c>
      <c r="I282">
        <f>I194</f>
        <v/>
      </c>
      <c r="J282" t="n">
        <v>2500</v>
      </c>
      <c r="K282" t="inlineStr">
        <is>
          <t>Final Cut Ltd.</t>
        </is>
      </c>
      <c r="L282" s="869" t="n">
        <v>44445</v>
      </c>
      <c r="M282" s="869" t="n">
        <v>47026</v>
      </c>
      <c r="O282" s="869" t="n">
        <v>46271</v>
      </c>
      <c r="Q282" t="n">
        <v>150000</v>
      </c>
      <c r="R282">
        <f>R194</f>
        <v/>
      </c>
      <c r="T282" t="n">
        <v>158800</v>
      </c>
      <c r="U282">
        <f>U194</f>
        <v/>
      </c>
      <c r="V282" t="n">
        <v>159800</v>
      </c>
      <c r="W282">
        <f>W194</f>
        <v/>
      </c>
      <c r="X282">
        <f>W194/I194</f>
        <v/>
      </c>
      <c r="Y282">
        <f>SUM(W194-U194)/U194</f>
        <v/>
      </c>
      <c r="Z282" t="inlineStr">
        <is>
          <t>E</t>
        </is>
      </c>
      <c r="AC282" t="inlineStr">
        <is>
          <t>No</t>
        </is>
      </c>
      <c r="AI282" t="inlineStr">
        <is>
          <t>Let</t>
        </is>
      </c>
    </row>
    <row r="283">
      <c r="A283" t="inlineStr">
        <is>
          <t xml:space="preserve">  Office</t>
        </is>
      </c>
      <c r="B283" t="inlineStr">
        <is>
          <t>WS</t>
        </is>
      </c>
      <c r="C283" t="inlineStr">
        <is>
          <t>MEL</t>
        </is>
      </c>
      <c r="D283" t="n">
        <v>550360</v>
      </c>
      <c r="E283" t="inlineStr">
        <is>
          <t>13-14 Margaret Street</t>
        </is>
      </c>
      <c r="F283" t="inlineStr">
        <is>
          <t>Third &amp; Fourth Floor</t>
        </is>
      </c>
      <c r="G283" t="inlineStr">
        <is>
          <t>Office</t>
        </is>
      </c>
      <c r="H283" t="n">
        <v>4902</v>
      </c>
      <c r="I283">
        <f>I195</f>
        <v/>
      </c>
      <c r="J283" t="n">
        <v>5000</v>
      </c>
      <c r="K283" t="inlineStr">
        <is>
          <t>Final Cut Ltd.</t>
        </is>
      </c>
      <c r="L283" s="869" t="n">
        <v>45259</v>
      </c>
      <c r="M283" s="869" t="n">
        <v>47026</v>
      </c>
      <c r="Q283" t="n">
        <v>307687</v>
      </c>
      <c r="R283">
        <f>R195</f>
        <v/>
      </c>
      <c r="T283" t="n">
        <v>314300</v>
      </c>
      <c r="U283">
        <f>U195</f>
        <v/>
      </c>
      <c r="V283" t="n">
        <v>311300</v>
      </c>
      <c r="W283">
        <f>W195</f>
        <v/>
      </c>
      <c r="X283">
        <f>W195/I195</f>
        <v/>
      </c>
      <c r="Y283">
        <f>SUM(W195-U195)/U195</f>
        <v/>
      </c>
      <c r="Z283" t="inlineStr">
        <is>
          <t>E</t>
        </is>
      </c>
      <c r="AC283" t="inlineStr">
        <is>
          <t>No</t>
        </is>
      </c>
      <c r="AI283" t="inlineStr">
        <is>
          <t>Let</t>
        </is>
      </c>
    </row>
    <row r="284">
      <c r="A284" t="inlineStr">
        <is>
          <t xml:space="preserve">  Office</t>
        </is>
      </c>
      <c r="B284" t="inlineStr">
        <is>
          <t>WS</t>
        </is>
      </c>
      <c r="C284" t="inlineStr">
        <is>
          <t>MEL</t>
        </is>
      </c>
      <c r="D284" t="n">
        <v>550360</v>
      </c>
      <c r="E284" t="inlineStr">
        <is>
          <t>13-14 Margaret Street</t>
        </is>
      </c>
      <c r="F284" t="inlineStr">
        <is>
          <t>Fifth Floor</t>
        </is>
      </c>
      <c r="G284" t="inlineStr">
        <is>
          <t>Office</t>
        </is>
      </c>
      <c r="H284" t="n">
        <v>2251</v>
      </c>
      <c r="I284">
        <f>I196</f>
        <v/>
      </c>
      <c r="J284" t="n">
        <v>2250</v>
      </c>
      <c r="K284" t="inlineStr">
        <is>
          <t>Final Cut Ltd.</t>
        </is>
      </c>
      <c r="L284" s="869" t="n">
        <v>45259</v>
      </c>
      <c r="M284" s="869" t="n">
        <v>47026</v>
      </c>
      <c r="Q284" t="n">
        <v>138500</v>
      </c>
      <c r="R284">
        <f>R196</f>
        <v/>
      </c>
      <c r="T284" t="n">
        <v>138500</v>
      </c>
      <c r="U284">
        <f>U196</f>
        <v/>
      </c>
      <c r="V284" t="n">
        <v>140700</v>
      </c>
      <c r="W284">
        <f>W196</f>
        <v/>
      </c>
      <c r="X284">
        <f>W196/I196</f>
        <v/>
      </c>
      <c r="Y284">
        <f>SUM(W196-U196)/U196</f>
        <v/>
      </c>
      <c r="Z284" t="inlineStr">
        <is>
          <t>E</t>
        </is>
      </c>
      <c r="AC284" t="inlineStr">
        <is>
          <t>No</t>
        </is>
      </c>
      <c r="AI284" t="inlineStr">
        <is>
          <t>Let</t>
        </is>
      </c>
    </row>
    <row r="285"/>
    <row r="286">
      <c r="A286" s="868" t="inlineStr">
        <is>
          <t>15-16 Margaret Street</t>
        </is>
      </c>
    </row>
    <row r="287">
      <c r="A287" t="inlineStr">
        <is>
          <t xml:space="preserve">  Office</t>
        </is>
      </c>
      <c r="B287" t="inlineStr">
        <is>
          <t>WS</t>
        </is>
      </c>
      <c r="C287" t="inlineStr">
        <is>
          <t>MEL</t>
        </is>
      </c>
      <c r="D287" t="n">
        <v>550370</v>
      </c>
      <c r="E287" t="inlineStr">
        <is>
          <t>15-16 Margaret Street</t>
        </is>
      </c>
      <c r="F287" t="inlineStr">
        <is>
          <t>Lower Ground</t>
        </is>
      </c>
      <c r="G287" t="inlineStr">
        <is>
          <t>Office</t>
        </is>
      </c>
      <c r="H287" t="n">
        <v>2161</v>
      </c>
      <c r="I287">
        <f>I197</f>
        <v/>
      </c>
      <c r="J287" t="n">
        <v>2000</v>
      </c>
      <c r="K287" t="inlineStr">
        <is>
          <t>Vacant</t>
        </is>
      </c>
      <c r="N287" s="869" t="n">
        <v>44063</v>
      </c>
      <c r="Q287" t="n">
        <v>0</v>
      </c>
      <c r="R287">
        <f>R197</f>
        <v/>
      </c>
      <c r="T287" t="n">
        <v>53800</v>
      </c>
      <c r="U287">
        <f>U197</f>
        <v/>
      </c>
      <c r="V287" t="n">
        <v>54000</v>
      </c>
      <c r="W287">
        <f>W197</f>
        <v/>
      </c>
      <c r="X287">
        <f>W197/I197</f>
        <v/>
      </c>
      <c r="Y287">
        <f>SUM(W197-U197)/U197</f>
        <v/>
      </c>
      <c r="Z287" t="inlineStr">
        <is>
          <t>E</t>
        </is>
      </c>
      <c r="AC287" t="inlineStr">
        <is>
          <t>No</t>
        </is>
      </c>
      <c r="AD287" t="inlineStr">
        <is>
          <t>Under offer</t>
        </is>
      </c>
      <c r="AF287" t="n">
        <v>3</v>
      </c>
      <c r="AG287" t="n">
        <v>9</v>
      </c>
      <c r="AH287" t="inlineStr">
        <is>
          <t>LEM</t>
        </is>
      </c>
      <c r="AI287" t="inlineStr">
        <is>
          <t>Void</t>
        </is>
      </c>
    </row>
    <row r="288">
      <c r="A288" t="inlineStr">
        <is>
          <t xml:space="preserve">  Office</t>
        </is>
      </c>
      <c r="B288" t="inlineStr">
        <is>
          <t>WS</t>
        </is>
      </c>
      <c r="C288" t="inlineStr">
        <is>
          <t>MEL</t>
        </is>
      </c>
      <c r="D288" t="n">
        <v>550370</v>
      </c>
      <c r="E288" t="inlineStr">
        <is>
          <t>15-16 Margaret Street</t>
        </is>
      </c>
      <c r="F288" t="inlineStr">
        <is>
          <t>Ground Floor</t>
        </is>
      </c>
      <c r="G288" t="inlineStr">
        <is>
          <t>Office</t>
        </is>
      </c>
      <c r="H288" t="n">
        <v>2185</v>
      </c>
      <c r="I288">
        <f>I198</f>
        <v/>
      </c>
      <c r="J288" t="n">
        <v>2000</v>
      </c>
      <c r="K288" t="inlineStr">
        <is>
          <t>Arlettie London Ltd.</t>
        </is>
      </c>
      <c r="L288" s="869" t="n">
        <v>45240</v>
      </c>
      <c r="M288" s="869" t="n">
        <v>48892</v>
      </c>
      <c r="O288" s="869" t="n">
        <v>47067</v>
      </c>
      <c r="P288" s="869" t="n">
        <v>47066</v>
      </c>
      <c r="Q288" t="n">
        <v>132000</v>
      </c>
      <c r="R288">
        <f>R198</f>
        <v/>
      </c>
      <c r="T288" t="n">
        <v>130000</v>
      </c>
      <c r="U288">
        <f>U198</f>
        <v/>
      </c>
      <c r="V288" t="n">
        <v>132000</v>
      </c>
      <c r="W288">
        <f>W198</f>
        <v/>
      </c>
      <c r="X288">
        <f>W198/I198</f>
        <v/>
      </c>
      <c r="Y288">
        <f>SUM(W198-U198)/U198</f>
        <v/>
      </c>
      <c r="Z288" t="inlineStr">
        <is>
          <t>C</t>
        </is>
      </c>
      <c r="AC288" t="inlineStr">
        <is>
          <t>No</t>
        </is>
      </c>
      <c r="AD288" t="inlineStr">
        <is>
          <t>Tenant break on 6 months notice</t>
        </is>
      </c>
      <c r="AI288" t="inlineStr">
        <is>
          <t>Let</t>
        </is>
      </c>
    </row>
    <row r="289">
      <c r="A289" t="inlineStr">
        <is>
          <t xml:space="preserve">  Office</t>
        </is>
      </c>
      <c r="B289" t="inlineStr">
        <is>
          <t>WS</t>
        </is>
      </c>
      <c r="C289" t="inlineStr">
        <is>
          <t>MEL</t>
        </is>
      </c>
      <c r="D289" t="n">
        <v>550370</v>
      </c>
      <c r="E289" t="inlineStr">
        <is>
          <t>15-16 Margaret Street</t>
        </is>
      </c>
      <c r="F289" t="inlineStr">
        <is>
          <t>First Floor</t>
        </is>
      </c>
      <c r="G289" t="inlineStr">
        <is>
          <t>Office</t>
        </is>
      </c>
      <c r="H289" t="n">
        <v>1606</v>
      </c>
      <c r="I289">
        <f>I199</f>
        <v/>
      </c>
      <c r="J289" t="n">
        <v>1500</v>
      </c>
      <c r="K289" t="inlineStr">
        <is>
          <t>Vacant</t>
        </is>
      </c>
      <c r="N289" s="869" t="n">
        <v>44403</v>
      </c>
      <c r="Q289" t="n">
        <v>0</v>
      </c>
      <c r="R289">
        <f>R199</f>
        <v/>
      </c>
      <c r="T289" t="n">
        <v>85800</v>
      </c>
      <c r="U289">
        <f>U199</f>
        <v/>
      </c>
      <c r="V289" t="n">
        <v>100400</v>
      </c>
      <c r="W289">
        <f>W199</f>
        <v/>
      </c>
      <c r="X289">
        <f>W199/I199</f>
        <v/>
      </c>
      <c r="Y289">
        <f>SUM(W199-U199)/U199</f>
        <v/>
      </c>
      <c r="Z289" t="inlineStr">
        <is>
          <t>D</t>
        </is>
      </c>
      <c r="AC289" t="inlineStr">
        <is>
          <t>No</t>
        </is>
      </c>
      <c r="AD289" t="inlineStr">
        <is>
          <t>To be refurbished.</t>
        </is>
      </c>
      <c r="AE289" t="n">
        <v>65</v>
      </c>
      <c r="AF289" t="n">
        <v>5</v>
      </c>
      <c r="AG289" t="n">
        <v>6</v>
      </c>
      <c r="AH289" t="inlineStr">
        <is>
          <t>LEM</t>
        </is>
      </c>
      <c r="AI289" t="inlineStr">
        <is>
          <t>Void</t>
        </is>
      </c>
    </row>
    <row r="290">
      <c r="A290" t="inlineStr">
        <is>
          <t xml:space="preserve">  Office</t>
        </is>
      </c>
      <c r="B290" t="inlineStr">
        <is>
          <t>WS</t>
        </is>
      </c>
      <c r="C290" t="inlineStr">
        <is>
          <t>MEL</t>
        </is>
      </c>
      <c r="D290" t="n">
        <v>550370</v>
      </c>
      <c r="E290" t="inlineStr">
        <is>
          <t>15-16 Margaret Street</t>
        </is>
      </c>
      <c r="F290" t="inlineStr">
        <is>
          <t>Second Floor</t>
        </is>
      </c>
      <c r="G290" t="inlineStr">
        <is>
          <t>Office</t>
        </is>
      </c>
      <c r="H290" t="n">
        <v>1296</v>
      </c>
      <c r="I290">
        <f>I200</f>
        <v/>
      </c>
      <c r="J290" t="n">
        <v>1250</v>
      </c>
      <c r="K290" t="inlineStr">
        <is>
          <t>Marson Property Ltd</t>
        </is>
      </c>
      <c r="L290" s="869" t="n">
        <v>44798</v>
      </c>
      <c r="M290" s="869" t="n">
        <v>46623</v>
      </c>
      <c r="Q290" t="n">
        <v>73700</v>
      </c>
      <c r="R290">
        <f>R200</f>
        <v/>
      </c>
      <c r="T290" t="n">
        <v>73500</v>
      </c>
      <c r="U290">
        <f>U200</f>
        <v/>
      </c>
      <c r="V290" t="n">
        <v>81000</v>
      </c>
      <c r="W290">
        <f>W200</f>
        <v/>
      </c>
      <c r="X290">
        <f>W200/I200</f>
        <v/>
      </c>
      <c r="Y290">
        <f>SUM(W200-U200)/U200</f>
        <v/>
      </c>
      <c r="Z290" t="inlineStr">
        <is>
          <t>D</t>
        </is>
      </c>
      <c r="AC290" t="inlineStr">
        <is>
          <t>No</t>
        </is>
      </c>
      <c r="AI290" t="inlineStr">
        <is>
          <t>Let</t>
        </is>
      </c>
    </row>
    <row r="291">
      <c r="A291" t="inlineStr">
        <is>
          <t xml:space="preserve">  Office</t>
        </is>
      </c>
      <c r="B291" t="inlineStr">
        <is>
          <t>WS</t>
        </is>
      </c>
      <c r="C291" t="inlineStr">
        <is>
          <t>MEL</t>
        </is>
      </c>
      <c r="D291" t="n">
        <v>550370</v>
      </c>
      <c r="E291" t="inlineStr">
        <is>
          <t>15-16 Margaret Street</t>
        </is>
      </c>
      <c r="F291" t="inlineStr">
        <is>
          <t>Third Floor</t>
        </is>
      </c>
      <c r="G291" t="inlineStr">
        <is>
          <t>Office</t>
        </is>
      </c>
      <c r="H291" t="n">
        <v>1129</v>
      </c>
      <c r="I291">
        <f>I201</f>
        <v/>
      </c>
      <c r="J291" t="n">
        <v>1000</v>
      </c>
      <c r="K291" t="inlineStr">
        <is>
          <t>Vacant</t>
        </is>
      </c>
      <c r="N291" s="869" t="n">
        <v>44097</v>
      </c>
      <c r="Q291" t="n">
        <v>0</v>
      </c>
      <c r="R291">
        <f>R201</f>
        <v/>
      </c>
      <c r="T291" t="n">
        <v>65600</v>
      </c>
      <c r="U291">
        <f>U201</f>
        <v/>
      </c>
      <c r="V291" t="n">
        <v>70600</v>
      </c>
      <c r="W291">
        <f>W201</f>
        <v/>
      </c>
      <c r="X291">
        <f>W201/I201</f>
        <v/>
      </c>
      <c r="Y291">
        <f>SUM(W201-U201)/U201</f>
        <v/>
      </c>
      <c r="Z291" t="inlineStr">
        <is>
          <t>D</t>
        </is>
      </c>
      <c r="AC291" t="inlineStr">
        <is>
          <t>No</t>
        </is>
      </c>
      <c r="AD291" t="inlineStr">
        <is>
          <t>To be refurbished.</t>
        </is>
      </c>
      <c r="AE291" t="n">
        <v>65</v>
      </c>
      <c r="AF291" t="n">
        <v>8</v>
      </c>
      <c r="AG291" t="n">
        <v>10</v>
      </c>
      <c r="AI291" t="inlineStr">
        <is>
          <t>Void</t>
        </is>
      </c>
    </row>
    <row r="292">
      <c r="A292" t="inlineStr">
        <is>
          <t xml:space="preserve">  Office</t>
        </is>
      </c>
      <c r="B292" t="inlineStr">
        <is>
          <t>WS</t>
        </is>
      </c>
      <c r="C292" t="inlineStr">
        <is>
          <t>MEL</t>
        </is>
      </c>
      <c r="D292" t="n">
        <v>550370</v>
      </c>
      <c r="E292" t="inlineStr">
        <is>
          <t>15-16 Margaret Street</t>
        </is>
      </c>
      <c r="F292" t="inlineStr">
        <is>
          <t>Fourth Floor</t>
        </is>
      </c>
      <c r="G292" t="inlineStr">
        <is>
          <t>Office</t>
        </is>
      </c>
      <c r="H292" t="n">
        <v>856</v>
      </c>
      <c r="I292">
        <f>I202</f>
        <v/>
      </c>
      <c r="J292" t="n">
        <v>1000</v>
      </c>
      <c r="K292" t="inlineStr">
        <is>
          <t>Vacant</t>
        </is>
      </c>
      <c r="N292" s="869" t="n">
        <v>44814</v>
      </c>
      <c r="Q292" t="n">
        <v>0</v>
      </c>
      <c r="R292">
        <f>R202</f>
        <v/>
      </c>
      <c r="T292" t="n">
        <v>45000</v>
      </c>
      <c r="U292">
        <f>U202</f>
        <v/>
      </c>
      <c r="V292" t="n">
        <v>53500</v>
      </c>
      <c r="W292">
        <f>W202</f>
        <v/>
      </c>
      <c r="X292">
        <f>W202/I202</f>
        <v/>
      </c>
      <c r="Y292">
        <f>SUM(W202-U202)/U202</f>
        <v/>
      </c>
      <c r="Z292" t="inlineStr">
        <is>
          <t>E</t>
        </is>
      </c>
      <c r="AC292" t="inlineStr">
        <is>
          <t>No</t>
        </is>
      </c>
      <c r="AD292" t="inlineStr">
        <is>
          <t>To be refurbished.</t>
        </is>
      </c>
      <c r="AE292" t="n">
        <v>65</v>
      </c>
      <c r="AF292" t="n">
        <v>4</v>
      </c>
      <c r="AG292" t="n">
        <v>4</v>
      </c>
      <c r="AI292" t="inlineStr">
        <is>
          <t>Void</t>
        </is>
      </c>
    </row>
    <row r="293">
      <c r="A293" t="inlineStr">
        <is>
          <t xml:space="preserve">  Office</t>
        </is>
      </c>
      <c r="B293" t="inlineStr">
        <is>
          <t>WS</t>
        </is>
      </c>
      <c r="C293" t="inlineStr">
        <is>
          <t>MEL</t>
        </is>
      </c>
      <c r="D293" t="n">
        <v>550370</v>
      </c>
      <c r="E293" t="inlineStr">
        <is>
          <t>15-16 Margaret Street</t>
        </is>
      </c>
      <c r="F293" t="inlineStr">
        <is>
          <t>Fifth Floor</t>
        </is>
      </c>
      <c r="G293" t="inlineStr">
        <is>
          <t>Office</t>
        </is>
      </c>
      <c r="H293" t="n">
        <v>766</v>
      </c>
      <c r="I293">
        <f>I203</f>
        <v/>
      </c>
      <c r="J293" t="n">
        <v>750</v>
      </c>
      <c r="K293" t="inlineStr">
        <is>
          <t>Vacant</t>
        </is>
      </c>
      <c r="N293" s="869" t="n">
        <v>44063</v>
      </c>
      <c r="Q293" t="n">
        <v>0</v>
      </c>
      <c r="R293">
        <f>R203</f>
        <v/>
      </c>
      <c r="T293" t="n">
        <v>39300</v>
      </c>
      <c r="U293">
        <f>U203</f>
        <v/>
      </c>
      <c r="V293" t="n">
        <v>43100</v>
      </c>
      <c r="W293">
        <f>W203</f>
        <v/>
      </c>
      <c r="X293">
        <f>W203/I203</f>
        <v/>
      </c>
      <c r="Y293">
        <f>SUM(W203-U203)/U203</f>
        <v/>
      </c>
      <c r="Z293" t="inlineStr">
        <is>
          <t>E</t>
        </is>
      </c>
      <c r="AC293" t="inlineStr">
        <is>
          <t>No</t>
        </is>
      </c>
      <c r="AD293" t="inlineStr">
        <is>
          <t>To be refurbished.</t>
        </is>
      </c>
      <c r="AE293" t="n">
        <v>65</v>
      </c>
      <c r="AF293" t="n">
        <v>3</v>
      </c>
      <c r="AG293" t="n">
        <v>5</v>
      </c>
      <c r="AI293" t="inlineStr">
        <is>
          <t>Void</t>
        </is>
      </c>
    </row>
    <row r="294"/>
    <row r="295">
      <c r="A295" s="868" t="inlineStr">
        <is>
          <t>17-18 Margaret Street</t>
        </is>
      </c>
    </row>
    <row r="296">
      <c r="A296" t="inlineStr">
        <is>
          <t xml:space="preserve">  Office/ Showroom</t>
        </is>
      </c>
      <c r="B296" t="inlineStr">
        <is>
          <t>WS</t>
        </is>
      </c>
      <c r="C296" t="inlineStr">
        <is>
          <t>MEL</t>
        </is>
      </c>
      <c r="D296" t="n">
        <v>550380</v>
      </c>
      <c r="E296" t="inlineStr">
        <is>
          <t>17-18 Margaret Street</t>
        </is>
      </c>
      <c r="F296" t="inlineStr">
        <is>
          <t>Basement</t>
        </is>
      </c>
      <c r="G296" t="inlineStr">
        <is>
          <t>Office/ Showroom</t>
        </is>
      </c>
      <c r="H296" t="n">
        <v>2481</v>
      </c>
      <c r="I296">
        <f>I204</f>
        <v/>
      </c>
      <c r="J296" t="n">
        <v>2500</v>
      </c>
      <c r="K296" t="inlineStr">
        <is>
          <t>Arrow International Media Ltd.</t>
        </is>
      </c>
      <c r="L296" s="869" t="n">
        <v>44758</v>
      </c>
      <c r="M296" s="869" t="n">
        <v>46583</v>
      </c>
      <c r="Q296" t="n">
        <v>69440</v>
      </c>
      <c r="R296">
        <f>R204</f>
        <v/>
      </c>
      <c r="T296" t="n">
        <v>69500</v>
      </c>
      <c r="U296">
        <f>U204</f>
        <v/>
      </c>
      <c r="V296" t="n">
        <v>69500</v>
      </c>
      <c r="W296">
        <f>W204</f>
        <v/>
      </c>
      <c r="X296">
        <f>W204/I204</f>
        <v/>
      </c>
      <c r="Y296">
        <f>SUM(W204-U204)/U204</f>
        <v/>
      </c>
      <c r="Z296" t="inlineStr">
        <is>
          <t>E</t>
        </is>
      </c>
      <c r="AC296" t="inlineStr">
        <is>
          <t>No</t>
        </is>
      </c>
      <c r="AI296" t="inlineStr">
        <is>
          <t>Let</t>
        </is>
      </c>
    </row>
    <row r="297">
      <c r="A297" t="inlineStr">
        <is>
          <t xml:space="preserve">  Showroom</t>
        </is>
      </c>
      <c r="B297" t="inlineStr">
        <is>
          <t>WS</t>
        </is>
      </c>
      <c r="C297" t="inlineStr">
        <is>
          <t>MEL</t>
        </is>
      </c>
      <c r="D297" t="n">
        <v>550380</v>
      </c>
      <c r="E297" t="inlineStr">
        <is>
          <t>17-18 Margaret Street</t>
        </is>
      </c>
      <c r="F297" t="inlineStr">
        <is>
          <t xml:space="preserve">Ground Floor (E) </t>
        </is>
      </c>
      <c r="G297" t="inlineStr">
        <is>
          <t>Showroom</t>
        </is>
      </c>
      <c r="H297" t="n">
        <v>1616</v>
      </c>
      <c r="I297">
        <f>I205</f>
        <v/>
      </c>
      <c r="J297" t="n">
        <v>1500</v>
      </c>
      <c r="K297" t="inlineStr">
        <is>
          <t>Arlettie London Ltd.</t>
        </is>
      </c>
      <c r="L297" s="869" t="n">
        <v>45240</v>
      </c>
      <c r="M297" s="869" t="n">
        <v>48892</v>
      </c>
      <c r="O297" s="869" t="n">
        <v>47067</v>
      </c>
      <c r="P297" s="869" t="n">
        <v>47066</v>
      </c>
      <c r="Q297" t="n">
        <v>85500</v>
      </c>
      <c r="R297">
        <f>R205</f>
        <v/>
      </c>
      <c r="T297" t="n">
        <v>84800</v>
      </c>
      <c r="U297">
        <f>U205</f>
        <v/>
      </c>
      <c r="V297" t="n">
        <v>85000</v>
      </c>
      <c r="W297">
        <f>W205</f>
        <v/>
      </c>
      <c r="X297">
        <f>W205/I205</f>
        <v/>
      </c>
      <c r="Y297">
        <f>SUM(W205-U205)/U205</f>
        <v/>
      </c>
      <c r="Z297" t="inlineStr">
        <is>
          <t>D</t>
        </is>
      </c>
      <c r="AC297" t="inlineStr">
        <is>
          <t>No</t>
        </is>
      </c>
      <c r="AD297" t="inlineStr">
        <is>
          <t>Tenant break on 6 months notice</t>
        </is>
      </c>
      <c r="AI297" t="inlineStr">
        <is>
          <t>Let</t>
        </is>
      </c>
    </row>
    <row r="298">
      <c r="A298" t="inlineStr">
        <is>
          <t xml:space="preserve">  Office/ Showroom</t>
        </is>
      </c>
      <c r="B298" t="inlineStr">
        <is>
          <t>WS</t>
        </is>
      </c>
      <c r="C298" t="inlineStr">
        <is>
          <t>MEL</t>
        </is>
      </c>
      <c r="D298" t="n">
        <v>550380</v>
      </c>
      <c r="E298" t="inlineStr">
        <is>
          <t>17-18 Margaret Street</t>
        </is>
      </c>
      <c r="F298" t="inlineStr">
        <is>
          <t>Ground Floor (W)</t>
        </is>
      </c>
      <c r="G298" t="inlineStr">
        <is>
          <t>Office/ Showroom</t>
        </is>
      </c>
      <c r="H298" t="n">
        <v>1485</v>
      </c>
      <c r="I298">
        <f>I206</f>
        <v/>
      </c>
      <c r="J298" t="n">
        <v>1500</v>
      </c>
      <c r="K298" t="inlineStr">
        <is>
          <t>Yamaha Music Europe GMBH.</t>
        </is>
      </c>
      <c r="L298" s="869" t="n">
        <v>45525</v>
      </c>
      <c r="M298" s="869" t="n">
        <v>47350</v>
      </c>
      <c r="P298" s="869" t="n">
        <v>46620</v>
      </c>
      <c r="Q298" t="n">
        <v>90000</v>
      </c>
      <c r="R298">
        <f>R206</f>
        <v/>
      </c>
      <c r="T298" t="n">
        <v>78000</v>
      </c>
      <c r="U298">
        <f>U206</f>
        <v/>
      </c>
      <c r="V298" t="n">
        <v>90000</v>
      </c>
      <c r="W298">
        <f>W206</f>
        <v/>
      </c>
      <c r="X298">
        <f>W206/I206</f>
        <v/>
      </c>
      <c r="Y298">
        <f>SUM(W206-U206)/U206</f>
        <v/>
      </c>
      <c r="Z298" t="inlineStr">
        <is>
          <t>E</t>
        </is>
      </c>
      <c r="AC298" t="inlineStr">
        <is>
          <t>No</t>
        </is>
      </c>
      <c r="AD298" t="inlineStr">
        <is>
          <t xml:space="preserve">Tenant break on 6 months notice. </t>
        </is>
      </c>
      <c r="AI298" t="inlineStr">
        <is>
          <t>Let</t>
        </is>
      </c>
    </row>
    <row r="299">
      <c r="A299" t="inlineStr">
        <is>
          <t xml:space="preserve">  Office</t>
        </is>
      </c>
      <c r="B299" t="inlineStr">
        <is>
          <t>WS</t>
        </is>
      </c>
      <c r="C299" t="inlineStr">
        <is>
          <t>MEL</t>
        </is>
      </c>
      <c r="D299" t="n">
        <v>550380</v>
      </c>
      <c r="E299" t="inlineStr">
        <is>
          <t>17-18 Margaret Street</t>
        </is>
      </c>
      <c r="F299" t="inlineStr">
        <is>
          <t>First Floor</t>
        </is>
      </c>
      <c r="G299" t="inlineStr">
        <is>
          <t>Office</t>
        </is>
      </c>
      <c r="H299" t="n">
        <v>1855</v>
      </c>
      <c r="I299">
        <f>I207</f>
        <v/>
      </c>
      <c r="J299" t="n">
        <v>2000</v>
      </c>
      <c r="K299" t="inlineStr">
        <is>
          <t>Arrow International Media Ltd.</t>
        </is>
      </c>
      <c r="L299" s="869" t="n">
        <v>44758</v>
      </c>
      <c r="M299" s="869" t="n">
        <v>46583</v>
      </c>
      <c r="Q299" t="n">
        <v>106663</v>
      </c>
      <c r="R299">
        <f>R207</f>
        <v/>
      </c>
      <c r="T299" t="n">
        <v>106700</v>
      </c>
      <c r="U299">
        <f>U207</f>
        <v/>
      </c>
      <c r="V299" t="n">
        <v>106700</v>
      </c>
      <c r="W299">
        <f>W207</f>
        <v/>
      </c>
      <c r="X299">
        <f>W207/I207</f>
        <v/>
      </c>
      <c r="Y299">
        <f>SUM(W207-U207)/U207</f>
        <v/>
      </c>
      <c r="Z299" t="inlineStr">
        <is>
          <t>E</t>
        </is>
      </c>
      <c r="AC299" t="inlineStr">
        <is>
          <t>No</t>
        </is>
      </c>
      <c r="AI299" t="inlineStr">
        <is>
          <t>Let</t>
        </is>
      </c>
    </row>
    <row r="300">
      <c r="A300" t="inlineStr">
        <is>
          <t xml:space="preserve">  Office</t>
        </is>
      </c>
      <c r="B300" t="inlineStr">
        <is>
          <t>WS</t>
        </is>
      </c>
      <c r="C300" t="inlineStr">
        <is>
          <t>MEL</t>
        </is>
      </c>
      <c r="D300" t="n">
        <v>550380</v>
      </c>
      <c r="E300" t="inlineStr">
        <is>
          <t>17-18 Margaret Street</t>
        </is>
      </c>
      <c r="F300" t="inlineStr">
        <is>
          <t>Second Floor (E)</t>
        </is>
      </c>
      <c r="G300" t="inlineStr">
        <is>
          <t>Office</t>
        </is>
      </c>
      <c r="H300" t="n">
        <v>726</v>
      </c>
      <c r="I300">
        <f>I208</f>
        <v/>
      </c>
      <c r="J300" t="n">
        <v>750</v>
      </c>
      <c r="K300" t="inlineStr">
        <is>
          <t>Arrow International Media Ltd.</t>
        </is>
      </c>
      <c r="L300" s="869" t="n">
        <v>44758</v>
      </c>
      <c r="M300" s="869" t="n">
        <v>46583</v>
      </c>
      <c r="Q300" t="n">
        <v>41975</v>
      </c>
      <c r="R300">
        <f>R208</f>
        <v/>
      </c>
      <c r="T300" t="n">
        <v>41700</v>
      </c>
      <c r="U300">
        <f>U208</f>
        <v/>
      </c>
      <c r="V300" t="n">
        <v>41700</v>
      </c>
      <c r="W300">
        <f>W208</f>
        <v/>
      </c>
      <c r="X300">
        <f>W208/I208</f>
        <v/>
      </c>
      <c r="Y300">
        <f>SUM(W208-U208)/U208</f>
        <v/>
      </c>
      <c r="Z300" t="inlineStr">
        <is>
          <t>E</t>
        </is>
      </c>
      <c r="AC300" t="inlineStr">
        <is>
          <t>No</t>
        </is>
      </c>
      <c r="AI300" t="inlineStr">
        <is>
          <t>Let</t>
        </is>
      </c>
    </row>
    <row r="301">
      <c r="A301" t="inlineStr">
        <is>
          <t xml:space="preserve">  Office</t>
        </is>
      </c>
      <c r="B301" t="inlineStr">
        <is>
          <t>WS</t>
        </is>
      </c>
      <c r="C301" t="inlineStr">
        <is>
          <t>MEL</t>
        </is>
      </c>
      <c r="D301" t="n">
        <v>550380</v>
      </c>
      <c r="E301" t="inlineStr">
        <is>
          <t>17-18 Margaret Street</t>
        </is>
      </c>
      <c r="F301" t="inlineStr">
        <is>
          <t>Second Floor (W &amp; N)</t>
        </is>
      </c>
      <c r="G301" t="inlineStr">
        <is>
          <t>Office</t>
        </is>
      </c>
      <c r="H301" t="n">
        <v>1220</v>
      </c>
      <c r="I301">
        <f>I209</f>
        <v/>
      </c>
      <c r="J301" t="n">
        <v>1250</v>
      </c>
      <c r="K301" t="inlineStr">
        <is>
          <t>Smiggle UK Limited</t>
        </is>
      </c>
      <c r="L301" s="869" t="n">
        <v>45438</v>
      </c>
      <c r="M301" s="869" t="n">
        <v>47263</v>
      </c>
      <c r="P301" s="869" t="n">
        <v>46532</v>
      </c>
      <c r="Q301" t="n">
        <v>70200</v>
      </c>
      <c r="R301">
        <f>R209</f>
        <v/>
      </c>
      <c r="T301" t="n">
        <v>70200</v>
      </c>
      <c r="U301">
        <f>U209</f>
        <v/>
      </c>
      <c r="V301" t="n">
        <v>70200</v>
      </c>
      <c r="W301">
        <f>W209</f>
        <v/>
      </c>
      <c r="X301">
        <f>W209/I209</f>
        <v/>
      </c>
      <c r="Y301">
        <f>SUM(W209-U209)/U209</f>
        <v/>
      </c>
      <c r="Z301" t="inlineStr">
        <is>
          <t>D</t>
        </is>
      </c>
      <c r="AC301" t="inlineStr">
        <is>
          <t>No</t>
        </is>
      </c>
      <c r="AD301" t="inlineStr">
        <is>
          <t>Tenant break on 3 months notice. Two months rent free if not exercised.</t>
        </is>
      </c>
      <c r="AI301" t="inlineStr">
        <is>
          <t>Let</t>
        </is>
      </c>
    </row>
    <row r="302">
      <c r="A302" t="inlineStr">
        <is>
          <t xml:space="preserve">  Office</t>
        </is>
      </c>
      <c r="B302" t="inlineStr">
        <is>
          <t>WS</t>
        </is>
      </c>
      <c r="C302" t="inlineStr">
        <is>
          <t>MEL</t>
        </is>
      </c>
      <c r="D302" t="n">
        <v>550380</v>
      </c>
      <c r="E302" t="inlineStr">
        <is>
          <t>17-18 Margaret Street</t>
        </is>
      </c>
      <c r="F302" t="inlineStr">
        <is>
          <t>Third Floor</t>
        </is>
      </c>
      <c r="G302" t="inlineStr">
        <is>
          <t>Office</t>
        </is>
      </c>
      <c r="H302" t="n">
        <v>1963</v>
      </c>
      <c r="I302">
        <f>I210</f>
        <v/>
      </c>
      <c r="J302" t="n">
        <v>2000</v>
      </c>
      <c r="K302" t="inlineStr">
        <is>
          <t>Arrow International Media Ltd.</t>
        </is>
      </c>
      <c r="L302" s="869" t="n">
        <v>44758</v>
      </c>
      <c r="M302" s="869" t="n">
        <v>46583</v>
      </c>
      <c r="Q302" t="n">
        <v>107965</v>
      </c>
      <c r="R302">
        <f>R210</f>
        <v/>
      </c>
      <c r="T302" t="n">
        <v>108000</v>
      </c>
      <c r="U302">
        <f>U210</f>
        <v/>
      </c>
      <c r="V302" t="n">
        <v>108000</v>
      </c>
      <c r="W302">
        <f>W210</f>
        <v/>
      </c>
      <c r="X302">
        <f>W210/I210</f>
        <v/>
      </c>
      <c r="Y302">
        <f>SUM(W210-U210)/U210</f>
        <v/>
      </c>
      <c r="Z302" t="inlineStr">
        <is>
          <t>E</t>
        </is>
      </c>
      <c r="AC302" t="inlineStr">
        <is>
          <t>No</t>
        </is>
      </c>
      <c r="AI302" t="inlineStr">
        <is>
          <t>Let</t>
        </is>
      </c>
    </row>
    <row r="303">
      <c r="A303" t="inlineStr">
        <is>
          <t xml:space="preserve">  Office</t>
        </is>
      </c>
      <c r="B303" t="inlineStr">
        <is>
          <t>WS</t>
        </is>
      </c>
      <c r="C303" t="inlineStr">
        <is>
          <t>MEL</t>
        </is>
      </c>
      <c r="D303" t="n">
        <v>550380</v>
      </c>
      <c r="E303" t="inlineStr">
        <is>
          <t>17-18 Margaret Street</t>
        </is>
      </c>
      <c r="F303" t="inlineStr">
        <is>
          <t xml:space="preserve">Fourth Floor (R) </t>
        </is>
      </c>
      <c r="G303" t="inlineStr">
        <is>
          <t>Office</t>
        </is>
      </c>
      <c r="H303" t="n">
        <v>94</v>
      </c>
      <c r="I303">
        <f>I211</f>
        <v/>
      </c>
      <c r="J303" t="n">
        <v>100</v>
      </c>
      <c r="K303" t="inlineStr">
        <is>
          <t>The London Child &amp; Family Therapy Centre Ltd.</t>
        </is>
      </c>
      <c r="L303" s="869" t="n">
        <v>45735</v>
      </c>
      <c r="M303" s="869" t="n">
        <v>47560</v>
      </c>
      <c r="Q303" t="n">
        <v>7200</v>
      </c>
      <c r="R303">
        <f>R211</f>
        <v/>
      </c>
      <c r="T303" t="n">
        <v>5410</v>
      </c>
      <c r="U303">
        <f>U211</f>
        <v/>
      </c>
      <c r="V303" t="n">
        <v>5410</v>
      </c>
      <c r="W303">
        <f>W211</f>
        <v/>
      </c>
      <c r="X303">
        <f>W211/I211</f>
        <v/>
      </c>
      <c r="Y303">
        <f>SUM(W211-U211)/U211</f>
        <v/>
      </c>
      <c r="Z303" t="inlineStr">
        <is>
          <t>E</t>
        </is>
      </c>
      <c r="AA303" t="inlineStr">
        <is>
          <t>*</t>
        </is>
      </c>
      <c r="AC303" t="inlineStr">
        <is>
          <t>No</t>
        </is>
      </c>
      <c r="AD303" t="inlineStr">
        <is>
          <t xml:space="preserve">All inclusive rent (excl rates). </t>
        </is>
      </c>
      <c r="AI303" t="inlineStr">
        <is>
          <t>Let</t>
        </is>
      </c>
    </row>
    <row r="304">
      <c r="A304" t="inlineStr">
        <is>
          <t xml:space="preserve">  Office</t>
        </is>
      </c>
      <c r="B304" t="inlineStr">
        <is>
          <t>WS</t>
        </is>
      </c>
      <c r="C304" t="inlineStr">
        <is>
          <t>MEL</t>
        </is>
      </c>
      <c r="D304" t="n">
        <v>550380</v>
      </c>
      <c r="E304" t="inlineStr">
        <is>
          <t>17-18 Margaret Street</t>
        </is>
      </c>
      <c r="F304" t="inlineStr">
        <is>
          <t>Fourth Floor (RW)</t>
        </is>
      </c>
      <c r="G304" t="inlineStr">
        <is>
          <t>Office</t>
        </is>
      </c>
      <c r="H304" t="n">
        <v>284</v>
      </c>
      <c r="I304">
        <f>I212</f>
        <v/>
      </c>
      <c r="J304" t="n">
        <v>250</v>
      </c>
      <c r="K304" t="inlineStr">
        <is>
          <t>Vacant</t>
        </is>
      </c>
      <c r="N304" s="869" t="n">
        <v>43909</v>
      </c>
      <c r="Q304" t="n">
        <v>0</v>
      </c>
      <c r="R304">
        <f>R212</f>
        <v/>
      </c>
      <c r="T304" t="n">
        <v>16300</v>
      </c>
      <c r="U304">
        <f>U212</f>
        <v/>
      </c>
      <c r="V304" t="n">
        <v>16300</v>
      </c>
      <c r="W304">
        <f>W212</f>
        <v/>
      </c>
      <c r="X304">
        <f>W212/I212</f>
        <v/>
      </c>
      <c r="Y304">
        <f>SUM(W212-U212)/U212</f>
        <v/>
      </c>
      <c r="Z304" t="inlineStr">
        <is>
          <t>E</t>
        </is>
      </c>
      <c r="AA304" t="inlineStr">
        <is>
          <t>*</t>
        </is>
      </c>
      <c r="AD304" t="inlineStr">
        <is>
          <t>To be refurbished.</t>
        </is>
      </c>
      <c r="AF304" t="n">
        <v>1</v>
      </c>
      <c r="AG304" t="n">
        <v>2</v>
      </c>
      <c r="AI304" t="inlineStr">
        <is>
          <t>Void</t>
        </is>
      </c>
    </row>
    <row r="305">
      <c r="A305" t="inlineStr">
        <is>
          <t xml:space="preserve">  Office</t>
        </is>
      </c>
      <c r="B305" t="inlineStr">
        <is>
          <t>WS</t>
        </is>
      </c>
      <c r="C305" t="inlineStr">
        <is>
          <t>MEL</t>
        </is>
      </c>
      <c r="D305" t="n">
        <v>550380</v>
      </c>
      <c r="E305" t="inlineStr">
        <is>
          <t>17-18 Margaret Street</t>
        </is>
      </c>
      <c r="F305" t="inlineStr">
        <is>
          <t>Fourth Floor (E)</t>
        </is>
      </c>
      <c r="G305" t="inlineStr">
        <is>
          <t>Office</t>
        </is>
      </c>
      <c r="H305" t="n">
        <v>619</v>
      </c>
      <c r="I305">
        <f>I213</f>
        <v/>
      </c>
      <c r="J305" t="n">
        <v>500</v>
      </c>
      <c r="K305" t="inlineStr">
        <is>
          <t>Vacant</t>
        </is>
      </c>
      <c r="N305" s="869" t="n">
        <v>45678</v>
      </c>
      <c r="Q305" t="n">
        <v>0</v>
      </c>
      <c r="R305">
        <f>R213</f>
        <v/>
      </c>
      <c r="T305" t="n">
        <v>35600</v>
      </c>
      <c r="U305">
        <f>U213</f>
        <v/>
      </c>
      <c r="V305" t="n">
        <v>35600</v>
      </c>
      <c r="W305">
        <f>W213</f>
        <v/>
      </c>
      <c r="X305">
        <f>W213/I213</f>
        <v/>
      </c>
      <c r="Y305">
        <f>SUM(W213-U213)/U213</f>
        <v/>
      </c>
      <c r="Z305" t="inlineStr">
        <is>
          <t>E</t>
        </is>
      </c>
      <c r="AC305" t="inlineStr">
        <is>
          <t>No</t>
        </is>
      </c>
      <c r="AD305" t="inlineStr">
        <is>
          <t>LEM marketing.</t>
        </is>
      </c>
      <c r="AI305" t="inlineStr">
        <is>
          <t>Void</t>
        </is>
      </c>
    </row>
    <row r="306">
      <c r="A306" t="inlineStr">
        <is>
          <t xml:space="preserve">  Office</t>
        </is>
      </c>
      <c r="B306" t="inlineStr">
        <is>
          <t>WS</t>
        </is>
      </c>
      <c r="C306" t="inlineStr">
        <is>
          <t>MEL</t>
        </is>
      </c>
      <c r="D306" t="n">
        <v>550380</v>
      </c>
      <c r="E306" t="inlineStr">
        <is>
          <t>17-18 Margaret Street</t>
        </is>
      </c>
      <c r="F306" t="inlineStr">
        <is>
          <t>Fourth Floor (W)</t>
        </is>
      </c>
      <c r="G306" t="inlineStr">
        <is>
          <t>Office</t>
        </is>
      </c>
      <c r="H306" t="n">
        <v>653</v>
      </c>
      <c r="I306">
        <f>I214</f>
        <v/>
      </c>
      <c r="J306" t="n">
        <v>750</v>
      </c>
      <c r="K306" t="inlineStr">
        <is>
          <t>Vacant</t>
        </is>
      </c>
      <c r="N306" s="869" t="n">
        <v>44555</v>
      </c>
      <c r="Q306" t="n">
        <v>0</v>
      </c>
      <c r="R306">
        <f>R214</f>
        <v/>
      </c>
      <c r="T306" t="n">
        <v>37500</v>
      </c>
      <c r="U306">
        <f>U214</f>
        <v/>
      </c>
      <c r="V306" t="n">
        <v>37500</v>
      </c>
      <c r="W306">
        <f>W214</f>
        <v/>
      </c>
      <c r="X306">
        <f>W214/I214</f>
        <v/>
      </c>
      <c r="Y306">
        <f>SUM(W214-U214)/U214</f>
        <v/>
      </c>
      <c r="Z306" t="inlineStr">
        <is>
          <t>E</t>
        </is>
      </c>
      <c r="AC306" t="inlineStr">
        <is>
          <t>No</t>
        </is>
      </c>
      <c r="AD306" t="inlineStr">
        <is>
          <t>To be refurbished.</t>
        </is>
      </c>
      <c r="AE306" t="n">
        <v>62.5</v>
      </c>
      <c r="AF306" t="n">
        <v>2</v>
      </c>
      <c r="AG306" t="n">
        <v>3</v>
      </c>
      <c r="AH306" t="inlineStr">
        <is>
          <t>LEM</t>
        </is>
      </c>
      <c r="AI306" t="inlineStr">
        <is>
          <t>Void</t>
        </is>
      </c>
    </row>
    <row r="307"/>
    <row r="308">
      <c r="A308" s="868" t="inlineStr">
        <is>
          <t>19 Margaret Street</t>
        </is>
      </c>
    </row>
    <row r="309">
      <c r="A309" t="inlineStr">
        <is>
          <t xml:space="preserve">  Office</t>
        </is>
      </c>
      <c r="B309" t="inlineStr">
        <is>
          <t>WS</t>
        </is>
      </c>
      <c r="C309" t="inlineStr">
        <is>
          <t>MEL</t>
        </is>
      </c>
      <c r="D309" t="n">
        <v>550950</v>
      </c>
      <c r="E309" t="inlineStr">
        <is>
          <t>19 Margaret Street</t>
        </is>
      </c>
      <c r="F309" t="inlineStr">
        <is>
          <t>Lower Ground and Ground Floors</t>
        </is>
      </c>
      <c r="G309" t="inlineStr">
        <is>
          <t>Office</t>
        </is>
      </c>
      <c r="H309" t="n">
        <v>2370</v>
      </c>
      <c r="I309">
        <f>I215</f>
        <v/>
      </c>
      <c r="K309" t="inlineStr">
        <is>
          <t>FRIBA Limited</t>
        </is>
      </c>
      <c r="L309" s="869" t="n">
        <v>43794</v>
      </c>
      <c r="M309" s="869" t="n">
        <v>47446</v>
      </c>
      <c r="O309" s="869" t="n">
        <v>45621</v>
      </c>
      <c r="Q309" t="n">
        <v>104885</v>
      </c>
      <c r="R309">
        <f>R215</f>
        <v/>
      </c>
      <c r="T309" t="n">
        <v>100700</v>
      </c>
      <c r="U309">
        <f>U215</f>
        <v/>
      </c>
      <c r="V309" t="n">
        <v>100700</v>
      </c>
      <c r="W309">
        <f>W215</f>
        <v/>
      </c>
      <c r="X309">
        <f>W215/I215</f>
        <v/>
      </c>
      <c r="Y309">
        <f>SUM(W215-U215)/U215</f>
        <v/>
      </c>
      <c r="Z309" t="inlineStr">
        <is>
          <t>D</t>
        </is>
      </c>
      <c r="AC309" t="inlineStr">
        <is>
          <t>No</t>
        </is>
      </c>
      <c r="AD309" t="inlineStr">
        <is>
          <t>This unit interconnects with G &amp; B, 21 Lt Portland St. The floor area shown is only for this unit. Rent shown pro rata. Tenant break on 6 months notice. Rent review @ 25/11/24.</t>
        </is>
      </c>
      <c r="AI309" t="inlineStr">
        <is>
          <t>Let</t>
        </is>
      </c>
    </row>
    <row r="310">
      <c r="A310" t="inlineStr">
        <is>
          <t xml:space="preserve">  Office</t>
        </is>
      </c>
      <c r="B310" t="inlineStr">
        <is>
          <t>WS</t>
        </is>
      </c>
      <c r="C310" t="inlineStr">
        <is>
          <t>MEL</t>
        </is>
      </c>
      <c r="D310" t="n">
        <v>550950</v>
      </c>
      <c r="E310" t="inlineStr">
        <is>
          <t>19 Margaret Street</t>
        </is>
      </c>
      <c r="F310" t="inlineStr">
        <is>
          <t>First Floor</t>
        </is>
      </c>
      <c r="G310" t="inlineStr">
        <is>
          <t>Office</t>
        </is>
      </c>
      <c r="H310" t="n">
        <v>980</v>
      </c>
      <c r="I310">
        <f>I216</f>
        <v/>
      </c>
      <c r="J310" t="n">
        <v>1000</v>
      </c>
      <c r="K310" t="inlineStr">
        <is>
          <t>Vacant</t>
        </is>
      </c>
      <c r="N310" s="869" t="n">
        <v>43323</v>
      </c>
      <c r="Q310" t="n">
        <v>0</v>
      </c>
      <c r="R310">
        <f>R216</f>
        <v/>
      </c>
      <c r="T310" t="n">
        <v>53900</v>
      </c>
      <c r="U310">
        <f>U216</f>
        <v/>
      </c>
      <c r="V310" t="n">
        <v>56400</v>
      </c>
      <c r="W310">
        <f>W216</f>
        <v/>
      </c>
      <c r="X310">
        <f>W216/I216</f>
        <v/>
      </c>
      <c r="Y310">
        <f>SUM(W216-U216)/U216</f>
        <v/>
      </c>
      <c r="Z310" t="inlineStr">
        <is>
          <t>D</t>
        </is>
      </c>
      <c r="AC310" t="inlineStr">
        <is>
          <t>No</t>
        </is>
      </c>
      <c r="AD310" t="inlineStr">
        <is>
          <t>LEM Marketing.</t>
        </is>
      </c>
      <c r="AE310" t="n">
        <v>61.5</v>
      </c>
      <c r="AF310" t="n">
        <v>4</v>
      </c>
      <c r="AG310" t="n">
        <v>6</v>
      </c>
      <c r="AI310" t="inlineStr">
        <is>
          <t>Void</t>
        </is>
      </c>
    </row>
    <row r="311">
      <c r="A311" t="inlineStr">
        <is>
          <t xml:space="preserve">  Office</t>
        </is>
      </c>
      <c r="B311" t="inlineStr">
        <is>
          <t>WS</t>
        </is>
      </c>
      <c r="C311" t="inlineStr">
        <is>
          <t>MEL</t>
        </is>
      </c>
      <c r="D311" t="n">
        <v>550950</v>
      </c>
      <c r="E311" t="inlineStr">
        <is>
          <t>19 Margaret Street</t>
        </is>
      </c>
      <c r="F311" t="inlineStr">
        <is>
          <t>Second Floor</t>
        </is>
      </c>
      <c r="G311" t="inlineStr">
        <is>
          <t>Office</t>
        </is>
      </c>
      <c r="H311" t="n">
        <v>980</v>
      </c>
      <c r="I311">
        <f>I217</f>
        <v/>
      </c>
      <c r="J311" t="n">
        <v>1000</v>
      </c>
      <c r="K311" t="inlineStr">
        <is>
          <t>Effigest UK Ltd.</t>
        </is>
      </c>
      <c r="L311" s="869" t="n">
        <v>45210</v>
      </c>
      <c r="M311" s="869" t="n">
        <v>46305</v>
      </c>
      <c r="Q311" t="n">
        <v>52800</v>
      </c>
      <c r="R311">
        <f>R217</f>
        <v/>
      </c>
      <c r="T311" t="n">
        <v>53900</v>
      </c>
      <c r="U311">
        <f>U217</f>
        <v/>
      </c>
      <c r="V311" t="n">
        <v>56400</v>
      </c>
      <c r="W311">
        <f>W217</f>
        <v/>
      </c>
      <c r="X311">
        <f>W217/I217</f>
        <v/>
      </c>
      <c r="Y311">
        <f>SUM(W217-U217)/U217</f>
        <v/>
      </c>
      <c r="Z311" t="inlineStr">
        <is>
          <t>E</t>
        </is>
      </c>
      <c r="AC311" t="inlineStr">
        <is>
          <t>No</t>
        </is>
      </c>
      <c r="AI311" t="inlineStr">
        <is>
          <t>Let</t>
        </is>
      </c>
    </row>
    <row r="312">
      <c r="A312" t="inlineStr">
        <is>
          <t xml:space="preserve">  Office</t>
        </is>
      </c>
      <c r="B312" t="inlineStr">
        <is>
          <t>WS</t>
        </is>
      </c>
      <c r="C312" t="inlineStr">
        <is>
          <t>MEL</t>
        </is>
      </c>
      <c r="D312" t="n">
        <v>550950</v>
      </c>
      <c r="E312" t="inlineStr">
        <is>
          <t>19 Margaret Street</t>
        </is>
      </c>
      <c r="F312" t="inlineStr">
        <is>
          <t>Third Floor</t>
        </is>
      </c>
      <c r="G312" t="inlineStr">
        <is>
          <t>Office</t>
        </is>
      </c>
      <c r="H312" t="n">
        <v>836</v>
      </c>
      <c r="I312">
        <f>I218</f>
        <v/>
      </c>
      <c r="J312" t="n">
        <v>1000</v>
      </c>
      <c r="K312" t="inlineStr">
        <is>
          <t>Theatrical Rights Worldwide Limited</t>
        </is>
      </c>
      <c r="L312" s="869" t="n">
        <v>44869</v>
      </c>
      <c r="M312" s="869" t="n">
        <v>46694</v>
      </c>
      <c r="P312" s="869" t="n">
        <v>45964</v>
      </c>
      <c r="Q312" t="n">
        <v>48300</v>
      </c>
      <c r="R312">
        <f>R218</f>
        <v/>
      </c>
      <c r="T312" t="n">
        <v>46000</v>
      </c>
      <c r="U312">
        <f>U218</f>
        <v/>
      </c>
      <c r="V312" t="n">
        <v>48100</v>
      </c>
      <c r="W312">
        <f>W218</f>
        <v/>
      </c>
      <c r="X312">
        <f>W218/I218</f>
        <v/>
      </c>
      <c r="Y312">
        <f>SUM(W218-U218)/U218</f>
        <v/>
      </c>
      <c r="Z312" t="inlineStr">
        <is>
          <t>E</t>
        </is>
      </c>
      <c r="AC312" t="inlineStr">
        <is>
          <t>No</t>
        </is>
      </c>
      <c r="AD312" t="inlineStr">
        <is>
          <t>Tenant break on 6 months notice.</t>
        </is>
      </c>
      <c r="AI312" t="inlineStr">
        <is>
          <t>Let</t>
        </is>
      </c>
    </row>
    <row r="313">
      <c r="A313" t="inlineStr">
        <is>
          <t xml:space="preserve">  Office</t>
        </is>
      </c>
      <c r="B313" t="inlineStr">
        <is>
          <t>WS</t>
        </is>
      </c>
      <c r="C313" t="inlineStr">
        <is>
          <t>MEL</t>
        </is>
      </c>
      <c r="D313" t="n">
        <v>550950</v>
      </c>
      <c r="E313" t="inlineStr">
        <is>
          <t>19 Margaret Street</t>
        </is>
      </c>
      <c r="F313" t="inlineStr">
        <is>
          <t>Fourth Floor</t>
        </is>
      </c>
      <c r="G313" t="inlineStr">
        <is>
          <t>Office</t>
        </is>
      </c>
      <c r="H313" t="n">
        <v>830</v>
      </c>
      <c r="I313">
        <f>I219</f>
        <v/>
      </c>
      <c r="J313" t="n">
        <v>1000</v>
      </c>
      <c r="K313" t="inlineStr">
        <is>
          <t>Theatrical Rights Worldwide Limited</t>
        </is>
      </c>
      <c r="L313" s="869" t="n">
        <v>45436</v>
      </c>
      <c r="M313" s="869" t="n">
        <v>46694</v>
      </c>
      <c r="P313" s="869" t="n">
        <v>45964</v>
      </c>
      <c r="Q313" t="n">
        <v>47725</v>
      </c>
      <c r="R313">
        <f>R219</f>
        <v/>
      </c>
      <c r="T313" t="n">
        <v>45700</v>
      </c>
      <c r="U313">
        <f>U219</f>
        <v/>
      </c>
      <c r="V313" t="n">
        <v>47700</v>
      </c>
      <c r="W313">
        <f>W219</f>
        <v/>
      </c>
      <c r="X313">
        <f>W219/I219</f>
        <v/>
      </c>
      <c r="Y313">
        <f>SUM(W219-U219)/U219</f>
        <v/>
      </c>
      <c r="Z313" t="inlineStr">
        <is>
          <t>D</t>
        </is>
      </c>
      <c r="AC313" t="inlineStr">
        <is>
          <t>No</t>
        </is>
      </c>
      <c r="AD313" t="inlineStr">
        <is>
          <t>Tenant break on 6 months notice.</t>
        </is>
      </c>
      <c r="AI313" t="inlineStr">
        <is>
          <t>Let</t>
        </is>
      </c>
    </row>
    <row r="314">
      <c r="A314" t="inlineStr">
        <is>
          <t xml:space="preserve">  Office</t>
        </is>
      </c>
      <c r="B314" t="inlineStr">
        <is>
          <t>WS</t>
        </is>
      </c>
      <c r="C314" t="inlineStr">
        <is>
          <t>MEL</t>
        </is>
      </c>
      <c r="D314" t="n">
        <v>550950</v>
      </c>
      <c r="E314" t="inlineStr">
        <is>
          <t>19 Margaret Street</t>
        </is>
      </c>
      <c r="F314" t="inlineStr">
        <is>
          <t>Fifth Floor</t>
        </is>
      </c>
      <c r="G314" t="inlineStr">
        <is>
          <t>Office</t>
        </is>
      </c>
      <c r="H314" t="n">
        <v>685</v>
      </c>
      <c r="I314">
        <f>I220</f>
        <v/>
      </c>
      <c r="J314" t="n">
        <v>750</v>
      </c>
      <c r="K314" t="inlineStr">
        <is>
          <t>Vacant</t>
        </is>
      </c>
      <c r="N314" s="869" t="n">
        <v>45627</v>
      </c>
      <c r="Q314" t="n">
        <v>0</v>
      </c>
      <c r="R314">
        <f>R220</f>
        <v/>
      </c>
      <c r="T314" t="n">
        <v>37700</v>
      </c>
      <c r="U314">
        <f>U220</f>
        <v/>
      </c>
      <c r="V314" t="n">
        <v>39400</v>
      </c>
      <c r="W314">
        <f>W220</f>
        <v/>
      </c>
      <c r="X314">
        <f>W220/I220</f>
        <v/>
      </c>
      <c r="Y314">
        <f>SUM(W220-U220)/U220</f>
        <v/>
      </c>
      <c r="Z314" t="inlineStr">
        <is>
          <t>E</t>
        </is>
      </c>
      <c r="AC314" t="inlineStr">
        <is>
          <t>No</t>
        </is>
      </c>
      <c r="AD314" t="inlineStr">
        <is>
          <t>LEM marketing.</t>
        </is>
      </c>
      <c r="AI314" t="inlineStr">
        <is>
          <t>Void</t>
        </is>
      </c>
    </row>
    <row r="315"/>
    <row r="316">
      <c r="A316" s="868" t="inlineStr">
        <is>
          <t>20 Margaret Street</t>
        </is>
      </c>
    </row>
    <row r="317">
      <c r="A317" t="inlineStr">
        <is>
          <t xml:space="preserve">  Showroom</t>
        </is>
      </c>
      <c r="B317" t="inlineStr">
        <is>
          <t>WS</t>
        </is>
      </c>
      <c r="C317" t="inlineStr">
        <is>
          <t>MEL</t>
        </is>
      </c>
      <c r="D317" t="n">
        <v>550730</v>
      </c>
      <c r="E317" t="inlineStr">
        <is>
          <t>20 Margaret Street</t>
        </is>
      </c>
      <c r="F317" t="inlineStr">
        <is>
          <t>Basement &amp; Ground Floor</t>
        </is>
      </c>
      <c r="G317" t="inlineStr">
        <is>
          <t>Showroom</t>
        </is>
      </c>
      <c r="H317" t="n">
        <v>1946</v>
      </c>
      <c r="I317">
        <f>I221</f>
        <v/>
      </c>
      <c r="J317" t="n">
        <v>2000</v>
      </c>
      <c r="K317" t="inlineStr">
        <is>
          <t>Outform Group UK Ltd.</t>
        </is>
      </c>
      <c r="L317" s="869" t="n">
        <v>45457</v>
      </c>
      <c r="M317" s="869" t="n">
        <v>47282</v>
      </c>
      <c r="P317" s="869" t="n">
        <v>46186</v>
      </c>
      <c r="Q317" t="n">
        <v>94417</v>
      </c>
      <c r="R317">
        <f>R221</f>
        <v/>
      </c>
      <c r="T317" t="n">
        <v>86800</v>
      </c>
      <c r="U317">
        <f>U221</f>
        <v/>
      </c>
      <c r="V317" t="n">
        <v>94417</v>
      </c>
      <c r="W317">
        <f>W221</f>
        <v/>
      </c>
      <c r="X317">
        <f>W221/I221</f>
        <v/>
      </c>
      <c r="Y317">
        <f>SUM(W221-U221)/U221</f>
        <v/>
      </c>
      <c r="Z317" t="inlineStr">
        <is>
          <t>E</t>
        </is>
      </c>
      <c r="AC317" t="inlineStr">
        <is>
          <t>No</t>
        </is>
      </c>
      <c r="AD317" t="inlineStr">
        <is>
          <t>Rent increasing to £103,000 wef 14/06/27. Tenant break on 6 months notice. Penalty payment due if exercised. Further tenant break 13/06/27 on 6 months notice.</t>
        </is>
      </c>
      <c r="AI317" t="inlineStr">
        <is>
          <t>Let</t>
        </is>
      </c>
    </row>
    <row r="318">
      <c r="A318" t="inlineStr">
        <is>
          <t xml:space="preserve">  Office</t>
        </is>
      </c>
      <c r="B318" t="inlineStr">
        <is>
          <t>WS</t>
        </is>
      </c>
      <c r="C318" t="inlineStr">
        <is>
          <t>MEL</t>
        </is>
      </c>
      <c r="D318" t="n">
        <v>550730</v>
      </c>
      <c r="E318" t="inlineStr">
        <is>
          <t>20 Margaret Street</t>
        </is>
      </c>
      <c r="F318" t="inlineStr">
        <is>
          <t>First Floor</t>
        </is>
      </c>
      <c r="G318" t="inlineStr">
        <is>
          <t>Office</t>
        </is>
      </c>
      <c r="H318" t="n">
        <v>804</v>
      </c>
      <c r="I318">
        <f>I222</f>
        <v/>
      </c>
      <c r="J318" t="n">
        <v>750</v>
      </c>
      <c r="K318" t="inlineStr">
        <is>
          <t>Vacant</t>
        </is>
      </c>
      <c r="N318" s="869" t="n">
        <v>43132</v>
      </c>
      <c r="Q318" t="n">
        <v>0</v>
      </c>
      <c r="R318">
        <f>R222</f>
        <v/>
      </c>
      <c r="T318" t="n">
        <v>44200</v>
      </c>
      <c r="U318">
        <f>U222</f>
        <v/>
      </c>
      <c r="V318" t="n">
        <v>46200</v>
      </c>
      <c r="W318">
        <f>W222</f>
        <v/>
      </c>
      <c r="X318">
        <f>W222/I222</f>
        <v/>
      </c>
      <c r="Y318">
        <f>SUM(W222-U222)/U222</f>
        <v/>
      </c>
      <c r="Z318" t="inlineStr">
        <is>
          <t>E</t>
        </is>
      </c>
      <c r="AC318" t="inlineStr">
        <is>
          <t>No</t>
        </is>
      </c>
      <c r="AD318" t="inlineStr">
        <is>
          <t>To be refurbished.</t>
        </is>
      </c>
      <c r="AE318" t="n">
        <v>62.5</v>
      </c>
      <c r="AF318" t="n">
        <v>1</v>
      </c>
      <c r="AG318" t="n">
        <v>3</v>
      </c>
      <c r="AH318" t="inlineStr">
        <is>
          <t>LEM</t>
        </is>
      </c>
      <c r="AI318" t="inlineStr">
        <is>
          <t>Void</t>
        </is>
      </c>
    </row>
    <row r="319">
      <c r="A319" t="inlineStr">
        <is>
          <t xml:space="preserve">  Office</t>
        </is>
      </c>
      <c r="B319" t="inlineStr">
        <is>
          <t>WS</t>
        </is>
      </c>
      <c r="C319" t="inlineStr">
        <is>
          <t>MEL</t>
        </is>
      </c>
      <c r="D319" t="n">
        <v>550730</v>
      </c>
      <c r="E319" t="inlineStr">
        <is>
          <t>20 Margaret Street</t>
        </is>
      </c>
      <c r="F319" t="inlineStr">
        <is>
          <t>Second Floor</t>
        </is>
      </c>
      <c r="G319" t="inlineStr">
        <is>
          <t>Office</t>
        </is>
      </c>
      <c r="H319" t="n">
        <v>813</v>
      </c>
      <c r="I319">
        <f>I223</f>
        <v/>
      </c>
      <c r="J319" t="n">
        <v>750</v>
      </c>
      <c r="K319" t="inlineStr">
        <is>
          <t>Vacant</t>
        </is>
      </c>
      <c r="N319" s="869" t="n">
        <v>42819</v>
      </c>
      <c r="Q319" t="n">
        <v>0</v>
      </c>
      <c r="R319">
        <f>R223</f>
        <v/>
      </c>
      <c r="T319" t="n">
        <v>44700</v>
      </c>
      <c r="U319">
        <f>U223</f>
        <v/>
      </c>
      <c r="V319" t="n">
        <v>46700</v>
      </c>
      <c r="W319">
        <f>W223</f>
        <v/>
      </c>
      <c r="X319">
        <f>W223/I223</f>
        <v/>
      </c>
      <c r="Y319">
        <f>SUM(W223-U223)/U223</f>
        <v/>
      </c>
      <c r="Z319" t="inlineStr">
        <is>
          <t>E</t>
        </is>
      </c>
      <c r="AC319" t="inlineStr">
        <is>
          <t>No</t>
        </is>
      </c>
      <c r="AD319" t="inlineStr">
        <is>
          <t>To be refurbished.</t>
        </is>
      </c>
      <c r="AE319" t="n">
        <v>62.5</v>
      </c>
      <c r="AG319" t="n">
        <v>2</v>
      </c>
      <c r="AH319" t="inlineStr">
        <is>
          <t>LEM</t>
        </is>
      </c>
      <c r="AI319" t="inlineStr">
        <is>
          <t>Void</t>
        </is>
      </c>
    </row>
    <row r="320">
      <c r="A320" t="inlineStr">
        <is>
          <t xml:space="preserve">  Office</t>
        </is>
      </c>
      <c r="B320" t="inlineStr">
        <is>
          <t>WS</t>
        </is>
      </c>
      <c r="C320" t="inlineStr">
        <is>
          <t>MEL</t>
        </is>
      </c>
      <c r="D320" t="n">
        <v>550730</v>
      </c>
      <c r="E320" t="inlineStr">
        <is>
          <t>20 Margaret Street</t>
        </is>
      </c>
      <c r="F320" t="inlineStr">
        <is>
          <t>Third Floor</t>
        </is>
      </c>
      <c r="G320" t="inlineStr">
        <is>
          <t>Office</t>
        </is>
      </c>
      <c r="H320" t="n">
        <v>791</v>
      </c>
      <c r="I320">
        <f>I224</f>
        <v/>
      </c>
      <c r="J320" t="n">
        <v>750</v>
      </c>
      <c r="K320" t="inlineStr">
        <is>
          <t>Vesper Investments Ltd</t>
        </is>
      </c>
      <c r="L320" s="869" t="n">
        <v>45533</v>
      </c>
      <c r="M320" s="869" t="n">
        <v>47358</v>
      </c>
      <c r="Q320" t="n">
        <v>46273</v>
      </c>
      <c r="R320">
        <f>R224</f>
        <v/>
      </c>
      <c r="T320" t="n">
        <v>43500</v>
      </c>
      <c r="U320">
        <f>U224</f>
        <v/>
      </c>
      <c r="V320" t="n">
        <v>45500</v>
      </c>
      <c r="W320">
        <f>W224</f>
        <v/>
      </c>
      <c r="X320">
        <f>W224/I224</f>
        <v/>
      </c>
      <c r="Y320">
        <f>SUM(W224-U224)/U224</f>
        <v/>
      </c>
      <c r="Z320" t="inlineStr">
        <is>
          <t>E</t>
        </is>
      </c>
      <c r="AC320" t="inlineStr">
        <is>
          <t>No</t>
        </is>
      </c>
      <c r="AI320" t="inlineStr">
        <is>
          <t>Let</t>
        </is>
      </c>
    </row>
    <row r="321">
      <c r="A321" t="inlineStr">
        <is>
          <t xml:space="preserve">  Office</t>
        </is>
      </c>
      <c r="B321" t="inlineStr">
        <is>
          <t>WS</t>
        </is>
      </c>
      <c r="C321" t="inlineStr">
        <is>
          <t>MEL</t>
        </is>
      </c>
      <c r="D321" t="n">
        <v>550730</v>
      </c>
      <c r="E321" t="inlineStr">
        <is>
          <t>20 Margaret Street</t>
        </is>
      </c>
      <c r="F321" t="inlineStr">
        <is>
          <t>Fourth Floor</t>
        </is>
      </c>
      <c r="G321" t="inlineStr">
        <is>
          <t>Office</t>
        </is>
      </c>
      <c r="H321" t="n">
        <v>797</v>
      </c>
      <c r="I321">
        <f>I225</f>
        <v/>
      </c>
      <c r="J321" t="n">
        <v>750</v>
      </c>
      <c r="K321" t="inlineStr">
        <is>
          <t>Vacant</t>
        </is>
      </c>
      <c r="N321" s="869" t="n">
        <v>44439</v>
      </c>
      <c r="Q321" t="n">
        <v>0</v>
      </c>
      <c r="R321">
        <f>R225</f>
        <v/>
      </c>
      <c r="T321" t="n">
        <v>43800</v>
      </c>
      <c r="U321">
        <f>U225</f>
        <v/>
      </c>
      <c r="V321" t="n">
        <v>45800</v>
      </c>
      <c r="W321">
        <f>W225</f>
        <v/>
      </c>
      <c r="X321">
        <f>W225/I225</f>
        <v/>
      </c>
      <c r="Y321">
        <f>SUM(W225-U225)/U225</f>
        <v/>
      </c>
      <c r="Z321" t="inlineStr">
        <is>
          <t>E</t>
        </is>
      </c>
      <c r="AC321" t="inlineStr">
        <is>
          <t>No</t>
        </is>
      </c>
      <c r="AD321" t="inlineStr">
        <is>
          <t>To be refurbished.</t>
        </is>
      </c>
      <c r="AE321" t="n">
        <v>62.5</v>
      </c>
      <c r="AG321" t="n">
        <v>2</v>
      </c>
      <c r="AH321" t="inlineStr">
        <is>
          <t>LEM</t>
        </is>
      </c>
      <c r="AI321" t="inlineStr">
        <is>
          <t>Void</t>
        </is>
      </c>
    </row>
    <row r="322">
      <c r="A322" t="inlineStr">
        <is>
          <t xml:space="preserve">  Office</t>
        </is>
      </c>
      <c r="B322" t="inlineStr">
        <is>
          <t>WS</t>
        </is>
      </c>
      <c r="C322" t="inlineStr">
        <is>
          <t>MEL</t>
        </is>
      </c>
      <c r="D322" t="n">
        <v>550730</v>
      </c>
      <c r="E322" t="inlineStr">
        <is>
          <t>20 Margaret Street</t>
        </is>
      </c>
      <c r="F322" t="inlineStr">
        <is>
          <t>Fifth Floor</t>
        </is>
      </c>
      <c r="G322" t="inlineStr">
        <is>
          <t>Office</t>
        </is>
      </c>
      <c r="H322" t="n">
        <v>747</v>
      </c>
      <c r="I322">
        <f>I226</f>
        <v/>
      </c>
      <c r="J322" t="n">
        <v>750</v>
      </c>
      <c r="K322" t="inlineStr">
        <is>
          <t>Moods Beauty Ltd</t>
        </is>
      </c>
      <c r="L322" s="869" t="n">
        <v>45553</v>
      </c>
      <c r="M322" s="869" t="n">
        <v>46282</v>
      </c>
      <c r="Q322" t="n">
        <v>41250</v>
      </c>
      <c r="R322">
        <f>R226</f>
        <v/>
      </c>
      <c r="T322" t="n">
        <v>39200</v>
      </c>
      <c r="U322">
        <f>U226</f>
        <v/>
      </c>
      <c r="V322" t="n">
        <v>41100</v>
      </c>
      <c r="W322">
        <f>W226</f>
        <v/>
      </c>
      <c r="X322">
        <f>W226/I226</f>
        <v/>
      </c>
      <c r="Y322">
        <f>SUM(W226-U226)/U226</f>
        <v/>
      </c>
      <c r="Z322" t="inlineStr">
        <is>
          <t>E</t>
        </is>
      </c>
      <c r="AC322" t="inlineStr">
        <is>
          <t>No</t>
        </is>
      </c>
      <c r="AI322" t="inlineStr">
        <is>
          <t>Let</t>
        </is>
      </c>
    </row>
    <row r="323"/>
    <row r="324">
      <c r="A324" s="868" t="inlineStr">
        <is>
          <t>25 Margaret Street</t>
        </is>
      </c>
    </row>
    <row r="325">
      <c r="A325" t="inlineStr">
        <is>
          <t xml:space="preserve">  Showroom</t>
        </is>
      </c>
      <c r="B325" t="inlineStr">
        <is>
          <t>CM</t>
        </is>
      </c>
      <c r="C325" t="inlineStr">
        <is>
          <t>MEL</t>
        </is>
      </c>
      <c r="D325" t="n">
        <v>550800</v>
      </c>
      <c r="E325" t="inlineStr">
        <is>
          <t>25 Margaret Street</t>
        </is>
      </c>
      <c r="F325" t="inlineStr">
        <is>
          <t>Basement</t>
        </is>
      </c>
      <c r="G325" t="inlineStr">
        <is>
          <t>Showroom</t>
        </is>
      </c>
      <c r="H325" t="n">
        <v>424</v>
      </c>
      <c r="I325">
        <f>I227</f>
        <v/>
      </c>
      <c r="J325" t="n">
        <v>500</v>
      </c>
      <c r="K325" t="inlineStr">
        <is>
          <t>Mr K Saraj</t>
        </is>
      </c>
      <c r="L325" s="869" t="n">
        <v>45262</v>
      </c>
      <c r="M325" s="869" t="n">
        <v>47088</v>
      </c>
      <c r="Q325" t="n">
        <v>11872</v>
      </c>
      <c r="R325">
        <f>R227</f>
        <v/>
      </c>
      <c r="T325" t="n">
        <v>11660</v>
      </c>
      <c r="U325">
        <f>U227</f>
        <v/>
      </c>
      <c r="V325" t="n">
        <v>11660</v>
      </c>
      <c r="W325">
        <f>W227</f>
        <v/>
      </c>
      <c r="X325">
        <f>W227/I227</f>
        <v/>
      </c>
      <c r="Y325">
        <f>SUM(W227-U227)/U227</f>
        <v/>
      </c>
      <c r="Z325" t="inlineStr">
        <is>
          <t>E</t>
        </is>
      </c>
      <c r="AC325" t="inlineStr">
        <is>
          <t>No</t>
        </is>
      </c>
      <c r="AI325" t="inlineStr">
        <is>
          <t>Let</t>
        </is>
      </c>
    </row>
    <row r="326">
      <c r="A326" t="inlineStr">
        <is>
          <t xml:space="preserve">  Retail</t>
        </is>
      </c>
      <c r="B326" t="inlineStr">
        <is>
          <t>CM</t>
        </is>
      </c>
      <c r="C326" t="inlineStr">
        <is>
          <t>MEL</t>
        </is>
      </c>
      <c r="D326" t="n">
        <v>550800</v>
      </c>
      <c r="E326" t="inlineStr">
        <is>
          <t>25 Margaret Street</t>
        </is>
      </c>
      <c r="F326" t="inlineStr">
        <is>
          <t xml:space="preserve">Ground Floor </t>
        </is>
      </c>
      <c r="G326" t="inlineStr">
        <is>
          <t>Retail</t>
        </is>
      </c>
      <c r="H326" t="n">
        <v>515</v>
      </c>
      <c r="I326">
        <f>I228</f>
        <v/>
      </c>
      <c r="J326" t="n">
        <v>500</v>
      </c>
      <c r="K326" t="inlineStr">
        <is>
          <t>Camran Naseri &amp; Rehana Miah</t>
        </is>
      </c>
      <c r="L326" s="869" t="n">
        <v>44756</v>
      </c>
      <c r="M326" s="869" t="n">
        <v>47154</v>
      </c>
      <c r="O326" s="869" t="n">
        <v>45328</v>
      </c>
      <c r="Q326" t="n">
        <v>37500</v>
      </c>
      <c r="R326">
        <f>R228</f>
        <v/>
      </c>
      <c r="T326" t="n">
        <v>37502</v>
      </c>
      <c r="U326">
        <f>U228</f>
        <v/>
      </c>
      <c r="V326" t="n">
        <v>37500</v>
      </c>
      <c r="W326">
        <f>W228</f>
        <v/>
      </c>
      <c r="X326">
        <f>W228/I228</f>
        <v/>
      </c>
      <c r="Y326">
        <f>SUM(W228-U228)/U228</f>
        <v/>
      </c>
      <c r="Z326" t="inlineStr">
        <is>
          <t>B</t>
        </is>
      </c>
      <c r="AC326" t="inlineStr">
        <is>
          <t>No</t>
        </is>
      </c>
      <c r="AI326" t="inlineStr">
        <is>
          <t>Let</t>
        </is>
      </c>
    </row>
    <row r="327">
      <c r="A327" t="inlineStr">
        <is>
          <t xml:space="preserve">  Office</t>
        </is>
      </c>
      <c r="B327" t="inlineStr">
        <is>
          <t>CM</t>
        </is>
      </c>
      <c r="C327" t="inlineStr">
        <is>
          <t>MEL</t>
        </is>
      </c>
      <c r="D327" t="n">
        <v>550800</v>
      </c>
      <c r="E327" t="inlineStr">
        <is>
          <t>25 Margaret Street</t>
        </is>
      </c>
      <c r="F327" t="inlineStr">
        <is>
          <t>First Floor (F)</t>
        </is>
      </c>
      <c r="G327" t="inlineStr">
        <is>
          <t>Office</t>
        </is>
      </c>
      <c r="H327" t="n">
        <v>172</v>
      </c>
      <c r="I327">
        <f>I229</f>
        <v/>
      </c>
      <c r="J327" t="n">
        <v>250</v>
      </c>
      <c r="K327" t="inlineStr">
        <is>
          <t>Mr Christos Tombras</t>
        </is>
      </c>
      <c r="L327" s="869" t="n">
        <v>44750</v>
      </c>
      <c r="M327" s="869" t="n">
        <v>46575</v>
      </c>
      <c r="Q327" t="n">
        <v>9400</v>
      </c>
      <c r="R327">
        <f>R229</f>
        <v/>
      </c>
      <c r="T327" t="n">
        <v>9460</v>
      </c>
      <c r="U327">
        <f>U229</f>
        <v/>
      </c>
      <c r="V327" t="n">
        <v>11180</v>
      </c>
      <c r="W327">
        <f>W229</f>
        <v/>
      </c>
      <c r="X327">
        <f>W229/I229</f>
        <v/>
      </c>
      <c r="Y327">
        <f>SUM(W229-U229)/U229</f>
        <v/>
      </c>
      <c r="Z327" t="inlineStr">
        <is>
          <t>E</t>
        </is>
      </c>
      <c r="AC327" t="inlineStr">
        <is>
          <t>No</t>
        </is>
      </c>
      <c r="AI327" t="inlineStr">
        <is>
          <t>Let</t>
        </is>
      </c>
    </row>
    <row r="328">
      <c r="A328" t="inlineStr">
        <is>
          <t xml:space="preserve">  Office</t>
        </is>
      </c>
      <c r="B328" t="inlineStr">
        <is>
          <t>CM</t>
        </is>
      </c>
      <c r="C328" t="inlineStr">
        <is>
          <t>MEL</t>
        </is>
      </c>
      <c r="D328" t="n">
        <v>550800</v>
      </c>
      <c r="E328" t="inlineStr">
        <is>
          <t>25 Margaret Street</t>
        </is>
      </c>
      <c r="F328" t="inlineStr">
        <is>
          <t>First Floor (R)</t>
        </is>
      </c>
      <c r="G328" t="inlineStr">
        <is>
          <t>Office</t>
        </is>
      </c>
      <c r="H328" t="n">
        <v>117</v>
      </c>
      <c r="I328">
        <f>I230</f>
        <v/>
      </c>
      <c r="J328" t="n">
        <v>250</v>
      </c>
      <c r="K328" t="inlineStr">
        <is>
          <t>Ms J. Hogan</t>
        </is>
      </c>
      <c r="L328" s="869" t="n">
        <v>45194</v>
      </c>
      <c r="M328" s="869" t="n">
        <v>47020</v>
      </c>
      <c r="P328" s="869" t="n">
        <v>46289</v>
      </c>
      <c r="Q328" t="n">
        <v>7100</v>
      </c>
      <c r="R328">
        <f>R230</f>
        <v/>
      </c>
      <c r="T328" t="n">
        <v>7000</v>
      </c>
      <c r="U328">
        <f>U230</f>
        <v/>
      </c>
      <c r="V328" t="n">
        <v>7605</v>
      </c>
      <c r="W328">
        <f>W230</f>
        <v/>
      </c>
      <c r="X328">
        <f>W230/I230</f>
        <v/>
      </c>
      <c r="Y328">
        <f>SUM(W230-U230)/U230</f>
        <v/>
      </c>
      <c r="Z328" t="inlineStr">
        <is>
          <t>E</t>
        </is>
      </c>
      <c r="AC328" t="inlineStr">
        <is>
          <t>No</t>
        </is>
      </c>
      <c r="AD328" t="inlineStr">
        <is>
          <t>Tenant break on 6 months notice.</t>
        </is>
      </c>
      <c r="AI328" t="inlineStr">
        <is>
          <t>Let</t>
        </is>
      </c>
    </row>
    <row r="329">
      <c r="A329" t="inlineStr">
        <is>
          <t xml:space="preserve">  Office</t>
        </is>
      </c>
      <c r="B329" t="inlineStr">
        <is>
          <t>CM</t>
        </is>
      </c>
      <c r="C329" t="inlineStr">
        <is>
          <t>MEL</t>
        </is>
      </c>
      <c r="D329" t="n">
        <v>550800</v>
      </c>
      <c r="E329" t="inlineStr">
        <is>
          <t>25 Margaret Street</t>
        </is>
      </c>
      <c r="F329" t="inlineStr">
        <is>
          <t>Second Floor (F)</t>
        </is>
      </c>
      <c r="G329" t="inlineStr">
        <is>
          <t>Office</t>
        </is>
      </c>
      <c r="H329" t="n">
        <v>170</v>
      </c>
      <c r="I329">
        <f>I231</f>
        <v/>
      </c>
      <c r="J329" t="n">
        <v>250</v>
      </c>
      <c r="K329" t="inlineStr">
        <is>
          <t>Ms Tara Harrison</t>
        </is>
      </c>
      <c r="L329" s="869" t="n">
        <v>45632</v>
      </c>
      <c r="M329" s="869" t="n">
        <v>47457</v>
      </c>
      <c r="P329" s="869" t="n">
        <v>46519</v>
      </c>
      <c r="Q329" t="n">
        <v>9400</v>
      </c>
      <c r="R329">
        <f>R231</f>
        <v/>
      </c>
      <c r="T329" t="n">
        <v>8925</v>
      </c>
      <c r="U329">
        <f>U231</f>
        <v/>
      </c>
      <c r="V329" t="n">
        <v>11050</v>
      </c>
      <c r="W329">
        <f>W231</f>
        <v/>
      </c>
      <c r="X329">
        <f>W231/I231</f>
        <v/>
      </c>
      <c r="Y329">
        <f>SUM(W231-U231)/U231</f>
        <v/>
      </c>
      <c r="Z329" t="inlineStr">
        <is>
          <t>E</t>
        </is>
      </c>
      <c r="AC329" t="inlineStr">
        <is>
          <t>No</t>
        </is>
      </c>
      <c r="AD329" t="inlineStr">
        <is>
          <t>Tenant break 12/05/27 on 6 months notice.</t>
        </is>
      </c>
      <c r="AI329" t="inlineStr">
        <is>
          <t>Let</t>
        </is>
      </c>
    </row>
    <row r="330">
      <c r="A330" t="inlineStr">
        <is>
          <t xml:space="preserve">  Office</t>
        </is>
      </c>
      <c r="B330" t="inlineStr">
        <is>
          <t>CM</t>
        </is>
      </c>
      <c r="C330" t="inlineStr">
        <is>
          <t>MEL</t>
        </is>
      </c>
      <c r="D330" t="n">
        <v>550800</v>
      </c>
      <c r="E330" t="inlineStr">
        <is>
          <t>25 Margaret Street</t>
        </is>
      </c>
      <c r="F330" t="inlineStr">
        <is>
          <t>Second Floor (R)</t>
        </is>
      </c>
      <c r="G330" t="inlineStr">
        <is>
          <t>Office</t>
        </is>
      </c>
      <c r="H330" t="n">
        <v>130</v>
      </c>
      <c r="I330">
        <f>I232</f>
        <v/>
      </c>
      <c r="J330" t="n">
        <v>250</v>
      </c>
      <c r="K330" t="inlineStr">
        <is>
          <t>Mr R Backes</t>
        </is>
      </c>
      <c r="L330" s="869" t="n">
        <v>44762</v>
      </c>
      <c r="M330" s="869" t="n">
        <v>46587</v>
      </c>
      <c r="P330" s="869" t="n">
        <v>45857</v>
      </c>
      <c r="Q330" t="n">
        <v>7605</v>
      </c>
      <c r="R330">
        <f>R232</f>
        <v/>
      </c>
      <c r="T330" t="n">
        <v>7605</v>
      </c>
      <c r="U330">
        <f>U232</f>
        <v/>
      </c>
      <c r="V330" t="n">
        <v>8450</v>
      </c>
      <c r="W330">
        <f>W232</f>
        <v/>
      </c>
      <c r="X330">
        <f>W232/I232</f>
        <v/>
      </c>
      <c r="Y330">
        <f>SUM(W232-U232)/U232</f>
        <v/>
      </c>
      <c r="Z330" t="inlineStr">
        <is>
          <t>E</t>
        </is>
      </c>
      <c r="AC330" t="inlineStr">
        <is>
          <t>No</t>
        </is>
      </c>
      <c r="AI330" t="inlineStr">
        <is>
          <t>Let</t>
        </is>
      </c>
    </row>
    <row r="331">
      <c r="A331" t="inlineStr">
        <is>
          <t xml:space="preserve">  Residential</t>
        </is>
      </c>
      <c r="B331" t="inlineStr">
        <is>
          <t>CM</t>
        </is>
      </c>
      <c r="C331" t="inlineStr">
        <is>
          <t>MEL</t>
        </is>
      </c>
      <c r="D331" t="n">
        <v>550800</v>
      </c>
      <c r="E331" t="inlineStr">
        <is>
          <t>25 Margaret Street</t>
        </is>
      </c>
      <c r="F331" t="inlineStr">
        <is>
          <t>Third &amp; Fourth Floors</t>
        </is>
      </c>
      <c r="G331" t="inlineStr">
        <is>
          <t>Residential</t>
        </is>
      </c>
      <c r="H331" t="n">
        <v>600</v>
      </c>
      <c r="I331">
        <f>I233</f>
        <v/>
      </c>
      <c r="J331" t="n">
        <v>500</v>
      </c>
      <c r="K331" t="inlineStr">
        <is>
          <t>Mr Bick Ole &amp; Miss Ana Roomas Ledo</t>
        </is>
      </c>
      <c r="L331" s="869" t="n">
        <v>45135</v>
      </c>
      <c r="M331" s="869" t="n">
        <v>45865</v>
      </c>
      <c r="Q331" t="n">
        <v>40950</v>
      </c>
      <c r="R331">
        <f>R233</f>
        <v/>
      </c>
      <c r="T331" t="n">
        <v>36140</v>
      </c>
      <c r="U331">
        <f>U233</f>
        <v/>
      </c>
      <c r="V331" t="n">
        <v>39000</v>
      </c>
      <c r="W331">
        <f>W233</f>
        <v/>
      </c>
      <c r="X331">
        <f>W233/I233</f>
        <v/>
      </c>
      <c r="Y331">
        <f>SUM(W233-U233)/U233</f>
        <v/>
      </c>
      <c r="Z331" t="inlineStr">
        <is>
          <t>E</t>
        </is>
      </c>
      <c r="AC331" t="inlineStr">
        <is>
          <t>No</t>
        </is>
      </c>
      <c r="AD331" t="inlineStr">
        <is>
          <t>1 year lease renewal completed @ £41,600 from 28/07/25</t>
        </is>
      </c>
      <c r="AI331" t="inlineStr">
        <is>
          <t>Let</t>
        </is>
      </c>
    </row>
    <row r="332"/>
    <row r="333">
      <c r="A333" s="868" t="inlineStr">
        <is>
          <t>47,48 &amp; 50 Margaret Street</t>
        </is>
      </c>
    </row>
    <row r="334">
      <c r="A334" t="inlineStr">
        <is>
          <t xml:space="preserve">  Nightclub</t>
        </is>
      </c>
      <c r="B334" t="inlineStr">
        <is>
          <t>SH</t>
        </is>
      </c>
      <c r="C334" t="inlineStr">
        <is>
          <t>MEL</t>
        </is>
      </c>
      <c r="D334" t="n">
        <v>550550</v>
      </c>
      <c r="E334" t="inlineStr">
        <is>
          <t>47,48 &amp; 50 Margaret Street</t>
        </is>
      </c>
      <c r="F334" t="inlineStr">
        <is>
          <t>Basement (48-50)</t>
        </is>
      </c>
      <c r="G334" t="inlineStr">
        <is>
          <t>Nightclub</t>
        </is>
      </c>
      <c r="H334" t="n">
        <v>3664</v>
      </c>
      <c r="I334">
        <f>I234</f>
        <v/>
      </c>
      <c r="J334" t="n">
        <v>3500</v>
      </c>
      <c r="K334" t="inlineStr">
        <is>
          <t>Masterbet Ltd.</t>
        </is>
      </c>
      <c r="L334" s="869" t="n">
        <v>40946</v>
      </c>
      <c r="M334" s="869" t="n">
        <v>46424</v>
      </c>
      <c r="Q334" t="n">
        <v>230000</v>
      </c>
      <c r="R334">
        <f>R234</f>
        <v/>
      </c>
      <c r="T334" t="n">
        <v>225000</v>
      </c>
      <c r="U334">
        <f>U234</f>
        <v/>
      </c>
      <c r="V334" t="n">
        <v>200000</v>
      </c>
      <c r="W334">
        <f>W234</f>
        <v/>
      </c>
      <c r="X334">
        <f>W234/I234</f>
        <v/>
      </c>
      <c r="Y334">
        <f>SUM(W234-U234)/U234</f>
        <v/>
      </c>
      <c r="Z334" t="inlineStr">
        <is>
          <t>B</t>
        </is>
      </c>
      <c r="AC334" t="inlineStr">
        <is>
          <t>No</t>
        </is>
      </c>
      <c r="AD334" t="inlineStr">
        <is>
          <t>Rent rises to £232,500 @ 07/02/26.</t>
        </is>
      </c>
      <c r="AI334" t="inlineStr">
        <is>
          <t>Let</t>
        </is>
      </c>
    </row>
    <row r="335">
      <c r="A335" t="inlineStr">
        <is>
          <t xml:space="preserve">  Retail</t>
        </is>
      </c>
      <c r="B335" t="inlineStr">
        <is>
          <t>SH</t>
        </is>
      </c>
      <c r="C335" t="inlineStr">
        <is>
          <t>MEL</t>
        </is>
      </c>
      <c r="D335" t="n">
        <v>550550</v>
      </c>
      <c r="E335" t="inlineStr">
        <is>
          <t>47,48 &amp; 50 Margaret Street</t>
        </is>
      </c>
      <c r="F335" t="inlineStr">
        <is>
          <t>Ground Floor &amp; Basement (47)</t>
        </is>
      </c>
      <c r="G335" t="inlineStr">
        <is>
          <t>Retail</t>
        </is>
      </c>
      <c r="H335" t="n">
        <v>1496</v>
      </c>
      <c r="I335">
        <f>I235</f>
        <v/>
      </c>
      <c r="J335" t="n">
        <v>1500</v>
      </c>
      <c r="K335" t="inlineStr">
        <is>
          <t>MSBB Ltd.</t>
        </is>
      </c>
      <c r="L335" s="869" t="n">
        <v>45178</v>
      </c>
      <c r="M335" s="869" t="n">
        <v>47004</v>
      </c>
      <c r="Q335" t="n">
        <v>53200</v>
      </c>
      <c r="R335">
        <f>R235</f>
        <v/>
      </c>
      <c r="T335" t="n">
        <v>53200</v>
      </c>
      <c r="U335">
        <f>U235</f>
        <v/>
      </c>
      <c r="V335" t="n">
        <v>58000</v>
      </c>
      <c r="W335">
        <f>W235</f>
        <v/>
      </c>
      <c r="X335">
        <f>W235/I235</f>
        <v/>
      </c>
      <c r="Y335">
        <f>SUM(W235-U235)/U235</f>
        <v/>
      </c>
      <c r="Z335" t="inlineStr">
        <is>
          <t>B</t>
        </is>
      </c>
      <c r="AC335" t="inlineStr">
        <is>
          <t>No</t>
        </is>
      </c>
      <c r="AD335" t="inlineStr">
        <is>
          <t>Landlord break @ 08/09/26 on 6 months notice</t>
        </is>
      </c>
      <c r="AI335" t="inlineStr">
        <is>
          <t>Let</t>
        </is>
      </c>
    </row>
    <row r="336">
      <c r="A336" t="inlineStr">
        <is>
          <t xml:space="preserve">  Restaurant</t>
        </is>
      </c>
      <c r="B336" t="inlineStr">
        <is>
          <t>SH</t>
        </is>
      </c>
      <c r="C336" t="inlineStr">
        <is>
          <t>MEL</t>
        </is>
      </c>
      <c r="D336" t="n">
        <v>550550</v>
      </c>
      <c r="E336" t="inlineStr">
        <is>
          <t>47,48 &amp; 50 Margaret Street</t>
        </is>
      </c>
      <c r="F336" t="inlineStr">
        <is>
          <t>Ground Floor (50)</t>
        </is>
      </c>
      <c r="G336" t="inlineStr">
        <is>
          <t>Restaurant</t>
        </is>
      </c>
      <c r="H336" t="n">
        <v>1592</v>
      </c>
      <c r="I336">
        <f>I236</f>
        <v/>
      </c>
      <c r="J336" t="n">
        <v>1500</v>
      </c>
      <c r="K336" t="inlineStr">
        <is>
          <t>Oreno Ramen Limited</t>
        </is>
      </c>
      <c r="L336" s="869" t="n">
        <v>44663</v>
      </c>
      <c r="M336" s="869" t="n">
        <v>50141</v>
      </c>
      <c r="O336" s="869" t="n">
        <v>46489</v>
      </c>
      <c r="P336" s="869" t="n">
        <v>48315</v>
      </c>
      <c r="Q336" t="n">
        <v>95000</v>
      </c>
      <c r="R336">
        <f>R236</f>
        <v/>
      </c>
      <c r="T336" t="n">
        <v>100500</v>
      </c>
      <c r="U336">
        <f>U236</f>
        <v/>
      </c>
      <c r="V336" t="n">
        <v>100000</v>
      </c>
      <c r="W336">
        <f>W236</f>
        <v/>
      </c>
      <c r="X336">
        <f>W236/I236</f>
        <v/>
      </c>
      <c r="Y336">
        <f>SUM(W236-U236)/U236</f>
        <v/>
      </c>
      <c r="Z336" t="inlineStr">
        <is>
          <t>B</t>
        </is>
      </c>
      <c r="AC336" t="inlineStr">
        <is>
          <t>No</t>
        </is>
      </c>
      <c r="AD336" t="inlineStr">
        <is>
          <t>Stepped rent. £100,000 wef 12/04/26. Mutual break on 9 months notice.</t>
        </is>
      </c>
      <c r="AI336" t="inlineStr">
        <is>
          <t>Let</t>
        </is>
      </c>
    </row>
    <row r="337">
      <c r="A337" t="inlineStr">
        <is>
          <t xml:space="preserve">  Retail</t>
        </is>
      </c>
      <c r="B337" t="inlineStr">
        <is>
          <t>SH</t>
        </is>
      </c>
      <c r="C337" t="inlineStr">
        <is>
          <t>MEL</t>
        </is>
      </c>
      <c r="D337" t="n">
        <v>550550</v>
      </c>
      <c r="E337" t="inlineStr">
        <is>
          <t>47,48 &amp; 50 Margaret Street</t>
        </is>
      </c>
      <c r="F337" t="inlineStr">
        <is>
          <t xml:space="preserve">Ground Floor (48) </t>
        </is>
      </c>
      <c r="G337" t="inlineStr">
        <is>
          <t>Retail</t>
        </is>
      </c>
      <c r="H337" t="n">
        <v>1704</v>
      </c>
      <c r="I337">
        <f>I237</f>
        <v/>
      </c>
      <c r="J337" t="n">
        <v>1750</v>
      </c>
      <c r="K337" t="inlineStr">
        <is>
          <t>48 Margaret Street Trading Ltd</t>
        </is>
      </c>
      <c r="L337" s="869" t="n">
        <v>45111</v>
      </c>
      <c r="M337" s="869" t="n">
        <v>48763</v>
      </c>
      <c r="O337" s="869" t="n">
        <v>46938</v>
      </c>
      <c r="Q337" t="n">
        <v>105000</v>
      </c>
      <c r="R337">
        <f>R237</f>
        <v/>
      </c>
      <c r="T337" t="n">
        <v>96300</v>
      </c>
      <c r="U337">
        <f>U237</f>
        <v/>
      </c>
      <c r="V337" t="n">
        <v>105000</v>
      </c>
      <c r="W337">
        <f>W237</f>
        <v/>
      </c>
      <c r="X337">
        <f>W237/I237</f>
        <v/>
      </c>
      <c r="Y337">
        <f>SUM(W237-U237)/U237</f>
        <v/>
      </c>
      <c r="Z337" t="inlineStr">
        <is>
          <t>B</t>
        </is>
      </c>
      <c r="AC337" t="inlineStr">
        <is>
          <t>No</t>
        </is>
      </c>
      <c r="AI337" t="inlineStr">
        <is>
          <t>Let</t>
        </is>
      </c>
    </row>
    <row r="338">
      <c r="A338" t="inlineStr">
        <is>
          <t xml:space="preserve">  D1</t>
        </is>
      </c>
      <c r="B338" t="inlineStr">
        <is>
          <t>SH</t>
        </is>
      </c>
      <c r="C338" t="inlineStr">
        <is>
          <t>MEL</t>
        </is>
      </c>
      <c r="D338" t="n">
        <v>550550</v>
      </c>
      <c r="E338" t="inlineStr">
        <is>
          <t>47,48 &amp; 50 Margaret Street</t>
        </is>
      </c>
      <c r="F338" t="inlineStr">
        <is>
          <t>First Floor (East)</t>
        </is>
      </c>
      <c r="G338" t="inlineStr">
        <is>
          <t>D1</t>
        </is>
      </c>
      <c r="H338" t="n">
        <v>2955</v>
      </c>
      <c r="I338">
        <f>I238</f>
        <v/>
      </c>
      <c r="J338" t="n">
        <v>3000</v>
      </c>
      <c r="K338" t="inlineStr">
        <is>
          <t>Sun Kyeong Qi</t>
        </is>
      </c>
      <c r="L338" s="869" t="n">
        <v>45329</v>
      </c>
      <c r="M338" s="869" t="n">
        <v>46059</v>
      </c>
      <c r="Q338" t="n">
        <v>150000</v>
      </c>
      <c r="R338">
        <f>R238</f>
        <v/>
      </c>
      <c r="T338" t="n">
        <v>180000</v>
      </c>
      <c r="U338">
        <f>U238</f>
        <v/>
      </c>
      <c r="V338" t="n">
        <v>177300</v>
      </c>
      <c r="W338">
        <f>W238</f>
        <v/>
      </c>
      <c r="X338">
        <f>W238/I238</f>
        <v/>
      </c>
      <c r="Y338">
        <f>SUM(W238-U238)/U238</f>
        <v/>
      </c>
      <c r="Z338" t="inlineStr">
        <is>
          <t>C</t>
        </is>
      </c>
      <c r="AC338" t="inlineStr">
        <is>
          <t>No</t>
        </is>
      </c>
      <c r="AI338" t="inlineStr">
        <is>
          <t>Let</t>
        </is>
      </c>
    </row>
    <row r="339">
      <c r="A339" t="inlineStr">
        <is>
          <t xml:space="preserve">  Office</t>
        </is>
      </c>
      <c r="B339" t="inlineStr">
        <is>
          <t>SH</t>
        </is>
      </c>
      <c r="C339" t="inlineStr">
        <is>
          <t>MEL</t>
        </is>
      </c>
      <c r="D339" t="n">
        <v>550550</v>
      </c>
      <c r="E339" t="inlineStr">
        <is>
          <t>47,48 &amp; 50 Margaret Street</t>
        </is>
      </c>
      <c r="F339" t="inlineStr">
        <is>
          <t>First Floor (West)</t>
        </is>
      </c>
      <c r="G339" t="inlineStr">
        <is>
          <t>Office</t>
        </is>
      </c>
      <c r="H339" t="n">
        <v>388</v>
      </c>
      <c r="I339">
        <f>I239</f>
        <v/>
      </c>
      <c r="J339" t="n">
        <v>500</v>
      </c>
      <c r="K339" t="inlineStr">
        <is>
          <t>Hypecore Limited</t>
        </is>
      </c>
      <c r="L339" s="869" t="n">
        <v>45429</v>
      </c>
      <c r="M339" s="869" t="n">
        <v>47254</v>
      </c>
      <c r="P339" s="869" t="n">
        <v>46158</v>
      </c>
      <c r="Q339" t="n">
        <v>20520</v>
      </c>
      <c r="R339">
        <f>R239</f>
        <v/>
      </c>
      <c r="T339" t="n">
        <v>19000</v>
      </c>
      <c r="U339">
        <f>U239</f>
        <v/>
      </c>
      <c r="V339" t="n">
        <v>21000</v>
      </c>
      <c r="W339">
        <f>W239</f>
        <v/>
      </c>
      <c r="X339">
        <f>W239/I239</f>
        <v/>
      </c>
      <c r="Y339">
        <f>SUM(W239-U239)/U239</f>
        <v/>
      </c>
      <c r="Z339" t="inlineStr">
        <is>
          <t>C</t>
        </is>
      </c>
      <c r="AC339" t="inlineStr">
        <is>
          <t>No</t>
        </is>
      </c>
      <c r="AD339" t="inlineStr">
        <is>
          <t>Tenant break on 6 months notice.</t>
        </is>
      </c>
      <c r="AI339" t="inlineStr">
        <is>
          <t>Let</t>
        </is>
      </c>
    </row>
    <row r="340">
      <c r="A340" t="inlineStr">
        <is>
          <t xml:space="preserve">  Office</t>
        </is>
      </c>
      <c r="B340" t="inlineStr">
        <is>
          <t>SH</t>
        </is>
      </c>
      <c r="C340" t="inlineStr">
        <is>
          <t>MEL</t>
        </is>
      </c>
      <c r="D340" t="n">
        <v>550550</v>
      </c>
      <c r="E340" t="inlineStr">
        <is>
          <t>47,48 &amp; 50 Margaret Street</t>
        </is>
      </c>
      <c r="F340" t="inlineStr">
        <is>
          <t xml:space="preserve">Second Floor (West) </t>
        </is>
      </c>
      <c r="G340" t="inlineStr">
        <is>
          <t>Office</t>
        </is>
      </c>
      <c r="H340" t="n">
        <v>395</v>
      </c>
      <c r="I340">
        <f>I240</f>
        <v/>
      </c>
      <c r="J340" t="n">
        <v>500</v>
      </c>
      <c r="K340" t="inlineStr">
        <is>
          <t>Gnosco Ltd &amp; Fortis Block Management Ltd</t>
        </is>
      </c>
      <c r="L340" s="869" t="n">
        <v>45450</v>
      </c>
      <c r="M340" s="869" t="n">
        <v>47275</v>
      </c>
      <c r="P340" s="869" t="n">
        <v>46574</v>
      </c>
      <c r="Q340" t="n">
        <v>21850</v>
      </c>
      <c r="R340">
        <f>R240</f>
        <v/>
      </c>
      <c r="T340" t="n">
        <v>18900</v>
      </c>
      <c r="U340">
        <f>U240</f>
        <v/>
      </c>
      <c r="V340" t="n">
        <v>21850</v>
      </c>
      <c r="W340">
        <f>W240</f>
        <v/>
      </c>
      <c r="X340">
        <f>W240/I240</f>
        <v/>
      </c>
      <c r="Y340">
        <f>SUM(W240-U240)/U240</f>
        <v/>
      </c>
      <c r="Z340" t="inlineStr">
        <is>
          <t>C</t>
        </is>
      </c>
      <c r="AC340" t="inlineStr">
        <is>
          <t>No</t>
        </is>
      </c>
      <c r="AD340" t="inlineStr">
        <is>
          <t>Tenant break on 6 months notice. One mnth rent free from 07/06/27 if break not exercised.</t>
        </is>
      </c>
      <c r="AI340" t="inlineStr">
        <is>
          <t>Let</t>
        </is>
      </c>
    </row>
    <row r="341">
      <c r="A341" t="inlineStr">
        <is>
          <t xml:space="preserve">  Office</t>
        </is>
      </c>
      <c r="B341" t="inlineStr">
        <is>
          <t>SH</t>
        </is>
      </c>
      <c r="C341" t="inlineStr">
        <is>
          <t>MEL</t>
        </is>
      </c>
      <c r="D341" t="n">
        <v>550550</v>
      </c>
      <c r="E341" t="inlineStr">
        <is>
          <t>47,48 &amp; 50 Margaret Street</t>
        </is>
      </c>
      <c r="F341" t="inlineStr">
        <is>
          <t>Second Floor (East)</t>
        </is>
      </c>
      <c r="G341" t="inlineStr">
        <is>
          <t>Office</t>
        </is>
      </c>
      <c r="H341" t="n">
        <v>2610</v>
      </c>
      <c r="I341">
        <f>I241</f>
        <v/>
      </c>
      <c r="J341" t="n">
        <v>2500</v>
      </c>
      <c r="K341" t="inlineStr">
        <is>
          <t>Vacant</t>
        </is>
      </c>
      <c r="N341" s="869" t="n">
        <v>43783</v>
      </c>
      <c r="Q341" t="n">
        <v>0</v>
      </c>
      <c r="R341">
        <f>R241</f>
        <v/>
      </c>
      <c r="T341" t="n">
        <v>182500</v>
      </c>
      <c r="U341">
        <f>U241</f>
        <v/>
      </c>
      <c r="V341" t="n">
        <v>169700</v>
      </c>
      <c r="W341">
        <f>W241</f>
        <v/>
      </c>
      <c r="X341">
        <f>W241/I241</f>
        <v/>
      </c>
      <c r="Y341">
        <f>SUM(W241-U241)/U241</f>
        <v/>
      </c>
      <c r="Z341" t="inlineStr">
        <is>
          <t>C</t>
        </is>
      </c>
      <c r="AC341" t="inlineStr">
        <is>
          <t>No</t>
        </is>
      </c>
      <c r="AD341" t="inlineStr">
        <is>
          <t>Under offer</t>
        </is>
      </c>
      <c r="AE341" t="n">
        <v>72.5</v>
      </c>
      <c r="AF341" t="n">
        <v>3</v>
      </c>
      <c r="AG341" t="n">
        <v>6</v>
      </c>
      <c r="AI341" t="inlineStr">
        <is>
          <t>Void</t>
        </is>
      </c>
    </row>
    <row r="342">
      <c r="A342" t="inlineStr">
        <is>
          <t xml:space="preserve">  Office</t>
        </is>
      </c>
      <c r="B342" t="inlineStr">
        <is>
          <t>SH</t>
        </is>
      </c>
      <c r="C342" t="inlineStr">
        <is>
          <t>MEL</t>
        </is>
      </c>
      <c r="D342" t="n">
        <v>550550</v>
      </c>
      <c r="E342" t="inlineStr">
        <is>
          <t>47,48 &amp; 50 Margaret Street</t>
        </is>
      </c>
      <c r="F342" t="inlineStr">
        <is>
          <t>Third Floor (East)</t>
        </is>
      </c>
      <c r="G342" t="inlineStr">
        <is>
          <t>Office</t>
        </is>
      </c>
      <c r="H342" t="n">
        <v>2508</v>
      </c>
      <c r="I342">
        <f>I242</f>
        <v/>
      </c>
      <c r="J342" t="n">
        <v>2500</v>
      </c>
      <c r="K342" t="inlineStr">
        <is>
          <t>Vacant</t>
        </is>
      </c>
      <c r="N342" s="869" t="n">
        <v>45504</v>
      </c>
      <c r="Q342" t="n">
        <v>0</v>
      </c>
      <c r="R342">
        <f>R242</f>
        <v/>
      </c>
      <c r="T342" t="n">
        <v>138800</v>
      </c>
      <c r="U342">
        <f>U242</f>
        <v/>
      </c>
      <c r="V342" t="n">
        <v>141700</v>
      </c>
      <c r="W342">
        <f>W242</f>
        <v/>
      </c>
      <c r="X342">
        <f>W242/I242</f>
        <v/>
      </c>
      <c r="Y342">
        <f>SUM(W242-U242)/U242</f>
        <v/>
      </c>
      <c r="Z342" t="inlineStr">
        <is>
          <t>C</t>
        </is>
      </c>
      <c r="AC342" t="inlineStr">
        <is>
          <t>No</t>
        </is>
      </c>
      <c r="AD342" t="inlineStr">
        <is>
          <t>To be refurbished.</t>
        </is>
      </c>
      <c r="AE342" t="n">
        <v>72.5</v>
      </c>
      <c r="AF342" t="n">
        <v>3</v>
      </c>
      <c r="AG342" t="n">
        <v>7</v>
      </c>
      <c r="AH342" t="inlineStr">
        <is>
          <t>LDG</t>
        </is>
      </c>
      <c r="AI342" t="inlineStr">
        <is>
          <t>Void</t>
        </is>
      </c>
    </row>
    <row r="343">
      <c r="A343" t="inlineStr">
        <is>
          <t xml:space="preserve">  Office</t>
        </is>
      </c>
      <c r="B343" t="inlineStr">
        <is>
          <t>SH</t>
        </is>
      </c>
      <c r="C343" t="inlineStr">
        <is>
          <t>MEL</t>
        </is>
      </c>
      <c r="D343" t="n">
        <v>550550</v>
      </c>
      <c r="E343" t="inlineStr">
        <is>
          <t>47,48 &amp; 50 Margaret Street</t>
        </is>
      </c>
      <c r="F343" t="inlineStr">
        <is>
          <t>Third Floor (West)</t>
        </is>
      </c>
      <c r="G343" t="inlineStr">
        <is>
          <t>Office</t>
        </is>
      </c>
      <c r="H343" t="n">
        <v>389</v>
      </c>
      <c r="I343">
        <f>I243</f>
        <v/>
      </c>
      <c r="J343" t="n">
        <v>500</v>
      </c>
      <c r="K343" t="inlineStr">
        <is>
          <t>Vacant</t>
        </is>
      </c>
      <c r="N343" s="869" t="n">
        <v>45635</v>
      </c>
      <c r="Q343" t="n">
        <v>0</v>
      </c>
      <c r="R343">
        <f>R243</f>
        <v/>
      </c>
      <c r="T343" t="n">
        <v>19500</v>
      </c>
      <c r="U343">
        <f>U243</f>
        <v/>
      </c>
      <c r="V343" t="n">
        <v>19500</v>
      </c>
      <c r="W343">
        <f>W243</f>
        <v/>
      </c>
      <c r="X343">
        <f>W243/I243</f>
        <v/>
      </c>
      <c r="Y343">
        <f>SUM(W243-U243)/U243</f>
        <v/>
      </c>
      <c r="Z343" t="inlineStr">
        <is>
          <t>C</t>
        </is>
      </c>
      <c r="AC343" t="inlineStr">
        <is>
          <t>No</t>
        </is>
      </c>
      <c r="AD343" t="inlineStr">
        <is>
          <t>LEM marketing.</t>
        </is>
      </c>
      <c r="AI343" t="inlineStr">
        <is>
          <t>Void</t>
        </is>
      </c>
    </row>
    <row r="344">
      <c r="A344" t="inlineStr">
        <is>
          <t xml:space="preserve">  Office</t>
        </is>
      </c>
      <c r="B344" t="inlineStr">
        <is>
          <t>SH</t>
        </is>
      </c>
      <c r="C344" t="inlineStr">
        <is>
          <t>MEL</t>
        </is>
      </c>
      <c r="D344" t="n">
        <v>550550</v>
      </c>
      <c r="E344" t="inlineStr">
        <is>
          <t>47,48 &amp; 50 Margaret Street</t>
        </is>
      </c>
      <c r="F344" t="inlineStr">
        <is>
          <t>Fourth Floor (West)</t>
        </is>
      </c>
      <c r="G344" t="inlineStr">
        <is>
          <t>Office</t>
        </is>
      </c>
      <c r="H344" t="n">
        <v>390</v>
      </c>
      <c r="I344">
        <f>I244</f>
        <v/>
      </c>
      <c r="J344" t="n">
        <v>500</v>
      </c>
      <c r="K344" t="inlineStr">
        <is>
          <t>Sen Yoga Limited</t>
        </is>
      </c>
      <c r="L344" s="869" t="n">
        <v>45680</v>
      </c>
      <c r="M344" s="869" t="n">
        <v>47505</v>
      </c>
      <c r="P344" s="869" t="n">
        <v>46774</v>
      </c>
      <c r="Q344" t="n">
        <v>21060</v>
      </c>
      <c r="R344">
        <f>R244</f>
        <v/>
      </c>
      <c r="T344" t="n">
        <v>0</v>
      </c>
      <c r="U344">
        <f>U244</f>
        <v/>
      </c>
      <c r="V344" t="n">
        <v>19500</v>
      </c>
      <c r="W344">
        <f>W244</f>
        <v/>
      </c>
      <c r="X344">
        <f>W244/I244</f>
        <v/>
      </c>
      <c r="Z344" t="inlineStr">
        <is>
          <t>C</t>
        </is>
      </c>
      <c r="AC344" t="inlineStr">
        <is>
          <t>No</t>
        </is>
      </c>
      <c r="AD344" t="inlineStr">
        <is>
          <t>Tenant break on 6 months notice.</t>
        </is>
      </c>
      <c r="AI344" t="inlineStr">
        <is>
          <t>Let</t>
        </is>
      </c>
    </row>
    <row r="345">
      <c r="A345" t="inlineStr">
        <is>
          <t xml:space="preserve">  D1</t>
        </is>
      </c>
      <c r="B345" t="inlineStr">
        <is>
          <t>SH</t>
        </is>
      </c>
      <c r="C345" t="inlineStr">
        <is>
          <t>MEL</t>
        </is>
      </c>
      <c r="D345" t="n">
        <v>550550</v>
      </c>
      <c r="E345" t="inlineStr">
        <is>
          <t>47,48 &amp; 50 Margaret Street</t>
        </is>
      </c>
      <c r="F345" t="inlineStr">
        <is>
          <t>Fourth Floor (East)</t>
        </is>
      </c>
      <c r="G345" t="inlineStr">
        <is>
          <t>D1</t>
        </is>
      </c>
      <c r="H345" t="n">
        <v>691</v>
      </c>
      <c r="I345">
        <f>I245</f>
        <v/>
      </c>
      <c r="J345" t="n">
        <v>750</v>
      </c>
      <c r="K345" t="inlineStr">
        <is>
          <t>Vacant</t>
        </is>
      </c>
      <c r="N345" s="869" t="n">
        <v>45434</v>
      </c>
      <c r="Q345" t="n">
        <v>0</v>
      </c>
      <c r="R345">
        <f>R245</f>
        <v/>
      </c>
      <c r="T345" t="n">
        <v>42000</v>
      </c>
      <c r="U345">
        <f>U245</f>
        <v/>
      </c>
      <c r="V345" t="n">
        <v>41500</v>
      </c>
      <c r="W345">
        <f>W245</f>
        <v/>
      </c>
      <c r="X345">
        <f>W245/I245</f>
        <v/>
      </c>
      <c r="Y345">
        <f>SUM(W245-U245)/U245</f>
        <v/>
      </c>
      <c r="Z345" t="inlineStr">
        <is>
          <t>C</t>
        </is>
      </c>
      <c r="AC345" t="inlineStr">
        <is>
          <t>No</t>
        </is>
      </c>
      <c r="AD345" t="inlineStr">
        <is>
          <t>Under offer</t>
        </is>
      </c>
      <c r="AE345" t="n">
        <v>62.5</v>
      </c>
      <c r="AF345" t="n">
        <v>1</v>
      </c>
      <c r="AG345" t="n">
        <v>5</v>
      </c>
      <c r="AI345" t="inlineStr">
        <is>
          <t>Void</t>
        </is>
      </c>
    </row>
    <row r="346"/>
    <row r="347">
      <c r="A347" s="868" t="inlineStr">
        <is>
          <t>51-53 Margaret Street</t>
        </is>
      </c>
    </row>
    <row r="348">
      <c r="A348" t="inlineStr">
        <is>
          <t xml:space="preserve">  Storage</t>
        </is>
      </c>
      <c r="B348" t="inlineStr">
        <is>
          <t>SH</t>
        </is>
      </c>
      <c r="C348" t="inlineStr">
        <is>
          <t>MEL</t>
        </is>
      </c>
      <c r="D348" t="n">
        <v>550510</v>
      </c>
      <c r="E348" t="inlineStr">
        <is>
          <t>51-53 Margaret Street</t>
        </is>
      </c>
      <c r="F348" t="inlineStr">
        <is>
          <t>Basement Vault</t>
        </is>
      </c>
      <c r="G348" t="inlineStr">
        <is>
          <t>Storage</t>
        </is>
      </c>
      <c r="H348" t="n">
        <v>120</v>
      </c>
      <c r="I348">
        <f>I246</f>
        <v/>
      </c>
      <c r="J348" t="n">
        <v>250</v>
      </c>
      <c r="K348" t="inlineStr">
        <is>
          <t>Kiss The Hippo Fritzrovia Ltd.</t>
        </is>
      </c>
      <c r="L348" s="869" t="n">
        <v>43881</v>
      </c>
      <c r="M348" s="869" t="n">
        <v>47240</v>
      </c>
      <c r="Q348" t="n">
        <v>0</v>
      </c>
      <c r="R348">
        <f>R246</f>
        <v/>
      </c>
      <c r="T348" t="n">
        <v>0</v>
      </c>
      <c r="U348">
        <f>U246</f>
        <v/>
      </c>
      <c r="V348" t="n">
        <v>0</v>
      </c>
      <c r="W348">
        <f>W246</f>
        <v/>
      </c>
      <c r="X348">
        <f>W246/I246</f>
        <v/>
      </c>
      <c r="AA348" t="inlineStr">
        <is>
          <t>*</t>
        </is>
      </c>
      <c r="AC348" t="inlineStr">
        <is>
          <t>No</t>
        </is>
      </c>
      <c r="AD348" t="inlineStr">
        <is>
          <t>The rent is a peppercorn.</t>
        </is>
      </c>
      <c r="AI348" t="inlineStr">
        <is>
          <t>Let</t>
        </is>
      </c>
    </row>
    <row r="349">
      <c r="A349" t="inlineStr">
        <is>
          <t xml:space="preserve">  Shop</t>
        </is>
      </c>
      <c r="B349" t="inlineStr">
        <is>
          <t>SH</t>
        </is>
      </c>
      <c r="C349" t="inlineStr">
        <is>
          <t>MEL</t>
        </is>
      </c>
      <c r="D349" t="n">
        <v>550510</v>
      </c>
      <c r="E349" t="inlineStr">
        <is>
          <t>51-53 Margaret Street</t>
        </is>
      </c>
      <c r="F349" t="inlineStr">
        <is>
          <t>Basement &amp; Ground Floor (West)</t>
        </is>
      </c>
      <c r="G349" t="inlineStr">
        <is>
          <t>Shop</t>
        </is>
      </c>
      <c r="H349" t="n">
        <v>1032</v>
      </c>
      <c r="I349">
        <f>I247</f>
        <v/>
      </c>
      <c r="J349" t="n">
        <v>1000</v>
      </c>
      <c r="K349" t="inlineStr">
        <is>
          <t>Kiss The Hippo Fritzrovia Ltd.</t>
        </is>
      </c>
      <c r="L349" s="869" t="n">
        <v>43588</v>
      </c>
      <c r="M349" s="869" t="n">
        <v>47240</v>
      </c>
      <c r="Q349" t="n">
        <v>70000</v>
      </c>
      <c r="R349">
        <f>R247</f>
        <v/>
      </c>
      <c r="T349" t="n">
        <v>57500</v>
      </c>
      <c r="U349">
        <f>U247</f>
        <v/>
      </c>
      <c r="V349" t="n">
        <v>57500</v>
      </c>
      <c r="W349">
        <f>W247</f>
        <v/>
      </c>
      <c r="X349">
        <f>W247/I247</f>
        <v/>
      </c>
      <c r="Y349">
        <f>SUM(W247-U247)/U247</f>
        <v/>
      </c>
      <c r="Z349" t="inlineStr">
        <is>
          <t>A</t>
        </is>
      </c>
      <c r="AC349" t="inlineStr">
        <is>
          <t>No</t>
        </is>
      </c>
      <c r="AD349" t="inlineStr">
        <is>
          <t>Rent review completed wef 03/05/24. Rent increase from £67,500 to £70,000</t>
        </is>
      </c>
      <c r="AI349" t="inlineStr">
        <is>
          <t>Let</t>
        </is>
      </c>
    </row>
    <row r="350">
      <c r="A350" t="inlineStr">
        <is>
          <t xml:space="preserve">  Showroom</t>
        </is>
      </c>
      <c r="B350" t="inlineStr">
        <is>
          <t>SH</t>
        </is>
      </c>
      <c r="C350" t="inlineStr">
        <is>
          <t>MEL</t>
        </is>
      </c>
      <c r="D350" t="n">
        <v>550510</v>
      </c>
      <c r="E350" t="inlineStr">
        <is>
          <t>51-53 Margaret Street</t>
        </is>
      </c>
      <c r="F350" t="inlineStr">
        <is>
          <t>Basement (East)</t>
        </is>
      </c>
      <c r="G350" t="inlineStr">
        <is>
          <t>Showroom</t>
        </is>
      </c>
      <c r="H350" t="n">
        <v>1028</v>
      </c>
      <c r="I350">
        <f>I248</f>
        <v/>
      </c>
      <c r="J350" t="n">
        <v>1000</v>
      </c>
      <c r="K350" t="inlineStr">
        <is>
          <t>Shtager &amp; Schch Limited</t>
        </is>
      </c>
      <c r="L350" s="869" t="n">
        <v>44966</v>
      </c>
      <c r="M350" s="869" t="n">
        <v>46791</v>
      </c>
      <c r="Q350" t="n">
        <v>35000</v>
      </c>
      <c r="R350">
        <f>R248</f>
        <v/>
      </c>
      <c r="T350" t="n">
        <v>36000</v>
      </c>
      <c r="U350">
        <f>U248</f>
        <v/>
      </c>
      <c r="V350" t="n">
        <v>35000</v>
      </c>
      <c r="W350">
        <f>W248</f>
        <v/>
      </c>
      <c r="X350">
        <f>W248/I248</f>
        <v/>
      </c>
      <c r="Y350">
        <f>SUM(W248-U248)/U248</f>
        <v/>
      </c>
      <c r="Z350" t="inlineStr">
        <is>
          <t>D</t>
        </is>
      </c>
      <c r="AC350" t="inlineStr">
        <is>
          <t>No</t>
        </is>
      </c>
      <c r="AD350" t="inlineStr">
        <is>
          <t>Struggling tenant. Unit Under offer.</t>
        </is>
      </c>
      <c r="AG350" t="n">
        <v>2</v>
      </c>
      <c r="AH350" t="inlineStr">
        <is>
          <t>LEM</t>
        </is>
      </c>
      <c r="AI350" t="inlineStr">
        <is>
          <t>Let</t>
        </is>
      </c>
    </row>
    <row r="351">
      <c r="A351" t="inlineStr">
        <is>
          <t xml:space="preserve">  Storage</t>
        </is>
      </c>
      <c r="B351" t="inlineStr">
        <is>
          <t>SH</t>
        </is>
      </c>
      <c r="C351" t="inlineStr">
        <is>
          <t>MEL</t>
        </is>
      </c>
      <c r="D351" t="n">
        <v>550510</v>
      </c>
      <c r="E351" t="inlineStr">
        <is>
          <t>51-53 Margaret Street</t>
        </is>
      </c>
      <c r="F351" t="inlineStr">
        <is>
          <t>Basement Vault</t>
        </is>
      </c>
      <c r="G351" t="inlineStr">
        <is>
          <t>Storage</t>
        </is>
      </c>
      <c r="H351" t="n">
        <v>90</v>
      </c>
      <c r="I351">
        <f>I249</f>
        <v/>
      </c>
      <c r="K351" t="inlineStr">
        <is>
          <t>Vacant / Landlord</t>
        </is>
      </c>
      <c r="N351" s="869" t="n">
        <v>44681</v>
      </c>
      <c r="Q351" t="n">
        <v>0</v>
      </c>
      <c r="R351">
        <f>R249</f>
        <v/>
      </c>
      <c r="T351" t="n">
        <v>5665</v>
      </c>
      <c r="U351">
        <f>U249</f>
        <v/>
      </c>
      <c r="V351" t="n">
        <v>900</v>
      </c>
      <c r="W351">
        <f>W249</f>
        <v/>
      </c>
      <c r="X351">
        <f>W249/I249</f>
        <v/>
      </c>
      <c r="Y351">
        <f>SUM(W249-U249)/U249</f>
        <v/>
      </c>
      <c r="AC351" t="inlineStr">
        <is>
          <t>No</t>
        </is>
      </c>
      <c r="AI351" t="inlineStr">
        <is>
          <t>Void</t>
        </is>
      </c>
    </row>
    <row r="352">
      <c r="A352" t="inlineStr">
        <is>
          <t xml:space="preserve">  Shop</t>
        </is>
      </c>
      <c r="B352" t="inlineStr">
        <is>
          <t>SH</t>
        </is>
      </c>
      <c r="C352" t="inlineStr">
        <is>
          <t>MEL</t>
        </is>
      </c>
      <c r="D352" t="n">
        <v>550510</v>
      </c>
      <c r="E352" t="inlineStr">
        <is>
          <t>51-53 Margaret Street</t>
        </is>
      </c>
      <c r="F352" t="inlineStr">
        <is>
          <t>Ground Floor (East)</t>
        </is>
      </c>
      <c r="G352" t="inlineStr">
        <is>
          <t>Shop</t>
        </is>
      </c>
      <c r="H352" t="n">
        <v>894</v>
      </c>
      <c r="I352">
        <f>I250</f>
        <v/>
      </c>
      <c r="J352" t="n">
        <v>1000</v>
      </c>
      <c r="K352" t="inlineStr">
        <is>
          <t>Phyto Nourishment Limited</t>
        </is>
      </c>
      <c r="L352" s="869" t="n">
        <v>45413</v>
      </c>
      <c r="M352" s="869" t="n">
        <v>49064</v>
      </c>
      <c r="O352" s="869" t="n">
        <v>47239</v>
      </c>
      <c r="P352" s="869" t="n">
        <v>46507</v>
      </c>
      <c r="Q352" t="n">
        <v>100000</v>
      </c>
      <c r="R352">
        <f>R250</f>
        <v/>
      </c>
      <c r="T352" t="n">
        <v>90000</v>
      </c>
      <c r="U352">
        <f>U250</f>
        <v/>
      </c>
      <c r="V352" t="n">
        <v>100000</v>
      </c>
      <c r="W352">
        <f>W250</f>
        <v/>
      </c>
      <c r="X352">
        <f>W250/I250</f>
        <v/>
      </c>
      <c r="Y352">
        <f>SUM(W250-U250)/U250</f>
        <v/>
      </c>
      <c r="Z352" t="inlineStr">
        <is>
          <t>D</t>
        </is>
      </c>
      <c r="AC352" t="inlineStr">
        <is>
          <t>No</t>
        </is>
      </c>
      <c r="AD352" t="inlineStr">
        <is>
          <t>Tenant break on 6 months notice with a penalty clause if exercised. Tenant in Administration. Under offer</t>
        </is>
      </c>
      <c r="AI352" t="inlineStr">
        <is>
          <t>Let</t>
        </is>
      </c>
    </row>
    <row r="353">
      <c r="A353" t="inlineStr">
        <is>
          <t xml:space="preserve">  Office</t>
        </is>
      </c>
      <c r="B353" t="inlineStr">
        <is>
          <t>SH</t>
        </is>
      </c>
      <c r="C353" t="inlineStr">
        <is>
          <t>MEL</t>
        </is>
      </c>
      <c r="D353" t="n">
        <v>550510</v>
      </c>
      <c r="E353" t="inlineStr">
        <is>
          <t>51-53 Margaret Street</t>
        </is>
      </c>
      <c r="F353" t="inlineStr">
        <is>
          <t>First Floor (East)</t>
        </is>
      </c>
      <c r="G353" t="inlineStr">
        <is>
          <t>Office</t>
        </is>
      </c>
      <c r="H353" t="n">
        <v>635</v>
      </c>
      <c r="I353">
        <f>I251</f>
        <v/>
      </c>
      <c r="J353" t="n">
        <v>750</v>
      </c>
      <c r="K353" t="inlineStr">
        <is>
          <t>More &amp; More Studio Limited</t>
        </is>
      </c>
      <c r="L353" s="869" t="n">
        <v>45431</v>
      </c>
      <c r="M353" s="869" t="n">
        <v>46525</v>
      </c>
      <c r="Q353" t="n">
        <v>36500</v>
      </c>
      <c r="R353">
        <f>R251</f>
        <v/>
      </c>
      <c r="T353" t="n">
        <v>36500</v>
      </c>
      <c r="U353">
        <f>U251</f>
        <v/>
      </c>
      <c r="V353" t="n">
        <v>36500</v>
      </c>
      <c r="W353">
        <f>W251</f>
        <v/>
      </c>
      <c r="X353">
        <f>W251/I251</f>
        <v/>
      </c>
      <c r="Y353">
        <f>SUM(W251-U251)/U251</f>
        <v/>
      </c>
      <c r="Z353" t="inlineStr">
        <is>
          <t>E</t>
        </is>
      </c>
      <c r="AC353" t="inlineStr">
        <is>
          <t>No</t>
        </is>
      </c>
      <c r="AD353" t="inlineStr">
        <is>
          <t>Tenant break passed.</t>
        </is>
      </c>
      <c r="AI353" t="inlineStr">
        <is>
          <t>Let</t>
        </is>
      </c>
    </row>
    <row r="354">
      <c r="A354" t="inlineStr">
        <is>
          <t xml:space="preserve">  Office</t>
        </is>
      </c>
      <c r="B354" t="inlineStr">
        <is>
          <t>SH</t>
        </is>
      </c>
      <c r="C354" t="inlineStr">
        <is>
          <t>MEL</t>
        </is>
      </c>
      <c r="D354" t="n">
        <v>550510</v>
      </c>
      <c r="E354" t="inlineStr">
        <is>
          <t>51-53 Margaret Street</t>
        </is>
      </c>
      <c r="F354" t="inlineStr">
        <is>
          <t>First Floor (West)</t>
        </is>
      </c>
      <c r="G354" t="inlineStr">
        <is>
          <t>Office</t>
        </is>
      </c>
      <c r="H354" t="n">
        <v>450</v>
      </c>
      <c r="I354">
        <f>I252</f>
        <v/>
      </c>
      <c r="J354" t="n">
        <v>500</v>
      </c>
      <c r="K354" t="inlineStr">
        <is>
          <t>Vacant</t>
        </is>
      </c>
      <c r="N354" s="869" t="n">
        <v>42943</v>
      </c>
      <c r="Q354" t="n">
        <v>0</v>
      </c>
      <c r="R354">
        <f>R252</f>
        <v/>
      </c>
      <c r="T354" t="n">
        <v>23600</v>
      </c>
      <c r="U354">
        <f>U252</f>
        <v/>
      </c>
      <c r="V354" t="n">
        <v>24800</v>
      </c>
      <c r="W354">
        <f>W252</f>
        <v/>
      </c>
      <c r="X354">
        <f>W252/I252</f>
        <v/>
      </c>
      <c r="Y354">
        <f>SUM(W252-U252)/U252</f>
        <v/>
      </c>
      <c r="Z354" t="inlineStr">
        <is>
          <t>B</t>
        </is>
      </c>
      <c r="AC354" t="inlineStr">
        <is>
          <t>No</t>
        </is>
      </c>
      <c r="AD354" t="inlineStr">
        <is>
          <t>To be refurbished.</t>
        </is>
      </c>
      <c r="AF354" t="n">
        <v>1</v>
      </c>
      <c r="AG354" t="n">
        <v>3</v>
      </c>
      <c r="AH354" t="inlineStr">
        <is>
          <t>LEM / RIB</t>
        </is>
      </c>
      <c r="AI354" t="inlineStr">
        <is>
          <t>Void</t>
        </is>
      </c>
    </row>
    <row r="355">
      <c r="A355" t="inlineStr">
        <is>
          <t xml:space="preserve">  Office</t>
        </is>
      </c>
      <c r="B355" t="inlineStr">
        <is>
          <t>SH</t>
        </is>
      </c>
      <c r="C355" t="inlineStr">
        <is>
          <t>MEL</t>
        </is>
      </c>
      <c r="D355" t="n">
        <v>550510</v>
      </c>
      <c r="E355" t="inlineStr">
        <is>
          <t>51-53 Margaret Street</t>
        </is>
      </c>
      <c r="F355" t="inlineStr">
        <is>
          <t>Second Floor (East)</t>
        </is>
      </c>
      <c r="G355" t="inlineStr">
        <is>
          <t>Office</t>
        </is>
      </c>
      <c r="H355" t="n">
        <v>615</v>
      </c>
      <c r="I355">
        <f>I253</f>
        <v/>
      </c>
      <c r="J355" t="n">
        <v>500</v>
      </c>
      <c r="K355" t="inlineStr">
        <is>
          <t>G. McGonagle &amp; I. Robertson</t>
        </is>
      </c>
      <c r="L355" s="869" t="n">
        <v>45092</v>
      </c>
      <c r="M355" s="869" t="n">
        <v>46918</v>
      </c>
      <c r="P355" s="869" t="n">
        <v>46187</v>
      </c>
      <c r="Q355" t="n">
        <v>35363</v>
      </c>
      <c r="R355">
        <f>R253</f>
        <v/>
      </c>
      <c r="T355" t="n">
        <v>32300</v>
      </c>
      <c r="U355">
        <f>U253</f>
        <v/>
      </c>
      <c r="V355" t="n">
        <v>35363</v>
      </c>
      <c r="W355">
        <f>W253</f>
        <v/>
      </c>
      <c r="X355">
        <f>W253/I253</f>
        <v/>
      </c>
      <c r="Y355">
        <f>SUM(W253-U253)/U253</f>
        <v/>
      </c>
      <c r="AC355" t="inlineStr">
        <is>
          <t>No</t>
        </is>
      </c>
      <c r="AD355" t="inlineStr">
        <is>
          <t>Tenant break on 6 months notice. 2 months rent free if not exercised.</t>
        </is>
      </c>
      <c r="AI355" t="inlineStr">
        <is>
          <t>Let</t>
        </is>
      </c>
    </row>
    <row r="356">
      <c r="A356" t="inlineStr">
        <is>
          <t xml:space="preserve">  Office</t>
        </is>
      </c>
      <c r="B356" t="inlineStr">
        <is>
          <t>SH</t>
        </is>
      </c>
      <c r="C356" t="inlineStr">
        <is>
          <t>MEL</t>
        </is>
      </c>
      <c r="D356" t="n">
        <v>550510</v>
      </c>
      <c r="E356" t="inlineStr">
        <is>
          <t>51-53 Margaret Street</t>
        </is>
      </c>
      <c r="F356" t="inlineStr">
        <is>
          <t>Second Floor (West)</t>
        </is>
      </c>
      <c r="G356" t="inlineStr">
        <is>
          <t>Office</t>
        </is>
      </c>
      <c r="H356" t="n">
        <v>500</v>
      </c>
      <c r="I356">
        <f>I254</f>
        <v/>
      </c>
      <c r="J356" t="n">
        <v>500</v>
      </c>
      <c r="K356" t="inlineStr">
        <is>
          <t>Vacant</t>
        </is>
      </c>
      <c r="N356" s="869" t="n">
        <v>43820</v>
      </c>
      <c r="Q356" t="n">
        <v>0</v>
      </c>
      <c r="R356">
        <f>R254</f>
        <v/>
      </c>
      <c r="T356" t="n">
        <v>26300</v>
      </c>
      <c r="U356">
        <f>U254</f>
        <v/>
      </c>
      <c r="V356" t="n">
        <v>27500</v>
      </c>
      <c r="W356">
        <f>W254</f>
        <v/>
      </c>
      <c r="X356">
        <f>W254/I254</f>
        <v/>
      </c>
      <c r="Y356">
        <f>SUM(W254-U254)/U254</f>
        <v/>
      </c>
      <c r="Z356" t="inlineStr">
        <is>
          <t>E</t>
        </is>
      </c>
      <c r="AC356" t="inlineStr">
        <is>
          <t>No</t>
        </is>
      </c>
      <c r="AD356" t="inlineStr">
        <is>
          <t>LEM marketing.</t>
        </is>
      </c>
      <c r="AE356" t="n">
        <v>58.5</v>
      </c>
      <c r="AF356" t="n">
        <v>1</v>
      </c>
      <c r="AG356" t="n">
        <v>4</v>
      </c>
      <c r="AH356" t="inlineStr">
        <is>
          <t>LEM / RIB</t>
        </is>
      </c>
      <c r="AI356" t="inlineStr">
        <is>
          <t>Void</t>
        </is>
      </c>
    </row>
    <row r="357">
      <c r="A357" t="inlineStr">
        <is>
          <t xml:space="preserve">  Office</t>
        </is>
      </c>
      <c r="B357" t="inlineStr">
        <is>
          <t>SH</t>
        </is>
      </c>
      <c r="C357" t="inlineStr">
        <is>
          <t>MEL</t>
        </is>
      </c>
      <c r="D357" t="n">
        <v>550510</v>
      </c>
      <c r="E357" t="inlineStr">
        <is>
          <t>51-53 Margaret Street</t>
        </is>
      </c>
      <c r="F357" t="inlineStr">
        <is>
          <t>Third Floor (West)</t>
        </is>
      </c>
      <c r="G357" t="inlineStr">
        <is>
          <t>Office</t>
        </is>
      </c>
      <c r="H357" t="n">
        <v>504</v>
      </c>
      <c r="I357">
        <f>I255</f>
        <v/>
      </c>
      <c r="J357" t="n">
        <v>500</v>
      </c>
      <c r="K357" t="inlineStr">
        <is>
          <t>Reishi Clinic Ltd</t>
        </is>
      </c>
      <c r="L357" s="869" t="n">
        <v>45601</v>
      </c>
      <c r="M357" s="869" t="n">
        <v>47426</v>
      </c>
      <c r="P357" s="869" t="n">
        <v>46330</v>
      </c>
      <c r="Q357" t="n">
        <v>28050</v>
      </c>
      <c r="R357">
        <f>R255</f>
        <v/>
      </c>
      <c r="T357" t="n">
        <v>26500</v>
      </c>
      <c r="U357">
        <f>U255</f>
        <v/>
      </c>
      <c r="V357" t="n">
        <v>27700</v>
      </c>
      <c r="W357">
        <f>W255</f>
        <v/>
      </c>
      <c r="X357">
        <f>W255/I255</f>
        <v/>
      </c>
      <c r="Y357">
        <f>SUM(W255-U255)/U255</f>
        <v/>
      </c>
      <c r="Z357" t="inlineStr">
        <is>
          <t>E</t>
        </is>
      </c>
      <c r="AC357" t="inlineStr">
        <is>
          <t>No</t>
        </is>
      </c>
      <c r="AD357" t="inlineStr">
        <is>
          <t>Tenant break on 6 months notice.</t>
        </is>
      </c>
      <c r="AI357" t="inlineStr">
        <is>
          <t>Let</t>
        </is>
      </c>
    </row>
    <row r="358">
      <c r="A358" t="inlineStr">
        <is>
          <t xml:space="preserve">  Office</t>
        </is>
      </c>
      <c r="B358" t="inlineStr">
        <is>
          <t>SH</t>
        </is>
      </c>
      <c r="C358" t="inlineStr">
        <is>
          <t>MEL</t>
        </is>
      </c>
      <c r="D358" t="n">
        <v>550510</v>
      </c>
      <c r="E358" t="inlineStr">
        <is>
          <t>51-53 Margaret Street</t>
        </is>
      </c>
      <c r="F358" t="inlineStr">
        <is>
          <t>Third Floor (East)</t>
        </is>
      </c>
      <c r="G358" t="inlineStr">
        <is>
          <t>Office</t>
        </is>
      </c>
      <c r="H358" t="n">
        <v>591</v>
      </c>
      <c r="I358">
        <f>I256</f>
        <v/>
      </c>
      <c r="J358" t="n">
        <v>500</v>
      </c>
      <c r="K358" t="inlineStr">
        <is>
          <t>Vacant</t>
        </is>
      </c>
      <c r="N358" s="869" t="n">
        <v>44119</v>
      </c>
      <c r="Q358" t="n">
        <v>0</v>
      </c>
      <c r="R358">
        <f>R256</f>
        <v/>
      </c>
      <c r="T358" t="n">
        <v>31000</v>
      </c>
      <c r="U358">
        <f>U256</f>
        <v/>
      </c>
      <c r="V358" t="n">
        <v>32500</v>
      </c>
      <c r="W358">
        <f>W256</f>
        <v/>
      </c>
      <c r="X358">
        <f>W256/I256</f>
        <v/>
      </c>
      <c r="Y358">
        <f>SUM(W256-U256)/U256</f>
        <v/>
      </c>
      <c r="Z358" t="inlineStr">
        <is>
          <t>E</t>
        </is>
      </c>
      <c r="AC358" t="inlineStr">
        <is>
          <t>No</t>
        </is>
      </c>
      <c r="AD358" t="inlineStr">
        <is>
          <t>LEM marketing.</t>
        </is>
      </c>
      <c r="AE358" t="n">
        <v>58.5</v>
      </c>
      <c r="AF358" t="n">
        <v>2</v>
      </c>
      <c r="AG358" t="n">
        <v>2</v>
      </c>
      <c r="AH358" t="inlineStr">
        <is>
          <t>LEM/LDG</t>
        </is>
      </c>
      <c r="AI358" t="inlineStr">
        <is>
          <t>Void</t>
        </is>
      </c>
    </row>
    <row r="359">
      <c r="A359" t="inlineStr">
        <is>
          <t xml:space="preserve">  Office</t>
        </is>
      </c>
      <c r="B359" t="inlineStr">
        <is>
          <t>SH</t>
        </is>
      </c>
      <c r="C359" t="inlineStr">
        <is>
          <t>MEL</t>
        </is>
      </c>
      <c r="D359" t="n">
        <v>550510</v>
      </c>
      <c r="E359" t="inlineStr">
        <is>
          <t>51-53 Margaret Street</t>
        </is>
      </c>
      <c r="F359" t="inlineStr">
        <is>
          <t>Fourth Floor (West)</t>
        </is>
      </c>
      <c r="G359" t="inlineStr">
        <is>
          <t>Office</t>
        </is>
      </c>
      <c r="H359" t="n">
        <v>450</v>
      </c>
      <c r="I359">
        <f>I257</f>
        <v/>
      </c>
      <c r="J359" t="n">
        <v>500</v>
      </c>
      <c r="K359" t="inlineStr">
        <is>
          <t>Vacant</t>
        </is>
      </c>
      <c r="N359" s="869" t="n">
        <v>43389</v>
      </c>
      <c r="Q359" t="n">
        <v>0</v>
      </c>
      <c r="R359">
        <f>R257</f>
        <v/>
      </c>
      <c r="T359" t="n">
        <v>23600</v>
      </c>
      <c r="U359">
        <f>U257</f>
        <v/>
      </c>
      <c r="V359" t="n">
        <v>24800</v>
      </c>
      <c r="W359">
        <f>W257</f>
        <v/>
      </c>
      <c r="X359">
        <f>W257/I257</f>
        <v/>
      </c>
      <c r="Y359">
        <f>SUM(W257-U257)/U257</f>
        <v/>
      </c>
      <c r="Z359" t="inlineStr">
        <is>
          <t>E</t>
        </is>
      </c>
      <c r="AC359" t="inlineStr">
        <is>
          <t>No</t>
        </is>
      </c>
      <c r="AD359" t="inlineStr">
        <is>
          <t>LEM marketing.</t>
        </is>
      </c>
      <c r="AE359" t="n">
        <v>58.5</v>
      </c>
      <c r="AF359" t="n">
        <v>1</v>
      </c>
      <c r="AG359" t="n">
        <v>1</v>
      </c>
      <c r="AI359" t="inlineStr">
        <is>
          <t>Void</t>
        </is>
      </c>
    </row>
    <row r="360">
      <c r="A360" t="inlineStr">
        <is>
          <t xml:space="preserve">  Office</t>
        </is>
      </c>
      <c r="B360" t="inlineStr">
        <is>
          <t>SH</t>
        </is>
      </c>
      <c r="C360" t="inlineStr">
        <is>
          <t>MEL</t>
        </is>
      </c>
      <c r="D360" t="n">
        <v>550510</v>
      </c>
      <c r="E360" t="inlineStr">
        <is>
          <t>51-53 Margaret Street</t>
        </is>
      </c>
      <c r="F360" t="inlineStr">
        <is>
          <t>Fourth Floor (East)</t>
        </is>
      </c>
      <c r="G360" t="inlineStr">
        <is>
          <t>Office</t>
        </is>
      </c>
      <c r="H360" t="n">
        <v>582</v>
      </c>
      <c r="I360">
        <f>I258</f>
        <v/>
      </c>
      <c r="J360" t="n">
        <v>500</v>
      </c>
      <c r="K360" t="inlineStr">
        <is>
          <t>MDB Sarl</t>
        </is>
      </c>
      <c r="L360" s="869" t="n">
        <v>45614</v>
      </c>
      <c r="M360" s="869" t="n">
        <v>46343</v>
      </c>
      <c r="Q360" t="n">
        <v>42282</v>
      </c>
      <c r="R360">
        <f>R258</f>
        <v/>
      </c>
      <c r="T360" t="n">
        <v>34000</v>
      </c>
      <c r="U360">
        <f>U258</f>
        <v/>
      </c>
      <c r="V360" t="n">
        <v>34000</v>
      </c>
      <c r="W360">
        <f>W258</f>
        <v/>
      </c>
      <c r="X360">
        <f>W258/I258</f>
        <v/>
      </c>
      <c r="Y360">
        <f>SUM(W258-U258)/U258</f>
        <v/>
      </c>
      <c r="Z360" t="inlineStr">
        <is>
          <t>E</t>
        </is>
      </c>
      <c r="AC360" t="inlineStr">
        <is>
          <t>No</t>
        </is>
      </c>
      <c r="AD360" t="inlineStr">
        <is>
          <t>All inclusive Service charge &amp; Insurance.</t>
        </is>
      </c>
      <c r="AI360" t="inlineStr">
        <is>
          <t>Let</t>
        </is>
      </c>
    </row>
    <row r="361"/>
    <row r="362">
      <c r="A362" s="868" t="inlineStr">
        <is>
          <t>63-64 Margaret Street</t>
        </is>
      </c>
    </row>
    <row r="363">
      <c r="A363" t="inlineStr">
        <is>
          <t xml:space="preserve">  Showroom/ Educational</t>
        </is>
      </c>
      <c r="B363" t="inlineStr">
        <is>
          <t>CM</t>
        </is>
      </c>
      <c r="C363" t="inlineStr">
        <is>
          <t>MEL</t>
        </is>
      </c>
      <c r="D363" t="n">
        <v>550610</v>
      </c>
      <c r="E363" t="inlineStr">
        <is>
          <t>63-64 Margaret Street</t>
        </is>
      </c>
      <c r="F363" t="inlineStr">
        <is>
          <t>Ground Floor &amp; Basement (East)</t>
        </is>
      </c>
      <c r="G363" t="inlineStr">
        <is>
          <t>Showroom/ Educational</t>
        </is>
      </c>
      <c r="H363" t="n">
        <v>2047</v>
      </c>
      <c r="I363">
        <f>I259</f>
        <v/>
      </c>
      <c r="J363" t="n">
        <v>2000</v>
      </c>
      <c r="K363" t="inlineStr">
        <is>
          <t>Apollo Galleries Limited</t>
        </is>
      </c>
      <c r="L363" s="869" t="n">
        <v>45100</v>
      </c>
      <c r="M363" s="869" t="n">
        <v>48752</v>
      </c>
      <c r="O363" s="869" t="n">
        <v>46926</v>
      </c>
      <c r="P363" s="869" t="n">
        <v>46195</v>
      </c>
      <c r="Q363" t="n">
        <v>105000</v>
      </c>
      <c r="R363">
        <f>R259</f>
        <v/>
      </c>
      <c r="T363" t="n">
        <v>100000</v>
      </c>
      <c r="U363">
        <f>U259</f>
        <v/>
      </c>
      <c r="V363" t="n">
        <v>105000</v>
      </c>
      <c r="W363">
        <f>W259</f>
        <v/>
      </c>
      <c r="X363">
        <f>W259/I259</f>
        <v/>
      </c>
      <c r="Y363">
        <f>SUM(W259-U259)/U259</f>
        <v/>
      </c>
      <c r="Z363" t="inlineStr">
        <is>
          <t>E</t>
        </is>
      </c>
      <c r="AC363" t="inlineStr">
        <is>
          <t>No</t>
        </is>
      </c>
      <c r="AD363" t="inlineStr">
        <is>
          <t>Tenant break on 6 months notice.</t>
        </is>
      </c>
      <c r="AI363" t="inlineStr">
        <is>
          <t>Let</t>
        </is>
      </c>
    </row>
    <row r="364">
      <c r="A364" t="inlineStr">
        <is>
          <t xml:space="preserve">  Retail</t>
        </is>
      </c>
      <c r="B364" t="inlineStr">
        <is>
          <t>CM</t>
        </is>
      </c>
      <c r="C364" t="inlineStr">
        <is>
          <t>MEL</t>
        </is>
      </c>
      <c r="D364" t="n">
        <v>550610</v>
      </c>
      <c r="E364" t="inlineStr">
        <is>
          <t>63-64 Margaret Street</t>
        </is>
      </c>
      <c r="F364" t="inlineStr">
        <is>
          <t>Ground  &amp; Basement (West) &amp; Rear Block</t>
        </is>
      </c>
      <c r="G364" t="inlineStr">
        <is>
          <t>Retail</t>
        </is>
      </c>
      <c r="H364" t="n">
        <v>2185</v>
      </c>
      <c r="I364">
        <f>I260</f>
        <v/>
      </c>
      <c r="J364" t="n">
        <v>2000</v>
      </c>
      <c r="K364" t="inlineStr">
        <is>
          <t>Margaret Howell Ltd</t>
        </is>
      </c>
      <c r="L364" s="869" t="n">
        <v>42655</v>
      </c>
      <c r="M364" s="869" t="n">
        <v>46306</v>
      </c>
      <c r="Q364" t="n">
        <v>100000</v>
      </c>
      <c r="R364">
        <f>R260</f>
        <v/>
      </c>
      <c r="T364" t="n">
        <v>90000</v>
      </c>
      <c r="U364">
        <f>U260</f>
        <v/>
      </c>
      <c r="V364" t="n">
        <v>100000</v>
      </c>
      <c r="W364">
        <f>W260</f>
        <v/>
      </c>
      <c r="X364">
        <f>W260/I260</f>
        <v/>
      </c>
      <c r="Y364">
        <f>SUM(W260-U260)/U260</f>
        <v/>
      </c>
      <c r="Z364" t="inlineStr">
        <is>
          <t>C</t>
        </is>
      </c>
      <c r="AC364" t="inlineStr">
        <is>
          <t>No</t>
        </is>
      </c>
      <c r="AD364" t="inlineStr">
        <is>
          <t xml:space="preserve">Tenant break on 6 months notice and a Landlord Redevelopment Break @ 01/09/22 on 6 months notice. Break not exercised. </t>
        </is>
      </c>
      <c r="AI364" t="inlineStr">
        <is>
          <t>Let</t>
        </is>
      </c>
    </row>
    <row r="365">
      <c r="A365" t="inlineStr">
        <is>
          <t xml:space="preserve">  Office</t>
        </is>
      </c>
      <c r="B365" t="inlineStr">
        <is>
          <t>CM</t>
        </is>
      </c>
      <c r="C365" t="inlineStr">
        <is>
          <t>MEL</t>
        </is>
      </c>
      <c r="D365" t="n">
        <v>550610</v>
      </c>
      <c r="E365" t="inlineStr">
        <is>
          <t>63-64 Margaret Street</t>
        </is>
      </c>
      <c r="F365" t="inlineStr">
        <is>
          <t>First Floor (East)</t>
        </is>
      </c>
      <c r="G365" t="inlineStr">
        <is>
          <t>Office</t>
        </is>
      </c>
      <c r="H365" t="n">
        <v>727</v>
      </c>
      <c r="I365">
        <f>I261</f>
        <v/>
      </c>
      <c r="J365" t="n">
        <v>250</v>
      </c>
      <c r="K365" t="inlineStr">
        <is>
          <t>Kipas London Ltd</t>
        </is>
      </c>
      <c r="L365" s="869" t="n">
        <v>44703</v>
      </c>
      <c r="M365" s="869" t="n">
        <v>46528</v>
      </c>
      <c r="Q365" t="n">
        <v>42350</v>
      </c>
      <c r="R365">
        <f>R261</f>
        <v/>
      </c>
      <c r="T365" t="n">
        <v>40000</v>
      </c>
      <c r="U365">
        <f>U261</f>
        <v/>
      </c>
      <c r="V365" t="n">
        <v>41800</v>
      </c>
      <c r="W365">
        <f>W261</f>
        <v/>
      </c>
      <c r="X365">
        <f>W261/I261</f>
        <v/>
      </c>
      <c r="Y365">
        <f>SUM(W261-U261)/U261</f>
        <v/>
      </c>
      <c r="Z365" t="inlineStr">
        <is>
          <t>D</t>
        </is>
      </c>
      <c r="AC365" t="inlineStr">
        <is>
          <t>No</t>
        </is>
      </c>
      <c r="AD365" t="inlineStr">
        <is>
          <t>Tenant break passed.</t>
        </is>
      </c>
      <c r="AI365" t="inlineStr">
        <is>
          <t>Let</t>
        </is>
      </c>
    </row>
    <row r="366">
      <c r="A366" t="inlineStr">
        <is>
          <t xml:space="preserve">  Office</t>
        </is>
      </c>
      <c r="B366" t="inlineStr">
        <is>
          <t>CM</t>
        </is>
      </c>
      <c r="C366" t="inlineStr">
        <is>
          <t>MEL</t>
        </is>
      </c>
      <c r="D366" t="n">
        <v>550610</v>
      </c>
      <c r="E366" t="inlineStr">
        <is>
          <t>63-64 Margaret Street</t>
        </is>
      </c>
      <c r="F366" t="inlineStr">
        <is>
          <t>First Floor (West) (Front)</t>
        </is>
      </c>
      <c r="G366" t="inlineStr">
        <is>
          <t>Office</t>
        </is>
      </c>
      <c r="H366" t="n">
        <v>710</v>
      </c>
      <c r="I366">
        <f>I262</f>
        <v/>
      </c>
      <c r="J366" t="n">
        <v>750</v>
      </c>
      <c r="K366" t="inlineStr">
        <is>
          <t>Staybrook Asset Management Ltd</t>
        </is>
      </c>
      <c r="L366" s="869" t="n">
        <v>45551</v>
      </c>
      <c r="M366" s="869" t="n">
        <v>46645</v>
      </c>
      <c r="P366" s="869" t="n">
        <v>46280</v>
      </c>
      <c r="Q366" t="n">
        <v>47250</v>
      </c>
      <c r="R366">
        <f>R262</f>
        <v/>
      </c>
      <c r="T366" t="n">
        <v>35000</v>
      </c>
      <c r="U366">
        <f>U262</f>
        <v/>
      </c>
      <c r="V366" t="n">
        <v>40800</v>
      </c>
      <c r="W366">
        <f>W262</f>
        <v/>
      </c>
      <c r="X366">
        <f>W262/I262</f>
        <v/>
      </c>
      <c r="Y366">
        <f>SUM(W262-U262)/U262</f>
        <v/>
      </c>
      <c r="Z366" t="inlineStr">
        <is>
          <t>D</t>
        </is>
      </c>
      <c r="AC366" t="inlineStr">
        <is>
          <t>No</t>
        </is>
      </c>
      <c r="AD366" t="inlineStr">
        <is>
          <t>Tenant break on 6 months notice. 1 month rent free if not exercised.</t>
        </is>
      </c>
      <c r="AI366" t="inlineStr">
        <is>
          <t>Let</t>
        </is>
      </c>
    </row>
    <row r="367">
      <c r="A367" t="inlineStr">
        <is>
          <t xml:space="preserve">  Office</t>
        </is>
      </c>
      <c r="B367" t="inlineStr">
        <is>
          <t>CM</t>
        </is>
      </c>
      <c r="C367" t="inlineStr">
        <is>
          <t>MEL</t>
        </is>
      </c>
      <c r="D367" t="n">
        <v>550610</v>
      </c>
      <c r="E367" t="inlineStr">
        <is>
          <t>63-64 Margaret Street</t>
        </is>
      </c>
      <c r="F367" t="inlineStr">
        <is>
          <t>First Floor (West) (Rear)</t>
        </is>
      </c>
      <c r="G367" t="inlineStr">
        <is>
          <t>Office</t>
        </is>
      </c>
      <c r="H367" t="n">
        <v>130</v>
      </c>
      <c r="I367">
        <f>I263</f>
        <v/>
      </c>
      <c r="J367" t="n">
        <v>250</v>
      </c>
      <c r="K367" t="inlineStr">
        <is>
          <t>Face2Face Counselling Services Ltd</t>
        </is>
      </c>
      <c r="L367" s="869" t="n">
        <v>45456</v>
      </c>
      <c r="M367" s="869" t="n">
        <v>47085</v>
      </c>
      <c r="P367" s="869" t="n">
        <v>46354</v>
      </c>
      <c r="Q367" t="n">
        <v>7320</v>
      </c>
      <c r="R367">
        <f>R263</f>
        <v/>
      </c>
      <c r="T367" t="n">
        <v>7000</v>
      </c>
      <c r="U367">
        <f>U263</f>
        <v/>
      </c>
      <c r="V367" t="n">
        <v>7360</v>
      </c>
      <c r="W367">
        <f>W263</f>
        <v/>
      </c>
      <c r="X367">
        <f>W263/I263</f>
        <v/>
      </c>
      <c r="Y367">
        <f>SUM(W263-U263)/U263</f>
        <v/>
      </c>
      <c r="Z367" t="inlineStr">
        <is>
          <t>D</t>
        </is>
      </c>
      <c r="AC367" t="inlineStr">
        <is>
          <t>No</t>
        </is>
      </c>
      <c r="AD367" t="inlineStr">
        <is>
          <t>Tenant break on 6 months notice.</t>
        </is>
      </c>
      <c r="AI367" t="inlineStr">
        <is>
          <t>Let</t>
        </is>
      </c>
    </row>
    <row r="368">
      <c r="A368" t="inlineStr">
        <is>
          <t xml:space="preserve">  Office</t>
        </is>
      </c>
      <c r="B368" t="inlineStr">
        <is>
          <t>CM</t>
        </is>
      </c>
      <c r="C368" t="inlineStr">
        <is>
          <t>MEL</t>
        </is>
      </c>
      <c r="D368" t="n">
        <v>550610</v>
      </c>
      <c r="E368" t="inlineStr">
        <is>
          <t>63-64 Margaret Street</t>
        </is>
      </c>
      <c r="F368" t="inlineStr">
        <is>
          <t>Second Floor (East)</t>
        </is>
      </c>
      <c r="G368" t="inlineStr">
        <is>
          <t>Office</t>
        </is>
      </c>
      <c r="H368" t="n">
        <v>710</v>
      </c>
      <c r="I368">
        <f>I264</f>
        <v/>
      </c>
      <c r="J368" t="n">
        <v>750</v>
      </c>
      <c r="K368" t="inlineStr">
        <is>
          <t>Cihangir Group Limited.</t>
        </is>
      </c>
      <c r="L368" s="869" t="n">
        <v>45253</v>
      </c>
      <c r="M368" s="869" t="n">
        <v>46348</v>
      </c>
      <c r="Q368" t="n">
        <v>42350</v>
      </c>
      <c r="R368">
        <f>R264</f>
        <v/>
      </c>
      <c r="T368" t="n">
        <v>38700</v>
      </c>
      <c r="U368">
        <f>U264</f>
        <v/>
      </c>
      <c r="V368" t="n">
        <v>40800</v>
      </c>
      <c r="W368">
        <f>W264</f>
        <v/>
      </c>
      <c r="X368">
        <f>W264/I264</f>
        <v/>
      </c>
      <c r="Y368">
        <f>SUM(W264-U264)/U264</f>
        <v/>
      </c>
      <c r="Z368" t="inlineStr">
        <is>
          <t>D</t>
        </is>
      </c>
      <c r="AC368" t="inlineStr">
        <is>
          <t>No</t>
        </is>
      </c>
      <c r="AF368" t="n">
        <v>1</v>
      </c>
      <c r="AG368" t="n">
        <v>1</v>
      </c>
      <c r="AI368" t="inlineStr">
        <is>
          <t>Let</t>
        </is>
      </c>
    </row>
    <row r="369">
      <c r="A369" t="inlineStr">
        <is>
          <t xml:space="preserve">  Office</t>
        </is>
      </c>
      <c r="B369" t="inlineStr">
        <is>
          <t>CM</t>
        </is>
      </c>
      <c r="C369" t="inlineStr">
        <is>
          <t>MEL</t>
        </is>
      </c>
      <c r="D369" t="n">
        <v>550610</v>
      </c>
      <c r="E369" t="inlineStr">
        <is>
          <t>63-64 Margaret Street</t>
        </is>
      </c>
      <c r="F369" t="inlineStr">
        <is>
          <t>Second Floor (Rear)</t>
        </is>
      </c>
      <c r="G369" t="inlineStr">
        <is>
          <t>Office</t>
        </is>
      </c>
      <c r="H369" t="n">
        <v>130</v>
      </c>
      <c r="I369">
        <f>I265</f>
        <v/>
      </c>
      <c r="J369" t="n">
        <v>250</v>
      </c>
      <c r="K369" t="inlineStr">
        <is>
          <t>Face2Face Counselling Services Ltd</t>
        </is>
      </c>
      <c r="L369" s="869" t="n">
        <v>45259</v>
      </c>
      <c r="M369" s="869" t="n">
        <v>47085</v>
      </c>
      <c r="P369" s="869" t="n">
        <v>46354</v>
      </c>
      <c r="Q369" t="n">
        <v>7320</v>
      </c>
      <c r="R369">
        <f>R265</f>
        <v/>
      </c>
      <c r="T369" t="n">
        <v>6300</v>
      </c>
      <c r="U369">
        <f>U265</f>
        <v/>
      </c>
      <c r="V369" t="n">
        <v>7500</v>
      </c>
      <c r="W369">
        <f>W265</f>
        <v/>
      </c>
      <c r="X369">
        <f>W265/I265</f>
        <v/>
      </c>
      <c r="Y369">
        <f>SUM(W265-U265)/U265</f>
        <v/>
      </c>
      <c r="Z369" t="inlineStr">
        <is>
          <t>D</t>
        </is>
      </c>
      <c r="AC369" t="inlineStr">
        <is>
          <t>No</t>
        </is>
      </c>
      <c r="AD369" t="inlineStr">
        <is>
          <t>Tenant break on 6 months notice.</t>
        </is>
      </c>
      <c r="AI369" t="inlineStr">
        <is>
          <t>Let</t>
        </is>
      </c>
    </row>
    <row r="370">
      <c r="A370" t="inlineStr">
        <is>
          <t xml:space="preserve">  Office</t>
        </is>
      </c>
      <c r="B370" t="inlineStr">
        <is>
          <t>CM</t>
        </is>
      </c>
      <c r="C370" t="inlineStr">
        <is>
          <t>MEL</t>
        </is>
      </c>
      <c r="D370" t="n">
        <v>550610</v>
      </c>
      <c r="E370" t="inlineStr">
        <is>
          <t>63-64 Margaret Street</t>
        </is>
      </c>
      <c r="F370" t="inlineStr">
        <is>
          <t>Second Floor (West)</t>
        </is>
      </c>
      <c r="G370" t="inlineStr">
        <is>
          <t>Office</t>
        </is>
      </c>
      <c r="H370" t="n">
        <v>727</v>
      </c>
      <c r="I370">
        <f>I266</f>
        <v/>
      </c>
      <c r="J370" t="n">
        <v>750</v>
      </c>
      <c r="K370" t="inlineStr">
        <is>
          <t>Vacant</t>
        </is>
      </c>
      <c r="N370" s="869" t="n">
        <v>43080</v>
      </c>
      <c r="Q370" t="n">
        <v>0</v>
      </c>
      <c r="R370">
        <f>R266</f>
        <v/>
      </c>
      <c r="T370" t="n">
        <v>35000</v>
      </c>
      <c r="U370">
        <f>U266</f>
        <v/>
      </c>
      <c r="V370" t="n">
        <v>41800</v>
      </c>
      <c r="W370">
        <f>W266</f>
        <v/>
      </c>
      <c r="X370">
        <f>W266/I266</f>
        <v/>
      </c>
      <c r="Y370">
        <f>SUM(W266-U266)/U266</f>
        <v/>
      </c>
      <c r="Z370" t="inlineStr">
        <is>
          <t>D</t>
        </is>
      </c>
      <c r="AC370" t="inlineStr">
        <is>
          <t>No</t>
        </is>
      </c>
      <c r="AD370" t="inlineStr">
        <is>
          <t>To be refurbished.</t>
        </is>
      </c>
      <c r="AE370" t="n">
        <v>62.5</v>
      </c>
      <c r="AF370" t="n">
        <v>1</v>
      </c>
      <c r="AG370" t="n">
        <v>1</v>
      </c>
      <c r="AI370" t="inlineStr">
        <is>
          <t>Void</t>
        </is>
      </c>
    </row>
    <row r="371">
      <c r="A371" t="inlineStr">
        <is>
          <t xml:space="preserve">  Office</t>
        </is>
      </c>
      <c r="B371" t="inlineStr">
        <is>
          <t>CM</t>
        </is>
      </c>
      <c r="C371" t="inlineStr">
        <is>
          <t>MEL</t>
        </is>
      </c>
      <c r="D371" t="n">
        <v>550610</v>
      </c>
      <c r="E371" t="inlineStr">
        <is>
          <t>63-64 Margaret Street</t>
        </is>
      </c>
      <c r="F371" t="inlineStr">
        <is>
          <t>Third Floor (East)</t>
        </is>
      </c>
      <c r="G371" t="inlineStr">
        <is>
          <t>Office</t>
        </is>
      </c>
      <c r="H371" t="n">
        <v>760</v>
      </c>
      <c r="I371">
        <f>I267</f>
        <v/>
      </c>
      <c r="J371" t="n">
        <v>750</v>
      </c>
      <c r="K371" t="inlineStr">
        <is>
          <t>Vacant</t>
        </is>
      </c>
      <c r="N371" s="869" t="n">
        <v>43593</v>
      </c>
      <c r="Q371" t="n">
        <v>0</v>
      </c>
      <c r="R371">
        <f>R267</f>
        <v/>
      </c>
      <c r="T371" t="n">
        <v>40000</v>
      </c>
      <c r="U371">
        <f>U267</f>
        <v/>
      </c>
      <c r="V371" t="n">
        <v>43700</v>
      </c>
      <c r="W371">
        <f>W267</f>
        <v/>
      </c>
      <c r="X371">
        <f>W267/I267</f>
        <v/>
      </c>
      <c r="Y371">
        <f>SUM(W267-U267)/U267</f>
        <v/>
      </c>
      <c r="Z371" t="inlineStr">
        <is>
          <t>D</t>
        </is>
      </c>
      <c r="AC371" t="inlineStr">
        <is>
          <t>No</t>
        </is>
      </c>
      <c r="AD371" t="inlineStr">
        <is>
          <t>To be refurbished.</t>
        </is>
      </c>
      <c r="AE371" t="n">
        <v>62.5</v>
      </c>
      <c r="AF371" t="n">
        <v>4</v>
      </c>
      <c r="AG371" t="n">
        <v>5</v>
      </c>
      <c r="AH371" t="inlineStr">
        <is>
          <t>LEM</t>
        </is>
      </c>
      <c r="AI371" t="inlineStr">
        <is>
          <t>Void</t>
        </is>
      </c>
    </row>
    <row r="372">
      <c r="A372" t="inlineStr">
        <is>
          <t xml:space="preserve">  Office</t>
        </is>
      </c>
      <c r="B372" t="inlineStr">
        <is>
          <t>CM</t>
        </is>
      </c>
      <c r="C372" t="inlineStr">
        <is>
          <t>MEL</t>
        </is>
      </c>
      <c r="D372" t="n">
        <v>550610</v>
      </c>
      <c r="E372" t="inlineStr">
        <is>
          <t>63-64 Margaret Street</t>
        </is>
      </c>
      <c r="F372" t="inlineStr">
        <is>
          <t>Third Floor (West)</t>
        </is>
      </c>
      <c r="G372" t="inlineStr">
        <is>
          <t>Office</t>
        </is>
      </c>
      <c r="H372" t="n">
        <v>666</v>
      </c>
      <c r="I372">
        <f>I268</f>
        <v/>
      </c>
      <c r="J372" t="n">
        <v>750</v>
      </c>
      <c r="K372" t="inlineStr">
        <is>
          <t>Vacant</t>
        </is>
      </c>
      <c r="N372" s="869" t="n">
        <v>42905</v>
      </c>
      <c r="Q372" t="n">
        <v>0</v>
      </c>
      <c r="R372">
        <f>R268</f>
        <v/>
      </c>
      <c r="T372" t="n">
        <v>35000</v>
      </c>
      <c r="U372">
        <f>U268</f>
        <v/>
      </c>
      <c r="V372" t="n">
        <v>38300</v>
      </c>
      <c r="W372">
        <f>W268</f>
        <v/>
      </c>
      <c r="X372">
        <f>W268/I268</f>
        <v/>
      </c>
      <c r="Y372">
        <f>SUM(W268-U268)/U268</f>
        <v/>
      </c>
      <c r="Z372" t="inlineStr">
        <is>
          <t>D</t>
        </is>
      </c>
      <c r="AC372" t="inlineStr">
        <is>
          <t>No</t>
        </is>
      </c>
      <c r="AD372" t="inlineStr">
        <is>
          <t>To be refurbished.</t>
        </is>
      </c>
      <c r="AE372" t="n">
        <v>62.5</v>
      </c>
      <c r="AF372" t="n">
        <v>0</v>
      </c>
      <c r="AG372" t="n">
        <v>1</v>
      </c>
      <c r="AH372" t="inlineStr">
        <is>
          <t>LEM</t>
        </is>
      </c>
      <c r="AI372" t="inlineStr">
        <is>
          <t>Void</t>
        </is>
      </c>
    </row>
    <row r="373">
      <c r="A373" t="inlineStr">
        <is>
          <t xml:space="preserve">  Office</t>
        </is>
      </c>
      <c r="B373" t="inlineStr">
        <is>
          <t>CM</t>
        </is>
      </c>
      <c r="C373" t="inlineStr">
        <is>
          <t>MEL</t>
        </is>
      </c>
      <c r="D373" t="n">
        <v>550610</v>
      </c>
      <c r="E373" t="inlineStr">
        <is>
          <t>63-64 Margaret Street</t>
        </is>
      </c>
      <c r="F373" t="inlineStr">
        <is>
          <t>Fourth Floor (East)</t>
        </is>
      </c>
      <c r="G373" t="inlineStr">
        <is>
          <t>Office</t>
        </is>
      </c>
      <c r="H373" t="n">
        <v>767</v>
      </c>
      <c r="I373">
        <f>I269</f>
        <v/>
      </c>
      <c r="J373" t="n">
        <v>750</v>
      </c>
      <c r="K373" t="inlineStr">
        <is>
          <t>Vacant</t>
        </is>
      </c>
      <c r="N373" s="869" t="n">
        <v>45719</v>
      </c>
      <c r="Q373" t="n">
        <v>0</v>
      </c>
      <c r="R373">
        <f>R269</f>
        <v/>
      </c>
      <c r="T373" t="n">
        <v>40000</v>
      </c>
      <c r="U373">
        <f>U269</f>
        <v/>
      </c>
      <c r="V373" t="n">
        <v>44100</v>
      </c>
      <c r="W373">
        <f>W269</f>
        <v/>
      </c>
      <c r="X373">
        <f>W269/I269</f>
        <v/>
      </c>
      <c r="Y373">
        <f>SUM(W269-U269)/U269</f>
        <v/>
      </c>
      <c r="Z373" t="inlineStr">
        <is>
          <t>D</t>
        </is>
      </c>
      <c r="AC373" t="inlineStr">
        <is>
          <t>No</t>
        </is>
      </c>
      <c r="AD373" t="inlineStr">
        <is>
          <t>To be refurbished.</t>
        </is>
      </c>
      <c r="AG373" t="n">
        <v>1</v>
      </c>
      <c r="AI373" t="inlineStr">
        <is>
          <t>Void</t>
        </is>
      </c>
    </row>
    <row r="374">
      <c r="A374" t="inlineStr">
        <is>
          <t xml:space="preserve">  Office</t>
        </is>
      </c>
      <c r="B374" t="inlineStr">
        <is>
          <t>CM</t>
        </is>
      </c>
      <c r="C374" t="inlineStr">
        <is>
          <t>MEL</t>
        </is>
      </c>
      <c r="D374" t="n">
        <v>550610</v>
      </c>
      <c r="E374" t="inlineStr">
        <is>
          <t>63-64 Margaret Street</t>
        </is>
      </c>
      <c r="F374" t="inlineStr">
        <is>
          <t>Fourth Floor (West)</t>
        </is>
      </c>
      <c r="G374" t="inlineStr">
        <is>
          <t>Office</t>
        </is>
      </c>
      <c r="H374" t="n">
        <v>645</v>
      </c>
      <c r="I374">
        <f>I270</f>
        <v/>
      </c>
      <c r="J374" t="n">
        <v>750</v>
      </c>
      <c r="K374" t="inlineStr">
        <is>
          <t>Vacant</t>
        </is>
      </c>
      <c r="N374" s="869" t="n">
        <v>44263</v>
      </c>
      <c r="Q374" t="n">
        <v>0</v>
      </c>
      <c r="R374">
        <f>R270</f>
        <v/>
      </c>
      <c r="T374" t="n">
        <v>35000</v>
      </c>
      <c r="U374">
        <f>U270</f>
        <v/>
      </c>
      <c r="V374" t="n">
        <v>37100</v>
      </c>
      <c r="W374">
        <f>W270</f>
        <v/>
      </c>
      <c r="X374">
        <f>W270/I270</f>
        <v/>
      </c>
      <c r="Y374">
        <f>SUM(W270-U270)/U270</f>
        <v/>
      </c>
      <c r="Z374" t="inlineStr">
        <is>
          <t>D</t>
        </is>
      </c>
      <c r="AC374" t="inlineStr">
        <is>
          <t>No</t>
        </is>
      </c>
      <c r="AD374" t="inlineStr">
        <is>
          <t>To be refurbished.</t>
        </is>
      </c>
      <c r="AE374" t="n">
        <v>60</v>
      </c>
      <c r="AI374" t="inlineStr">
        <is>
          <t>Void</t>
        </is>
      </c>
    </row>
    <row r="375">
      <c r="A375" t="inlineStr">
        <is>
          <t xml:space="preserve">  Office</t>
        </is>
      </c>
      <c r="B375" t="inlineStr">
        <is>
          <t>CM</t>
        </is>
      </c>
      <c r="C375" t="inlineStr">
        <is>
          <t>MEL</t>
        </is>
      </c>
      <c r="D375" t="n">
        <v>550610</v>
      </c>
      <c r="E375" t="inlineStr">
        <is>
          <t>63-64 Margaret Street</t>
        </is>
      </c>
      <c r="F375" t="inlineStr">
        <is>
          <t>Fifth Floor (East)</t>
        </is>
      </c>
      <c r="G375" t="inlineStr">
        <is>
          <t>Office</t>
        </is>
      </c>
      <c r="H375" t="n">
        <v>767</v>
      </c>
      <c r="I375">
        <f>I271</f>
        <v/>
      </c>
      <c r="J375" t="n">
        <v>750</v>
      </c>
      <c r="K375" t="inlineStr">
        <is>
          <t>Vacant</t>
        </is>
      </c>
      <c r="N375" s="869" t="n">
        <v>44263</v>
      </c>
      <c r="Q375" t="n">
        <v>0</v>
      </c>
      <c r="R375">
        <f>R271</f>
        <v/>
      </c>
      <c r="T375" t="n">
        <v>40000</v>
      </c>
      <c r="U375">
        <f>U271</f>
        <v/>
      </c>
      <c r="V375" t="n">
        <v>44100</v>
      </c>
      <c r="W375">
        <f>W271</f>
        <v/>
      </c>
      <c r="X375">
        <f>W271/I271</f>
        <v/>
      </c>
      <c r="Y375">
        <f>SUM(W271-U271)/U271</f>
        <v/>
      </c>
      <c r="Z375" t="inlineStr">
        <is>
          <t>D</t>
        </is>
      </c>
      <c r="AC375" t="inlineStr">
        <is>
          <t>No</t>
        </is>
      </c>
      <c r="AD375" t="inlineStr">
        <is>
          <t>To be refurbished.</t>
        </is>
      </c>
      <c r="AE375" t="n">
        <v>60</v>
      </c>
      <c r="AI375" t="inlineStr">
        <is>
          <t>Void</t>
        </is>
      </c>
    </row>
    <row r="376">
      <c r="A376" t="inlineStr">
        <is>
          <t xml:space="preserve">  Office</t>
        </is>
      </c>
      <c r="B376" t="inlineStr">
        <is>
          <t>CM</t>
        </is>
      </c>
      <c r="C376" t="inlineStr">
        <is>
          <t>MEL</t>
        </is>
      </c>
      <c r="D376" t="n">
        <v>550610</v>
      </c>
      <c r="E376" t="inlineStr">
        <is>
          <t>63-64 Margaret Street</t>
        </is>
      </c>
      <c r="F376" t="inlineStr">
        <is>
          <t>Fifth Floor (West)</t>
        </is>
      </c>
      <c r="G376" t="inlineStr">
        <is>
          <t>Office</t>
        </is>
      </c>
      <c r="H376" t="n">
        <v>534</v>
      </c>
      <c r="I376">
        <f>I272</f>
        <v/>
      </c>
      <c r="J376" t="n">
        <v>500</v>
      </c>
      <c r="K376" t="inlineStr">
        <is>
          <t>Vacant</t>
        </is>
      </c>
      <c r="N376" s="869" t="n">
        <v>43061</v>
      </c>
      <c r="Q376" t="n">
        <v>0</v>
      </c>
      <c r="R376">
        <f>R272</f>
        <v/>
      </c>
      <c r="T376" t="n">
        <v>30500</v>
      </c>
      <c r="U376">
        <f>U272</f>
        <v/>
      </c>
      <c r="V376" t="n">
        <v>30700</v>
      </c>
      <c r="W376">
        <f>W272</f>
        <v/>
      </c>
      <c r="X376">
        <f>W272/I272</f>
        <v/>
      </c>
      <c r="Y376">
        <f>SUM(W272-U272)/U272</f>
        <v/>
      </c>
      <c r="Z376" t="inlineStr">
        <is>
          <t>D</t>
        </is>
      </c>
      <c r="AC376" t="inlineStr">
        <is>
          <t>No</t>
        </is>
      </c>
      <c r="AD376" t="inlineStr">
        <is>
          <t>To be refurbished.</t>
        </is>
      </c>
      <c r="AE376" t="n">
        <v>60</v>
      </c>
      <c r="AI376" t="inlineStr">
        <is>
          <t>Void</t>
        </is>
      </c>
    </row>
    <row r="377"/>
    <row r="378">
      <c r="A378" s="868" t="inlineStr">
        <is>
          <t>65 Margaret Street</t>
        </is>
      </c>
    </row>
    <row r="379">
      <c r="A379" t="inlineStr">
        <is>
          <t xml:space="preserve">  A1/D1</t>
        </is>
      </c>
      <c r="B379" t="inlineStr">
        <is>
          <t>CM</t>
        </is>
      </c>
      <c r="C379" t="inlineStr">
        <is>
          <t>MEL</t>
        </is>
      </c>
      <c r="D379" t="n">
        <v>550620</v>
      </c>
      <c r="E379" t="inlineStr">
        <is>
          <t>65 Margaret Street</t>
        </is>
      </c>
      <c r="F379" t="inlineStr">
        <is>
          <t>Ground Floor &amp; Basement</t>
        </is>
      </c>
      <c r="G379" t="inlineStr">
        <is>
          <t>A1/D1</t>
        </is>
      </c>
      <c r="H379" t="n">
        <v>930</v>
      </c>
      <c r="I379">
        <f>I273</f>
        <v/>
      </c>
      <c r="J379" t="n">
        <v>1000</v>
      </c>
      <c r="K379" t="inlineStr">
        <is>
          <t>Advanced Beauty Medical Clinics Ltd</t>
        </is>
      </c>
      <c r="L379" s="869" t="n">
        <v>45588</v>
      </c>
      <c r="M379" s="869" t="n">
        <v>46132</v>
      </c>
      <c r="Q379" t="n">
        <v>46500</v>
      </c>
      <c r="R379">
        <f>R273</f>
        <v/>
      </c>
      <c r="T379" t="n">
        <v>45350</v>
      </c>
      <c r="U379">
        <f>U273</f>
        <v/>
      </c>
      <c r="V379" t="n">
        <v>45350</v>
      </c>
      <c r="W379">
        <f>W273</f>
        <v/>
      </c>
      <c r="X379">
        <f>W273/I273</f>
        <v/>
      </c>
      <c r="Y379">
        <f>SUM(W273-U273)/U273</f>
        <v/>
      </c>
      <c r="Z379" t="inlineStr">
        <is>
          <t>B</t>
        </is>
      </c>
      <c r="AC379" t="inlineStr">
        <is>
          <t>No</t>
        </is>
      </c>
      <c r="AI379" t="inlineStr">
        <is>
          <t>Let</t>
        </is>
      </c>
    </row>
    <row r="380">
      <c r="A380" t="inlineStr">
        <is>
          <t xml:space="preserve">  Office</t>
        </is>
      </c>
      <c r="B380" t="inlineStr">
        <is>
          <t>CM</t>
        </is>
      </c>
      <c r="C380" t="inlineStr">
        <is>
          <t>MEL</t>
        </is>
      </c>
      <c r="D380" t="n">
        <v>550620</v>
      </c>
      <c r="E380" t="inlineStr">
        <is>
          <t>65 Margaret Street</t>
        </is>
      </c>
      <c r="F380" t="inlineStr">
        <is>
          <t>First Floor</t>
        </is>
      </c>
      <c r="G380" t="inlineStr">
        <is>
          <t>Office</t>
        </is>
      </c>
      <c r="H380" t="n">
        <v>360</v>
      </c>
      <c r="I380">
        <f>I274</f>
        <v/>
      </c>
      <c r="J380" t="n">
        <v>250</v>
      </c>
      <c r="K380" t="inlineStr">
        <is>
          <t>Advanced Beauty Medical Clinics Ltd</t>
        </is>
      </c>
      <c r="L380" s="869" t="n">
        <v>44307</v>
      </c>
      <c r="M380" s="869" t="n">
        <v>46132</v>
      </c>
      <c r="Q380" t="n">
        <v>18500</v>
      </c>
      <c r="R380">
        <f>R274</f>
        <v/>
      </c>
      <c r="T380" t="n">
        <v>20200</v>
      </c>
      <c r="U380">
        <f>U274</f>
        <v/>
      </c>
      <c r="V380" t="n">
        <v>20700</v>
      </c>
      <c r="W380">
        <f>W274</f>
        <v/>
      </c>
      <c r="X380">
        <f>W274/I274</f>
        <v/>
      </c>
      <c r="Y380">
        <f>SUM(W274-U274)/U274</f>
        <v/>
      </c>
      <c r="Z380" t="inlineStr">
        <is>
          <t>D</t>
        </is>
      </c>
      <c r="AC380" t="inlineStr">
        <is>
          <t>No</t>
        </is>
      </c>
      <c r="AI380" t="inlineStr">
        <is>
          <t>Let</t>
        </is>
      </c>
    </row>
    <row r="381">
      <c r="A381" t="inlineStr">
        <is>
          <t xml:space="preserve">  Office</t>
        </is>
      </c>
      <c r="B381" t="inlineStr">
        <is>
          <t>CM</t>
        </is>
      </c>
      <c r="C381" t="inlineStr">
        <is>
          <t>MEL</t>
        </is>
      </c>
      <c r="D381" t="n">
        <v>550620</v>
      </c>
      <c r="E381" t="inlineStr">
        <is>
          <t>65 Margaret Street</t>
        </is>
      </c>
      <c r="F381" t="inlineStr">
        <is>
          <t>Second Floor</t>
        </is>
      </c>
      <c r="G381" t="inlineStr">
        <is>
          <t>Office</t>
        </is>
      </c>
      <c r="H381" t="n">
        <v>375</v>
      </c>
      <c r="I381">
        <f>I275</f>
        <v/>
      </c>
      <c r="J381" t="n">
        <v>500</v>
      </c>
      <c r="K381" t="inlineStr">
        <is>
          <t>Vacant</t>
        </is>
      </c>
      <c r="N381" s="869" t="n">
        <v>45407</v>
      </c>
      <c r="Q381" t="n">
        <v>0</v>
      </c>
      <c r="R381">
        <f>R275</f>
        <v/>
      </c>
      <c r="T381" t="n">
        <v>21000</v>
      </c>
      <c r="U381">
        <f>U275</f>
        <v/>
      </c>
      <c r="V381" t="n">
        <v>21600</v>
      </c>
      <c r="W381">
        <f>W275</f>
        <v/>
      </c>
      <c r="X381">
        <f>W275/I275</f>
        <v/>
      </c>
      <c r="Y381">
        <f>SUM(W275-U275)/U275</f>
        <v/>
      </c>
      <c r="Z381" t="inlineStr">
        <is>
          <t>D</t>
        </is>
      </c>
      <c r="AC381" t="inlineStr">
        <is>
          <t>No</t>
        </is>
      </c>
      <c r="AD381" t="inlineStr">
        <is>
          <t>To be refurbished.</t>
        </is>
      </c>
      <c r="AF381" t="n">
        <v>4</v>
      </c>
      <c r="AG381" t="n">
        <v>8</v>
      </c>
      <c r="AI381" t="inlineStr">
        <is>
          <t>Void</t>
        </is>
      </c>
    </row>
    <row r="382">
      <c r="A382" t="inlineStr">
        <is>
          <t xml:space="preserve">  Office</t>
        </is>
      </c>
      <c r="B382" t="inlineStr">
        <is>
          <t>CM</t>
        </is>
      </c>
      <c r="C382" t="inlineStr">
        <is>
          <t>MEL</t>
        </is>
      </c>
      <c r="D382" t="n">
        <v>550620</v>
      </c>
      <c r="E382" t="inlineStr">
        <is>
          <t>65 Margaret Street</t>
        </is>
      </c>
      <c r="F382" t="inlineStr">
        <is>
          <t>Third Floor</t>
        </is>
      </c>
      <c r="G382" t="inlineStr">
        <is>
          <t>Office</t>
        </is>
      </c>
      <c r="H382" t="n">
        <v>350</v>
      </c>
      <c r="I382">
        <f>I276</f>
        <v/>
      </c>
      <c r="J382" t="n">
        <v>500</v>
      </c>
      <c r="K382" t="inlineStr">
        <is>
          <t>Leap Productions Limited</t>
        </is>
      </c>
      <c r="L382" s="869" t="n">
        <v>44974</v>
      </c>
      <c r="M382" s="869" t="n">
        <v>46799</v>
      </c>
      <c r="P382" s="869" t="n">
        <v>46069</v>
      </c>
      <c r="Q382" t="n">
        <v>19600</v>
      </c>
      <c r="R382">
        <f>R276</f>
        <v/>
      </c>
      <c r="T382" t="n">
        <v>19600</v>
      </c>
      <c r="U382">
        <f>U276</f>
        <v/>
      </c>
      <c r="V382" t="n">
        <v>20100</v>
      </c>
      <c r="W382">
        <f>W276</f>
        <v/>
      </c>
      <c r="X382">
        <f>W276/I276</f>
        <v/>
      </c>
      <c r="Y382">
        <f>SUM(W276-U276)/U276</f>
        <v/>
      </c>
      <c r="Z382" t="inlineStr">
        <is>
          <t>D</t>
        </is>
      </c>
      <c r="AC382" t="inlineStr">
        <is>
          <t>No</t>
        </is>
      </c>
      <c r="AD382" t="inlineStr">
        <is>
          <t>Tenant break on 6 months notice.</t>
        </is>
      </c>
      <c r="AI382" t="inlineStr">
        <is>
          <t>Let</t>
        </is>
      </c>
    </row>
    <row r="383">
      <c r="A383" t="inlineStr">
        <is>
          <t xml:space="preserve">  Office</t>
        </is>
      </c>
      <c r="B383" t="inlineStr">
        <is>
          <t>CM</t>
        </is>
      </c>
      <c r="C383" t="inlineStr">
        <is>
          <t>MEL</t>
        </is>
      </c>
      <c r="D383" t="n">
        <v>550620</v>
      </c>
      <c r="E383" t="inlineStr">
        <is>
          <t>65 Margaret Street</t>
        </is>
      </c>
      <c r="F383" t="inlineStr">
        <is>
          <t>Fourth Floor</t>
        </is>
      </c>
      <c r="G383" t="inlineStr">
        <is>
          <t>Office</t>
        </is>
      </c>
      <c r="H383" t="n">
        <v>350</v>
      </c>
      <c r="I383">
        <f>I277</f>
        <v/>
      </c>
      <c r="J383" t="n">
        <v>500</v>
      </c>
      <c r="K383" t="inlineStr">
        <is>
          <t>Philips Lockhart Ltd.</t>
        </is>
      </c>
      <c r="L383" s="869" t="n">
        <v>45359</v>
      </c>
      <c r="M383" s="869" t="n">
        <v>46453</v>
      </c>
      <c r="P383" s="869" t="n">
        <v>45907</v>
      </c>
      <c r="Q383" t="n">
        <v>19600</v>
      </c>
      <c r="R383">
        <f>R277</f>
        <v/>
      </c>
      <c r="T383" t="n">
        <v>17500</v>
      </c>
      <c r="U383">
        <f>U277</f>
        <v/>
      </c>
      <c r="V383" t="n">
        <v>19600</v>
      </c>
      <c r="W383">
        <f>W277</f>
        <v/>
      </c>
      <c r="X383">
        <f>W277/I277</f>
        <v/>
      </c>
      <c r="Y383">
        <f>SUM(W277-U277)/U277</f>
        <v/>
      </c>
      <c r="Z383" t="inlineStr">
        <is>
          <t>D</t>
        </is>
      </c>
      <c r="AC383" t="inlineStr">
        <is>
          <t>No</t>
        </is>
      </c>
      <c r="AD383" t="inlineStr">
        <is>
          <t>Tenant break on 6 months notice. 2 months rent free at 08/09/25 if break not exercised.</t>
        </is>
      </c>
      <c r="AI383" t="inlineStr">
        <is>
          <t>Let</t>
        </is>
      </c>
    </row>
    <row r="384">
      <c r="A384" t="inlineStr">
        <is>
          <t xml:space="preserve">  Office</t>
        </is>
      </c>
      <c r="B384" t="inlineStr">
        <is>
          <t>CM</t>
        </is>
      </c>
      <c r="C384" t="inlineStr">
        <is>
          <t>MEL</t>
        </is>
      </c>
      <c r="D384" t="n">
        <v>550620</v>
      </c>
      <c r="E384" t="inlineStr">
        <is>
          <t>65 Margaret Street</t>
        </is>
      </c>
      <c r="F384" t="inlineStr">
        <is>
          <t>Fifth Floor</t>
        </is>
      </c>
      <c r="G384" t="inlineStr">
        <is>
          <t>Office</t>
        </is>
      </c>
      <c r="H384" t="n">
        <v>350</v>
      </c>
      <c r="I384">
        <f>I278</f>
        <v/>
      </c>
      <c r="J384" t="n">
        <v>500</v>
      </c>
      <c r="K384" t="inlineStr">
        <is>
          <t>Mercury Creations Limited</t>
        </is>
      </c>
      <c r="L384" s="869" t="n">
        <v>45744</v>
      </c>
      <c r="M384" s="869" t="n">
        <v>47569</v>
      </c>
      <c r="P384" s="869" t="n">
        <v>46839</v>
      </c>
      <c r="Q384" t="n">
        <v>0</v>
      </c>
      <c r="R384">
        <f>R278</f>
        <v/>
      </c>
      <c r="T384" t="n">
        <v>17500</v>
      </c>
      <c r="U384">
        <f>U278</f>
        <v/>
      </c>
      <c r="V384" t="n">
        <v>19600</v>
      </c>
      <c r="W384">
        <f>W278</f>
        <v/>
      </c>
      <c r="X384">
        <f>W278/I278</f>
        <v/>
      </c>
      <c r="Y384">
        <f>SUM(W278-U278)/U278</f>
        <v/>
      </c>
      <c r="Z384" t="inlineStr">
        <is>
          <t>D</t>
        </is>
      </c>
      <c r="AC384" t="inlineStr">
        <is>
          <t>No</t>
        </is>
      </c>
      <c r="AD384" t="inlineStr">
        <is>
          <t>Rent £19,950 wef 28/07/25. Tenant break on 6 months notice. 2 months rent free if not exercised. Tenant name corrected.</t>
        </is>
      </c>
      <c r="AF384" t="n">
        <v>1</v>
      </c>
      <c r="AG384" t="n">
        <v>3</v>
      </c>
      <c r="AH384" t="inlineStr">
        <is>
          <t>LEM</t>
        </is>
      </c>
      <c r="AI384" t="inlineStr">
        <is>
          <t>Let</t>
        </is>
      </c>
    </row>
    <row r="385"/>
    <row r="386">
      <c r="A386" s="868" t="inlineStr">
        <is>
          <t>75-77 Margaret Street</t>
        </is>
      </c>
    </row>
    <row r="387">
      <c r="A387" t="inlineStr">
        <is>
          <t xml:space="preserve">  Office</t>
        </is>
      </c>
      <c r="B387" t="inlineStr">
        <is>
          <t>CD</t>
        </is>
      </c>
      <c r="C387" t="inlineStr">
        <is>
          <t>MEL</t>
        </is>
      </c>
      <c r="D387" t="n">
        <v>550640</v>
      </c>
      <c r="E387" t="inlineStr">
        <is>
          <t>75-77 Margaret Street</t>
        </is>
      </c>
      <c r="F387" t="inlineStr">
        <is>
          <t>Sub-Basement</t>
        </is>
      </c>
      <c r="G387" t="inlineStr">
        <is>
          <t>Office</t>
        </is>
      </c>
      <c r="H387" t="n">
        <v>3760</v>
      </c>
      <c r="I387">
        <f>I279</f>
        <v/>
      </c>
      <c r="J387" t="n">
        <v>2750</v>
      </c>
      <c r="K387" t="inlineStr">
        <is>
          <t>M&amp;C Saatchi World Services Ltd.</t>
        </is>
      </c>
      <c r="L387" s="869" t="n">
        <v>44769</v>
      </c>
      <c r="M387" s="869" t="n">
        <v>46594</v>
      </c>
      <c r="P387" s="869" t="n">
        <v>45864</v>
      </c>
      <c r="Q387" t="n">
        <v>95000</v>
      </c>
      <c r="R387">
        <f>R279</f>
        <v/>
      </c>
      <c r="T387" t="n">
        <v>95000</v>
      </c>
      <c r="U387">
        <f>U279</f>
        <v/>
      </c>
      <c r="V387" t="n">
        <v>95000</v>
      </c>
      <c r="W387">
        <f>W279</f>
        <v/>
      </c>
      <c r="X387">
        <f>W279/I279</f>
        <v/>
      </c>
      <c r="Y387">
        <f>SUM(W279-U279)/U279</f>
        <v/>
      </c>
      <c r="Z387" t="inlineStr">
        <is>
          <t>E</t>
        </is>
      </c>
      <c r="AC387" t="inlineStr">
        <is>
          <t>No</t>
        </is>
      </c>
      <c r="AD387" t="inlineStr">
        <is>
          <t>Tenant break on 6 months notice.</t>
        </is>
      </c>
      <c r="AI387" t="inlineStr">
        <is>
          <t>Let</t>
        </is>
      </c>
    </row>
    <row r="388">
      <c r="A388" t="inlineStr">
        <is>
          <t xml:space="preserve">  Retail / Showroom</t>
        </is>
      </c>
      <c r="B388" t="inlineStr">
        <is>
          <t>CD</t>
        </is>
      </c>
      <c r="C388" t="inlineStr">
        <is>
          <t>MEL</t>
        </is>
      </c>
      <c r="D388" t="n">
        <v>550640</v>
      </c>
      <c r="E388" t="inlineStr">
        <is>
          <t>75-77 Margaret Street</t>
        </is>
      </c>
      <c r="F388" t="inlineStr">
        <is>
          <t>Lower Ground Floor</t>
        </is>
      </c>
      <c r="G388" t="inlineStr">
        <is>
          <t>Retail / Showroom</t>
        </is>
      </c>
      <c r="H388" t="n">
        <v>7994</v>
      </c>
      <c r="I388">
        <f>I280</f>
        <v/>
      </c>
      <c r="J388" t="n">
        <v>8000</v>
      </c>
      <c r="K388" t="inlineStr">
        <is>
          <t>EDC2 Ltd.</t>
        </is>
      </c>
      <c r="L388" s="869" t="n">
        <v>45417</v>
      </c>
      <c r="M388" s="869" t="n">
        <v>49068</v>
      </c>
      <c r="O388" s="869" t="n">
        <v>47243</v>
      </c>
      <c r="P388" s="869" t="n">
        <v>47242</v>
      </c>
      <c r="Q388" t="n">
        <v>424275</v>
      </c>
      <c r="R388">
        <f>R280</f>
        <v/>
      </c>
      <c r="T388" t="n">
        <v>379100</v>
      </c>
      <c r="U388">
        <f>U280</f>
        <v/>
      </c>
      <c r="V388" t="n">
        <v>424275</v>
      </c>
      <c r="W388">
        <f>W280</f>
        <v/>
      </c>
      <c r="X388">
        <f>W280/I280</f>
        <v/>
      </c>
      <c r="Y388">
        <f>SUM(W280-U280)/U280</f>
        <v/>
      </c>
      <c r="Z388" t="inlineStr">
        <is>
          <t>B</t>
        </is>
      </c>
      <c r="AC388" t="inlineStr">
        <is>
          <t>No</t>
        </is>
      </c>
      <c r="AD388" t="inlineStr">
        <is>
          <t>Tenant break on 6 months notice. Half rent for 1year from 05/05/29 if break not exercised. Penalty clause of £106k if exercised.</t>
        </is>
      </c>
      <c r="AI388" t="inlineStr">
        <is>
          <t>Let</t>
        </is>
      </c>
    </row>
    <row r="389">
      <c r="A389" t="inlineStr">
        <is>
          <t xml:space="preserve">  Office</t>
        </is>
      </c>
      <c r="B389" t="inlineStr">
        <is>
          <t>CD</t>
        </is>
      </c>
      <c r="C389" t="inlineStr">
        <is>
          <t>MEL</t>
        </is>
      </c>
      <c r="D389" t="n">
        <v>550640</v>
      </c>
      <c r="E389" t="inlineStr">
        <is>
          <t>75-77 Margaret Street</t>
        </is>
      </c>
      <c r="F389" t="inlineStr">
        <is>
          <t>First Floor (Front)</t>
        </is>
      </c>
      <c r="G389" t="inlineStr">
        <is>
          <t>Office</t>
        </is>
      </c>
      <c r="H389" t="n">
        <v>2106</v>
      </c>
      <c r="I389">
        <f>I281</f>
        <v/>
      </c>
      <c r="J389" t="n">
        <v>2000</v>
      </c>
      <c r="K389" t="inlineStr">
        <is>
          <t>Maxguard Limited</t>
        </is>
      </c>
      <c r="L389" s="869" t="n">
        <v>44317</v>
      </c>
      <c r="M389" s="869" t="n">
        <v>46142</v>
      </c>
      <c r="Q389" t="n">
        <v>115500</v>
      </c>
      <c r="R389">
        <f>R281</f>
        <v/>
      </c>
      <c r="T389" t="n">
        <v>120700</v>
      </c>
      <c r="U389">
        <f>U281</f>
        <v/>
      </c>
      <c r="V389" t="n">
        <v>121100</v>
      </c>
      <c r="W389">
        <f>W281</f>
        <v/>
      </c>
      <c r="X389">
        <f>W281/I281</f>
        <v/>
      </c>
      <c r="Y389">
        <f>SUM(W281-U281)/U281</f>
        <v/>
      </c>
      <c r="Z389" t="inlineStr">
        <is>
          <t>D</t>
        </is>
      </c>
      <c r="AC389" t="inlineStr">
        <is>
          <t>No</t>
        </is>
      </c>
      <c r="AI389" t="inlineStr">
        <is>
          <t>Let</t>
        </is>
      </c>
    </row>
    <row r="390">
      <c r="A390" t="inlineStr">
        <is>
          <t xml:space="preserve">  Office</t>
        </is>
      </c>
      <c r="B390" t="inlineStr">
        <is>
          <t>CD</t>
        </is>
      </c>
      <c r="C390" t="inlineStr">
        <is>
          <t>MEL</t>
        </is>
      </c>
      <c r="D390" t="n">
        <v>550640</v>
      </c>
      <c r="E390" t="inlineStr">
        <is>
          <t>75-77 Margaret Street</t>
        </is>
      </c>
      <c r="F390" t="inlineStr">
        <is>
          <t>First Floor (Rear)</t>
        </is>
      </c>
      <c r="G390" t="inlineStr">
        <is>
          <t>Office</t>
        </is>
      </c>
      <c r="H390" t="n">
        <v>1218</v>
      </c>
      <c r="I390">
        <f>I282</f>
        <v/>
      </c>
      <c r="J390" t="n">
        <v>1250</v>
      </c>
      <c r="K390" t="inlineStr">
        <is>
          <t>Vacant</t>
        </is>
      </c>
      <c r="N390" s="869" t="n">
        <v>42705</v>
      </c>
      <c r="Q390" t="n">
        <v>0</v>
      </c>
      <c r="R390">
        <f>R282</f>
        <v/>
      </c>
      <c r="T390" t="n">
        <v>61500</v>
      </c>
      <c r="U390">
        <f>U282</f>
        <v/>
      </c>
      <c r="V390" t="n">
        <v>63900</v>
      </c>
      <c r="W390">
        <f>W282</f>
        <v/>
      </c>
      <c r="X390">
        <f>W282/I282</f>
        <v/>
      </c>
      <c r="Y390">
        <f>SUM(W282-U282)/U282</f>
        <v/>
      </c>
      <c r="Z390" t="inlineStr">
        <is>
          <t>D</t>
        </is>
      </c>
      <c r="AC390" t="inlineStr">
        <is>
          <t>No</t>
        </is>
      </c>
      <c r="AD390" t="inlineStr">
        <is>
          <t>To be refurbished.</t>
        </is>
      </c>
      <c r="AE390" t="n">
        <v>62.5</v>
      </c>
      <c r="AI390" t="inlineStr">
        <is>
          <t>Void</t>
        </is>
      </c>
    </row>
    <row r="391">
      <c r="A391" t="inlineStr">
        <is>
          <t xml:space="preserve">  Office</t>
        </is>
      </c>
      <c r="B391" t="inlineStr">
        <is>
          <t>CD</t>
        </is>
      </c>
      <c r="C391" t="inlineStr">
        <is>
          <t>MEL</t>
        </is>
      </c>
      <c r="D391" t="n">
        <v>550640</v>
      </c>
      <c r="E391" t="inlineStr">
        <is>
          <t>75-77 Margaret Street</t>
        </is>
      </c>
      <c r="F391" t="inlineStr">
        <is>
          <t>Second Floor (Front)</t>
        </is>
      </c>
      <c r="G391" t="inlineStr">
        <is>
          <t>Office</t>
        </is>
      </c>
      <c r="H391" t="n">
        <v>2256</v>
      </c>
      <c r="I391">
        <f>I283</f>
        <v/>
      </c>
      <c r="J391" t="n">
        <v>2250</v>
      </c>
      <c r="K391" t="inlineStr">
        <is>
          <t>Vacant</t>
        </is>
      </c>
      <c r="N391" s="869" t="n">
        <v>44782</v>
      </c>
      <c r="Q391" t="n">
        <v>0</v>
      </c>
      <c r="R391">
        <f>R283</f>
        <v/>
      </c>
      <c r="T391" t="n">
        <v>129200</v>
      </c>
      <c r="U391">
        <f>U283</f>
        <v/>
      </c>
      <c r="V391" t="n">
        <v>129700</v>
      </c>
      <c r="W391">
        <f>W283</f>
        <v/>
      </c>
      <c r="X391">
        <f>W283/I283</f>
        <v/>
      </c>
      <c r="Y391">
        <f>SUM(W283-U283)/U283</f>
        <v/>
      </c>
      <c r="Z391" t="inlineStr">
        <is>
          <t>D</t>
        </is>
      </c>
      <c r="AC391" t="inlineStr">
        <is>
          <t>No</t>
        </is>
      </c>
      <c r="AD391" t="inlineStr">
        <is>
          <t>To be refurbished.</t>
        </is>
      </c>
      <c r="AE391" t="n">
        <v>62.5</v>
      </c>
      <c r="AF391" t="n">
        <v>1</v>
      </c>
      <c r="AG391" t="n">
        <v>1</v>
      </c>
      <c r="AI391" t="inlineStr">
        <is>
          <t>Void</t>
        </is>
      </c>
    </row>
    <row r="392">
      <c r="A392" t="inlineStr">
        <is>
          <t xml:space="preserve">  Office</t>
        </is>
      </c>
      <c r="B392" t="inlineStr">
        <is>
          <t>CD</t>
        </is>
      </c>
      <c r="C392" t="inlineStr">
        <is>
          <t>MEL</t>
        </is>
      </c>
      <c r="D392" t="n">
        <v>550640</v>
      </c>
      <c r="E392" t="inlineStr">
        <is>
          <t>75-77 Margaret Street</t>
        </is>
      </c>
      <c r="F392" t="inlineStr">
        <is>
          <t>Second Floor (Rear)</t>
        </is>
      </c>
      <c r="G392" t="inlineStr">
        <is>
          <t>Office</t>
        </is>
      </c>
      <c r="H392" t="n">
        <v>1218</v>
      </c>
      <c r="I392">
        <f>I284</f>
        <v/>
      </c>
      <c r="J392" t="n">
        <v>1250</v>
      </c>
      <c r="K392" t="inlineStr">
        <is>
          <t>Vacant</t>
        </is>
      </c>
      <c r="N392" s="869" t="n">
        <v>42513</v>
      </c>
      <c r="Q392" t="n">
        <v>0</v>
      </c>
      <c r="R392">
        <f>R284</f>
        <v/>
      </c>
      <c r="T392" t="n">
        <v>59700</v>
      </c>
      <c r="U392">
        <f>U284</f>
        <v/>
      </c>
      <c r="V392" t="n">
        <v>63900</v>
      </c>
      <c r="W392">
        <f>W284</f>
        <v/>
      </c>
      <c r="X392">
        <f>W284/I284</f>
        <v/>
      </c>
      <c r="Y392">
        <f>SUM(W284-U284)/U284</f>
        <v/>
      </c>
      <c r="Z392" t="inlineStr">
        <is>
          <t>E</t>
        </is>
      </c>
      <c r="AC392" t="inlineStr">
        <is>
          <t>No</t>
        </is>
      </c>
      <c r="AD392" t="inlineStr">
        <is>
          <t>To be refurbished.</t>
        </is>
      </c>
      <c r="AE392" t="n">
        <v>62.5</v>
      </c>
      <c r="AI392" t="inlineStr">
        <is>
          <t>Void</t>
        </is>
      </c>
    </row>
    <row r="393">
      <c r="A393" t="inlineStr">
        <is>
          <t xml:space="preserve">  Office</t>
        </is>
      </c>
      <c r="B393" t="inlineStr">
        <is>
          <t>CD</t>
        </is>
      </c>
      <c r="C393" t="inlineStr">
        <is>
          <t>MEL</t>
        </is>
      </c>
      <c r="D393" t="n">
        <v>550640</v>
      </c>
      <c r="E393" t="inlineStr">
        <is>
          <t>75-77 Margaret Street</t>
        </is>
      </c>
      <c r="F393" t="inlineStr">
        <is>
          <t>Third Floor</t>
        </is>
      </c>
      <c r="G393" t="inlineStr">
        <is>
          <t>Office</t>
        </is>
      </c>
      <c r="H393" t="n">
        <v>2194</v>
      </c>
      <c r="I393">
        <f>I285</f>
        <v/>
      </c>
      <c r="J393" t="n">
        <v>2000</v>
      </c>
      <c r="K393" t="inlineStr">
        <is>
          <t>Major League Baseball Europe Ltd.</t>
        </is>
      </c>
      <c r="L393" s="869" t="n">
        <v>45082</v>
      </c>
      <c r="M393" s="869" t="n">
        <v>46908</v>
      </c>
      <c r="P393" s="869" t="n">
        <v>46177</v>
      </c>
      <c r="Q393" t="n">
        <v>130980</v>
      </c>
      <c r="R393">
        <f>R285</f>
        <v/>
      </c>
      <c r="T393" t="n">
        <v>122200</v>
      </c>
      <c r="U393">
        <f>U285</f>
        <v/>
      </c>
      <c r="V393" t="n">
        <v>126200</v>
      </c>
      <c r="W393">
        <f>W285</f>
        <v/>
      </c>
      <c r="X393">
        <f>W285/I285</f>
        <v/>
      </c>
      <c r="Y393">
        <f>SUM(W285-U285)/U285</f>
        <v/>
      </c>
      <c r="Z393" t="inlineStr">
        <is>
          <t>C</t>
        </is>
      </c>
      <c r="AC393" t="inlineStr">
        <is>
          <t>No</t>
        </is>
      </c>
      <c r="AD393" t="inlineStr">
        <is>
          <t>Tenant break on 6 months notice.</t>
        </is>
      </c>
      <c r="AI393" t="inlineStr">
        <is>
          <t>Let</t>
        </is>
      </c>
    </row>
    <row r="394">
      <c r="A394" t="inlineStr">
        <is>
          <t xml:space="preserve">  Office</t>
        </is>
      </c>
      <c r="B394" t="inlineStr">
        <is>
          <t>CD</t>
        </is>
      </c>
      <c r="C394" t="inlineStr">
        <is>
          <t>MEL</t>
        </is>
      </c>
      <c r="D394" t="n">
        <v>550640</v>
      </c>
      <c r="E394" t="inlineStr">
        <is>
          <t>75-77 Margaret Street</t>
        </is>
      </c>
      <c r="F394" t="inlineStr">
        <is>
          <t>Fourth Floor</t>
        </is>
      </c>
      <c r="G394" t="inlineStr">
        <is>
          <t>Office</t>
        </is>
      </c>
      <c r="H394" t="n">
        <v>2080</v>
      </c>
      <c r="I394">
        <f>I286</f>
        <v/>
      </c>
      <c r="J394" t="n">
        <v>2000</v>
      </c>
      <c r="K394" t="inlineStr">
        <is>
          <t>Vacant</t>
        </is>
      </c>
      <c r="N394" s="869" t="n">
        <v>44647</v>
      </c>
      <c r="Q394" t="n">
        <v>0</v>
      </c>
      <c r="R394">
        <f>R286</f>
        <v/>
      </c>
      <c r="T394" t="n">
        <v>117900</v>
      </c>
      <c r="U394">
        <f>U286</f>
        <v/>
      </c>
      <c r="V394" t="n">
        <v>119600</v>
      </c>
      <c r="W394">
        <f>W286</f>
        <v/>
      </c>
      <c r="X394">
        <f>W286/I286</f>
        <v/>
      </c>
      <c r="Y394">
        <f>SUM(W286-U286)/U286</f>
        <v/>
      </c>
      <c r="Z394" t="inlineStr">
        <is>
          <t>D</t>
        </is>
      </c>
      <c r="AC394" t="inlineStr">
        <is>
          <t>No</t>
        </is>
      </c>
      <c r="AD394" t="inlineStr">
        <is>
          <t>To be refurbished.</t>
        </is>
      </c>
      <c r="AE394" t="n">
        <v>63</v>
      </c>
      <c r="AF394" t="n">
        <v>1</v>
      </c>
      <c r="AG394" t="n">
        <v>4</v>
      </c>
      <c r="AH394" t="inlineStr">
        <is>
          <t>LEM / LDG</t>
        </is>
      </c>
      <c r="AI394" t="inlineStr">
        <is>
          <t>Void</t>
        </is>
      </c>
    </row>
    <row r="395">
      <c r="A395" t="inlineStr">
        <is>
          <t xml:space="preserve">  Office</t>
        </is>
      </c>
      <c r="B395" t="inlineStr">
        <is>
          <t>CD</t>
        </is>
      </c>
      <c r="C395" t="inlineStr">
        <is>
          <t>MEL</t>
        </is>
      </c>
      <c r="D395" t="n">
        <v>550640</v>
      </c>
      <c r="E395" t="inlineStr">
        <is>
          <t>75-77 Margaret Street</t>
        </is>
      </c>
      <c r="F395" t="inlineStr">
        <is>
          <t>Fifth Floor</t>
        </is>
      </c>
      <c r="G395" t="inlineStr">
        <is>
          <t>Office</t>
        </is>
      </c>
      <c r="H395" t="n">
        <v>1713</v>
      </c>
      <c r="I395">
        <f>I287</f>
        <v/>
      </c>
      <c r="J395" t="n">
        <v>1750</v>
      </c>
      <c r="K395" t="inlineStr">
        <is>
          <t>Vacant</t>
        </is>
      </c>
      <c r="N395" s="869" t="n">
        <v>45195</v>
      </c>
      <c r="Q395" t="n">
        <v>0</v>
      </c>
      <c r="R395">
        <f>R287</f>
        <v/>
      </c>
      <c r="T395" t="n">
        <v>94300</v>
      </c>
      <c r="U395">
        <f>U287</f>
        <v/>
      </c>
      <c r="V395" t="n">
        <v>98500</v>
      </c>
      <c r="W395">
        <f>W287</f>
        <v/>
      </c>
      <c r="X395">
        <f>W287/I287</f>
        <v/>
      </c>
      <c r="Y395">
        <f>SUM(W287-U287)/U287</f>
        <v/>
      </c>
      <c r="Z395" t="inlineStr">
        <is>
          <t>E</t>
        </is>
      </c>
      <c r="AC395" t="inlineStr">
        <is>
          <t>No</t>
        </is>
      </c>
      <c r="AD395" t="inlineStr">
        <is>
          <t>To be refurbished.</t>
        </is>
      </c>
      <c r="AE395" t="n">
        <v>65</v>
      </c>
      <c r="AF395" t="n">
        <v>1</v>
      </c>
      <c r="AG395" t="n">
        <v>1</v>
      </c>
      <c r="AI395" t="inlineStr">
        <is>
          <t>Void</t>
        </is>
      </c>
    </row>
    <row r="396"/>
    <row r="397">
      <c r="A397" s="868" t="inlineStr">
        <is>
          <t>Sackville House - 78 Margaret Street</t>
        </is>
      </c>
    </row>
    <row r="398">
      <c r="A398" t="inlineStr">
        <is>
          <t xml:space="preserve">  Storage</t>
        </is>
      </c>
      <c r="B398" t="inlineStr">
        <is>
          <t>JM</t>
        </is>
      </c>
      <c r="C398" t="inlineStr">
        <is>
          <t>MEL</t>
        </is>
      </c>
      <c r="D398" t="n">
        <v>550630</v>
      </c>
      <c r="E398" t="inlineStr">
        <is>
          <t>Sackville House - 78 Margaret Street</t>
        </is>
      </c>
      <c r="F398" t="inlineStr">
        <is>
          <t>Basement</t>
        </is>
      </c>
      <c r="G398" t="inlineStr">
        <is>
          <t>Storage</t>
        </is>
      </c>
      <c r="H398" t="n">
        <v>927</v>
      </c>
      <c r="I398">
        <f>I288</f>
        <v/>
      </c>
      <c r="J398" t="n">
        <v>1000</v>
      </c>
      <c r="K398" t="inlineStr">
        <is>
          <t>Langham Estate Management Ltd</t>
        </is>
      </c>
      <c r="L398" s="869" t="n">
        <v>43184</v>
      </c>
      <c r="M398" s="869" t="n">
        <v>46836</v>
      </c>
      <c r="O398" s="869" t="n">
        <v>45010</v>
      </c>
      <c r="Q398" t="n">
        <v>13900</v>
      </c>
      <c r="R398">
        <f>R288</f>
        <v/>
      </c>
      <c r="T398" t="n">
        <v>13900</v>
      </c>
      <c r="U398">
        <f>U288</f>
        <v/>
      </c>
      <c r="V398" t="n">
        <v>13900</v>
      </c>
      <c r="W398">
        <f>W288</f>
        <v/>
      </c>
      <c r="X398">
        <f>W288/I288</f>
        <v/>
      </c>
      <c r="Y398">
        <f>SUM(W288-U288)/U288</f>
        <v/>
      </c>
      <c r="Z398" t="inlineStr">
        <is>
          <t>D</t>
        </is>
      </c>
      <c r="AC398" t="inlineStr">
        <is>
          <t>No</t>
        </is>
      </c>
      <c r="AD398" t="inlineStr">
        <is>
          <t>Mothballed.</t>
        </is>
      </c>
      <c r="AI398" t="inlineStr">
        <is>
          <t>Let</t>
        </is>
      </c>
    </row>
    <row r="399">
      <c r="A399" t="inlineStr">
        <is>
          <t xml:space="preserve">  Office</t>
        </is>
      </c>
      <c r="B399" t="inlineStr">
        <is>
          <t>JM</t>
        </is>
      </c>
      <c r="C399" t="inlineStr">
        <is>
          <t>MEL</t>
        </is>
      </c>
      <c r="D399" t="n">
        <v>550630</v>
      </c>
      <c r="E399" t="inlineStr">
        <is>
          <t>Sackville House - 78 Margaret Street</t>
        </is>
      </c>
      <c r="F399" t="inlineStr">
        <is>
          <t>Ground</t>
        </is>
      </c>
      <c r="G399" t="inlineStr">
        <is>
          <t>Office</t>
        </is>
      </c>
      <c r="H399" t="n">
        <v>1010</v>
      </c>
      <c r="I399">
        <f>I289</f>
        <v/>
      </c>
      <c r="J399" t="n">
        <v>1000</v>
      </c>
      <c r="K399" t="inlineStr">
        <is>
          <t>Vacant</t>
        </is>
      </c>
      <c r="N399" s="869" t="n">
        <v>42794</v>
      </c>
      <c r="Q399" t="n">
        <v>0</v>
      </c>
      <c r="R399">
        <f>R289</f>
        <v/>
      </c>
      <c r="T399" t="n">
        <v>55600</v>
      </c>
      <c r="U399">
        <f>U289</f>
        <v/>
      </c>
      <c r="V399" t="n">
        <v>58100</v>
      </c>
      <c r="W399">
        <f>W289</f>
        <v/>
      </c>
      <c r="X399">
        <f>W289/I289</f>
        <v/>
      </c>
      <c r="Y399">
        <f>SUM(W289-U289)/U289</f>
        <v/>
      </c>
      <c r="Z399" t="inlineStr">
        <is>
          <t>D</t>
        </is>
      </c>
      <c r="AC399" t="inlineStr">
        <is>
          <t>No</t>
        </is>
      </c>
      <c r="AD399" t="inlineStr">
        <is>
          <t>Mothballed.</t>
        </is>
      </c>
      <c r="AI399" t="inlineStr">
        <is>
          <t>Void</t>
        </is>
      </c>
    </row>
    <row r="400">
      <c r="A400" t="inlineStr">
        <is>
          <t xml:space="preserve">  Office</t>
        </is>
      </c>
      <c r="B400" t="inlineStr">
        <is>
          <t>JM</t>
        </is>
      </c>
      <c r="C400" t="inlineStr">
        <is>
          <t>MEL</t>
        </is>
      </c>
      <c r="D400" t="n">
        <v>550630</v>
      </c>
      <c r="E400" t="inlineStr">
        <is>
          <t>Sackville House - 78 Margaret Street</t>
        </is>
      </c>
      <c r="F400" t="inlineStr">
        <is>
          <t>First Floor</t>
        </is>
      </c>
      <c r="G400" t="inlineStr">
        <is>
          <t>Office</t>
        </is>
      </c>
      <c r="H400" t="n">
        <v>971</v>
      </c>
      <c r="I400">
        <f>I290</f>
        <v/>
      </c>
      <c r="J400" t="n">
        <v>1000</v>
      </c>
      <c r="K400" t="inlineStr">
        <is>
          <t>Vacant</t>
        </is>
      </c>
      <c r="N400" s="869" t="n">
        <v>44071</v>
      </c>
      <c r="Q400" t="n">
        <v>0</v>
      </c>
      <c r="R400">
        <f>R290</f>
        <v/>
      </c>
      <c r="T400" t="n">
        <v>53400</v>
      </c>
      <c r="U400">
        <f>U290</f>
        <v/>
      </c>
      <c r="V400" t="n">
        <v>55800</v>
      </c>
      <c r="W400">
        <f>W290</f>
        <v/>
      </c>
      <c r="X400">
        <f>W290/I290</f>
        <v/>
      </c>
      <c r="Y400">
        <f>SUM(W290-U290)/U290</f>
        <v/>
      </c>
      <c r="Z400" t="inlineStr">
        <is>
          <t>D</t>
        </is>
      </c>
      <c r="AC400" t="inlineStr">
        <is>
          <t>No</t>
        </is>
      </c>
      <c r="AD400" t="inlineStr">
        <is>
          <t>Mothballed.</t>
        </is>
      </c>
      <c r="AI400" t="inlineStr">
        <is>
          <t>Void</t>
        </is>
      </c>
    </row>
    <row r="401">
      <c r="A401" t="inlineStr">
        <is>
          <t xml:space="preserve">  Office</t>
        </is>
      </c>
      <c r="B401" t="inlineStr">
        <is>
          <t>JM</t>
        </is>
      </c>
      <c r="C401" t="inlineStr">
        <is>
          <t>MEL</t>
        </is>
      </c>
      <c r="D401" t="n">
        <v>550630</v>
      </c>
      <c r="E401" t="inlineStr">
        <is>
          <t>Sackville House - 78 Margaret Street</t>
        </is>
      </c>
      <c r="F401" t="inlineStr">
        <is>
          <t>Second Floor</t>
        </is>
      </c>
      <c r="G401" t="inlineStr">
        <is>
          <t>Office</t>
        </is>
      </c>
      <c r="H401" t="n">
        <v>1000</v>
      </c>
      <c r="I401">
        <f>I291</f>
        <v/>
      </c>
      <c r="J401" t="n">
        <v>1000</v>
      </c>
      <c r="K401" t="inlineStr">
        <is>
          <t>Vacant</t>
        </is>
      </c>
      <c r="N401" s="869" t="n">
        <v>43261</v>
      </c>
      <c r="Q401" t="n">
        <v>0</v>
      </c>
      <c r="R401">
        <f>R291</f>
        <v/>
      </c>
      <c r="T401" t="n">
        <v>52500</v>
      </c>
      <c r="U401">
        <f>U291</f>
        <v/>
      </c>
      <c r="V401" t="n">
        <v>55000</v>
      </c>
      <c r="W401">
        <f>W291</f>
        <v/>
      </c>
      <c r="X401">
        <f>W291/I291</f>
        <v/>
      </c>
      <c r="Y401">
        <f>SUM(W291-U291)/U291</f>
        <v/>
      </c>
      <c r="Z401" t="inlineStr">
        <is>
          <t>D</t>
        </is>
      </c>
      <c r="AC401" t="inlineStr">
        <is>
          <t>No</t>
        </is>
      </c>
      <c r="AD401" t="inlineStr">
        <is>
          <t>Mothballed.</t>
        </is>
      </c>
      <c r="AI401" t="inlineStr">
        <is>
          <t>Void</t>
        </is>
      </c>
    </row>
    <row r="402"/>
    <row r="403">
      <c r="A403" s="868" t="inlineStr">
        <is>
          <t>Kenilworth House - 79-80 Margaret Street</t>
        </is>
      </c>
    </row>
    <row r="404">
      <c r="A404" t="inlineStr">
        <is>
          <t xml:space="preserve">  Educational</t>
        </is>
      </c>
      <c r="B404" t="inlineStr">
        <is>
          <t>JM</t>
        </is>
      </c>
      <c r="C404" t="inlineStr">
        <is>
          <t>MEL</t>
        </is>
      </c>
      <c r="D404" t="n">
        <v>550690</v>
      </c>
      <c r="E404" t="inlineStr">
        <is>
          <t>Kenilworth House - 79-80 Margaret Street</t>
        </is>
      </c>
      <c r="F404" t="inlineStr">
        <is>
          <t>Basement (E)</t>
        </is>
      </c>
      <c r="G404" t="inlineStr">
        <is>
          <t>Educational</t>
        </is>
      </c>
      <c r="H404" t="n">
        <v>1519</v>
      </c>
      <c r="I404">
        <f>I292</f>
        <v/>
      </c>
      <c r="J404" t="n">
        <v>1500</v>
      </c>
      <c r="K404" t="inlineStr">
        <is>
          <t>Jewells Retail Ltd</t>
        </is>
      </c>
      <c r="L404" s="869" t="n">
        <v>45824</v>
      </c>
      <c r="M404" s="869" t="n">
        <v>46188</v>
      </c>
      <c r="Q404" t="n">
        <v>61812</v>
      </c>
      <c r="R404">
        <f>R292</f>
        <v/>
      </c>
      <c r="T404" t="n">
        <v>53600</v>
      </c>
      <c r="U404">
        <f>U292</f>
        <v/>
      </c>
      <c r="V404" t="n">
        <v>54700</v>
      </c>
      <c r="W404">
        <f>W292</f>
        <v/>
      </c>
      <c r="X404">
        <f>W292/I292</f>
        <v/>
      </c>
      <c r="Y404">
        <f>SUM(W292-U292)/U292</f>
        <v/>
      </c>
      <c r="Z404" t="inlineStr">
        <is>
          <t>E</t>
        </is>
      </c>
      <c r="AA404" t="inlineStr">
        <is>
          <t>*</t>
        </is>
      </c>
      <c r="AC404" t="inlineStr">
        <is>
          <t>No</t>
        </is>
      </c>
      <c r="AD404" t="inlineStr">
        <is>
          <t>New letting completed. Rent all inclusive (excl rates).</t>
        </is>
      </c>
      <c r="AF404" t="n">
        <v>1</v>
      </c>
      <c r="AG404" t="n">
        <v>4</v>
      </c>
      <c r="AH404" t="inlineStr">
        <is>
          <t>LEM</t>
        </is>
      </c>
      <c r="AI404" t="inlineStr">
        <is>
          <t>Let</t>
        </is>
      </c>
    </row>
    <row r="405">
      <c r="A405" t="inlineStr">
        <is>
          <t xml:space="preserve">  Office</t>
        </is>
      </c>
      <c r="B405" t="inlineStr">
        <is>
          <t>JM</t>
        </is>
      </c>
      <c r="C405" t="inlineStr">
        <is>
          <t>MEL</t>
        </is>
      </c>
      <c r="D405" t="n">
        <v>550690</v>
      </c>
      <c r="E405" t="inlineStr">
        <is>
          <t>Kenilworth House - 79-80 Margaret Street</t>
        </is>
      </c>
      <c r="F405" t="inlineStr">
        <is>
          <t xml:space="preserve">Ground (East) </t>
        </is>
      </c>
      <c r="G405" t="inlineStr">
        <is>
          <t>Office</t>
        </is>
      </c>
      <c r="H405" t="n">
        <v>1525</v>
      </c>
      <c r="I405">
        <f>I293</f>
        <v/>
      </c>
      <c r="J405" t="n">
        <v>1500</v>
      </c>
      <c r="K405" t="inlineStr">
        <is>
          <t xml:space="preserve">Lualdi UK </t>
        </is>
      </c>
      <c r="L405" s="869" t="n">
        <v>45834</v>
      </c>
      <c r="M405" s="869" t="n">
        <v>47659</v>
      </c>
      <c r="Q405" t="n">
        <v>0</v>
      </c>
      <c r="R405">
        <f>R293</f>
        <v/>
      </c>
      <c r="T405" t="n">
        <v>90600</v>
      </c>
      <c r="U405">
        <f>U293</f>
        <v/>
      </c>
      <c r="V405" t="n">
        <v>91500</v>
      </c>
      <c r="W405">
        <f>W293</f>
        <v/>
      </c>
      <c r="X405">
        <f>W293/I293</f>
        <v/>
      </c>
      <c r="Y405">
        <f>SUM(W293-U293)/U293</f>
        <v/>
      </c>
      <c r="Z405" t="inlineStr">
        <is>
          <t>E</t>
        </is>
      </c>
      <c r="AC405" t="inlineStr">
        <is>
          <t>No</t>
        </is>
      </c>
      <c r="AD405" t="inlineStr">
        <is>
          <t>New letting completed. Stepped rent. Rent £62,500 wef 26/09/25. Fixed increases to £72,500 wef 26/06/26, £82,000 wef 26/06/27, £90,000 wef 26/06/28 and £93,000 wef 26/06/29.</t>
        </is>
      </c>
      <c r="AG405" t="n">
        <v>3</v>
      </c>
      <c r="AI405" t="inlineStr">
        <is>
          <t>Let</t>
        </is>
      </c>
    </row>
    <row r="406">
      <c r="A406" t="inlineStr">
        <is>
          <t xml:space="preserve">  Showroom</t>
        </is>
      </c>
      <c r="B406" t="inlineStr">
        <is>
          <t>JM</t>
        </is>
      </c>
      <c r="C406" t="inlineStr">
        <is>
          <t>MEL</t>
        </is>
      </c>
      <c r="D406" t="n">
        <v>550690</v>
      </c>
      <c r="E406" t="inlineStr">
        <is>
          <t>Kenilworth House - 79-80 Margaret Street</t>
        </is>
      </c>
      <c r="F406" t="inlineStr">
        <is>
          <t>Ground (West) &amp; Part Basement</t>
        </is>
      </c>
      <c r="G406" t="inlineStr">
        <is>
          <t>Showroom</t>
        </is>
      </c>
      <c r="H406" t="n">
        <v>1989</v>
      </c>
      <c r="I406">
        <f>I294</f>
        <v/>
      </c>
      <c r="J406" t="n">
        <v>2000</v>
      </c>
      <c r="K406" t="inlineStr">
        <is>
          <t>Edwards Cheshire Company Ltd.</t>
        </is>
      </c>
      <c r="L406" s="869" t="n">
        <v>42874</v>
      </c>
      <c r="M406" s="869" t="n">
        <v>46525</v>
      </c>
      <c r="O406" s="869" t="n">
        <v>44700</v>
      </c>
      <c r="Q406" t="n">
        <v>82575</v>
      </c>
      <c r="R406">
        <f>R294</f>
        <v/>
      </c>
      <c r="T406" t="n">
        <v>75000</v>
      </c>
      <c r="U406">
        <f>U294</f>
        <v/>
      </c>
      <c r="V406" t="n">
        <v>87300</v>
      </c>
      <c r="W406">
        <f>W294</f>
        <v/>
      </c>
      <c r="X406">
        <f>W294/I294</f>
        <v/>
      </c>
      <c r="Y406">
        <f>SUM(W294-U294)/U294</f>
        <v/>
      </c>
      <c r="Z406" t="inlineStr">
        <is>
          <t>C</t>
        </is>
      </c>
      <c r="AC406" t="inlineStr">
        <is>
          <t>No</t>
        </is>
      </c>
      <c r="AI406" t="inlineStr">
        <is>
          <t>Let</t>
        </is>
      </c>
    </row>
    <row r="407">
      <c r="A407" t="inlineStr">
        <is>
          <t xml:space="preserve">  Showroom/ Office</t>
        </is>
      </c>
      <c r="B407" t="inlineStr">
        <is>
          <t>JM</t>
        </is>
      </c>
      <c r="C407" t="inlineStr">
        <is>
          <t>MEL</t>
        </is>
      </c>
      <c r="D407" t="n">
        <v>550690</v>
      </c>
      <c r="E407" t="inlineStr">
        <is>
          <t>Kenilworth House - 79-80 Margaret Street</t>
        </is>
      </c>
      <c r="F407" t="inlineStr">
        <is>
          <t>First Floor (East)</t>
        </is>
      </c>
      <c r="G407" t="inlineStr">
        <is>
          <t>Showroom/ Office</t>
        </is>
      </c>
      <c r="H407" t="n">
        <v>1143</v>
      </c>
      <c r="I407">
        <f>I295</f>
        <v/>
      </c>
      <c r="J407" t="n">
        <v>1000</v>
      </c>
      <c r="K407" t="inlineStr">
        <is>
          <t>Vacant</t>
        </is>
      </c>
      <c r="N407" s="869" t="n">
        <v>44293</v>
      </c>
      <c r="Q407" t="n">
        <v>0</v>
      </c>
      <c r="R407">
        <f>R295</f>
        <v/>
      </c>
      <c r="T407" t="n">
        <v>73600</v>
      </c>
      <c r="U407">
        <f>U295</f>
        <v/>
      </c>
      <c r="V407" t="n">
        <v>74300</v>
      </c>
      <c r="W407">
        <f>W295</f>
        <v/>
      </c>
      <c r="X407">
        <f>W295/I295</f>
        <v/>
      </c>
      <c r="Y407">
        <f>SUM(W295-U295)/U295</f>
        <v/>
      </c>
      <c r="Z407" t="inlineStr">
        <is>
          <t>D</t>
        </is>
      </c>
      <c r="AC407" t="inlineStr">
        <is>
          <t>No</t>
        </is>
      </c>
      <c r="AD407" t="inlineStr">
        <is>
          <t>Mothballed.</t>
        </is>
      </c>
      <c r="AG407" t="n">
        <v>3</v>
      </c>
      <c r="AI407" t="inlineStr">
        <is>
          <t>Void</t>
        </is>
      </c>
    </row>
    <row r="408">
      <c r="A408" t="inlineStr">
        <is>
          <t xml:space="preserve">  Office</t>
        </is>
      </c>
      <c r="B408" t="inlineStr">
        <is>
          <t>JM</t>
        </is>
      </c>
      <c r="C408" t="inlineStr">
        <is>
          <t>MEL</t>
        </is>
      </c>
      <c r="D408" t="n">
        <v>550690</v>
      </c>
      <c r="E408" t="inlineStr">
        <is>
          <t>Kenilworth House - 79-80 Margaret Street</t>
        </is>
      </c>
      <c r="F408" t="inlineStr">
        <is>
          <t>First Floor (West)</t>
        </is>
      </c>
      <c r="G408" t="inlineStr">
        <is>
          <t>Office</t>
        </is>
      </c>
      <c r="H408" t="n">
        <v>805</v>
      </c>
      <c r="I408">
        <f>I296</f>
        <v/>
      </c>
      <c r="J408" t="n">
        <v>1000</v>
      </c>
      <c r="K408" t="inlineStr">
        <is>
          <t>Vacant</t>
        </is>
      </c>
      <c r="N408" s="869" t="n">
        <v>44336</v>
      </c>
      <c r="Q408" t="n">
        <v>0</v>
      </c>
      <c r="R408">
        <f>R296</f>
        <v/>
      </c>
      <c r="T408" t="n">
        <v>45600</v>
      </c>
      <c r="U408">
        <f>U296</f>
        <v/>
      </c>
      <c r="V408" t="n">
        <v>52300</v>
      </c>
      <c r="W408">
        <f>W296</f>
        <v/>
      </c>
      <c r="X408">
        <f>W296/I296</f>
        <v/>
      </c>
      <c r="Y408">
        <f>SUM(W296-U296)/U296</f>
        <v/>
      </c>
      <c r="Z408" t="inlineStr">
        <is>
          <t>D</t>
        </is>
      </c>
      <c r="AC408" t="inlineStr">
        <is>
          <t>No</t>
        </is>
      </c>
      <c r="AD408" t="inlineStr">
        <is>
          <t>Mothballed.</t>
        </is>
      </c>
      <c r="AI408" t="inlineStr">
        <is>
          <t>Void</t>
        </is>
      </c>
    </row>
    <row r="409">
      <c r="A409" t="inlineStr">
        <is>
          <t xml:space="preserve">  Office</t>
        </is>
      </c>
      <c r="B409" t="inlineStr">
        <is>
          <t>JM</t>
        </is>
      </c>
      <c r="C409" t="inlineStr">
        <is>
          <t>MEL</t>
        </is>
      </c>
      <c r="D409" t="n">
        <v>550690</v>
      </c>
      <c r="E409" t="inlineStr">
        <is>
          <t>Kenilworth House - 79-80 Margaret Street</t>
        </is>
      </c>
      <c r="F409" t="inlineStr">
        <is>
          <t>Second Floor (East)</t>
        </is>
      </c>
      <c r="G409" t="inlineStr">
        <is>
          <t>Office</t>
        </is>
      </c>
      <c r="H409" t="n">
        <v>1171</v>
      </c>
      <c r="I409">
        <f>I297</f>
        <v/>
      </c>
      <c r="J409" t="n">
        <v>1000</v>
      </c>
      <c r="K409" t="inlineStr">
        <is>
          <t>Vacant</t>
        </is>
      </c>
      <c r="N409" s="869" t="n">
        <v>44049</v>
      </c>
      <c r="Q409" t="n">
        <v>0</v>
      </c>
      <c r="R409">
        <f>R297</f>
        <v/>
      </c>
      <c r="T409" t="n">
        <v>72300</v>
      </c>
      <c r="U409">
        <f>U297</f>
        <v/>
      </c>
      <c r="V409" t="n">
        <v>76100</v>
      </c>
      <c r="W409">
        <f>W297</f>
        <v/>
      </c>
      <c r="X409">
        <f>W297/I297</f>
        <v/>
      </c>
      <c r="Y409">
        <f>SUM(W297-U297)/U297</f>
        <v/>
      </c>
      <c r="Z409" t="inlineStr">
        <is>
          <t>D</t>
        </is>
      </c>
      <c r="AC409" t="inlineStr">
        <is>
          <t>No</t>
        </is>
      </c>
      <c r="AD409" t="inlineStr">
        <is>
          <t>Mothballed.</t>
        </is>
      </c>
      <c r="AI409" t="inlineStr">
        <is>
          <t>Void</t>
        </is>
      </c>
    </row>
    <row r="410">
      <c r="A410" t="inlineStr">
        <is>
          <t xml:space="preserve">  Office</t>
        </is>
      </c>
      <c r="B410" t="inlineStr">
        <is>
          <t>JM</t>
        </is>
      </c>
      <c r="C410" t="inlineStr">
        <is>
          <t>MEL</t>
        </is>
      </c>
      <c r="D410" t="n">
        <v>550690</v>
      </c>
      <c r="E410" t="inlineStr">
        <is>
          <t>Kenilworth House - 79-80 Margaret Street</t>
        </is>
      </c>
      <c r="F410" t="inlineStr">
        <is>
          <t>Second Floor (West)</t>
        </is>
      </c>
      <c r="G410" t="inlineStr">
        <is>
          <t>Office</t>
        </is>
      </c>
      <c r="H410" t="n">
        <v>793</v>
      </c>
      <c r="I410">
        <f>I298</f>
        <v/>
      </c>
      <c r="J410" t="n">
        <v>750</v>
      </c>
      <c r="K410" t="inlineStr">
        <is>
          <t>Vacant</t>
        </is>
      </c>
      <c r="N410" s="869" t="n">
        <v>44805</v>
      </c>
      <c r="Q410" t="n">
        <v>0</v>
      </c>
      <c r="R410">
        <f>R298</f>
        <v/>
      </c>
      <c r="T410" t="n">
        <v>46300</v>
      </c>
      <c r="U410">
        <f>U298</f>
        <v/>
      </c>
      <c r="V410" t="n">
        <v>51500</v>
      </c>
      <c r="W410">
        <f>W298</f>
        <v/>
      </c>
      <c r="X410">
        <f>W298/I298</f>
        <v/>
      </c>
      <c r="Y410">
        <f>SUM(W298-U298)/U298</f>
        <v/>
      </c>
      <c r="Z410" t="inlineStr">
        <is>
          <t>D</t>
        </is>
      </c>
      <c r="AC410" t="inlineStr">
        <is>
          <t>No</t>
        </is>
      </c>
      <c r="AD410" t="inlineStr">
        <is>
          <t>Mothballed.</t>
        </is>
      </c>
      <c r="AI410" t="inlineStr">
        <is>
          <t>Void</t>
        </is>
      </c>
    </row>
    <row r="411">
      <c r="A411" t="inlineStr">
        <is>
          <t xml:space="preserve">  Office</t>
        </is>
      </c>
      <c r="B411" t="inlineStr">
        <is>
          <t>JM</t>
        </is>
      </c>
      <c r="C411" t="inlineStr">
        <is>
          <t>MEL</t>
        </is>
      </c>
      <c r="D411" t="n">
        <v>550690</v>
      </c>
      <c r="E411" t="inlineStr">
        <is>
          <t>Kenilworth House - 79-80 Margaret Street</t>
        </is>
      </c>
      <c r="F411" t="inlineStr">
        <is>
          <t>Third Floor (East)</t>
        </is>
      </c>
      <c r="G411" t="inlineStr">
        <is>
          <t>Office</t>
        </is>
      </c>
      <c r="H411" t="n">
        <v>1030</v>
      </c>
      <c r="I411">
        <f>I299</f>
        <v/>
      </c>
      <c r="J411" t="n">
        <v>1000</v>
      </c>
      <c r="K411" t="inlineStr">
        <is>
          <t>Vacant</t>
        </is>
      </c>
      <c r="N411" s="869" t="n">
        <v>43914</v>
      </c>
      <c r="Q411" t="n">
        <v>0</v>
      </c>
      <c r="R411">
        <f>R299</f>
        <v/>
      </c>
      <c r="T411" t="n">
        <v>63800</v>
      </c>
      <c r="U411">
        <f>U299</f>
        <v/>
      </c>
      <c r="V411" t="n">
        <v>67000</v>
      </c>
      <c r="W411">
        <f>W299</f>
        <v/>
      </c>
      <c r="X411">
        <f>W299/I299</f>
        <v/>
      </c>
      <c r="Y411">
        <f>SUM(W299-U299)/U299</f>
        <v/>
      </c>
      <c r="Z411" t="inlineStr">
        <is>
          <t>D</t>
        </is>
      </c>
      <c r="AC411" t="inlineStr">
        <is>
          <t>No</t>
        </is>
      </c>
      <c r="AD411" t="inlineStr">
        <is>
          <t>Mothballed.</t>
        </is>
      </c>
      <c r="AI411" t="inlineStr">
        <is>
          <t>Void</t>
        </is>
      </c>
    </row>
    <row r="412">
      <c r="A412" t="inlineStr">
        <is>
          <t xml:space="preserve">  Office</t>
        </is>
      </c>
      <c r="B412" t="inlineStr">
        <is>
          <t>JM</t>
        </is>
      </c>
      <c r="C412" t="inlineStr">
        <is>
          <t>MEL</t>
        </is>
      </c>
      <c r="D412" t="n">
        <v>550690</v>
      </c>
      <c r="E412" t="inlineStr">
        <is>
          <t>Kenilworth House - 79-80 Margaret Street</t>
        </is>
      </c>
      <c r="F412" t="inlineStr">
        <is>
          <t>Third Floor (West)</t>
        </is>
      </c>
      <c r="G412" t="inlineStr">
        <is>
          <t>Office</t>
        </is>
      </c>
      <c r="H412" t="n">
        <v>731</v>
      </c>
      <c r="I412">
        <f>I300</f>
        <v/>
      </c>
      <c r="J412" t="n">
        <v>750</v>
      </c>
      <c r="K412" t="inlineStr">
        <is>
          <t>Vacant</t>
        </is>
      </c>
      <c r="N412" s="869" t="n">
        <v>44321</v>
      </c>
      <c r="Q412" t="n">
        <v>0</v>
      </c>
      <c r="R412">
        <f>R300</f>
        <v/>
      </c>
      <c r="T412" t="n">
        <v>46100</v>
      </c>
      <c r="U412">
        <f>U300</f>
        <v/>
      </c>
      <c r="V412" t="n">
        <v>47500</v>
      </c>
      <c r="W412">
        <f>W300</f>
        <v/>
      </c>
      <c r="X412">
        <f>W300/I300</f>
        <v/>
      </c>
      <c r="Y412">
        <f>SUM(W300-U300)/U300</f>
        <v/>
      </c>
      <c r="Z412" t="inlineStr">
        <is>
          <t>D</t>
        </is>
      </c>
      <c r="AC412" t="inlineStr">
        <is>
          <t>No</t>
        </is>
      </c>
      <c r="AD412" t="inlineStr">
        <is>
          <t>Mothballed.</t>
        </is>
      </c>
      <c r="AI412" t="inlineStr">
        <is>
          <t>Void</t>
        </is>
      </c>
    </row>
    <row r="413">
      <c r="A413" t="inlineStr">
        <is>
          <t xml:space="preserve">  Office</t>
        </is>
      </c>
      <c r="B413" t="inlineStr">
        <is>
          <t>JM</t>
        </is>
      </c>
      <c r="C413" t="inlineStr">
        <is>
          <t>MEL</t>
        </is>
      </c>
      <c r="D413" t="n">
        <v>550690</v>
      </c>
      <c r="E413" t="inlineStr">
        <is>
          <t>Kenilworth House - 79-80 Margaret Street</t>
        </is>
      </c>
      <c r="F413" t="inlineStr">
        <is>
          <t>Fourth Floor (East)</t>
        </is>
      </c>
      <c r="G413" t="inlineStr">
        <is>
          <t>Office</t>
        </is>
      </c>
      <c r="H413" t="n">
        <v>949</v>
      </c>
      <c r="I413">
        <f>I301</f>
        <v/>
      </c>
      <c r="J413" t="n">
        <v>1000</v>
      </c>
      <c r="K413" t="inlineStr">
        <is>
          <t>Vacant</t>
        </is>
      </c>
      <c r="N413" s="869" t="n">
        <v>42550</v>
      </c>
      <c r="Q413" t="n">
        <v>0</v>
      </c>
      <c r="R413">
        <f>R301</f>
        <v/>
      </c>
      <c r="T413" t="n">
        <v>55600</v>
      </c>
      <c r="U413">
        <f>U301</f>
        <v/>
      </c>
      <c r="V413" t="n">
        <v>59300</v>
      </c>
      <c r="W413">
        <f>W301</f>
        <v/>
      </c>
      <c r="X413">
        <f>W301/I301</f>
        <v/>
      </c>
      <c r="Y413">
        <f>SUM(W301-U301)/U301</f>
        <v/>
      </c>
      <c r="Z413" t="inlineStr">
        <is>
          <t>D</t>
        </is>
      </c>
      <c r="AC413" t="inlineStr">
        <is>
          <t>No</t>
        </is>
      </c>
      <c r="AD413" t="inlineStr">
        <is>
          <t>Mothballed.</t>
        </is>
      </c>
      <c r="AI413" t="inlineStr">
        <is>
          <t>Void</t>
        </is>
      </c>
    </row>
    <row r="414">
      <c r="A414" t="inlineStr">
        <is>
          <t xml:space="preserve">  Office</t>
        </is>
      </c>
      <c r="B414" t="inlineStr">
        <is>
          <t>JM</t>
        </is>
      </c>
      <c r="C414" t="inlineStr">
        <is>
          <t>MEL</t>
        </is>
      </c>
      <c r="D414" t="n">
        <v>550690</v>
      </c>
      <c r="E414" t="inlineStr">
        <is>
          <t>Kenilworth House - 79-80 Margaret Street</t>
        </is>
      </c>
      <c r="F414" t="inlineStr">
        <is>
          <t>Fourth Floor (West)</t>
        </is>
      </c>
      <c r="G414" t="inlineStr">
        <is>
          <t>Office</t>
        </is>
      </c>
      <c r="H414" t="n">
        <v>601</v>
      </c>
      <c r="I414">
        <f>I302</f>
        <v/>
      </c>
      <c r="J414" t="n">
        <v>500</v>
      </c>
      <c r="K414" t="inlineStr">
        <is>
          <t>Vacant</t>
        </is>
      </c>
      <c r="N414" s="869" t="n">
        <v>44027</v>
      </c>
      <c r="Q414" t="n">
        <v>0</v>
      </c>
      <c r="R414">
        <f>R302</f>
        <v/>
      </c>
      <c r="T414" t="n">
        <v>36800</v>
      </c>
      <c r="U414">
        <f>U302</f>
        <v/>
      </c>
      <c r="V414" t="n">
        <v>37600</v>
      </c>
      <c r="W414">
        <f>W302</f>
        <v/>
      </c>
      <c r="X414">
        <f>W302/I302</f>
        <v/>
      </c>
      <c r="Y414">
        <f>SUM(W302-U302)/U302</f>
        <v/>
      </c>
      <c r="Z414" t="inlineStr">
        <is>
          <t>D</t>
        </is>
      </c>
      <c r="AC414" t="inlineStr">
        <is>
          <t>No</t>
        </is>
      </c>
      <c r="AD414" t="inlineStr">
        <is>
          <t>Mothballed.</t>
        </is>
      </c>
      <c r="AI414" t="inlineStr">
        <is>
          <t>Void</t>
        </is>
      </c>
    </row>
    <row r="415">
      <c r="A415" t="inlineStr">
        <is>
          <t xml:space="preserve">  Office</t>
        </is>
      </c>
      <c r="B415" t="inlineStr">
        <is>
          <t>JM</t>
        </is>
      </c>
      <c r="C415" t="inlineStr">
        <is>
          <t>MEL</t>
        </is>
      </c>
      <c r="D415" t="n">
        <v>550690</v>
      </c>
      <c r="E415" t="inlineStr">
        <is>
          <t>Kenilworth House - 79-80 Margaret Street</t>
        </is>
      </c>
      <c r="F415" t="inlineStr">
        <is>
          <t>Fifth Floor (East)</t>
        </is>
      </c>
      <c r="G415" t="inlineStr">
        <is>
          <t>Office</t>
        </is>
      </c>
      <c r="H415" t="n">
        <v>730</v>
      </c>
      <c r="I415">
        <f>I303</f>
        <v/>
      </c>
      <c r="J415" t="n">
        <v>750</v>
      </c>
      <c r="K415" t="inlineStr">
        <is>
          <t>Vacant</t>
        </is>
      </c>
      <c r="N415" s="869" t="n">
        <v>42723</v>
      </c>
      <c r="Q415" t="n">
        <v>0</v>
      </c>
      <c r="R415">
        <f>R303</f>
        <v/>
      </c>
      <c r="T415" t="n">
        <v>44700</v>
      </c>
      <c r="U415">
        <f>U303</f>
        <v/>
      </c>
      <c r="V415" t="n">
        <v>45600</v>
      </c>
      <c r="W415">
        <f>W303</f>
        <v/>
      </c>
      <c r="X415">
        <f>W303/I303</f>
        <v/>
      </c>
      <c r="Y415">
        <f>SUM(W303-U303)/U303</f>
        <v/>
      </c>
      <c r="Z415" t="inlineStr">
        <is>
          <t>D</t>
        </is>
      </c>
      <c r="AC415" t="inlineStr">
        <is>
          <t>No</t>
        </is>
      </c>
      <c r="AD415" t="inlineStr">
        <is>
          <t>Mothballed.</t>
        </is>
      </c>
      <c r="AI415" t="inlineStr">
        <is>
          <t>Void</t>
        </is>
      </c>
    </row>
    <row r="416">
      <c r="A416" t="inlineStr">
        <is>
          <t xml:space="preserve">  Office</t>
        </is>
      </c>
      <c r="B416" t="inlineStr">
        <is>
          <t>JM</t>
        </is>
      </c>
      <c r="C416" t="inlineStr">
        <is>
          <t>MEL</t>
        </is>
      </c>
      <c r="D416" t="n">
        <v>550690</v>
      </c>
      <c r="E416" t="inlineStr">
        <is>
          <t>Kenilworth House - 79-80 Margaret Street</t>
        </is>
      </c>
      <c r="F416" t="inlineStr">
        <is>
          <t>Fifth Floor (West)</t>
        </is>
      </c>
      <c r="G416" t="inlineStr">
        <is>
          <t>Office</t>
        </is>
      </c>
      <c r="H416" t="n">
        <v>462</v>
      </c>
      <c r="I416">
        <f>I304</f>
        <v/>
      </c>
      <c r="J416" t="n">
        <v>500</v>
      </c>
      <c r="K416" t="inlineStr">
        <is>
          <t>Vacant</t>
        </is>
      </c>
      <c r="N416" s="869" t="n">
        <v>43824</v>
      </c>
      <c r="Q416" t="n">
        <v>0</v>
      </c>
      <c r="R416">
        <f>R304</f>
        <v/>
      </c>
      <c r="T416" t="n">
        <v>27300</v>
      </c>
      <c r="U416">
        <f>U304</f>
        <v/>
      </c>
      <c r="V416" t="n">
        <v>28900</v>
      </c>
      <c r="W416">
        <f>W304</f>
        <v/>
      </c>
      <c r="X416">
        <f>W304/I304</f>
        <v/>
      </c>
      <c r="Y416">
        <f>SUM(W304-U304)/U304</f>
        <v/>
      </c>
      <c r="Z416" t="inlineStr">
        <is>
          <t>D</t>
        </is>
      </c>
      <c r="AC416" t="inlineStr">
        <is>
          <t>No</t>
        </is>
      </c>
      <c r="AD416" t="inlineStr">
        <is>
          <t>Mothballed.</t>
        </is>
      </c>
      <c r="AI416" t="inlineStr">
        <is>
          <t>Void</t>
        </is>
      </c>
    </row>
    <row r="417"/>
    <row r="418">
      <c r="A418" s="868" t="inlineStr">
        <is>
          <t>4 Market Place</t>
        </is>
      </c>
    </row>
    <row r="419">
      <c r="A419" t="inlineStr">
        <is>
          <t xml:space="preserve">  Restaurant</t>
        </is>
      </c>
      <c r="B419" t="inlineStr">
        <is>
          <t>WS</t>
        </is>
      </c>
      <c r="C419" t="inlineStr">
        <is>
          <t>MEL</t>
        </is>
      </c>
      <c r="D419" t="n">
        <v>550810</v>
      </c>
      <c r="E419" t="inlineStr">
        <is>
          <t>4 Market Place</t>
        </is>
      </c>
      <c r="F419" t="inlineStr">
        <is>
          <t>Ground, Basement &amp; Vaults</t>
        </is>
      </c>
      <c r="G419" t="inlineStr">
        <is>
          <t>Restaurant</t>
        </is>
      </c>
      <c r="H419" t="n">
        <v>1190</v>
      </c>
      <c r="I419">
        <f>I305</f>
        <v/>
      </c>
      <c r="J419" t="n">
        <v>1000</v>
      </c>
      <c r="K419" t="inlineStr">
        <is>
          <t>Honest Burgers Ltd</t>
        </is>
      </c>
      <c r="L419" s="869" t="n">
        <v>41673</v>
      </c>
      <c r="M419" s="869" t="n">
        <v>47151</v>
      </c>
      <c r="Q419" t="n">
        <v>115000</v>
      </c>
      <c r="R419">
        <f>R305</f>
        <v/>
      </c>
      <c r="T419" t="n">
        <v>106000</v>
      </c>
      <c r="U419">
        <f>U305</f>
        <v/>
      </c>
      <c r="V419" t="n">
        <v>106000</v>
      </c>
      <c r="W419">
        <f>W305</f>
        <v/>
      </c>
      <c r="X419">
        <f>W305/I305</f>
        <v/>
      </c>
      <c r="Y419">
        <f>SUM(W305-U305)/U305</f>
        <v/>
      </c>
      <c r="Z419" t="inlineStr">
        <is>
          <t>D</t>
        </is>
      </c>
      <c r="AC419" t="inlineStr">
        <is>
          <t>No</t>
        </is>
      </c>
      <c r="AD419" t="inlineStr">
        <is>
          <t xml:space="preserve">Landlords redevelopment break @ 02/02/24 on 6 months notice. </t>
        </is>
      </c>
      <c r="AI419" t="inlineStr">
        <is>
          <t>Let</t>
        </is>
      </c>
    </row>
    <row r="420">
      <c r="A420" t="inlineStr">
        <is>
          <t xml:space="preserve">  Office</t>
        </is>
      </c>
      <c r="B420" t="inlineStr">
        <is>
          <t>WS</t>
        </is>
      </c>
      <c r="C420" t="inlineStr">
        <is>
          <t>MEL</t>
        </is>
      </c>
      <c r="D420" t="n">
        <v>550810</v>
      </c>
      <c r="E420" t="inlineStr">
        <is>
          <t>4 Market Place</t>
        </is>
      </c>
      <c r="F420" t="inlineStr">
        <is>
          <t>First to Third Floors</t>
        </is>
      </c>
      <c r="G420" t="inlineStr">
        <is>
          <t>Office</t>
        </is>
      </c>
      <c r="H420" t="n">
        <v>1044</v>
      </c>
      <c r="I420">
        <f>I306</f>
        <v/>
      </c>
      <c r="J420" t="n">
        <v>1000</v>
      </c>
      <c r="K420" t="inlineStr">
        <is>
          <t>Feel Films Ltd.</t>
        </is>
      </c>
      <c r="L420" s="869" t="n">
        <v>45413</v>
      </c>
      <c r="M420" s="869" t="n">
        <v>47238</v>
      </c>
      <c r="P420" s="869" t="n">
        <v>46326</v>
      </c>
      <c r="Q420" t="n">
        <v>52500</v>
      </c>
      <c r="R420">
        <f>R306</f>
        <v/>
      </c>
      <c r="T420" t="n">
        <v>53800</v>
      </c>
      <c r="U420">
        <f>U306</f>
        <v/>
      </c>
      <c r="V420" t="n">
        <v>53800</v>
      </c>
      <c r="W420">
        <f>W306</f>
        <v/>
      </c>
      <c r="X420">
        <f>W306/I306</f>
        <v/>
      </c>
      <c r="Y420">
        <f>SUM(W306-U306)/U306</f>
        <v/>
      </c>
      <c r="Z420" t="inlineStr">
        <is>
          <t>D</t>
        </is>
      </c>
      <c r="AC420" t="inlineStr">
        <is>
          <t>No</t>
        </is>
      </c>
      <c r="AD420" t="inlineStr">
        <is>
          <t>Tenant break on 6 months notice.</t>
        </is>
      </c>
      <c r="AI420" t="inlineStr">
        <is>
          <t>Let</t>
        </is>
      </c>
    </row>
    <row r="421"/>
    <row r="422">
      <c r="A422" s="868" t="inlineStr">
        <is>
          <t>11-13 Market Place</t>
        </is>
      </c>
    </row>
    <row r="423">
      <c r="A423" t="inlineStr">
        <is>
          <t xml:space="preserve">  Bar &amp; Office</t>
        </is>
      </c>
      <c r="B423" t="inlineStr">
        <is>
          <t>WS</t>
        </is>
      </c>
      <c r="C423" t="inlineStr">
        <is>
          <t>MEL</t>
        </is>
      </c>
      <c r="D423" t="n">
        <v>550490</v>
      </c>
      <c r="E423" t="inlineStr">
        <is>
          <t>11-13 Market Place</t>
        </is>
      </c>
      <c r="F423" t="inlineStr">
        <is>
          <t>Whole Building</t>
        </is>
      </c>
      <c r="G423" t="inlineStr">
        <is>
          <t>Bar &amp; Office</t>
        </is>
      </c>
      <c r="H423" t="n">
        <v>6979</v>
      </c>
      <c r="I423">
        <f>I307</f>
        <v/>
      </c>
      <c r="J423" t="n">
        <v>7000</v>
      </c>
      <c r="K423" t="inlineStr">
        <is>
          <t>Market Place (London) Holdings Ltd</t>
        </is>
      </c>
      <c r="L423" s="869" t="n">
        <v>44185</v>
      </c>
      <c r="M423" s="869" t="n">
        <v>47836</v>
      </c>
      <c r="O423" s="869" t="n">
        <v>46011</v>
      </c>
      <c r="Q423" t="n">
        <v>420000</v>
      </c>
      <c r="R423">
        <f>R307</f>
        <v/>
      </c>
      <c r="S423">
        <f>S307</f>
        <v/>
      </c>
      <c r="T423" t="n">
        <v>364600</v>
      </c>
      <c r="U423">
        <f>U307</f>
        <v/>
      </c>
      <c r="V423" t="n">
        <v>414100</v>
      </c>
      <c r="W423">
        <f>W307</f>
        <v/>
      </c>
      <c r="X423">
        <f>W307/I307</f>
        <v/>
      </c>
      <c r="Y423">
        <f>SUM(W307-U307)/U307</f>
        <v/>
      </c>
      <c r="Z423" t="inlineStr">
        <is>
          <t>E</t>
        </is>
      </c>
      <c r="AB423" t="n">
        <v>7475000</v>
      </c>
      <c r="AC423" t="inlineStr">
        <is>
          <t>No</t>
        </is>
      </c>
      <c r="AD423" t="inlineStr">
        <is>
          <t>Upper floors sublet.</t>
        </is>
      </c>
      <c r="AI423" t="inlineStr">
        <is>
          <t>Let</t>
        </is>
      </c>
    </row>
    <row r="424"/>
    <row r="425">
      <c r="A425" s="868" t="inlineStr">
        <is>
          <t>Radiant House, 34-38 Mortimer Street &amp; 3-4 Bywell Place</t>
        </is>
      </c>
    </row>
    <row r="426">
      <c r="A426" t="inlineStr">
        <is>
          <t xml:space="preserve">  Showroom/Studio</t>
        </is>
      </c>
      <c r="B426" t="inlineStr">
        <is>
          <t>JM</t>
        </is>
      </c>
      <c r="C426" t="inlineStr">
        <is>
          <t>MEL</t>
        </is>
      </c>
      <c r="D426" t="n">
        <v>550940</v>
      </c>
      <c r="E426" t="inlineStr">
        <is>
          <t>Radiant House, 34-38 Mortimer Street &amp; 3-4 Bywell Place</t>
        </is>
      </c>
      <c r="F426" t="inlineStr">
        <is>
          <t>Ground &amp; Basement (34)</t>
        </is>
      </c>
      <c r="G426" t="inlineStr">
        <is>
          <t>Showroom/Studio</t>
        </is>
      </c>
      <c r="H426" t="n">
        <v>2662</v>
      </c>
      <c r="I426">
        <f>I308</f>
        <v/>
      </c>
      <c r="J426" t="n">
        <v>2500</v>
      </c>
      <c r="K426" t="inlineStr">
        <is>
          <t>Ab-Anbar Limited</t>
        </is>
      </c>
      <c r="L426" s="869" t="n">
        <v>44942</v>
      </c>
      <c r="M426" s="869" t="n">
        <v>46767</v>
      </c>
      <c r="P426" s="869" t="n">
        <v>46037</v>
      </c>
      <c r="Q426" t="n">
        <v>100000</v>
      </c>
      <c r="R426">
        <f>R308</f>
        <v/>
      </c>
      <c r="T426" t="n">
        <v>100000</v>
      </c>
      <c r="U426">
        <f>U308</f>
        <v/>
      </c>
      <c r="V426" t="n">
        <v>100000</v>
      </c>
      <c r="W426">
        <f>W308</f>
        <v/>
      </c>
      <c r="X426">
        <f>W308/I308</f>
        <v/>
      </c>
      <c r="Y426">
        <f>SUM(W308-U308)/U308</f>
        <v/>
      </c>
      <c r="Z426" t="inlineStr">
        <is>
          <t>E</t>
        </is>
      </c>
      <c r="AC426" t="inlineStr">
        <is>
          <t>No</t>
        </is>
      </c>
      <c r="AD426" t="inlineStr">
        <is>
          <t>Tenant break on 6 months notice. 3 months rent free if not exercised.</t>
        </is>
      </c>
      <c r="AI426" t="inlineStr">
        <is>
          <t>Let</t>
        </is>
      </c>
    </row>
    <row r="427">
      <c r="A427" t="inlineStr">
        <is>
          <t xml:space="preserve">  Office</t>
        </is>
      </c>
      <c r="B427" t="inlineStr">
        <is>
          <t>JM</t>
        </is>
      </c>
      <c r="C427" t="inlineStr">
        <is>
          <t>MEL</t>
        </is>
      </c>
      <c r="D427" t="n">
        <v>550940</v>
      </c>
      <c r="E427" t="inlineStr">
        <is>
          <t>Radiant House, 34-38 Mortimer Street &amp; 3-4 Bywell Place</t>
        </is>
      </c>
      <c r="F427" t="inlineStr">
        <is>
          <t>Ground &amp; Basement (36-38)</t>
        </is>
      </c>
      <c r="G427" t="inlineStr">
        <is>
          <t>Office</t>
        </is>
      </c>
      <c r="H427" t="n">
        <v>3452</v>
      </c>
      <c r="I427">
        <f>I309</f>
        <v/>
      </c>
      <c r="J427" t="n">
        <v>3500</v>
      </c>
      <c r="K427" t="inlineStr">
        <is>
          <t>Europride Ltd.</t>
        </is>
      </c>
      <c r="L427" s="869" t="n">
        <v>45707</v>
      </c>
      <c r="M427" s="869" t="n">
        <v>46071</v>
      </c>
      <c r="P427" s="869" t="n">
        <v>45887</v>
      </c>
      <c r="Q427" t="n">
        <v>138440</v>
      </c>
      <c r="R427">
        <f>R309</f>
        <v/>
      </c>
      <c r="T427" t="n">
        <v>109600</v>
      </c>
      <c r="U427">
        <f>U309</f>
        <v/>
      </c>
      <c r="V427" t="n">
        <v>112000</v>
      </c>
      <c r="W427">
        <f>W309</f>
        <v/>
      </c>
      <c r="X427">
        <f>W309/I309</f>
        <v/>
      </c>
      <c r="Y427">
        <f>SUM(W309-U309)/U309</f>
        <v/>
      </c>
      <c r="Z427" t="inlineStr">
        <is>
          <t>E</t>
        </is>
      </c>
      <c r="AC427" t="inlineStr">
        <is>
          <t>No</t>
        </is>
      </c>
      <c r="AD427" t="inlineStr">
        <is>
          <t>Tenant break on 6 months notice.</t>
        </is>
      </c>
      <c r="AI427" t="inlineStr">
        <is>
          <t>Let</t>
        </is>
      </c>
    </row>
    <row r="428">
      <c r="A428" t="inlineStr">
        <is>
          <t xml:space="preserve">  Office</t>
        </is>
      </c>
      <c r="B428" t="inlineStr">
        <is>
          <t>JM</t>
        </is>
      </c>
      <c r="C428" t="inlineStr">
        <is>
          <t>MEL</t>
        </is>
      </c>
      <c r="D428" t="n">
        <v>550940</v>
      </c>
      <c r="E428" t="inlineStr">
        <is>
          <t>Radiant House, 34-38 Mortimer Street &amp; 3-4 Bywell Place</t>
        </is>
      </c>
      <c r="F428" t="inlineStr">
        <is>
          <t>Part Ground, First to Fourth Floor (34)</t>
        </is>
      </c>
      <c r="G428" t="inlineStr">
        <is>
          <t>Office</t>
        </is>
      </c>
      <c r="H428" t="n">
        <v>2274</v>
      </c>
      <c r="I428">
        <f>I310</f>
        <v/>
      </c>
      <c r="J428" t="n">
        <v>2250</v>
      </c>
      <c r="K428" t="inlineStr">
        <is>
          <t>Vacant</t>
        </is>
      </c>
      <c r="N428" s="869" t="n">
        <v>44280</v>
      </c>
      <c r="Q428" t="n">
        <v>0</v>
      </c>
      <c r="R428">
        <f>R310</f>
        <v/>
      </c>
      <c r="T428" t="n">
        <v>124700</v>
      </c>
      <c r="U428">
        <f>U310</f>
        <v/>
      </c>
      <c r="V428" t="n">
        <v>125100</v>
      </c>
      <c r="W428">
        <f>W310</f>
        <v/>
      </c>
      <c r="X428">
        <f>W310/I310</f>
        <v/>
      </c>
      <c r="Y428">
        <f>SUM(W310-U310)/U310</f>
        <v/>
      </c>
      <c r="Z428" t="inlineStr">
        <is>
          <t>E</t>
        </is>
      </c>
      <c r="AC428" t="inlineStr">
        <is>
          <t>Yes</t>
        </is>
      </c>
      <c r="AD428" t="inlineStr">
        <is>
          <t>LEM marketing.</t>
        </is>
      </c>
      <c r="AI428" t="inlineStr">
        <is>
          <t>Void</t>
        </is>
      </c>
    </row>
    <row r="429">
      <c r="A429" t="inlineStr">
        <is>
          <t xml:space="preserve">  Office</t>
        </is>
      </c>
      <c r="B429" t="inlineStr">
        <is>
          <t>JM</t>
        </is>
      </c>
      <c r="C429" t="inlineStr">
        <is>
          <t>MEL</t>
        </is>
      </c>
      <c r="D429" t="n">
        <v>550940</v>
      </c>
      <c r="E429" t="inlineStr">
        <is>
          <t>Radiant House, 34-38 Mortimer Street &amp; 3-4 Bywell Place</t>
        </is>
      </c>
      <c r="F429" t="inlineStr">
        <is>
          <t>First (36-38)</t>
        </is>
      </c>
      <c r="G429" t="inlineStr">
        <is>
          <t>Office</t>
        </is>
      </c>
      <c r="H429" t="n">
        <v>1201</v>
      </c>
      <c r="I429">
        <f>I311</f>
        <v/>
      </c>
      <c r="J429" t="n">
        <v>1250</v>
      </c>
      <c r="K429" t="inlineStr">
        <is>
          <t>Vacant</t>
        </is>
      </c>
      <c r="N429" s="869" t="n">
        <v>45521</v>
      </c>
      <c r="Q429" t="n">
        <v>0</v>
      </c>
      <c r="R429">
        <f>R311</f>
        <v/>
      </c>
      <c r="T429" t="n">
        <v>64100</v>
      </c>
      <c r="U429">
        <f>U311</f>
        <v/>
      </c>
      <c r="V429" t="n">
        <v>63100</v>
      </c>
      <c r="W429">
        <f>W311</f>
        <v/>
      </c>
      <c r="X429">
        <f>W311/I311</f>
        <v/>
      </c>
      <c r="Y429">
        <f>SUM(W311-U311)/U311</f>
        <v/>
      </c>
      <c r="Z429" t="inlineStr">
        <is>
          <t>D</t>
        </is>
      </c>
      <c r="AC429" t="inlineStr">
        <is>
          <t>No</t>
        </is>
      </c>
      <c r="AD429" t="inlineStr">
        <is>
          <t>LEM marketing.</t>
        </is>
      </c>
      <c r="AG429" t="n">
        <v>2</v>
      </c>
      <c r="AI429" t="inlineStr">
        <is>
          <t>Void</t>
        </is>
      </c>
    </row>
    <row r="430">
      <c r="A430" t="inlineStr">
        <is>
          <t xml:space="preserve">  Office</t>
        </is>
      </c>
      <c r="B430" t="inlineStr">
        <is>
          <t>JM</t>
        </is>
      </c>
      <c r="C430" t="inlineStr">
        <is>
          <t>MEL</t>
        </is>
      </c>
      <c r="D430" t="n">
        <v>550940</v>
      </c>
      <c r="E430" t="inlineStr">
        <is>
          <t>Radiant House, 34-38 Mortimer Street &amp; 3-4 Bywell Place</t>
        </is>
      </c>
      <c r="F430" t="inlineStr">
        <is>
          <t>Second (36-38)</t>
        </is>
      </c>
      <c r="G430" t="inlineStr">
        <is>
          <t>Office</t>
        </is>
      </c>
      <c r="H430" t="n">
        <v>1255</v>
      </c>
      <c r="I430">
        <f>I312</f>
        <v/>
      </c>
      <c r="J430" t="n">
        <v>1250</v>
      </c>
      <c r="K430" t="inlineStr">
        <is>
          <t>Vacant</t>
        </is>
      </c>
      <c r="N430" s="869" t="n">
        <v>44320</v>
      </c>
      <c r="Q430" t="n">
        <v>0</v>
      </c>
      <c r="R430">
        <f>R312</f>
        <v/>
      </c>
      <c r="T430" t="n">
        <v>67300</v>
      </c>
      <c r="U430">
        <f>U312</f>
        <v/>
      </c>
      <c r="V430" t="n">
        <v>69000</v>
      </c>
      <c r="W430">
        <f>W312</f>
        <v/>
      </c>
      <c r="X430">
        <f>W312/I312</f>
        <v/>
      </c>
      <c r="Y430">
        <f>SUM(W312-U312)/U312</f>
        <v/>
      </c>
      <c r="Z430" t="inlineStr">
        <is>
          <t>D</t>
        </is>
      </c>
      <c r="AC430" t="inlineStr">
        <is>
          <t>No</t>
        </is>
      </c>
      <c r="AD430" t="inlineStr">
        <is>
          <t>To be refurbished.</t>
        </is>
      </c>
      <c r="AG430" t="n">
        <v>2</v>
      </c>
      <c r="AI430" t="inlineStr">
        <is>
          <t>Void</t>
        </is>
      </c>
    </row>
    <row r="431">
      <c r="A431" t="inlineStr">
        <is>
          <t xml:space="preserve">  Office</t>
        </is>
      </c>
      <c r="B431" t="inlineStr">
        <is>
          <t>JM</t>
        </is>
      </c>
      <c r="C431" t="inlineStr">
        <is>
          <t>MEL</t>
        </is>
      </c>
      <c r="D431" t="n">
        <v>550940</v>
      </c>
      <c r="E431" t="inlineStr">
        <is>
          <t>Radiant House, 34-38 Mortimer Street &amp; 3-4 Bywell Place</t>
        </is>
      </c>
      <c r="F431" t="inlineStr">
        <is>
          <t>Third (36-38)</t>
        </is>
      </c>
      <c r="G431" t="inlineStr">
        <is>
          <t>Office</t>
        </is>
      </c>
      <c r="H431" t="n">
        <v>1252</v>
      </c>
      <c r="I431">
        <f>I313</f>
        <v/>
      </c>
      <c r="J431" t="n">
        <v>1250</v>
      </c>
      <c r="K431" t="inlineStr">
        <is>
          <t>Vacant</t>
        </is>
      </c>
      <c r="N431" s="869" t="n">
        <v>44622</v>
      </c>
      <c r="Q431" t="n">
        <v>0</v>
      </c>
      <c r="R431">
        <f>R313</f>
        <v/>
      </c>
      <c r="T431" t="n">
        <v>67600</v>
      </c>
      <c r="U431">
        <f>U313</f>
        <v/>
      </c>
      <c r="V431" t="n">
        <v>68900</v>
      </c>
      <c r="W431">
        <f>W313</f>
        <v/>
      </c>
      <c r="X431">
        <f>W313/I313</f>
        <v/>
      </c>
      <c r="Y431">
        <f>SUM(W313-U313)/U313</f>
        <v/>
      </c>
      <c r="Z431" t="inlineStr">
        <is>
          <t>E</t>
        </is>
      </c>
      <c r="AC431" t="inlineStr">
        <is>
          <t>No</t>
        </is>
      </c>
      <c r="AD431" t="inlineStr">
        <is>
          <t>To be refurbished.</t>
        </is>
      </c>
      <c r="AG431" t="n">
        <v>2</v>
      </c>
      <c r="AI431" t="inlineStr">
        <is>
          <t>Void</t>
        </is>
      </c>
    </row>
    <row r="432">
      <c r="A432" t="inlineStr">
        <is>
          <t xml:space="preserve">  Office</t>
        </is>
      </c>
      <c r="B432" t="inlineStr">
        <is>
          <t>JM</t>
        </is>
      </c>
      <c r="C432" t="inlineStr">
        <is>
          <t>MEL</t>
        </is>
      </c>
      <c r="D432" t="n">
        <v>550940</v>
      </c>
      <c r="E432" t="inlineStr">
        <is>
          <t>Radiant House, 34-38 Mortimer Street &amp; 3-4 Bywell Place</t>
        </is>
      </c>
      <c r="F432" t="inlineStr">
        <is>
          <t>Fourth (36-38)</t>
        </is>
      </c>
      <c r="G432" t="inlineStr">
        <is>
          <t>Office</t>
        </is>
      </c>
      <c r="H432" t="n">
        <v>1055</v>
      </c>
      <c r="I432">
        <f>I314</f>
        <v/>
      </c>
      <c r="J432" t="n">
        <v>1000</v>
      </c>
      <c r="K432" t="inlineStr">
        <is>
          <t>Carver Associates Ltd.</t>
        </is>
      </c>
      <c r="L432" s="869" t="n">
        <v>44887</v>
      </c>
      <c r="M432" s="869" t="n">
        <v>46712</v>
      </c>
      <c r="O432" s="869" t="n">
        <v>45983</v>
      </c>
      <c r="P432" s="869" t="n">
        <v>45982</v>
      </c>
      <c r="Q432" t="n">
        <v>63070</v>
      </c>
      <c r="R432">
        <f>R314</f>
        <v/>
      </c>
      <c r="T432" t="n">
        <v>61000</v>
      </c>
      <c r="U432">
        <f>U314</f>
        <v/>
      </c>
      <c r="V432" t="n">
        <v>60700</v>
      </c>
      <c r="W432">
        <f>W314</f>
        <v/>
      </c>
      <c r="X432">
        <f>W314/I314</f>
        <v/>
      </c>
      <c r="Y432">
        <f>SUM(W314-U314)/U314</f>
        <v/>
      </c>
      <c r="Z432" t="inlineStr">
        <is>
          <t>D</t>
        </is>
      </c>
      <c r="AC432" t="inlineStr">
        <is>
          <t>No</t>
        </is>
      </c>
      <c r="AD432" t="inlineStr">
        <is>
          <t xml:space="preserve">Tenant has annual breaks on 6 months notice. </t>
        </is>
      </c>
      <c r="AI432" t="inlineStr">
        <is>
          <t>Let</t>
        </is>
      </c>
    </row>
    <row r="433">
      <c r="A433" t="inlineStr">
        <is>
          <t xml:space="preserve">  Office</t>
        </is>
      </c>
      <c r="B433" t="inlineStr">
        <is>
          <t>JM</t>
        </is>
      </c>
      <c r="C433" t="inlineStr">
        <is>
          <t>MEL</t>
        </is>
      </c>
      <c r="D433" t="n">
        <v>550940</v>
      </c>
      <c r="E433" t="inlineStr">
        <is>
          <t>Radiant House, 34-38 Mortimer Street &amp; 3-4 Bywell Place</t>
        </is>
      </c>
      <c r="F433" t="inlineStr">
        <is>
          <t>Ground &amp; Basement, 3-4 Bywell Place</t>
        </is>
      </c>
      <c r="G433" t="inlineStr">
        <is>
          <t>Office</t>
        </is>
      </c>
      <c r="H433" t="n">
        <v>1167</v>
      </c>
      <c r="I433">
        <f>I315</f>
        <v/>
      </c>
      <c r="J433" t="n">
        <v>1000</v>
      </c>
      <c r="K433" t="inlineStr">
        <is>
          <t>Solo60 Ltd</t>
        </is>
      </c>
      <c r="L433" s="869" t="n">
        <v>45573</v>
      </c>
      <c r="M433" s="869" t="n">
        <v>47398</v>
      </c>
      <c r="Q433" t="n">
        <v>46800</v>
      </c>
      <c r="R433">
        <f>R315</f>
        <v/>
      </c>
      <c r="T433" t="n">
        <v>37700</v>
      </c>
      <c r="U433">
        <f>U315</f>
        <v/>
      </c>
      <c r="V433" t="n">
        <v>46800</v>
      </c>
      <c r="W433">
        <f>W315</f>
        <v/>
      </c>
      <c r="X433">
        <f>W315/I315</f>
        <v/>
      </c>
      <c r="Y433">
        <f>SUM(W315-U315)/U315</f>
        <v/>
      </c>
      <c r="Z433" t="inlineStr">
        <is>
          <t>B</t>
        </is>
      </c>
      <c r="AA433" t="inlineStr">
        <is>
          <t>*</t>
        </is>
      </c>
      <c r="AC433" t="inlineStr">
        <is>
          <t>No</t>
        </is>
      </c>
      <c r="AI433" t="inlineStr">
        <is>
          <t>Let</t>
        </is>
      </c>
    </row>
    <row r="434">
      <c r="A434" t="inlineStr">
        <is>
          <t xml:space="preserve">  Office</t>
        </is>
      </c>
      <c r="B434" t="inlineStr">
        <is>
          <t>JM</t>
        </is>
      </c>
      <c r="C434" t="inlineStr">
        <is>
          <t>MEL</t>
        </is>
      </c>
      <c r="D434" t="n">
        <v>550940</v>
      </c>
      <c r="E434" t="inlineStr">
        <is>
          <t>Radiant House, 34-38 Mortimer Street &amp; 3-4 Bywell Place</t>
        </is>
      </c>
      <c r="F434" t="inlineStr">
        <is>
          <t>First , 3-4 Bywell Place</t>
        </is>
      </c>
      <c r="G434" t="inlineStr">
        <is>
          <t>Office</t>
        </is>
      </c>
      <c r="H434" t="n">
        <v>922</v>
      </c>
      <c r="I434">
        <f>I316</f>
        <v/>
      </c>
      <c r="J434" t="n">
        <v>1000</v>
      </c>
      <c r="K434" t="inlineStr">
        <is>
          <t>Olsen UK Limited</t>
        </is>
      </c>
      <c r="L434" s="869" t="n">
        <v>45204</v>
      </c>
      <c r="M434" s="869" t="n">
        <v>46299</v>
      </c>
      <c r="Q434" t="n">
        <v>45800</v>
      </c>
      <c r="R434">
        <f>R316</f>
        <v/>
      </c>
      <c r="T434" t="n">
        <v>39100</v>
      </c>
      <c r="U434">
        <f>U316</f>
        <v/>
      </c>
      <c r="V434" t="n">
        <v>39200</v>
      </c>
      <c r="W434">
        <f>W316</f>
        <v/>
      </c>
      <c r="X434">
        <f>W316/I316</f>
        <v/>
      </c>
      <c r="Y434">
        <f>SUM(W316-U316)/U316</f>
        <v/>
      </c>
      <c r="Z434" t="inlineStr">
        <is>
          <t>B</t>
        </is>
      </c>
      <c r="AA434" t="inlineStr">
        <is>
          <t>*</t>
        </is>
      </c>
      <c r="AC434" t="inlineStr">
        <is>
          <t>No</t>
        </is>
      </c>
      <c r="AI434" t="inlineStr">
        <is>
          <t>Let</t>
        </is>
      </c>
    </row>
    <row r="435">
      <c r="A435" t="inlineStr">
        <is>
          <t xml:space="preserve">  Office</t>
        </is>
      </c>
      <c r="B435" t="inlineStr">
        <is>
          <t>JM</t>
        </is>
      </c>
      <c r="C435" t="inlineStr">
        <is>
          <t>MEL</t>
        </is>
      </c>
      <c r="D435" t="n">
        <v>550940</v>
      </c>
      <c r="E435" t="inlineStr">
        <is>
          <t>Radiant House, 34-38 Mortimer Street &amp; 3-4 Bywell Place</t>
        </is>
      </c>
      <c r="F435" t="inlineStr">
        <is>
          <t>Second, 3-4 Bywell Place</t>
        </is>
      </c>
      <c r="G435" t="inlineStr">
        <is>
          <t>Office</t>
        </is>
      </c>
      <c r="H435" t="n">
        <v>781</v>
      </c>
      <c r="I435">
        <f>I317</f>
        <v/>
      </c>
      <c r="J435" t="n">
        <v>750</v>
      </c>
      <c r="K435" t="inlineStr">
        <is>
          <t>Vacant</t>
        </is>
      </c>
      <c r="N435" s="869" t="n">
        <v>45383</v>
      </c>
      <c r="Q435" t="n">
        <v>0</v>
      </c>
      <c r="R435">
        <f>R317</f>
        <v/>
      </c>
      <c r="T435" t="n">
        <v>37300</v>
      </c>
      <c r="U435">
        <f>U317</f>
        <v/>
      </c>
      <c r="V435" t="n">
        <v>33200</v>
      </c>
      <c r="W435">
        <f>W317</f>
        <v/>
      </c>
      <c r="X435">
        <f>W317/I317</f>
        <v/>
      </c>
      <c r="Y435">
        <f>SUM(W317-U317)/U317</f>
        <v/>
      </c>
      <c r="Z435" t="inlineStr">
        <is>
          <t>B</t>
        </is>
      </c>
      <c r="AA435" t="inlineStr">
        <is>
          <t>*</t>
        </is>
      </c>
      <c r="AC435" t="inlineStr">
        <is>
          <t>No</t>
        </is>
      </c>
      <c r="AD435" t="inlineStr">
        <is>
          <t>LEM marketing.</t>
        </is>
      </c>
      <c r="AI435" t="inlineStr">
        <is>
          <t>Void</t>
        </is>
      </c>
    </row>
    <row r="436"/>
    <row r="437">
      <c r="A437" s="868" t="inlineStr">
        <is>
          <t>Gilmoora House, 57-61 Mortimer Street</t>
        </is>
      </c>
    </row>
    <row r="438">
      <c r="A438" t="inlineStr">
        <is>
          <t xml:space="preserve">  Medical</t>
        </is>
      </c>
      <c r="B438" t="inlineStr">
        <is>
          <t>CM</t>
        </is>
      </c>
      <c r="C438" t="inlineStr">
        <is>
          <t>MEL</t>
        </is>
      </c>
      <c r="D438" t="n">
        <v>550390</v>
      </c>
      <c r="E438" t="inlineStr">
        <is>
          <t>Gilmoora House, 57-61 Mortimer Street</t>
        </is>
      </c>
      <c r="F438" t="inlineStr">
        <is>
          <t>Part Basement &amp; Part Ground Floor - 36 Gt Titchfield St</t>
        </is>
      </c>
      <c r="G438" t="inlineStr">
        <is>
          <t>Medical</t>
        </is>
      </c>
      <c r="H438" t="n">
        <v>6542</v>
      </c>
      <c r="I438">
        <f>I318</f>
        <v/>
      </c>
      <c r="J438" t="n">
        <v>6500</v>
      </c>
      <c r="K438" t="inlineStr">
        <is>
          <t>The Central London Clinic Ltd.</t>
        </is>
      </c>
      <c r="L438" s="869" t="n">
        <v>44609</v>
      </c>
      <c r="M438" s="869" t="n">
        <v>50087</v>
      </c>
      <c r="O438" s="869" t="n">
        <v>46435</v>
      </c>
      <c r="P438" s="869" t="n">
        <v>48260</v>
      </c>
      <c r="Q438" t="n">
        <v>210000</v>
      </c>
      <c r="R438">
        <f>R318</f>
        <v/>
      </c>
      <c r="T438" t="n">
        <v>210000</v>
      </c>
      <c r="U438">
        <f>U318</f>
        <v/>
      </c>
      <c r="V438" t="n">
        <v>232000</v>
      </c>
      <c r="W438">
        <f>W318</f>
        <v/>
      </c>
      <c r="X438">
        <f>W318/I318</f>
        <v/>
      </c>
      <c r="Y438">
        <f>SUM(W318-U318)/U318</f>
        <v/>
      </c>
      <c r="Z438" t="inlineStr">
        <is>
          <t>A</t>
        </is>
      </c>
      <c r="AC438" t="inlineStr">
        <is>
          <t>No</t>
        </is>
      </c>
      <c r="AD438" t="inlineStr">
        <is>
          <t>Mutual break on 6 months notice.</t>
        </is>
      </c>
      <c r="AI438" t="inlineStr">
        <is>
          <t>Let</t>
        </is>
      </c>
    </row>
    <row r="439">
      <c r="A439" t="inlineStr">
        <is>
          <t xml:space="preserve">  Office</t>
        </is>
      </c>
      <c r="B439" t="inlineStr">
        <is>
          <t>CM</t>
        </is>
      </c>
      <c r="C439" t="inlineStr">
        <is>
          <t>MEL</t>
        </is>
      </c>
      <c r="D439" t="n">
        <v>550390</v>
      </c>
      <c r="E439" t="inlineStr">
        <is>
          <t>Gilmoora House, 57-61 Mortimer Street</t>
        </is>
      </c>
      <c r="F439" t="inlineStr">
        <is>
          <t>Part Ground to Fifth Floors</t>
        </is>
      </c>
      <c r="G439" t="inlineStr">
        <is>
          <t>Office</t>
        </is>
      </c>
      <c r="H439" t="n">
        <v>20993</v>
      </c>
      <c r="I439">
        <f>I319</f>
        <v/>
      </c>
      <c r="J439" t="n">
        <v>21000</v>
      </c>
      <c r="K439" t="inlineStr">
        <is>
          <t>Gilmoora House Ltd</t>
        </is>
      </c>
      <c r="L439" s="869" t="n">
        <v>45564</v>
      </c>
      <c r="M439" s="869" t="n">
        <v>47389</v>
      </c>
      <c r="Q439" t="n">
        <v>1000000</v>
      </c>
      <c r="R439">
        <f>R319</f>
        <v/>
      </c>
      <c r="T439" t="n">
        <v>1688000</v>
      </c>
      <c r="U439">
        <f>U319</f>
        <v/>
      </c>
      <c r="V439" t="n">
        <v>1953000</v>
      </c>
      <c r="W439">
        <f>W319</f>
        <v/>
      </c>
      <c r="X439">
        <f>W319/I319</f>
        <v/>
      </c>
      <c r="Y439">
        <f>SUM(W319-U319)/U319</f>
        <v/>
      </c>
      <c r="Z439" t="inlineStr">
        <is>
          <t>E</t>
        </is>
      </c>
      <c r="AC439" t="inlineStr">
        <is>
          <t>No</t>
        </is>
      </c>
      <c r="AD439" t="inlineStr">
        <is>
          <t>Internal Lease to another Lee Family Group Company.</t>
        </is>
      </c>
      <c r="AI439" t="inlineStr">
        <is>
          <t>Let</t>
        </is>
      </c>
    </row>
    <row r="440"/>
    <row r="441">
      <c r="A441" s="868" t="inlineStr">
        <is>
          <t>67 - 81 Mortimer Street</t>
        </is>
      </c>
    </row>
    <row r="442">
      <c r="A442" t="inlineStr">
        <is>
          <t xml:space="preserve">  Shop</t>
        </is>
      </c>
      <c r="B442" t="inlineStr">
        <is>
          <t>WS</t>
        </is>
      </c>
      <c r="C442" t="inlineStr">
        <is>
          <t>MEL</t>
        </is>
      </c>
      <c r="D442" t="n">
        <v>550870</v>
      </c>
      <c r="E442" t="inlineStr">
        <is>
          <t>67 - 81 Mortimer Street</t>
        </is>
      </c>
      <c r="F442" t="inlineStr">
        <is>
          <t>Ground Floor &amp; Bsmt. (No.67)</t>
        </is>
      </c>
      <c r="G442" t="inlineStr">
        <is>
          <t>Shop</t>
        </is>
      </c>
      <c r="H442" t="n">
        <v>1330</v>
      </c>
      <c r="I442">
        <f>I320</f>
        <v/>
      </c>
      <c r="J442" t="n">
        <v>1250</v>
      </c>
      <c r="K442" t="inlineStr">
        <is>
          <t>Status Beauty Limited</t>
        </is>
      </c>
      <c r="L442" s="869" t="n">
        <v>44936</v>
      </c>
      <c r="M442" s="869" t="n">
        <v>46761</v>
      </c>
      <c r="P442" s="869" t="n">
        <v>46031</v>
      </c>
      <c r="Q442" t="n">
        <v>70000</v>
      </c>
      <c r="R442">
        <f>R320</f>
        <v/>
      </c>
      <c r="T442" t="n">
        <v>69900</v>
      </c>
      <c r="U442">
        <f>U320</f>
        <v/>
      </c>
      <c r="V442" t="n">
        <v>69900</v>
      </c>
      <c r="W442">
        <f>W320</f>
        <v/>
      </c>
      <c r="X442">
        <f>W320/I320</f>
        <v/>
      </c>
      <c r="Y442">
        <f>SUM(W320-U320)/U320</f>
        <v/>
      </c>
      <c r="Z442" t="inlineStr">
        <is>
          <t>D</t>
        </is>
      </c>
      <c r="AC442" t="inlineStr">
        <is>
          <t>No</t>
        </is>
      </c>
      <c r="AD442" t="inlineStr">
        <is>
          <t>Tenant break on 6 months notice. Rent free from 10/01/26 to 28/03/26 if not exercised.</t>
        </is>
      </c>
      <c r="AI442" t="inlineStr">
        <is>
          <t>Let</t>
        </is>
      </c>
    </row>
    <row r="443">
      <c r="A443" t="inlineStr">
        <is>
          <t xml:space="preserve">  Shop/ Showroom</t>
        </is>
      </c>
      <c r="B443" t="inlineStr">
        <is>
          <t>WS</t>
        </is>
      </c>
      <c r="C443" t="inlineStr">
        <is>
          <t>MEL</t>
        </is>
      </c>
      <c r="D443" t="n">
        <v>550870</v>
      </c>
      <c r="E443" t="inlineStr">
        <is>
          <t>67 - 81 Mortimer Street</t>
        </is>
      </c>
      <c r="F443" t="inlineStr">
        <is>
          <t>Ground Floor &amp; Bsmt. (No.69)</t>
        </is>
      </c>
      <c r="G443" t="inlineStr">
        <is>
          <t>Shop/ Showroom</t>
        </is>
      </c>
      <c r="H443" t="n">
        <v>1486</v>
      </c>
      <c r="I443">
        <f>I321</f>
        <v/>
      </c>
      <c r="J443" t="n">
        <v>1500</v>
      </c>
      <c r="K443" t="inlineStr">
        <is>
          <t>ABC Smile Limited</t>
        </is>
      </c>
      <c r="L443" s="869" t="n">
        <v>44314</v>
      </c>
      <c r="M443" s="869" t="n">
        <v>47965</v>
      </c>
      <c r="P443" s="869" t="n">
        <v>46139</v>
      </c>
      <c r="Q443" t="n">
        <v>59500</v>
      </c>
      <c r="R443">
        <f>R321</f>
        <v/>
      </c>
      <c r="T443" t="n">
        <v>64900</v>
      </c>
      <c r="U443">
        <f>U321</f>
        <v/>
      </c>
      <c r="V443" t="n">
        <v>64900</v>
      </c>
      <c r="W443">
        <f>W321</f>
        <v/>
      </c>
      <c r="X443">
        <f>W321/I321</f>
        <v/>
      </c>
      <c r="Y443">
        <f>SUM(W321-U321)/U321</f>
        <v/>
      </c>
      <c r="Z443" t="inlineStr">
        <is>
          <t>C</t>
        </is>
      </c>
      <c r="AC443" t="inlineStr">
        <is>
          <t>No</t>
        </is>
      </c>
      <c r="AD443" t="inlineStr">
        <is>
          <t>Tenant break on 6 month notice.</t>
        </is>
      </c>
      <c r="AI443" t="inlineStr">
        <is>
          <t>Let</t>
        </is>
      </c>
    </row>
    <row r="444">
      <c r="A444" t="inlineStr">
        <is>
          <t xml:space="preserve">  Shop/ Showroom</t>
        </is>
      </c>
      <c r="B444" t="inlineStr">
        <is>
          <t>WS</t>
        </is>
      </c>
      <c r="C444" t="inlineStr">
        <is>
          <t>MEL</t>
        </is>
      </c>
      <c r="D444" t="n">
        <v>550870</v>
      </c>
      <c r="E444" t="inlineStr">
        <is>
          <t>67 - 81 Mortimer Street</t>
        </is>
      </c>
      <c r="F444" t="inlineStr">
        <is>
          <t>Ground Floor &amp; Bsmt. (No.71)</t>
        </is>
      </c>
      <c r="G444" t="inlineStr">
        <is>
          <t>Shop/ Showroom</t>
        </is>
      </c>
      <c r="H444" t="n">
        <v>1204</v>
      </c>
      <c r="I444">
        <f>I322</f>
        <v/>
      </c>
      <c r="J444" t="n">
        <v>1250</v>
      </c>
      <c r="K444" t="inlineStr">
        <is>
          <t>Folia Ltd.</t>
        </is>
      </c>
      <c r="L444" s="869" t="n">
        <v>45741</v>
      </c>
      <c r="M444" s="869" t="n">
        <v>46836</v>
      </c>
      <c r="P444" s="869" t="n">
        <v>46106</v>
      </c>
      <c r="Q444" t="n">
        <v>0</v>
      </c>
      <c r="R444">
        <f>R322</f>
        <v/>
      </c>
      <c r="T444" t="n">
        <v>53100</v>
      </c>
      <c r="U444">
        <f>U322</f>
        <v/>
      </c>
      <c r="V444" t="n">
        <v>53100</v>
      </c>
      <c r="W444">
        <f>W322</f>
        <v/>
      </c>
      <c r="X444">
        <f>W322/I322</f>
        <v/>
      </c>
      <c r="Y444">
        <f>SUM(W322-U322)/U322</f>
        <v/>
      </c>
      <c r="Z444" t="inlineStr">
        <is>
          <t>C</t>
        </is>
      </c>
      <c r="AC444" t="inlineStr">
        <is>
          <t>No</t>
        </is>
      </c>
      <c r="AD444" t="inlineStr">
        <is>
          <t>Rent £55,000 wef 6 weeks after landlord works completed. Work expected to complete by 27/06/25, Further tenant break 25/03/27.</t>
        </is>
      </c>
      <c r="AI444" t="inlineStr">
        <is>
          <t>Let</t>
        </is>
      </c>
    </row>
    <row r="445">
      <c r="A445" t="inlineStr">
        <is>
          <t xml:space="preserve">  Shop/ Showroom</t>
        </is>
      </c>
      <c r="B445" t="inlineStr">
        <is>
          <t>WS</t>
        </is>
      </c>
      <c r="C445" t="inlineStr">
        <is>
          <t>MEL</t>
        </is>
      </c>
      <c r="D445" t="n">
        <v>550870</v>
      </c>
      <c r="E445" t="inlineStr">
        <is>
          <t>67 - 81 Mortimer Street</t>
        </is>
      </c>
      <c r="F445" t="inlineStr">
        <is>
          <t>Ground Floor &amp; Bsmt. (No. 77)</t>
        </is>
      </c>
      <c r="G445" t="inlineStr">
        <is>
          <t>Shop/ Showroom</t>
        </is>
      </c>
      <c r="H445" t="n">
        <v>1119</v>
      </c>
      <c r="I445">
        <f>I323</f>
        <v/>
      </c>
      <c r="J445" t="n">
        <v>1250</v>
      </c>
      <c r="K445" t="inlineStr">
        <is>
          <t>Folia Ltd.</t>
        </is>
      </c>
      <c r="L445" s="869" t="n">
        <v>45741</v>
      </c>
      <c r="M445" s="869" t="n">
        <v>46836</v>
      </c>
      <c r="Q445" t="n">
        <v>55000</v>
      </c>
      <c r="R445">
        <f>R323</f>
        <v/>
      </c>
      <c r="T445" t="n">
        <v>51200</v>
      </c>
      <c r="U445">
        <f>U323</f>
        <v/>
      </c>
      <c r="V445" t="n">
        <v>51200</v>
      </c>
      <c r="W445">
        <f>W323</f>
        <v/>
      </c>
      <c r="X445">
        <f>W323/I323</f>
        <v/>
      </c>
      <c r="Y445">
        <f>SUM(W323-U323)/U323</f>
        <v/>
      </c>
      <c r="Z445" t="inlineStr">
        <is>
          <t>D</t>
        </is>
      </c>
      <c r="AC445" t="inlineStr">
        <is>
          <t>No</t>
        </is>
      </c>
      <c r="AI445" t="inlineStr">
        <is>
          <t>Let</t>
        </is>
      </c>
    </row>
    <row r="446">
      <c r="A446" t="inlineStr">
        <is>
          <t xml:space="preserve">  Restaurant</t>
        </is>
      </c>
      <c r="B446" t="inlineStr">
        <is>
          <t>WS</t>
        </is>
      </c>
      <c r="C446" t="inlineStr">
        <is>
          <t>MEL</t>
        </is>
      </c>
      <c r="D446" t="n">
        <v>550870</v>
      </c>
      <c r="E446" t="inlineStr">
        <is>
          <t>67 - 81 Mortimer Street</t>
        </is>
      </c>
      <c r="F446" t="inlineStr">
        <is>
          <t>Ground Floor &amp; Bsmt. (No.79-81)</t>
        </is>
      </c>
      <c r="G446" t="inlineStr">
        <is>
          <t>Restaurant</t>
        </is>
      </c>
      <c r="H446" t="n">
        <v>3114</v>
      </c>
      <c r="I446">
        <f>I324</f>
        <v/>
      </c>
      <c r="J446" t="n">
        <v>3000</v>
      </c>
      <c r="K446" t="inlineStr">
        <is>
          <t>PHBB Restaurants Ltd.</t>
        </is>
      </c>
      <c r="L446" s="869" t="n">
        <v>44143</v>
      </c>
      <c r="M446" s="869" t="n">
        <v>49620</v>
      </c>
      <c r="O446" s="869" t="n">
        <v>45969</v>
      </c>
      <c r="Q446" t="n">
        <v>175000</v>
      </c>
      <c r="R446">
        <f>R324</f>
        <v/>
      </c>
      <c r="T446" t="n">
        <v>146200</v>
      </c>
      <c r="U446">
        <f>U324</f>
        <v/>
      </c>
      <c r="V446" t="n">
        <v>146200</v>
      </c>
      <c r="W446">
        <f>W324</f>
        <v/>
      </c>
      <c r="X446">
        <f>W324/I324</f>
        <v/>
      </c>
      <c r="Y446">
        <f>SUM(W324-U324)/U324</f>
        <v/>
      </c>
      <c r="Z446" t="inlineStr">
        <is>
          <t>D</t>
        </is>
      </c>
      <c r="AC446" t="inlineStr">
        <is>
          <t>Yes</t>
        </is>
      </c>
      <c r="AD446" t="inlineStr">
        <is>
          <t xml:space="preserve">54 Act protected lease. All Inclusive (excl rates). </t>
        </is>
      </c>
      <c r="AI446" t="inlineStr">
        <is>
          <t>Let</t>
        </is>
      </c>
    </row>
    <row r="447">
      <c r="A447" t="inlineStr">
        <is>
          <t xml:space="preserve">  Office</t>
        </is>
      </c>
      <c r="B447" t="inlineStr">
        <is>
          <t>WS</t>
        </is>
      </c>
      <c r="C447" t="inlineStr">
        <is>
          <t>MEL</t>
        </is>
      </c>
      <c r="D447" t="n">
        <v>550870</v>
      </c>
      <c r="E447" t="inlineStr">
        <is>
          <t>67 - 81 Mortimer Street</t>
        </is>
      </c>
      <c r="F447" t="inlineStr">
        <is>
          <t>First Floor (East)</t>
        </is>
      </c>
      <c r="G447" t="inlineStr">
        <is>
          <t>Office</t>
        </is>
      </c>
      <c r="H447" t="n">
        <v>1560</v>
      </c>
      <c r="I447">
        <f>I325</f>
        <v/>
      </c>
      <c r="J447" t="n">
        <v>1500</v>
      </c>
      <c r="K447" t="inlineStr">
        <is>
          <t>Feel Films Ltd.</t>
        </is>
      </c>
      <c r="L447" s="869" t="n">
        <v>44732</v>
      </c>
      <c r="M447" s="869" t="n">
        <v>46557</v>
      </c>
      <c r="P447" s="869" t="n">
        <v>45827</v>
      </c>
      <c r="Q447" t="n">
        <v>67146</v>
      </c>
      <c r="R447">
        <f>R325</f>
        <v/>
      </c>
      <c r="T447" t="n">
        <v>85800</v>
      </c>
      <c r="U447">
        <f>U325</f>
        <v/>
      </c>
      <c r="V447" t="n">
        <v>85800</v>
      </c>
      <c r="W447">
        <f>W325</f>
        <v/>
      </c>
      <c r="X447">
        <f>W325/I325</f>
        <v/>
      </c>
      <c r="Y447">
        <f>SUM(W325-U325)/U325</f>
        <v/>
      </c>
      <c r="Z447" t="inlineStr">
        <is>
          <t>C</t>
        </is>
      </c>
      <c r="AC447" t="inlineStr">
        <is>
          <t>No</t>
        </is>
      </c>
      <c r="AD447" t="inlineStr">
        <is>
          <t>Tenant break on 6 months notice. If break not exercised, rent reduces to £67,146 wef 20/06/25 to 19/06/26. Break passed</t>
        </is>
      </c>
      <c r="AI447" t="inlineStr">
        <is>
          <t>Let</t>
        </is>
      </c>
    </row>
    <row r="448">
      <c r="A448" t="inlineStr">
        <is>
          <t xml:space="preserve">  Office</t>
        </is>
      </c>
      <c r="B448" t="inlineStr">
        <is>
          <t>WS</t>
        </is>
      </c>
      <c r="C448" t="inlineStr">
        <is>
          <t>MEL</t>
        </is>
      </c>
      <c r="D448" t="n">
        <v>550870</v>
      </c>
      <c r="E448" t="inlineStr">
        <is>
          <t>67 - 81 Mortimer Street</t>
        </is>
      </c>
      <c r="F448" t="inlineStr">
        <is>
          <t>First Floor (West)</t>
        </is>
      </c>
      <c r="G448" t="inlineStr">
        <is>
          <t>Office</t>
        </is>
      </c>
      <c r="H448" t="n">
        <v>1454</v>
      </c>
      <c r="I448">
        <f>I326</f>
        <v/>
      </c>
      <c r="J448" t="n">
        <v>1500</v>
      </c>
      <c r="K448" t="inlineStr">
        <is>
          <t>Feel Films Ltd.</t>
        </is>
      </c>
      <c r="L448" s="869" t="n">
        <v>44419</v>
      </c>
      <c r="M448" s="869" t="n">
        <v>46244</v>
      </c>
      <c r="Q448" t="n">
        <v>62963</v>
      </c>
      <c r="R448">
        <f>R326</f>
        <v/>
      </c>
      <c r="T448" t="n">
        <v>80000</v>
      </c>
      <c r="U448">
        <f>U326</f>
        <v/>
      </c>
      <c r="V448" t="n">
        <v>80000</v>
      </c>
      <c r="W448">
        <f>W326</f>
        <v/>
      </c>
      <c r="X448">
        <f>W326/I326</f>
        <v/>
      </c>
      <c r="Y448">
        <f>SUM(W326-U326)/U326</f>
        <v/>
      </c>
      <c r="Z448" t="inlineStr">
        <is>
          <t>D</t>
        </is>
      </c>
      <c r="AC448" t="inlineStr">
        <is>
          <t>No</t>
        </is>
      </c>
      <c r="AD448" t="inlineStr">
        <is>
          <t xml:space="preserve">Rent rises to £83,950 wef 11/08/25. </t>
        </is>
      </c>
      <c r="AI448" t="inlineStr">
        <is>
          <t>Let</t>
        </is>
      </c>
    </row>
    <row r="449">
      <c r="A449" t="inlineStr">
        <is>
          <t xml:space="preserve">  Office</t>
        </is>
      </c>
      <c r="B449" t="inlineStr">
        <is>
          <t>WS</t>
        </is>
      </c>
      <c r="C449" t="inlineStr">
        <is>
          <t>MEL</t>
        </is>
      </c>
      <c r="D449" t="n">
        <v>550870</v>
      </c>
      <c r="E449" t="inlineStr">
        <is>
          <t>67 - 81 Mortimer Street</t>
        </is>
      </c>
      <c r="F449" t="inlineStr">
        <is>
          <t>Second Floor (West)</t>
        </is>
      </c>
      <c r="G449" t="inlineStr">
        <is>
          <t>Office</t>
        </is>
      </c>
      <c r="H449" t="n">
        <v>1395</v>
      </c>
      <c r="I449">
        <f>I327</f>
        <v/>
      </c>
      <c r="J449" t="n">
        <v>1500</v>
      </c>
      <c r="K449" t="inlineStr">
        <is>
          <t>Vacant</t>
        </is>
      </c>
      <c r="N449" s="869" t="n">
        <v>45837</v>
      </c>
      <c r="Q449" t="n">
        <v>0</v>
      </c>
      <c r="R449">
        <f>R327</f>
        <v/>
      </c>
      <c r="T449" t="n">
        <v>76700</v>
      </c>
      <c r="U449">
        <f>U327</f>
        <v/>
      </c>
      <c r="V449" t="n">
        <v>76700</v>
      </c>
      <c r="W449">
        <f>W327</f>
        <v/>
      </c>
      <c r="X449">
        <f>W327/I327</f>
        <v/>
      </c>
      <c r="Y449">
        <f>SUM(W327-U327)/U327</f>
        <v/>
      </c>
      <c r="Z449" t="inlineStr">
        <is>
          <t>E</t>
        </is>
      </c>
      <c r="AC449" t="inlineStr">
        <is>
          <t>No</t>
        </is>
      </c>
      <c r="AD449" t="inlineStr">
        <is>
          <t>Under offer.</t>
        </is>
      </c>
      <c r="AI449" t="inlineStr">
        <is>
          <t>Void</t>
        </is>
      </c>
    </row>
    <row r="450">
      <c r="A450" t="inlineStr">
        <is>
          <t xml:space="preserve">  Office</t>
        </is>
      </c>
      <c r="B450" t="inlineStr">
        <is>
          <t>WS</t>
        </is>
      </c>
      <c r="C450" t="inlineStr">
        <is>
          <t>MEL</t>
        </is>
      </c>
      <c r="D450" t="n">
        <v>550870</v>
      </c>
      <c r="E450" t="inlineStr">
        <is>
          <t>67 - 81 Mortimer Street</t>
        </is>
      </c>
      <c r="F450" t="inlineStr">
        <is>
          <t>Second Floor (East)</t>
        </is>
      </c>
      <c r="G450" t="inlineStr">
        <is>
          <t>Office</t>
        </is>
      </c>
      <c r="H450" t="n">
        <v>1281</v>
      </c>
      <c r="I450">
        <f>I328</f>
        <v/>
      </c>
      <c r="J450" t="n">
        <v>1250</v>
      </c>
      <c r="K450" t="inlineStr">
        <is>
          <t>Feel Films Ltd.</t>
        </is>
      </c>
      <c r="L450" s="869" t="n">
        <v>45393</v>
      </c>
      <c r="M450" s="869" t="n">
        <v>47218</v>
      </c>
      <c r="P450" s="869" t="n">
        <v>46488</v>
      </c>
      <c r="Q450" t="n">
        <v>72800</v>
      </c>
      <c r="R450">
        <f>R328</f>
        <v/>
      </c>
      <c r="T450" t="n">
        <v>70500</v>
      </c>
      <c r="U450">
        <f>U328</f>
        <v/>
      </c>
      <c r="V450" t="n">
        <v>70500</v>
      </c>
      <c r="W450">
        <f>W328</f>
        <v/>
      </c>
      <c r="X450">
        <f>W328/I328</f>
        <v/>
      </c>
      <c r="Y450">
        <f>SUM(W328-U328)/U328</f>
        <v/>
      </c>
      <c r="Z450" t="inlineStr">
        <is>
          <t>D</t>
        </is>
      </c>
      <c r="AC450" t="inlineStr">
        <is>
          <t>No</t>
        </is>
      </c>
      <c r="AD450" t="inlineStr">
        <is>
          <t>Tenant break on 6 months notice. 3 months rent free if break not exercised.</t>
        </is>
      </c>
      <c r="AI450" t="inlineStr">
        <is>
          <t>Let</t>
        </is>
      </c>
    </row>
    <row r="451">
      <c r="A451" t="inlineStr">
        <is>
          <t xml:space="preserve">  Office</t>
        </is>
      </c>
      <c r="B451" t="inlineStr">
        <is>
          <t>WS</t>
        </is>
      </c>
      <c r="C451" t="inlineStr">
        <is>
          <t>MEL</t>
        </is>
      </c>
      <c r="D451" t="n">
        <v>550870</v>
      </c>
      <c r="E451" t="inlineStr">
        <is>
          <t>67 - 81 Mortimer Street</t>
        </is>
      </c>
      <c r="F451" t="inlineStr">
        <is>
          <t>Third Floor (East)</t>
        </is>
      </c>
      <c r="G451" t="inlineStr">
        <is>
          <t>Office</t>
        </is>
      </c>
      <c r="H451" t="n">
        <v>1371</v>
      </c>
      <c r="I451">
        <f>I329</f>
        <v/>
      </c>
      <c r="J451" t="n">
        <v>1250</v>
      </c>
      <c r="K451" t="inlineStr">
        <is>
          <t>Vacant</t>
        </is>
      </c>
      <c r="N451" s="869" t="n">
        <v>44647</v>
      </c>
      <c r="Q451" t="n">
        <v>0</v>
      </c>
      <c r="R451">
        <f>R329</f>
        <v/>
      </c>
      <c r="T451" t="n">
        <v>75400</v>
      </c>
      <c r="U451">
        <f>U329</f>
        <v/>
      </c>
      <c r="V451" t="n">
        <v>75400</v>
      </c>
      <c r="W451">
        <f>W329</f>
        <v/>
      </c>
      <c r="X451">
        <f>W329/I329</f>
        <v/>
      </c>
      <c r="Y451">
        <f>SUM(W329-U329)/U329</f>
        <v/>
      </c>
      <c r="Z451" t="inlineStr">
        <is>
          <t>B</t>
        </is>
      </c>
      <c r="AC451" t="inlineStr">
        <is>
          <t>No</t>
        </is>
      </c>
      <c r="AD451" t="inlineStr">
        <is>
          <t>Under offer</t>
        </is>
      </c>
      <c r="AE451" t="n">
        <v>62</v>
      </c>
      <c r="AG451" t="n">
        <v>2</v>
      </c>
      <c r="AI451" t="inlineStr">
        <is>
          <t>Void</t>
        </is>
      </c>
    </row>
    <row r="452">
      <c r="A452" t="inlineStr">
        <is>
          <t xml:space="preserve">  Office</t>
        </is>
      </c>
      <c r="B452" t="inlineStr">
        <is>
          <t>WS</t>
        </is>
      </c>
      <c r="C452" t="inlineStr">
        <is>
          <t>MEL</t>
        </is>
      </c>
      <c r="D452" t="n">
        <v>550870</v>
      </c>
      <c r="E452" t="inlineStr">
        <is>
          <t>67 - 81 Mortimer Street</t>
        </is>
      </c>
      <c r="F452" t="inlineStr">
        <is>
          <t>Third Floor (West)</t>
        </is>
      </c>
      <c r="G452" t="inlineStr">
        <is>
          <t>Office</t>
        </is>
      </c>
      <c r="H452" t="n">
        <v>1204</v>
      </c>
      <c r="I452">
        <f>I330</f>
        <v/>
      </c>
      <c r="J452" t="n">
        <v>1250</v>
      </c>
      <c r="K452" t="inlineStr">
        <is>
          <t>Vacant</t>
        </is>
      </c>
      <c r="N452" s="869" t="n">
        <v>42983</v>
      </c>
      <c r="Q452" t="n">
        <v>0</v>
      </c>
      <c r="R452">
        <f>R330</f>
        <v/>
      </c>
      <c r="T452" t="n">
        <v>66200</v>
      </c>
      <c r="U452">
        <f>U330</f>
        <v/>
      </c>
      <c r="V452" t="n">
        <v>66200</v>
      </c>
      <c r="W452">
        <f>W330</f>
        <v/>
      </c>
      <c r="X452">
        <f>W330/I330</f>
        <v/>
      </c>
      <c r="Y452">
        <f>SUM(W330-U330)/U330</f>
        <v/>
      </c>
      <c r="Z452" t="inlineStr">
        <is>
          <t>B</t>
        </is>
      </c>
      <c r="AC452" t="inlineStr">
        <is>
          <t>No</t>
        </is>
      </c>
      <c r="AD452" t="inlineStr">
        <is>
          <t>Under offer</t>
        </is>
      </c>
      <c r="AE452" t="n">
        <v>62</v>
      </c>
      <c r="AG452" t="n">
        <v>2</v>
      </c>
      <c r="AI452" t="inlineStr">
        <is>
          <t>Void</t>
        </is>
      </c>
    </row>
    <row r="453"/>
    <row r="454">
      <c r="A454" s="868" t="inlineStr">
        <is>
          <t>93 Mortimer Street &amp; 43 Great Portland Street</t>
        </is>
      </c>
    </row>
    <row r="455">
      <c r="A455" t="inlineStr">
        <is>
          <t xml:space="preserve">  Gallery</t>
        </is>
      </c>
      <c r="B455" t="inlineStr">
        <is>
          <t>WS</t>
        </is>
      </c>
      <c r="C455" t="inlineStr">
        <is>
          <t>MEL</t>
        </is>
      </c>
      <c r="D455" t="n">
        <v>550980</v>
      </c>
      <c r="E455" t="inlineStr">
        <is>
          <t>93 Mortimer Street &amp; 43 Great Portland Street</t>
        </is>
      </c>
      <c r="F455" t="inlineStr">
        <is>
          <t>Whole</t>
        </is>
      </c>
      <c r="G455" t="inlineStr">
        <is>
          <t>Gallery</t>
        </is>
      </c>
      <c r="H455" t="n">
        <v>10112</v>
      </c>
      <c r="I455">
        <f>I331</f>
        <v/>
      </c>
      <c r="K455" t="inlineStr">
        <is>
          <t>IBRAAZ</t>
        </is>
      </c>
      <c r="L455" s="869" t="n">
        <v>45708</v>
      </c>
      <c r="M455" s="869" t="n">
        <v>51185</v>
      </c>
      <c r="O455" s="869" t="n">
        <v>47534</v>
      </c>
      <c r="P455" s="869" t="n">
        <v>47898</v>
      </c>
      <c r="Q455" t="n">
        <v>550000</v>
      </c>
      <c r="R455">
        <f>R331</f>
        <v/>
      </c>
      <c r="S455">
        <f>S331</f>
        <v/>
      </c>
      <c r="T455" t="n">
        <v>750000</v>
      </c>
      <c r="U455">
        <f>U331</f>
        <v/>
      </c>
      <c r="V455" t="n">
        <v>685000</v>
      </c>
      <c r="W455">
        <f>W331</f>
        <v/>
      </c>
      <c r="X455">
        <f>W331/I331</f>
        <v/>
      </c>
      <c r="Y455">
        <f>SUM(W331-U331)/U331</f>
        <v/>
      </c>
      <c r="Z455" t="inlineStr">
        <is>
          <t>A</t>
        </is>
      </c>
      <c r="AB455" t="n">
        <v>11800000</v>
      </c>
      <c r="AC455" t="inlineStr">
        <is>
          <t>No</t>
        </is>
      </c>
      <c r="AD455" t="inlineStr">
        <is>
          <t>Rent increases reverts to £700,000 wef 20/02/30 subject to rent review.</t>
        </is>
      </c>
      <c r="AF455" t="n">
        <v>1</v>
      </c>
      <c r="AG455" t="n">
        <v>3</v>
      </c>
      <c r="AI455" t="inlineStr">
        <is>
          <t>Let</t>
        </is>
      </c>
    </row>
    <row r="456"/>
    <row r="457">
      <c r="A457" s="868" t="inlineStr">
        <is>
          <t>142-144 Oxford Street</t>
        </is>
      </c>
    </row>
    <row r="458">
      <c r="A458" t="inlineStr">
        <is>
          <t xml:space="preserve">  Retail/ Ancillary</t>
        </is>
      </c>
      <c r="B458" t="inlineStr">
        <is>
          <t>JM</t>
        </is>
      </c>
      <c r="C458" t="inlineStr">
        <is>
          <t>MEL</t>
        </is>
      </c>
      <c r="D458" t="n">
        <v>100850</v>
      </c>
      <c r="E458" t="inlineStr">
        <is>
          <t>142-144 Oxford Street</t>
        </is>
      </c>
      <c r="F458" t="inlineStr">
        <is>
          <t>Basement, Ground &amp; First Floors</t>
        </is>
      </c>
      <c r="G458" t="inlineStr">
        <is>
          <t>Retail/ Ancillary</t>
        </is>
      </c>
      <c r="H458" t="n">
        <v>5200</v>
      </c>
      <c r="I458">
        <f>I332</f>
        <v/>
      </c>
      <c r="J458" t="n">
        <v>5000</v>
      </c>
      <c r="K458" t="inlineStr">
        <is>
          <t>Telefonica UK Ltd</t>
        </is>
      </c>
      <c r="L458" s="869" t="n">
        <v>45776</v>
      </c>
      <c r="M458" s="869" t="n">
        <v>49427</v>
      </c>
      <c r="O458" s="869" t="n">
        <v>47602</v>
      </c>
      <c r="P458" s="869" t="n">
        <v>47601</v>
      </c>
      <c r="Q458" t="n">
        <v>0</v>
      </c>
      <c r="R458">
        <f>R332</f>
        <v/>
      </c>
      <c r="T458" t="n">
        <v>616000</v>
      </c>
      <c r="U458">
        <f>U332</f>
        <v/>
      </c>
      <c r="V458" t="n">
        <v>617000</v>
      </c>
      <c r="W458">
        <f>W332</f>
        <v/>
      </c>
      <c r="X458">
        <f>W332/I332</f>
        <v/>
      </c>
      <c r="Y458">
        <f>SUM(W332-U332)/U332</f>
        <v/>
      </c>
      <c r="Z458" t="inlineStr">
        <is>
          <t>B</t>
        </is>
      </c>
      <c r="AC458" t="inlineStr">
        <is>
          <t>No</t>
        </is>
      </c>
      <c r="AD458" t="inlineStr">
        <is>
          <t>Rent wef £352,500 wef 23/07/25, increasing to £705,000 wef 24/07/26. Tenant break on 6 months notice.</t>
        </is>
      </c>
      <c r="AF458" t="n">
        <v>1</v>
      </c>
      <c r="AG458" t="n">
        <v>3</v>
      </c>
      <c r="AH458" t="inlineStr">
        <is>
          <t>LEM</t>
        </is>
      </c>
      <c r="AI458" t="inlineStr">
        <is>
          <t>Let</t>
        </is>
      </c>
    </row>
    <row r="459">
      <c r="A459" t="inlineStr">
        <is>
          <t xml:space="preserve">  Kiosk</t>
        </is>
      </c>
      <c r="B459" t="inlineStr">
        <is>
          <t>JM</t>
        </is>
      </c>
      <c r="C459" t="inlineStr">
        <is>
          <t>MEL</t>
        </is>
      </c>
      <c r="D459" t="n">
        <v>100850</v>
      </c>
      <c r="E459" t="inlineStr">
        <is>
          <t>142-144 Oxford Street</t>
        </is>
      </c>
      <c r="F459" t="inlineStr">
        <is>
          <t>Kiosk in Adam and Eve Court</t>
        </is>
      </c>
      <c r="G459" t="inlineStr">
        <is>
          <t>Kiosk</t>
        </is>
      </c>
      <c r="H459" t="n">
        <v>85</v>
      </c>
      <c r="I459">
        <f>I333</f>
        <v/>
      </c>
      <c r="K459" t="inlineStr">
        <is>
          <t>The Prudential Assurance Company Ltd.</t>
        </is>
      </c>
      <c r="L459" s="869" t="n">
        <v>45589</v>
      </c>
      <c r="M459" s="869" t="n">
        <v>45953</v>
      </c>
      <c r="Q459" t="n">
        <v>68250</v>
      </c>
      <c r="R459">
        <f>R333</f>
        <v/>
      </c>
      <c r="T459" t="n">
        <v>65000</v>
      </c>
      <c r="U459">
        <f>U333</f>
        <v/>
      </c>
      <c r="V459" t="n">
        <v>0</v>
      </c>
      <c r="W459">
        <f>W333</f>
        <v/>
      </c>
      <c r="X459">
        <f>W333/I333</f>
        <v/>
      </c>
      <c r="Y459">
        <f>SUM(W333-U333)/U333</f>
        <v/>
      </c>
      <c r="AC459" t="inlineStr">
        <is>
          <t>No</t>
        </is>
      </c>
      <c r="AD459" t="inlineStr">
        <is>
          <t>Tenant rolling break on 3 months notice. Tenant has renewal option at stepped rent. Landlord redevelopment break @ 16/01/27 on 6 months notice.</t>
        </is>
      </c>
      <c r="AI459" t="inlineStr">
        <is>
          <t>Let</t>
        </is>
      </c>
    </row>
    <row r="460">
      <c r="A460" t="inlineStr">
        <is>
          <t xml:space="preserve">  Residential</t>
        </is>
      </c>
      <c r="B460" t="inlineStr">
        <is>
          <t>JM</t>
        </is>
      </c>
      <c r="C460" t="inlineStr">
        <is>
          <t>MEL</t>
        </is>
      </c>
      <c r="D460" t="n">
        <v>100850</v>
      </c>
      <c r="E460" t="inlineStr">
        <is>
          <t>142-144 Oxford Street</t>
        </is>
      </c>
      <c r="F460" t="inlineStr">
        <is>
          <t>Flats 1 - 9 Inclusive</t>
        </is>
      </c>
      <c r="G460" t="inlineStr">
        <is>
          <t>Residential</t>
        </is>
      </c>
      <c r="H460" t="n">
        <v>4011</v>
      </c>
      <c r="I460">
        <f>I334</f>
        <v/>
      </c>
      <c r="J460" t="n">
        <v>4000</v>
      </c>
      <c r="K460" t="inlineStr">
        <is>
          <t>Advan Capital Limited</t>
        </is>
      </c>
      <c r="L460" s="869" t="n">
        <v>44204</v>
      </c>
      <c r="M460" s="869" t="n">
        <v>47855</v>
      </c>
      <c r="O460" s="869" t="n">
        <v>46030</v>
      </c>
      <c r="Q460" t="n">
        <v>130000</v>
      </c>
      <c r="R460">
        <f>R334</f>
        <v/>
      </c>
      <c r="T460" t="n">
        <v>130000</v>
      </c>
      <c r="U460">
        <f>U334</f>
        <v/>
      </c>
      <c r="V460" t="n">
        <v>130000</v>
      </c>
      <c r="W460">
        <f>W334</f>
        <v/>
      </c>
      <c r="X460">
        <f>W334/I334</f>
        <v/>
      </c>
      <c r="Y460">
        <f>SUM(W334-U334)/U334</f>
        <v/>
      </c>
      <c r="Z460" t="inlineStr">
        <is>
          <t>B</t>
        </is>
      </c>
      <c r="AC460" t="inlineStr">
        <is>
          <t>No</t>
        </is>
      </c>
      <c r="AI460" t="inlineStr">
        <is>
          <t>Let</t>
        </is>
      </c>
    </row>
    <row r="461"/>
    <row r="462">
      <c r="A462" s="868" t="inlineStr">
        <is>
          <t>146/148 Oxford Street</t>
        </is>
      </c>
    </row>
    <row r="463">
      <c r="A463" t="inlineStr">
        <is>
          <t xml:space="preserve">  Retail</t>
        </is>
      </c>
      <c r="B463" t="inlineStr">
        <is>
          <t>JM</t>
        </is>
      </c>
      <c r="C463" t="inlineStr">
        <is>
          <t>MEL</t>
        </is>
      </c>
      <c r="D463" t="n">
        <v>100670</v>
      </c>
      <c r="E463" t="inlineStr">
        <is>
          <t>146/148 Oxford Street</t>
        </is>
      </c>
      <c r="F463" t="inlineStr">
        <is>
          <t>Vaults, Basement &amp; Ground Floors</t>
        </is>
      </c>
      <c r="G463" t="inlineStr">
        <is>
          <t>Retail</t>
        </is>
      </c>
      <c r="H463" t="n">
        <v>3348</v>
      </c>
      <c r="I463">
        <f>I335</f>
        <v/>
      </c>
      <c r="J463" t="n">
        <v>3250</v>
      </c>
      <c r="K463" t="inlineStr">
        <is>
          <t>Holland &amp; Barrett Retail Ltd</t>
        </is>
      </c>
      <c r="L463" s="869" t="n">
        <v>45600</v>
      </c>
      <c r="M463" s="869" t="n">
        <v>49251</v>
      </c>
      <c r="O463" s="869" t="n">
        <v>47426</v>
      </c>
      <c r="P463" s="869" t="n">
        <v>47790</v>
      </c>
      <c r="Q463" t="n">
        <v>260000</v>
      </c>
      <c r="R463">
        <f>R335</f>
        <v/>
      </c>
      <c r="T463" t="n">
        <v>522500</v>
      </c>
      <c r="U463">
        <f>U335</f>
        <v/>
      </c>
      <c r="V463" t="n">
        <v>522500</v>
      </c>
      <c r="W463">
        <f>W335</f>
        <v/>
      </c>
      <c r="X463">
        <f>W335/I335</f>
        <v/>
      </c>
      <c r="Y463">
        <f>SUM(W335-U335)/U335</f>
        <v/>
      </c>
      <c r="Z463" t="inlineStr">
        <is>
          <t>B</t>
        </is>
      </c>
      <c r="AC463" t="inlineStr">
        <is>
          <t>No</t>
        </is>
      </c>
      <c r="AD463" t="inlineStr">
        <is>
          <t xml:space="preserve">Rent increases to £520,000 wef 04/08/26. Tenant break on 6 months notice. </t>
        </is>
      </c>
      <c r="AI463" t="inlineStr">
        <is>
          <t>Let</t>
        </is>
      </c>
    </row>
    <row r="464">
      <c r="A464" t="inlineStr">
        <is>
          <t xml:space="preserve">  Educational</t>
        </is>
      </c>
      <c r="B464" t="inlineStr">
        <is>
          <t>JM</t>
        </is>
      </c>
      <c r="C464" t="inlineStr">
        <is>
          <t>MEL</t>
        </is>
      </c>
      <c r="D464" t="n">
        <v>100670</v>
      </c>
      <c r="E464" t="inlineStr">
        <is>
          <t>146/148 Oxford Street</t>
        </is>
      </c>
      <c r="F464" t="inlineStr">
        <is>
          <t>First to Fourth Floors</t>
        </is>
      </c>
      <c r="G464" t="inlineStr">
        <is>
          <t>Educational</t>
        </is>
      </c>
      <c r="H464" t="n">
        <v>2964</v>
      </c>
      <c r="I464">
        <f>I336</f>
        <v/>
      </c>
      <c r="J464" t="n">
        <v>3000</v>
      </c>
      <c r="K464" t="inlineStr">
        <is>
          <t>Vacant</t>
        </is>
      </c>
      <c r="N464" s="869" t="n">
        <v>42593</v>
      </c>
      <c r="Q464" t="n">
        <v>0</v>
      </c>
      <c r="R464">
        <f>R336</f>
        <v/>
      </c>
      <c r="T464" t="n">
        <v>115000</v>
      </c>
      <c r="U464">
        <f>U336</f>
        <v/>
      </c>
      <c r="V464" t="n">
        <v>115000</v>
      </c>
      <c r="W464">
        <f>W336</f>
        <v/>
      </c>
      <c r="X464">
        <f>W336/I336</f>
        <v/>
      </c>
      <c r="Y464">
        <f>SUM(W336-U336)/U336</f>
        <v/>
      </c>
      <c r="Z464" t="inlineStr">
        <is>
          <t>E</t>
        </is>
      </c>
      <c r="AC464" t="inlineStr">
        <is>
          <t>No</t>
        </is>
      </c>
      <c r="AD464" t="inlineStr">
        <is>
          <t>To be refurbished.</t>
        </is>
      </c>
      <c r="AI464" t="inlineStr">
        <is>
          <t>Void</t>
        </is>
      </c>
    </row>
    <row r="465"/>
    <row r="466">
      <c r="A466" s="868" t="inlineStr">
        <is>
          <t>150/154 Oxford Street</t>
        </is>
      </c>
    </row>
    <row r="467">
      <c r="A467" t="inlineStr">
        <is>
          <t xml:space="preserve">  Retail</t>
        </is>
      </c>
      <c r="B467" t="inlineStr">
        <is>
          <t>JM</t>
        </is>
      </c>
      <c r="C467" t="inlineStr">
        <is>
          <t>MEL</t>
        </is>
      </c>
      <c r="D467" t="n">
        <v>100650</v>
      </c>
      <c r="E467" t="inlineStr">
        <is>
          <t>150/154 Oxford Street</t>
        </is>
      </c>
      <c r="F467" t="inlineStr">
        <is>
          <t>Part Basement to Second Floors &amp; Rooftop Switch Room</t>
        </is>
      </c>
      <c r="G467" t="inlineStr">
        <is>
          <t>Retail</t>
        </is>
      </c>
      <c r="H467" t="n">
        <v>61433</v>
      </c>
      <c r="I467">
        <f>I337</f>
        <v/>
      </c>
      <c r="J467" t="n">
        <v>60000</v>
      </c>
      <c r="K467" t="inlineStr">
        <is>
          <t>Sportsdirect.com Retail Ltd</t>
        </is>
      </c>
      <c r="L467" s="869" t="n">
        <v>40925</v>
      </c>
      <c r="M467" s="869" t="n">
        <v>46403</v>
      </c>
      <c r="O467" s="869" t="n">
        <v>44578</v>
      </c>
      <c r="Q467" t="n">
        <v>4275000</v>
      </c>
      <c r="R467">
        <f>R337</f>
        <v/>
      </c>
      <c r="S467">
        <f>S337</f>
        <v/>
      </c>
      <c r="T467" t="n">
        <v>2569000</v>
      </c>
      <c r="U467">
        <f>U337</f>
        <v/>
      </c>
      <c r="V467" t="n">
        <v>3039000</v>
      </c>
      <c r="W467">
        <f>W337</f>
        <v/>
      </c>
      <c r="X467">
        <f>W337/I337</f>
        <v/>
      </c>
      <c r="Y467">
        <f>SUM(W337-U337)/U337</f>
        <v/>
      </c>
      <c r="Z467" t="inlineStr">
        <is>
          <t>B</t>
        </is>
      </c>
      <c r="AB467" t="n">
        <v>66775000</v>
      </c>
      <c r="AC467" t="inlineStr">
        <is>
          <t>Yes</t>
        </is>
      </c>
      <c r="AD467" t="inlineStr">
        <is>
          <t xml:space="preserve">Electricity Substation sublet by Sportsdirect.com. Rent review not yet activated. </t>
        </is>
      </c>
      <c r="AI467" t="inlineStr">
        <is>
          <t>Let</t>
        </is>
      </c>
    </row>
    <row r="468"/>
    <row r="469">
      <c r="A469" s="868" t="inlineStr">
        <is>
          <t>50 Eastcastle Street</t>
        </is>
      </c>
    </row>
    <row r="470">
      <c r="A470" t="inlineStr">
        <is>
          <t xml:space="preserve">  Storage</t>
        </is>
      </c>
      <c r="B470" t="inlineStr">
        <is>
          <t>JM</t>
        </is>
      </c>
      <c r="C470" t="inlineStr">
        <is>
          <t>MEL</t>
        </is>
      </c>
      <c r="D470" t="n">
        <v>100650</v>
      </c>
      <c r="E470" t="inlineStr">
        <is>
          <t>50-60 Eastcastle Street</t>
        </is>
      </c>
      <c r="F470" t="inlineStr">
        <is>
          <t>Basement (South East)</t>
        </is>
      </c>
      <c r="G470" t="inlineStr">
        <is>
          <t>Storage</t>
        </is>
      </c>
      <c r="H470" t="n">
        <v>114</v>
      </c>
      <c r="I470">
        <f>I338</f>
        <v/>
      </c>
      <c r="K470" t="inlineStr">
        <is>
          <t>Building Workshop</t>
        </is>
      </c>
      <c r="Q470" t="n">
        <v>0</v>
      </c>
      <c r="R470">
        <f>R338</f>
        <v/>
      </c>
      <c r="T470" t="n">
        <v>2007</v>
      </c>
      <c r="U470">
        <f>U338</f>
        <v/>
      </c>
      <c r="V470" t="n">
        <v>2007</v>
      </c>
      <c r="W470">
        <f>W338</f>
        <v/>
      </c>
      <c r="X470">
        <f>W338/I338</f>
        <v/>
      </c>
      <c r="Y470">
        <f>SUM(W338-U338)/U338</f>
        <v/>
      </c>
      <c r="AC470" t="inlineStr">
        <is>
          <t>No</t>
        </is>
      </c>
      <c r="AI470" t="inlineStr">
        <is>
          <t>Void</t>
        </is>
      </c>
    </row>
    <row r="471">
      <c r="A471" t="inlineStr">
        <is>
          <t xml:space="preserve">  Storage</t>
        </is>
      </c>
      <c r="B471" t="inlineStr">
        <is>
          <t>JM</t>
        </is>
      </c>
      <c r="C471" t="inlineStr">
        <is>
          <t>MEL</t>
        </is>
      </c>
      <c r="D471" t="n">
        <v>100650</v>
      </c>
      <c r="E471" t="inlineStr">
        <is>
          <t>50-60 Eastcastle Street</t>
        </is>
      </c>
      <c r="F471" t="inlineStr">
        <is>
          <t>Basement Store A</t>
        </is>
      </c>
      <c r="G471" t="inlineStr">
        <is>
          <t>Storage</t>
        </is>
      </c>
      <c r="H471" t="n">
        <v>454</v>
      </c>
      <c r="I471">
        <f>I339</f>
        <v/>
      </c>
      <c r="K471" t="inlineStr">
        <is>
          <t>Hope93 Ltd.</t>
        </is>
      </c>
      <c r="L471" s="869" t="n">
        <v>45685</v>
      </c>
      <c r="M471" s="869" t="n">
        <v>47358</v>
      </c>
      <c r="P471" s="869" t="n">
        <v>46627</v>
      </c>
      <c r="Q471" t="n">
        <v>18000</v>
      </c>
      <c r="R471">
        <f>R339</f>
        <v/>
      </c>
      <c r="T471" t="n">
        <v>7993</v>
      </c>
      <c r="V471" t="n">
        <v>7993</v>
      </c>
      <c r="X471">
        <f>W339/I339</f>
        <v/>
      </c>
      <c r="Y471">
        <f>SUM(W339-U339)/U339</f>
        <v/>
      </c>
      <c r="AD471" t="inlineStr">
        <is>
          <t>Tenant break on 6 months notice.</t>
        </is>
      </c>
      <c r="AI471" t="inlineStr">
        <is>
          <t>Let</t>
        </is>
      </c>
    </row>
    <row r="472">
      <c r="A472" t="inlineStr">
        <is>
          <t xml:space="preserve">  Building Managers Office</t>
        </is>
      </c>
      <c r="B472" t="inlineStr">
        <is>
          <t>JM</t>
        </is>
      </c>
      <c r="C472" t="inlineStr">
        <is>
          <t>MEL</t>
        </is>
      </c>
      <c r="D472" t="n">
        <v>100650</v>
      </c>
      <c r="E472" t="inlineStr">
        <is>
          <t>50-60 Eastcastle Street</t>
        </is>
      </c>
      <c r="F472" t="inlineStr">
        <is>
          <t>Basement (West)</t>
        </is>
      </c>
      <c r="G472" t="inlineStr">
        <is>
          <t>Building Managers Office</t>
        </is>
      </c>
      <c r="H472" t="n">
        <v>780</v>
      </c>
      <c r="I472">
        <f>I340</f>
        <v/>
      </c>
      <c r="J472" t="n">
        <v>750</v>
      </c>
      <c r="K472" t="inlineStr">
        <is>
          <t>Langham Estate Management Ltd</t>
        </is>
      </c>
      <c r="L472" s="869" t="n">
        <v>44562</v>
      </c>
      <c r="M472" s="869" t="n">
        <v>46752</v>
      </c>
      <c r="O472" s="869" t="n">
        <v>45292</v>
      </c>
      <c r="Q472" t="n">
        <v>17100</v>
      </c>
      <c r="R472">
        <f>R340</f>
        <v/>
      </c>
      <c r="T472" t="n">
        <v>12500</v>
      </c>
      <c r="U472">
        <f>U340</f>
        <v/>
      </c>
      <c r="V472" t="n">
        <v>12500</v>
      </c>
      <c r="W472">
        <f>W340</f>
        <v/>
      </c>
      <c r="X472">
        <f>W340/I340</f>
        <v/>
      </c>
      <c r="Y472">
        <f>SUM(W340-U340)/U340</f>
        <v/>
      </c>
      <c r="Z472" t="inlineStr">
        <is>
          <t>D</t>
        </is>
      </c>
      <c r="AC472" t="inlineStr">
        <is>
          <t>No</t>
        </is>
      </c>
      <c r="AD472" t="inlineStr">
        <is>
          <t>2 yearly rent reviews. Mutual rolling break on 6 months notice. Internal Lease to another Lee Family Group Company.</t>
        </is>
      </c>
      <c r="AI472" t="inlineStr">
        <is>
          <t>Let</t>
        </is>
      </c>
    </row>
    <row r="473">
      <c r="A473" t="inlineStr">
        <is>
          <t xml:space="preserve">  Restaurant</t>
        </is>
      </c>
      <c r="B473" t="inlineStr">
        <is>
          <t>JM</t>
        </is>
      </c>
      <c r="C473" t="inlineStr">
        <is>
          <t>MEL</t>
        </is>
      </c>
      <c r="D473" t="n">
        <v>100650</v>
      </c>
      <c r="E473" t="inlineStr">
        <is>
          <t>50-60 Eastcastle Street</t>
        </is>
      </c>
      <c r="F473" t="inlineStr">
        <is>
          <t>Grnd/Basement  - 10 &amp; 12 Winsley St.</t>
        </is>
      </c>
      <c r="G473" t="inlineStr">
        <is>
          <t>Restaurant</t>
        </is>
      </c>
      <c r="H473" t="n">
        <v>3661</v>
      </c>
      <c r="I473">
        <f>I341</f>
        <v/>
      </c>
      <c r="J473" t="n">
        <v>3500</v>
      </c>
      <c r="K473" t="inlineStr">
        <is>
          <t>Comptoir Group Plc</t>
        </is>
      </c>
      <c r="L473" s="869" t="n">
        <v>44115</v>
      </c>
      <c r="M473" s="869" t="n">
        <v>46670</v>
      </c>
      <c r="Q473" t="n">
        <v>170000</v>
      </c>
      <c r="R473">
        <f>R341</f>
        <v/>
      </c>
      <c r="T473" t="n">
        <v>216700</v>
      </c>
      <c r="U473">
        <f>U341</f>
        <v/>
      </c>
      <c r="V473" t="n">
        <v>216700</v>
      </c>
      <c r="W473">
        <f>W341</f>
        <v/>
      </c>
      <c r="X473">
        <f>W341/I341</f>
        <v/>
      </c>
      <c r="Y473">
        <f>SUM(W341-U341)/U341</f>
        <v/>
      </c>
      <c r="Z473" t="inlineStr">
        <is>
          <t>D</t>
        </is>
      </c>
      <c r="AC473" t="inlineStr">
        <is>
          <t>No</t>
        </is>
      </c>
      <c r="AI473" t="inlineStr">
        <is>
          <t>Let</t>
        </is>
      </c>
    </row>
    <row r="474">
      <c r="A474" t="inlineStr">
        <is>
          <t xml:space="preserve">  Showroom</t>
        </is>
      </c>
      <c r="B474" t="inlineStr">
        <is>
          <t>JM</t>
        </is>
      </c>
      <c r="C474" t="inlineStr">
        <is>
          <t>MEL</t>
        </is>
      </c>
      <c r="D474" t="n">
        <v>100650</v>
      </c>
      <c r="E474" t="inlineStr">
        <is>
          <t>50-60 Eastcastle Street</t>
        </is>
      </c>
      <c r="F474" t="inlineStr">
        <is>
          <t>Basement 56-57 Eastcastle St.</t>
        </is>
      </c>
      <c r="G474" t="inlineStr">
        <is>
          <t>Showroom</t>
        </is>
      </c>
      <c r="H474" t="n">
        <v>1716</v>
      </c>
      <c r="I474">
        <f>I342</f>
        <v/>
      </c>
      <c r="J474" t="n">
        <v>1750</v>
      </c>
      <c r="K474" t="inlineStr">
        <is>
          <t>Vacant</t>
        </is>
      </c>
      <c r="Q474" t="n">
        <v>0</v>
      </c>
      <c r="R474">
        <f>R342</f>
        <v/>
      </c>
      <c r="T474" t="n">
        <v>107600</v>
      </c>
      <c r="U474">
        <f>U342</f>
        <v/>
      </c>
      <c r="V474" t="n">
        <v>107600</v>
      </c>
      <c r="W474">
        <f>W342</f>
        <v/>
      </c>
      <c r="X474">
        <f>W342/I342</f>
        <v/>
      </c>
      <c r="Y474">
        <f>SUM(W342-U342)/U342</f>
        <v/>
      </c>
      <c r="Z474" t="inlineStr">
        <is>
          <t>D</t>
        </is>
      </c>
      <c r="AC474" t="inlineStr">
        <is>
          <t>No</t>
        </is>
      </c>
      <c r="AD474" t="inlineStr">
        <is>
          <t>Mothballed.</t>
        </is>
      </c>
      <c r="AI474" t="inlineStr">
        <is>
          <t>Void</t>
        </is>
      </c>
    </row>
    <row r="475">
      <c r="A475" t="inlineStr">
        <is>
          <t xml:space="preserve">  Showroom</t>
        </is>
      </c>
      <c r="B475" t="inlineStr">
        <is>
          <t>JM</t>
        </is>
      </c>
      <c r="C475" t="inlineStr">
        <is>
          <t>MEL</t>
        </is>
      </c>
      <c r="D475" t="n">
        <v>100650</v>
      </c>
      <c r="E475" t="inlineStr">
        <is>
          <t>50-60 Eastcastle Street</t>
        </is>
      </c>
      <c r="F475" t="inlineStr">
        <is>
          <t>Ground 56-57 Eastcastle St.</t>
        </is>
      </c>
      <c r="G475" t="inlineStr">
        <is>
          <t>Showroom</t>
        </is>
      </c>
      <c r="H475" t="n">
        <v>1952</v>
      </c>
      <c r="I475">
        <f>I343</f>
        <v/>
      </c>
      <c r="J475" t="n">
        <v>2000</v>
      </c>
      <c r="K475" t="inlineStr">
        <is>
          <t>YG Group Ltd</t>
        </is>
      </c>
      <c r="L475" s="869" t="n">
        <v>45450</v>
      </c>
      <c r="M475" s="869" t="n">
        <v>49101</v>
      </c>
      <c r="O475" s="869" t="n">
        <v>47276</v>
      </c>
      <c r="P475" s="869" t="n">
        <v>47275</v>
      </c>
      <c r="Q475" t="n">
        <v>159500</v>
      </c>
      <c r="R475">
        <f>R343</f>
        <v/>
      </c>
      <c r="T475" t="n">
        <v>122400</v>
      </c>
      <c r="U475">
        <f>U343</f>
        <v/>
      </c>
      <c r="V475" t="n">
        <v>122400</v>
      </c>
      <c r="W475">
        <f>W343</f>
        <v/>
      </c>
      <c r="X475">
        <f>W343/I343</f>
        <v/>
      </c>
      <c r="Y475">
        <f>SUM(W343-U343)/U343</f>
        <v/>
      </c>
      <c r="Z475" t="inlineStr">
        <is>
          <t>C</t>
        </is>
      </c>
      <c r="AC475" t="inlineStr">
        <is>
          <t>No</t>
        </is>
      </c>
      <c r="AD475" t="inlineStr">
        <is>
          <t>Mutual break on 6 months notice. 5 months rent free amortised over 1yr if break not exercised.</t>
        </is>
      </c>
      <c r="AI475" t="inlineStr">
        <is>
          <t>Let</t>
        </is>
      </c>
    </row>
    <row r="476">
      <c r="A476" t="inlineStr">
        <is>
          <t xml:space="preserve">  Art Gallery</t>
        </is>
      </c>
      <c r="B476" t="inlineStr">
        <is>
          <t>JM</t>
        </is>
      </c>
      <c r="C476" t="inlineStr">
        <is>
          <t>MEL</t>
        </is>
      </c>
      <c r="D476" t="n">
        <v>100650</v>
      </c>
      <c r="E476" t="inlineStr">
        <is>
          <t>50-60 Eastcastle Street</t>
        </is>
      </c>
      <c r="F476" t="inlineStr">
        <is>
          <t>Grnd/Basement - 55 Eastcastle St.</t>
        </is>
      </c>
      <c r="G476" t="inlineStr">
        <is>
          <t>Art Gallery</t>
        </is>
      </c>
      <c r="H476" t="n">
        <v>1710</v>
      </c>
      <c r="I476">
        <f>I344</f>
        <v/>
      </c>
      <c r="J476" t="n">
        <v>1750</v>
      </c>
      <c r="K476" t="inlineStr">
        <is>
          <t>PI Artworks Ltd.</t>
        </is>
      </c>
      <c r="L476" s="869" t="n">
        <v>45143</v>
      </c>
      <c r="M476" s="869" t="n">
        <v>45873</v>
      </c>
      <c r="Q476" t="n">
        <v>100000</v>
      </c>
      <c r="R476">
        <f>R344</f>
        <v/>
      </c>
      <c r="T476" t="n">
        <v>85500</v>
      </c>
      <c r="U476">
        <f>U344</f>
        <v/>
      </c>
      <c r="V476" t="n">
        <v>100000</v>
      </c>
      <c r="W476">
        <f>W344</f>
        <v/>
      </c>
      <c r="X476">
        <f>W344/I344</f>
        <v/>
      </c>
      <c r="Y476">
        <f>SUM(W344-U344)/U344</f>
        <v/>
      </c>
      <c r="Z476" t="inlineStr">
        <is>
          <t>D</t>
        </is>
      </c>
      <c r="AC476" t="inlineStr">
        <is>
          <t>No</t>
        </is>
      </c>
      <c r="AD476" t="inlineStr">
        <is>
          <t>Tenant confirmed they will vacate on expiry.</t>
        </is>
      </c>
      <c r="AI476" t="inlineStr">
        <is>
          <t>Let</t>
        </is>
      </c>
    </row>
    <row r="477">
      <c r="A477" t="inlineStr">
        <is>
          <t xml:space="preserve">  Art Gallery</t>
        </is>
      </c>
      <c r="B477" t="inlineStr">
        <is>
          <t>JM</t>
        </is>
      </c>
      <c r="C477" t="inlineStr">
        <is>
          <t>MEL</t>
        </is>
      </c>
      <c r="D477" t="n">
        <v>100650</v>
      </c>
      <c r="E477" t="inlineStr">
        <is>
          <t>50-60 Eastcastle Street</t>
        </is>
      </c>
      <c r="F477" t="inlineStr">
        <is>
          <t>Grnd/Basement - 54 Eastcastle St</t>
        </is>
      </c>
      <c r="G477" t="inlineStr">
        <is>
          <t>Art Gallery</t>
        </is>
      </c>
      <c r="H477" t="n">
        <v>3601</v>
      </c>
      <c r="I477">
        <f>I345</f>
        <v/>
      </c>
      <c r="J477" t="n">
        <v>3500</v>
      </c>
      <c r="K477" t="inlineStr">
        <is>
          <t>Hope93 Ltd.</t>
        </is>
      </c>
      <c r="L477" s="869" t="n">
        <v>45533</v>
      </c>
      <c r="M477" s="869" t="n">
        <v>49184</v>
      </c>
      <c r="O477" s="869" t="n">
        <v>47359</v>
      </c>
      <c r="P477" s="869" t="n">
        <v>46627</v>
      </c>
      <c r="Q477" t="n">
        <v>83500</v>
      </c>
      <c r="R477">
        <f>R345</f>
        <v/>
      </c>
      <c r="T477" t="n">
        <v>144000</v>
      </c>
      <c r="U477">
        <f>U345</f>
        <v/>
      </c>
      <c r="V477" t="n">
        <v>167400</v>
      </c>
      <c r="W477">
        <f>W345</f>
        <v/>
      </c>
      <c r="X477">
        <f>W345/I345</f>
        <v/>
      </c>
      <c r="Y477">
        <f>SUM(W345-U345)/U345</f>
        <v/>
      </c>
      <c r="Z477" t="inlineStr">
        <is>
          <t>D</t>
        </is>
      </c>
      <c r="AC477" t="inlineStr">
        <is>
          <t>No</t>
        </is>
      </c>
      <c r="AD477" t="inlineStr">
        <is>
          <t>Rent increasing to £167,000 pa wef 29/08/29. Further break @ 28/08/29 on 6 months notice. Penalty clause of £27,833 for first break.</t>
        </is>
      </c>
      <c r="AI477" t="inlineStr">
        <is>
          <t>Let</t>
        </is>
      </c>
    </row>
    <row r="478">
      <c r="A478" t="inlineStr">
        <is>
          <t xml:space="preserve">  Restaurant</t>
        </is>
      </c>
      <c r="B478" t="inlineStr">
        <is>
          <t>JM</t>
        </is>
      </c>
      <c r="C478" t="inlineStr">
        <is>
          <t>MEL</t>
        </is>
      </c>
      <c r="D478" t="n">
        <v>100650</v>
      </c>
      <c r="E478" t="inlineStr">
        <is>
          <t>50-60 Eastcastle Street</t>
        </is>
      </c>
      <c r="F478" t="inlineStr">
        <is>
          <t>Grnd/Basement - 51, 52 &amp; 53 Eastcastle St.</t>
        </is>
      </c>
      <c r="G478" t="inlineStr">
        <is>
          <t>Restaurant</t>
        </is>
      </c>
      <c r="H478" t="n">
        <v>6889</v>
      </c>
      <c r="I478">
        <f>I346</f>
        <v/>
      </c>
      <c r="J478" t="n">
        <v>7000</v>
      </c>
      <c r="K478" t="inlineStr">
        <is>
          <t>Stay On Target Ltd</t>
        </is>
      </c>
      <c r="L478" s="869" t="n">
        <v>44630</v>
      </c>
      <c r="M478" s="869" t="n">
        <v>48282</v>
      </c>
      <c r="O478" s="869" t="n">
        <v>46456</v>
      </c>
      <c r="Q478" t="n">
        <v>385000</v>
      </c>
      <c r="R478">
        <f>R346</f>
        <v/>
      </c>
      <c r="T478" t="n">
        <v>390000</v>
      </c>
      <c r="U478">
        <f>U346</f>
        <v/>
      </c>
      <c r="V478" t="n">
        <v>390000</v>
      </c>
      <c r="W478">
        <f>W346</f>
        <v/>
      </c>
      <c r="X478">
        <f>W346/I346</f>
        <v/>
      </c>
      <c r="Y478">
        <f>SUM(W346-U346)/U346</f>
        <v/>
      </c>
      <c r="Z478" t="inlineStr">
        <is>
          <t>A</t>
        </is>
      </c>
      <c r="AC478" t="inlineStr">
        <is>
          <t>No</t>
        </is>
      </c>
      <c r="AD478" t="inlineStr">
        <is>
          <t>Stepped rent. £390,000 wef 10/03/26. Penalty of £27,833 if first break activated. Parent company (Whistle Punks Ltd) in liquidation.</t>
        </is>
      </c>
      <c r="AI478" t="inlineStr">
        <is>
          <t>Let</t>
        </is>
      </c>
    </row>
    <row r="479">
      <c r="A479" t="inlineStr">
        <is>
          <t xml:space="preserve">  Office</t>
        </is>
      </c>
      <c r="B479" t="inlineStr">
        <is>
          <t>JM</t>
        </is>
      </c>
      <c r="C479" t="inlineStr">
        <is>
          <t>MEL</t>
        </is>
      </c>
      <c r="D479" t="n">
        <v>100650</v>
      </c>
      <c r="E479" t="inlineStr">
        <is>
          <t>50-60 Eastcastle Street</t>
        </is>
      </c>
      <c r="F479" t="inlineStr">
        <is>
          <t>First Floor (100)</t>
        </is>
      </c>
      <c r="G479" t="inlineStr">
        <is>
          <t>Office</t>
        </is>
      </c>
      <c r="H479" t="n">
        <v>1200</v>
      </c>
      <c r="I479">
        <f>I347</f>
        <v/>
      </c>
      <c r="J479" t="n">
        <v>1250</v>
      </c>
      <c r="K479" t="inlineStr">
        <is>
          <t>Vacant</t>
        </is>
      </c>
      <c r="N479" s="869" t="n">
        <v>45793</v>
      </c>
      <c r="Q479" t="n">
        <v>0</v>
      </c>
      <c r="R479">
        <f>R347</f>
        <v/>
      </c>
      <c r="T479" t="n">
        <v>72000</v>
      </c>
      <c r="U479">
        <f>U347</f>
        <v/>
      </c>
      <c r="V479" t="n">
        <v>69000</v>
      </c>
      <c r="W479">
        <f>W347</f>
        <v/>
      </c>
      <c r="X479">
        <f>W347/I347</f>
        <v/>
      </c>
      <c r="Y479">
        <f>SUM(W347-U347)/U347</f>
        <v/>
      </c>
      <c r="Z479" t="inlineStr">
        <is>
          <t>D</t>
        </is>
      </c>
      <c r="AC479" t="inlineStr">
        <is>
          <t>No</t>
        </is>
      </c>
      <c r="AD479" t="inlineStr">
        <is>
          <t>LEM marketing.</t>
        </is>
      </c>
      <c r="AG479" t="n">
        <v>8</v>
      </c>
      <c r="AI479" t="inlineStr">
        <is>
          <t>Void</t>
        </is>
      </c>
    </row>
    <row r="480">
      <c r="A480" t="inlineStr">
        <is>
          <t xml:space="preserve">  Showroom/ Office</t>
        </is>
      </c>
      <c r="B480" t="inlineStr">
        <is>
          <t>JM</t>
        </is>
      </c>
      <c r="C480" t="inlineStr">
        <is>
          <t>MEL</t>
        </is>
      </c>
      <c r="D480" t="n">
        <v>100650</v>
      </c>
      <c r="E480" t="inlineStr">
        <is>
          <t>50-60 Eastcastle Street</t>
        </is>
      </c>
      <c r="F480" t="inlineStr">
        <is>
          <t>First Floor  (140)</t>
        </is>
      </c>
      <c r="G480" t="inlineStr">
        <is>
          <t>Showroom/ Office</t>
        </is>
      </c>
      <c r="H480" t="n">
        <v>1372</v>
      </c>
      <c r="I480">
        <f>I348</f>
        <v/>
      </c>
      <c r="J480" t="n">
        <v>1250</v>
      </c>
      <c r="K480" t="inlineStr">
        <is>
          <t>Vacant</t>
        </is>
      </c>
      <c r="N480" s="869" t="n">
        <v>45672</v>
      </c>
      <c r="Q480" t="n">
        <v>0</v>
      </c>
      <c r="R480">
        <f>R348</f>
        <v/>
      </c>
      <c r="T480" t="n">
        <v>82300</v>
      </c>
      <c r="U480">
        <f>U348</f>
        <v/>
      </c>
      <c r="V480" t="n">
        <v>78900</v>
      </c>
      <c r="W480">
        <f>W348</f>
        <v/>
      </c>
      <c r="X480">
        <f>W348/I348</f>
        <v/>
      </c>
      <c r="Y480">
        <f>SUM(W348-U348)/U348</f>
        <v/>
      </c>
      <c r="Z480" t="inlineStr">
        <is>
          <t>D</t>
        </is>
      </c>
      <c r="AC480" t="inlineStr">
        <is>
          <t>No</t>
        </is>
      </c>
      <c r="AD480" t="inlineStr">
        <is>
          <t>LEM marketing.</t>
        </is>
      </c>
      <c r="AI480" t="inlineStr">
        <is>
          <t>Void</t>
        </is>
      </c>
    </row>
    <row r="481">
      <c r="A481" t="inlineStr">
        <is>
          <t xml:space="preserve">  Showroom/ Office</t>
        </is>
      </c>
      <c r="B481" t="inlineStr">
        <is>
          <t>JM</t>
        </is>
      </c>
      <c r="C481" t="inlineStr">
        <is>
          <t>MEL</t>
        </is>
      </c>
      <c r="D481" t="n">
        <v>100650</v>
      </c>
      <c r="E481" t="inlineStr">
        <is>
          <t>50-60 Eastcastle Street</t>
        </is>
      </c>
      <c r="F481" t="inlineStr">
        <is>
          <t>First Floor (120)</t>
        </is>
      </c>
      <c r="G481" t="inlineStr">
        <is>
          <t>Showroom/ Office</t>
        </is>
      </c>
      <c r="H481" t="n">
        <v>1020</v>
      </c>
      <c r="I481">
        <f>I349</f>
        <v/>
      </c>
      <c r="J481" t="n">
        <v>1000</v>
      </c>
      <c r="K481" t="inlineStr">
        <is>
          <t>Vacant</t>
        </is>
      </c>
      <c r="N481" s="869" t="n">
        <v>44576</v>
      </c>
      <c r="Q481" t="n">
        <v>0</v>
      </c>
      <c r="R481">
        <f>R349</f>
        <v/>
      </c>
      <c r="T481" t="n">
        <v>61200</v>
      </c>
      <c r="U481">
        <f>U349</f>
        <v/>
      </c>
      <c r="V481" t="n">
        <v>58700</v>
      </c>
      <c r="W481">
        <f>W349</f>
        <v/>
      </c>
      <c r="X481">
        <f>W349/I349</f>
        <v/>
      </c>
      <c r="Y481">
        <f>SUM(W349-U349)/U349</f>
        <v/>
      </c>
      <c r="Z481" t="inlineStr">
        <is>
          <t>D</t>
        </is>
      </c>
      <c r="AC481" t="inlineStr">
        <is>
          <t>No</t>
        </is>
      </c>
      <c r="AD481" t="inlineStr">
        <is>
          <t>To be refurbished.</t>
        </is>
      </c>
      <c r="AI481" t="inlineStr">
        <is>
          <t>Void</t>
        </is>
      </c>
    </row>
    <row r="482">
      <c r="A482" t="inlineStr">
        <is>
          <t xml:space="preserve">  Office</t>
        </is>
      </c>
      <c r="B482" t="inlineStr">
        <is>
          <t>JM</t>
        </is>
      </c>
      <c r="C482" t="inlineStr">
        <is>
          <t>MEL</t>
        </is>
      </c>
      <c r="D482" t="n">
        <v>100650</v>
      </c>
      <c r="E482" t="inlineStr">
        <is>
          <t>50-60 Eastcastle Street</t>
        </is>
      </c>
      <c r="F482" t="inlineStr">
        <is>
          <t>First Floor (Centre)</t>
        </is>
      </c>
      <c r="G482" t="inlineStr">
        <is>
          <t>Office</t>
        </is>
      </c>
      <c r="H482" t="n">
        <v>6636</v>
      </c>
      <c r="I482">
        <f>I350</f>
        <v/>
      </c>
      <c r="J482" t="n">
        <v>6500</v>
      </c>
      <c r="K482" t="inlineStr">
        <is>
          <t>Vacant</t>
        </is>
      </c>
      <c r="N482" s="869" t="n">
        <v>44172</v>
      </c>
      <c r="Q482" t="n">
        <v>0</v>
      </c>
      <c r="R482">
        <f>R350</f>
        <v/>
      </c>
      <c r="T482" t="n">
        <v>398200</v>
      </c>
      <c r="U482">
        <f>U350</f>
        <v/>
      </c>
      <c r="V482" t="n">
        <v>381600</v>
      </c>
      <c r="W482">
        <f>W350</f>
        <v/>
      </c>
      <c r="X482">
        <f>W350/I350</f>
        <v/>
      </c>
      <c r="Y482">
        <f>SUM(W350-U350)/U350</f>
        <v/>
      </c>
      <c r="Z482" t="inlineStr">
        <is>
          <t>E</t>
        </is>
      </c>
      <c r="AC482" t="inlineStr">
        <is>
          <t>No</t>
        </is>
      </c>
      <c r="AD482" t="inlineStr">
        <is>
          <t>To be refurbished.</t>
        </is>
      </c>
      <c r="AI482" t="inlineStr">
        <is>
          <t>Void</t>
        </is>
      </c>
    </row>
    <row r="483">
      <c r="A483" t="inlineStr">
        <is>
          <t xml:space="preserve">  Showroom/ Office</t>
        </is>
      </c>
      <c r="B483" t="inlineStr">
        <is>
          <t>JM</t>
        </is>
      </c>
      <c r="C483" t="inlineStr">
        <is>
          <t>MEL</t>
        </is>
      </c>
      <c r="D483" t="n">
        <v>100650</v>
      </c>
      <c r="E483" t="inlineStr">
        <is>
          <t>50-60 Eastcastle Street</t>
        </is>
      </c>
      <c r="F483" t="inlineStr">
        <is>
          <t>First Floor (160, 180)</t>
        </is>
      </c>
      <c r="G483" t="inlineStr">
        <is>
          <t>Showroom/ Office</t>
        </is>
      </c>
      <c r="H483" t="n">
        <v>950</v>
      </c>
      <c r="I483">
        <f>I351</f>
        <v/>
      </c>
      <c r="J483" t="n">
        <v>1000</v>
      </c>
      <c r="K483" t="inlineStr">
        <is>
          <t>Vacant</t>
        </is>
      </c>
      <c r="N483" s="869" t="n">
        <v>44682</v>
      </c>
      <c r="Q483" t="n">
        <v>0</v>
      </c>
      <c r="R483">
        <f>R351</f>
        <v/>
      </c>
      <c r="T483" t="n">
        <v>57000</v>
      </c>
      <c r="U483">
        <f>U351</f>
        <v/>
      </c>
      <c r="V483" t="n">
        <v>54600</v>
      </c>
      <c r="W483">
        <f>W351</f>
        <v/>
      </c>
      <c r="X483">
        <f>W351/I351</f>
        <v/>
      </c>
      <c r="Y483">
        <f>SUM(W351-U351)/U351</f>
        <v/>
      </c>
      <c r="Z483" t="inlineStr">
        <is>
          <t>D</t>
        </is>
      </c>
      <c r="AC483" t="inlineStr">
        <is>
          <t>No</t>
        </is>
      </c>
      <c r="AD483" t="inlineStr">
        <is>
          <t>To be refurbished.</t>
        </is>
      </c>
      <c r="AI483" t="inlineStr">
        <is>
          <t>Void</t>
        </is>
      </c>
    </row>
    <row r="484">
      <c r="A484" t="inlineStr">
        <is>
          <t xml:space="preserve">  Office</t>
        </is>
      </c>
      <c r="B484" t="inlineStr">
        <is>
          <t>JM</t>
        </is>
      </c>
      <c r="C484" t="inlineStr">
        <is>
          <t>MEL</t>
        </is>
      </c>
      <c r="D484" t="n">
        <v>100650</v>
      </c>
      <c r="E484" t="inlineStr">
        <is>
          <t>50-60 Eastcastle Street</t>
        </is>
      </c>
      <c r="F484" t="inlineStr">
        <is>
          <t>Second Floor (South)</t>
        </is>
      </c>
      <c r="G484" t="inlineStr">
        <is>
          <t>Office</t>
        </is>
      </c>
      <c r="H484" t="n">
        <v>15445</v>
      </c>
      <c r="I484">
        <f>I352</f>
        <v/>
      </c>
      <c r="J484" t="n">
        <v>15500</v>
      </c>
      <c r="K484" t="inlineStr">
        <is>
          <t>Vacant</t>
        </is>
      </c>
      <c r="N484" s="869" t="n">
        <v>45358</v>
      </c>
      <c r="Q484" t="n">
        <v>0</v>
      </c>
      <c r="R484">
        <f>R352</f>
        <v/>
      </c>
      <c r="T484" t="n">
        <v>926700</v>
      </c>
      <c r="U484">
        <f>U352</f>
        <v/>
      </c>
      <c r="V484" t="n">
        <v>810900</v>
      </c>
      <c r="W484">
        <f>W352</f>
        <v/>
      </c>
      <c r="X484">
        <f>W352/I352</f>
        <v/>
      </c>
      <c r="Y484">
        <f>SUM(W352-U352)/U352</f>
        <v/>
      </c>
      <c r="Z484" t="inlineStr">
        <is>
          <t>D</t>
        </is>
      </c>
      <c r="AC484" t="inlineStr">
        <is>
          <t>No</t>
        </is>
      </c>
      <c r="AD484" t="inlineStr">
        <is>
          <t>To be refurbished.</t>
        </is>
      </c>
      <c r="AF484" t="n">
        <v>3</v>
      </c>
      <c r="AG484" t="n">
        <v>3</v>
      </c>
      <c r="AH484" t="inlineStr">
        <is>
          <t>LEM</t>
        </is>
      </c>
      <c r="AI484" t="inlineStr">
        <is>
          <t>Void</t>
        </is>
      </c>
    </row>
    <row r="485">
      <c r="A485" t="inlineStr">
        <is>
          <t xml:space="preserve">  Office</t>
        </is>
      </c>
      <c r="B485" t="inlineStr">
        <is>
          <t>JM</t>
        </is>
      </c>
      <c r="C485" t="inlineStr">
        <is>
          <t>MEL</t>
        </is>
      </c>
      <c r="D485" t="n">
        <v>100650</v>
      </c>
      <c r="E485" t="inlineStr">
        <is>
          <t>50-60 Eastcastle Street</t>
        </is>
      </c>
      <c r="F485" t="inlineStr">
        <is>
          <t>Second Floor (Centre)</t>
        </is>
      </c>
      <c r="G485" t="inlineStr">
        <is>
          <t>Office</t>
        </is>
      </c>
      <c r="H485" t="n">
        <v>5350</v>
      </c>
      <c r="I485">
        <f>I353</f>
        <v/>
      </c>
      <c r="J485" t="n">
        <v>5250</v>
      </c>
      <c r="K485" t="inlineStr">
        <is>
          <t>Fintech Partners Limited.</t>
        </is>
      </c>
      <c r="L485" s="869" t="n">
        <v>44986</v>
      </c>
      <c r="M485" s="869" t="n">
        <v>46081</v>
      </c>
      <c r="Q485" t="n">
        <v>320000</v>
      </c>
      <c r="R485">
        <f>R353</f>
        <v/>
      </c>
      <c r="T485" t="n">
        <v>321000</v>
      </c>
      <c r="U485">
        <f>U353</f>
        <v/>
      </c>
      <c r="V485" t="n">
        <v>307600</v>
      </c>
      <c r="W485">
        <f>W353</f>
        <v/>
      </c>
      <c r="X485">
        <f>W353/I353</f>
        <v/>
      </c>
      <c r="Y485">
        <f>SUM(W353-U353)/U353</f>
        <v/>
      </c>
      <c r="Z485" t="inlineStr">
        <is>
          <t>D</t>
        </is>
      </c>
      <c r="AC485" t="inlineStr">
        <is>
          <t>No</t>
        </is>
      </c>
      <c r="AF485" t="n">
        <v>1</v>
      </c>
      <c r="AG485" t="n">
        <v>1</v>
      </c>
      <c r="AI485" t="inlineStr">
        <is>
          <t>Let</t>
        </is>
      </c>
    </row>
    <row r="486">
      <c r="A486" t="inlineStr">
        <is>
          <t xml:space="preserve">  Office</t>
        </is>
      </c>
      <c r="B486" t="inlineStr">
        <is>
          <t>JM</t>
        </is>
      </c>
      <c r="C486" t="inlineStr">
        <is>
          <t>MEL</t>
        </is>
      </c>
      <c r="D486" t="n">
        <v>100650</v>
      </c>
      <c r="E486" t="inlineStr">
        <is>
          <t>50-60 Eastcastle Street</t>
        </is>
      </c>
      <c r="F486" t="inlineStr">
        <is>
          <t>Second Floor (210,220, 230 &amp; 231)</t>
        </is>
      </c>
      <c r="G486" t="inlineStr">
        <is>
          <t>Office</t>
        </is>
      </c>
      <c r="H486" t="n">
        <v>3461</v>
      </c>
      <c r="I486">
        <f>I354</f>
        <v/>
      </c>
      <c r="J486" t="n">
        <v>3500</v>
      </c>
      <c r="K486" t="inlineStr">
        <is>
          <t>Vacant</t>
        </is>
      </c>
      <c r="N486" s="869" t="n">
        <v>44958</v>
      </c>
      <c r="Q486" t="n">
        <v>0</v>
      </c>
      <c r="R486">
        <f>R354</f>
        <v/>
      </c>
      <c r="T486" t="n">
        <v>207700</v>
      </c>
      <c r="U486">
        <f>U354</f>
        <v/>
      </c>
      <c r="V486" t="n">
        <v>199000</v>
      </c>
      <c r="W486">
        <f>W354</f>
        <v/>
      </c>
      <c r="X486">
        <f>W354/I354</f>
        <v/>
      </c>
      <c r="Y486">
        <f>SUM(W354-U354)/U354</f>
        <v/>
      </c>
      <c r="Z486" t="inlineStr">
        <is>
          <t>D</t>
        </is>
      </c>
      <c r="AC486" t="inlineStr">
        <is>
          <t>No</t>
        </is>
      </c>
      <c r="AD486" t="inlineStr">
        <is>
          <t>To be refurbished.</t>
        </is>
      </c>
      <c r="AF486" t="n">
        <v>1</v>
      </c>
      <c r="AG486" t="n">
        <v>1</v>
      </c>
      <c r="AI486" t="inlineStr">
        <is>
          <t>Void</t>
        </is>
      </c>
    </row>
    <row r="487">
      <c r="A487" t="inlineStr">
        <is>
          <t xml:space="preserve">  Office</t>
        </is>
      </c>
      <c r="B487" t="inlineStr">
        <is>
          <t>JM</t>
        </is>
      </c>
      <c r="C487" t="inlineStr">
        <is>
          <t>MEL</t>
        </is>
      </c>
      <c r="D487" t="n">
        <v>100650</v>
      </c>
      <c r="E487" t="inlineStr">
        <is>
          <t>50-60 Eastcastle Street</t>
        </is>
      </c>
      <c r="F487" t="inlineStr">
        <is>
          <t>Second Floor (240)</t>
        </is>
      </c>
      <c r="G487" t="inlineStr">
        <is>
          <t>Office</t>
        </is>
      </c>
      <c r="H487" t="n">
        <v>445</v>
      </c>
      <c r="I487">
        <f>I355</f>
        <v/>
      </c>
      <c r="J487" t="n">
        <v>500</v>
      </c>
      <c r="K487" t="inlineStr">
        <is>
          <t>Vacant</t>
        </is>
      </c>
      <c r="N487" s="869" t="n">
        <v>44849</v>
      </c>
      <c r="Q487" t="n">
        <v>0</v>
      </c>
      <c r="R487">
        <f>R355</f>
        <v/>
      </c>
      <c r="T487" t="n">
        <v>26700</v>
      </c>
      <c r="U487">
        <f>U355</f>
        <v/>
      </c>
      <c r="V487" t="n">
        <v>25600</v>
      </c>
      <c r="W487">
        <f>W355</f>
        <v/>
      </c>
      <c r="X487">
        <f>W355/I355</f>
        <v/>
      </c>
      <c r="Y487">
        <f>SUM(W355-U355)/U355</f>
        <v/>
      </c>
      <c r="Z487" t="inlineStr">
        <is>
          <t>D</t>
        </is>
      </c>
      <c r="AC487" t="inlineStr">
        <is>
          <t>No</t>
        </is>
      </c>
      <c r="AD487" t="inlineStr">
        <is>
          <t>To be refurbished.</t>
        </is>
      </c>
      <c r="AF487" t="n">
        <v>1</v>
      </c>
      <c r="AG487" t="n">
        <v>2</v>
      </c>
      <c r="AH487" t="inlineStr">
        <is>
          <t>LEM</t>
        </is>
      </c>
      <c r="AI487" t="inlineStr">
        <is>
          <t>Void</t>
        </is>
      </c>
    </row>
    <row r="488">
      <c r="A488" t="inlineStr">
        <is>
          <t xml:space="preserve">  Office</t>
        </is>
      </c>
      <c r="B488" t="inlineStr">
        <is>
          <t>JM</t>
        </is>
      </c>
      <c r="C488" t="inlineStr">
        <is>
          <t>MEL</t>
        </is>
      </c>
      <c r="D488" t="n">
        <v>100650</v>
      </c>
      <c r="E488" t="inlineStr">
        <is>
          <t>50-60 Eastcastle Street</t>
        </is>
      </c>
      <c r="F488" t="inlineStr">
        <is>
          <t>Third Floor (303)</t>
        </is>
      </c>
      <c r="G488" t="inlineStr">
        <is>
          <t>Office</t>
        </is>
      </c>
      <c r="H488" t="n">
        <v>783</v>
      </c>
      <c r="I488">
        <f>I356</f>
        <v/>
      </c>
      <c r="J488" t="n">
        <v>750</v>
      </c>
      <c r="K488" t="inlineStr">
        <is>
          <t>Vacant</t>
        </is>
      </c>
      <c r="N488" s="869" t="n">
        <v>45406</v>
      </c>
      <c r="Q488" t="n">
        <v>0</v>
      </c>
      <c r="R488">
        <f>R356</f>
        <v/>
      </c>
      <c r="T488" t="n">
        <v>45000</v>
      </c>
      <c r="U488">
        <f>U356</f>
        <v/>
      </c>
      <c r="V488" t="n">
        <v>45000</v>
      </c>
      <c r="W488">
        <f>W356</f>
        <v/>
      </c>
      <c r="X488">
        <f>W356/I356</f>
        <v/>
      </c>
      <c r="Y488">
        <f>SUM(W356-U356)/U356</f>
        <v/>
      </c>
      <c r="Z488" t="inlineStr">
        <is>
          <t>D</t>
        </is>
      </c>
      <c r="AC488" t="inlineStr">
        <is>
          <t>No</t>
        </is>
      </c>
      <c r="AD488" t="inlineStr">
        <is>
          <t>To be refurbished.</t>
        </is>
      </c>
      <c r="AG488" t="n">
        <v>1</v>
      </c>
      <c r="AH488" t="inlineStr">
        <is>
          <t>LEM</t>
        </is>
      </c>
      <c r="AI488" t="inlineStr">
        <is>
          <t>Void</t>
        </is>
      </c>
    </row>
    <row r="489">
      <c r="A489" t="inlineStr">
        <is>
          <t xml:space="preserve">  Office</t>
        </is>
      </c>
      <c r="B489" t="inlineStr">
        <is>
          <t>JM</t>
        </is>
      </c>
      <c r="C489" t="inlineStr">
        <is>
          <t>MEL</t>
        </is>
      </c>
      <c r="D489" t="n">
        <v>100650</v>
      </c>
      <c r="E489" t="inlineStr">
        <is>
          <t>50-60 Eastcastle Street</t>
        </is>
      </c>
      <c r="F489" t="inlineStr">
        <is>
          <t>Third Floor (305)</t>
        </is>
      </c>
      <c r="G489" t="inlineStr">
        <is>
          <t>Office</t>
        </is>
      </c>
      <c r="H489" t="n">
        <v>1929</v>
      </c>
      <c r="I489">
        <f>I357</f>
        <v/>
      </c>
      <c r="J489" t="n">
        <v>2000</v>
      </c>
      <c r="K489" t="inlineStr">
        <is>
          <t>Property Management Recruitment Ltd.</t>
        </is>
      </c>
      <c r="L489" s="869" t="n">
        <v>45096</v>
      </c>
      <c r="M489" s="869" t="n">
        <v>46191</v>
      </c>
      <c r="Q489" t="n">
        <v>111825</v>
      </c>
      <c r="R489">
        <f>R357</f>
        <v/>
      </c>
      <c r="T489" t="n">
        <v>110900</v>
      </c>
      <c r="U489">
        <f>U357</f>
        <v/>
      </c>
      <c r="V489" t="n">
        <v>110900</v>
      </c>
      <c r="W489">
        <f>W357</f>
        <v/>
      </c>
      <c r="X489">
        <f>W357/I357</f>
        <v/>
      </c>
      <c r="Y489">
        <f>SUM(W357-U357)/U357</f>
        <v/>
      </c>
      <c r="Z489" t="inlineStr">
        <is>
          <t>E</t>
        </is>
      </c>
      <c r="AC489" t="inlineStr">
        <is>
          <t>No</t>
        </is>
      </c>
      <c r="AD489" t="inlineStr">
        <is>
          <t>To be refurbished.</t>
        </is>
      </c>
      <c r="AI489" t="inlineStr">
        <is>
          <t>Let</t>
        </is>
      </c>
    </row>
    <row r="490">
      <c r="A490" t="inlineStr">
        <is>
          <t xml:space="preserve">  Offices</t>
        </is>
      </c>
      <c r="B490" t="inlineStr">
        <is>
          <t>JM</t>
        </is>
      </c>
      <c r="C490" t="inlineStr">
        <is>
          <t>MEL</t>
        </is>
      </c>
      <c r="D490" t="n">
        <v>100650</v>
      </c>
      <c r="E490" t="inlineStr">
        <is>
          <t>50-60 Eastcastle Street</t>
        </is>
      </c>
      <c r="F490" t="inlineStr">
        <is>
          <t>Third Floor North (320)</t>
        </is>
      </c>
      <c r="G490" t="inlineStr">
        <is>
          <t>Offices</t>
        </is>
      </c>
      <c r="H490" t="n">
        <v>6893</v>
      </c>
      <c r="I490">
        <f>I358</f>
        <v/>
      </c>
      <c r="J490" t="n">
        <v>7000</v>
      </c>
      <c r="K490" t="inlineStr">
        <is>
          <t>Vacant</t>
        </is>
      </c>
      <c r="N490" s="869" t="n">
        <v>44340</v>
      </c>
      <c r="Q490" t="n">
        <v>0</v>
      </c>
      <c r="R490">
        <f>R358</f>
        <v/>
      </c>
      <c r="T490" t="n">
        <v>396300</v>
      </c>
      <c r="U490">
        <f>U358</f>
        <v/>
      </c>
      <c r="V490" t="n">
        <v>396300</v>
      </c>
      <c r="W490">
        <f>W358</f>
        <v/>
      </c>
      <c r="X490">
        <f>W358/I358</f>
        <v/>
      </c>
      <c r="Y490">
        <f>SUM(W358-U358)/U358</f>
        <v/>
      </c>
      <c r="Z490" t="inlineStr">
        <is>
          <t>E</t>
        </is>
      </c>
      <c r="AC490" t="inlineStr">
        <is>
          <t>No</t>
        </is>
      </c>
      <c r="AD490" t="inlineStr">
        <is>
          <t>To be refurbished.</t>
        </is>
      </c>
      <c r="AF490" t="n">
        <v>2</v>
      </c>
      <c r="AG490" t="n">
        <v>6</v>
      </c>
      <c r="AH490" t="inlineStr">
        <is>
          <t>LEM</t>
        </is>
      </c>
      <c r="AI490" t="inlineStr">
        <is>
          <t>Void</t>
        </is>
      </c>
    </row>
    <row r="491">
      <c r="A491" t="inlineStr">
        <is>
          <t xml:space="preserve">  Showroom/ Office</t>
        </is>
      </c>
      <c r="B491" t="inlineStr">
        <is>
          <t>JM</t>
        </is>
      </c>
      <c r="C491" t="inlineStr">
        <is>
          <t>MEL</t>
        </is>
      </c>
      <c r="D491" t="n">
        <v>100650</v>
      </c>
      <c r="E491" t="inlineStr">
        <is>
          <t>50-60 Eastcastle Street</t>
        </is>
      </c>
      <c r="F491" t="inlineStr">
        <is>
          <t>Third Floor (325)</t>
        </is>
      </c>
      <c r="G491" t="inlineStr">
        <is>
          <t>Showroom/ Office</t>
        </is>
      </c>
      <c r="H491" t="n">
        <v>363</v>
      </c>
      <c r="I491">
        <f>I359</f>
        <v/>
      </c>
      <c r="J491" t="n">
        <v>500</v>
      </c>
      <c r="K491" t="inlineStr">
        <is>
          <t>Vacant</t>
        </is>
      </c>
      <c r="N491" s="869" t="n">
        <v>45139</v>
      </c>
      <c r="Q491" t="n">
        <v>0</v>
      </c>
      <c r="R491">
        <f>R359</f>
        <v/>
      </c>
      <c r="T491" t="n">
        <v>20900</v>
      </c>
      <c r="U491">
        <f>U359</f>
        <v/>
      </c>
      <c r="V491" t="n">
        <v>20900</v>
      </c>
      <c r="W491">
        <f>W359</f>
        <v/>
      </c>
      <c r="X491">
        <f>W359/I359</f>
        <v/>
      </c>
      <c r="Y491">
        <f>SUM(W359-U359)/U359</f>
        <v/>
      </c>
      <c r="Z491" t="inlineStr">
        <is>
          <t>D</t>
        </is>
      </c>
      <c r="AC491" t="inlineStr">
        <is>
          <t>No</t>
        </is>
      </c>
      <c r="AD491" t="inlineStr">
        <is>
          <t>To be refurbished.</t>
        </is>
      </c>
      <c r="AI491" t="inlineStr">
        <is>
          <t>Void</t>
        </is>
      </c>
    </row>
    <row r="492">
      <c r="A492" t="inlineStr">
        <is>
          <t xml:space="preserve">  Showroom/ Office</t>
        </is>
      </c>
      <c r="B492" t="inlineStr">
        <is>
          <t>JM</t>
        </is>
      </c>
      <c r="C492" t="inlineStr">
        <is>
          <t>MEL</t>
        </is>
      </c>
      <c r="D492" t="n">
        <v>100650</v>
      </c>
      <c r="E492" t="inlineStr">
        <is>
          <t>50-60 Eastcastle Street</t>
        </is>
      </c>
      <c r="F492" t="inlineStr">
        <is>
          <t>Third Floor (335, 390)</t>
        </is>
      </c>
      <c r="G492" t="inlineStr">
        <is>
          <t>Showroom/ Office</t>
        </is>
      </c>
      <c r="H492" t="n">
        <v>933</v>
      </c>
      <c r="I492">
        <f>I360</f>
        <v/>
      </c>
      <c r="J492" t="n">
        <v>1000</v>
      </c>
      <c r="K492" t="inlineStr">
        <is>
          <t>Vacant</t>
        </is>
      </c>
      <c r="N492" s="869" t="n">
        <v>44340</v>
      </c>
      <c r="Q492" t="n">
        <v>0</v>
      </c>
      <c r="R492">
        <f>R360</f>
        <v/>
      </c>
      <c r="T492" t="n">
        <v>53600</v>
      </c>
      <c r="U492">
        <f>U360</f>
        <v/>
      </c>
      <c r="V492" t="n">
        <v>53600</v>
      </c>
      <c r="W492">
        <f>W360</f>
        <v/>
      </c>
      <c r="X492">
        <f>W360/I360</f>
        <v/>
      </c>
      <c r="Y492">
        <f>SUM(W360-U360)/U360</f>
        <v/>
      </c>
      <c r="Z492" t="inlineStr">
        <is>
          <t>E</t>
        </is>
      </c>
      <c r="AC492" t="inlineStr">
        <is>
          <t>No</t>
        </is>
      </c>
      <c r="AD492" t="inlineStr">
        <is>
          <t>To be refurbished.</t>
        </is>
      </c>
      <c r="AG492" t="n">
        <v>1</v>
      </c>
      <c r="AH492" t="inlineStr">
        <is>
          <t>LEM</t>
        </is>
      </c>
      <c r="AI492" t="inlineStr">
        <is>
          <t>Void</t>
        </is>
      </c>
    </row>
    <row r="493">
      <c r="A493" t="inlineStr">
        <is>
          <t xml:space="preserve">  Showroom/ Office</t>
        </is>
      </c>
      <c r="B493" t="inlineStr">
        <is>
          <t>JM</t>
        </is>
      </c>
      <c r="C493" t="inlineStr">
        <is>
          <t>MEL</t>
        </is>
      </c>
      <c r="D493" t="n">
        <v>100650</v>
      </c>
      <c r="E493" t="inlineStr">
        <is>
          <t>50-60 Eastcastle Street</t>
        </is>
      </c>
      <c r="F493" t="inlineStr">
        <is>
          <t>Third Floor (330)</t>
        </is>
      </c>
      <c r="G493" t="inlineStr">
        <is>
          <t>Showroom/ Office</t>
        </is>
      </c>
      <c r="H493" t="n">
        <v>1350</v>
      </c>
      <c r="I493">
        <f>I361</f>
        <v/>
      </c>
      <c r="J493" t="n">
        <v>1350</v>
      </c>
      <c r="K493" t="inlineStr">
        <is>
          <t>Brand Murray Fuller Services Ltd.</t>
        </is>
      </c>
      <c r="L493" s="869" t="n">
        <v>44501</v>
      </c>
      <c r="M493" s="869" t="n">
        <v>46326</v>
      </c>
      <c r="Q493" t="n">
        <v>74250</v>
      </c>
      <c r="R493">
        <f>R361</f>
        <v/>
      </c>
      <c r="T493" t="n">
        <v>77600</v>
      </c>
      <c r="U493">
        <f>U361</f>
        <v/>
      </c>
      <c r="V493" t="n">
        <v>77600</v>
      </c>
      <c r="W493">
        <f>W361</f>
        <v/>
      </c>
      <c r="X493">
        <f>W361/I361</f>
        <v/>
      </c>
      <c r="Y493">
        <f>SUM(W361-U361)/U361</f>
        <v/>
      </c>
      <c r="Z493" t="inlineStr">
        <is>
          <t>E</t>
        </is>
      </c>
      <c r="AC493" t="inlineStr">
        <is>
          <t>No</t>
        </is>
      </c>
      <c r="AI493" t="inlineStr">
        <is>
          <t>Let</t>
        </is>
      </c>
    </row>
    <row r="494">
      <c r="A494" t="inlineStr">
        <is>
          <t xml:space="preserve">  Office</t>
        </is>
      </c>
      <c r="B494" t="inlineStr">
        <is>
          <t>JM</t>
        </is>
      </c>
      <c r="C494" t="inlineStr">
        <is>
          <t>MEL</t>
        </is>
      </c>
      <c r="D494" t="n">
        <v>100650</v>
      </c>
      <c r="E494" t="inlineStr">
        <is>
          <t>50-60 Eastcastle Street</t>
        </is>
      </c>
      <c r="F494" t="inlineStr">
        <is>
          <t>Third Floor (340)</t>
        </is>
      </c>
      <c r="G494" t="inlineStr">
        <is>
          <t>Office</t>
        </is>
      </c>
      <c r="H494" t="n">
        <v>688</v>
      </c>
      <c r="I494">
        <f>I362</f>
        <v/>
      </c>
      <c r="J494" t="n">
        <v>750</v>
      </c>
      <c r="K494" t="inlineStr">
        <is>
          <t>Vacant</t>
        </is>
      </c>
      <c r="N494" s="869" t="n">
        <v>45139</v>
      </c>
      <c r="Q494" t="n">
        <v>0</v>
      </c>
      <c r="R494">
        <f>R362</f>
        <v/>
      </c>
      <c r="T494" t="n">
        <v>39600</v>
      </c>
      <c r="U494">
        <f>U362</f>
        <v/>
      </c>
      <c r="V494" t="n">
        <v>39600</v>
      </c>
      <c r="W494">
        <f>W362</f>
        <v/>
      </c>
      <c r="X494">
        <f>W362/I362</f>
        <v/>
      </c>
      <c r="Y494">
        <f>SUM(W362-U362)/U362</f>
        <v/>
      </c>
      <c r="Z494" t="inlineStr">
        <is>
          <t>E</t>
        </is>
      </c>
      <c r="AC494" t="inlineStr">
        <is>
          <t>No</t>
        </is>
      </c>
      <c r="AD494" t="inlineStr">
        <is>
          <t>To be refurbished.</t>
        </is>
      </c>
      <c r="AI494" t="inlineStr">
        <is>
          <t>Void</t>
        </is>
      </c>
    </row>
    <row r="495">
      <c r="A495" t="inlineStr">
        <is>
          <t xml:space="preserve">  Office</t>
        </is>
      </c>
      <c r="B495" t="inlineStr">
        <is>
          <t>JM</t>
        </is>
      </c>
      <c r="C495" t="inlineStr">
        <is>
          <t>MEL</t>
        </is>
      </c>
      <c r="D495" t="n">
        <v>100650</v>
      </c>
      <c r="E495" t="inlineStr">
        <is>
          <t>50-60 Eastcastle Street</t>
        </is>
      </c>
      <c r="F495" t="inlineStr">
        <is>
          <t>Third Floor (345)</t>
        </is>
      </c>
      <c r="G495" t="inlineStr">
        <is>
          <t>Office</t>
        </is>
      </c>
      <c r="H495" t="n">
        <v>325</v>
      </c>
      <c r="I495">
        <f>I363</f>
        <v/>
      </c>
      <c r="J495" t="n">
        <v>500</v>
      </c>
      <c r="K495" t="inlineStr">
        <is>
          <t>Vacant</t>
        </is>
      </c>
      <c r="N495" s="869" t="n">
        <v>44340</v>
      </c>
      <c r="Q495" t="n">
        <v>0</v>
      </c>
      <c r="R495">
        <f>R363</f>
        <v/>
      </c>
      <c r="T495" t="n">
        <v>18700</v>
      </c>
      <c r="U495">
        <f>U363</f>
        <v/>
      </c>
      <c r="V495" t="n">
        <v>18700</v>
      </c>
      <c r="W495">
        <f>W363</f>
        <v/>
      </c>
      <c r="X495">
        <f>W363/I363</f>
        <v/>
      </c>
      <c r="Y495">
        <f>SUM(W363-U363)/U363</f>
        <v/>
      </c>
      <c r="Z495" t="inlineStr">
        <is>
          <t>E</t>
        </is>
      </c>
      <c r="AC495" t="inlineStr">
        <is>
          <t>No</t>
        </is>
      </c>
      <c r="AD495" t="inlineStr">
        <is>
          <t>To be refurbished.</t>
        </is>
      </c>
      <c r="AI495" t="inlineStr">
        <is>
          <t>Void</t>
        </is>
      </c>
    </row>
    <row r="496">
      <c r="A496" t="inlineStr">
        <is>
          <t xml:space="preserve">  Office</t>
        </is>
      </c>
      <c r="B496" t="inlineStr">
        <is>
          <t>JM</t>
        </is>
      </c>
      <c r="C496" t="inlineStr">
        <is>
          <t>MEL</t>
        </is>
      </c>
      <c r="D496" t="n">
        <v>100650</v>
      </c>
      <c r="E496" t="inlineStr">
        <is>
          <t>50-60 Eastcastle Street</t>
        </is>
      </c>
      <c r="F496" t="inlineStr">
        <is>
          <t>Third Floor (350)</t>
        </is>
      </c>
      <c r="G496" t="inlineStr">
        <is>
          <t>Office</t>
        </is>
      </c>
      <c r="H496" t="n">
        <v>489</v>
      </c>
      <c r="I496">
        <f>I364</f>
        <v/>
      </c>
      <c r="J496" t="n">
        <v>500</v>
      </c>
      <c r="K496" t="inlineStr">
        <is>
          <t>Jewells Retail Ltd</t>
        </is>
      </c>
      <c r="L496" s="869" t="n">
        <v>45770</v>
      </c>
      <c r="M496" s="869" t="n">
        <v>46088</v>
      </c>
      <c r="Q496" t="n">
        <v>36529</v>
      </c>
      <c r="R496">
        <f>R364</f>
        <v/>
      </c>
      <c r="T496" t="n">
        <v>28100</v>
      </c>
      <c r="U496">
        <f>U364</f>
        <v/>
      </c>
      <c r="V496" t="n">
        <v>28100</v>
      </c>
      <c r="W496">
        <f>W364</f>
        <v/>
      </c>
      <c r="X496">
        <f>W364/I364</f>
        <v/>
      </c>
      <c r="Y496">
        <f>SUM(W364-U364)/U364</f>
        <v/>
      </c>
      <c r="Z496" t="inlineStr">
        <is>
          <t>E</t>
        </is>
      </c>
      <c r="AC496" t="inlineStr">
        <is>
          <t>No</t>
        </is>
      </c>
      <c r="AD496" t="inlineStr">
        <is>
          <t>Rent inclusive of service charge and insurance.</t>
        </is>
      </c>
      <c r="AI496" t="inlineStr">
        <is>
          <t>Let</t>
        </is>
      </c>
    </row>
    <row r="497">
      <c r="A497" t="inlineStr">
        <is>
          <t xml:space="preserve">  Office</t>
        </is>
      </c>
      <c r="B497" t="inlineStr">
        <is>
          <t>JM</t>
        </is>
      </c>
      <c r="C497" t="inlineStr">
        <is>
          <t>MEL</t>
        </is>
      </c>
      <c r="D497" t="n">
        <v>100650</v>
      </c>
      <c r="E497" t="inlineStr">
        <is>
          <t>50-60 Eastcastle Street</t>
        </is>
      </c>
      <c r="F497" t="inlineStr">
        <is>
          <t>Third Floor (360 &amp; 365)</t>
        </is>
      </c>
      <c r="G497" t="inlineStr">
        <is>
          <t>Office</t>
        </is>
      </c>
      <c r="H497" t="n">
        <v>3558</v>
      </c>
      <c r="I497">
        <f>I365</f>
        <v/>
      </c>
      <c r="J497" t="n">
        <v>3500</v>
      </c>
      <c r="K497" t="inlineStr">
        <is>
          <t>TGR1.618 Limited</t>
        </is>
      </c>
      <c r="L497" s="869" t="n">
        <v>45072</v>
      </c>
      <c r="M497" s="869" t="n">
        <v>46898</v>
      </c>
      <c r="P497" s="869" t="n">
        <v>46167</v>
      </c>
      <c r="Q497" t="n">
        <v>202920</v>
      </c>
      <c r="R497">
        <f>R365</f>
        <v/>
      </c>
      <c r="T497" t="n">
        <v>204600</v>
      </c>
      <c r="U497">
        <f>U365</f>
        <v/>
      </c>
      <c r="V497" t="n">
        <v>204600</v>
      </c>
      <c r="W497">
        <f>W365</f>
        <v/>
      </c>
      <c r="X497">
        <f>W365/I365</f>
        <v/>
      </c>
      <c r="Y497">
        <f>SUM(W365-U365)/U365</f>
        <v/>
      </c>
      <c r="Z497" t="inlineStr">
        <is>
          <t>D</t>
        </is>
      </c>
      <c r="AC497" t="inlineStr">
        <is>
          <t>No</t>
        </is>
      </c>
      <c r="AD497" t="inlineStr">
        <is>
          <t>Tenant break on 6 months notice. 2 months rent free if not exercised.</t>
        </is>
      </c>
      <c r="AI497" t="inlineStr">
        <is>
          <t>Let</t>
        </is>
      </c>
    </row>
    <row r="498">
      <c r="A498" t="inlineStr">
        <is>
          <t xml:space="preserve">  Office</t>
        </is>
      </c>
      <c r="B498" t="inlineStr">
        <is>
          <t>JM</t>
        </is>
      </c>
      <c r="C498" t="inlineStr">
        <is>
          <t>MEL</t>
        </is>
      </c>
      <c r="D498" t="n">
        <v>100650</v>
      </c>
      <c r="E498" t="inlineStr">
        <is>
          <t>50-60 Eastcastle Street</t>
        </is>
      </c>
      <c r="F498" t="inlineStr">
        <is>
          <t>Third Floor (395)</t>
        </is>
      </c>
      <c r="G498" t="inlineStr">
        <is>
          <t>Office</t>
        </is>
      </c>
      <c r="H498" t="n">
        <v>3500</v>
      </c>
      <c r="I498">
        <f>I366</f>
        <v/>
      </c>
      <c r="J498" t="n">
        <v>3500</v>
      </c>
      <c r="K498" t="inlineStr">
        <is>
          <t>Pixi Limited</t>
        </is>
      </c>
      <c r="L498" s="869" t="n">
        <v>44879</v>
      </c>
      <c r="M498" s="869" t="n">
        <v>46704</v>
      </c>
      <c r="Q498" t="n">
        <v>200000</v>
      </c>
      <c r="R498">
        <f>R366</f>
        <v/>
      </c>
      <c r="T498" t="n">
        <v>201300</v>
      </c>
      <c r="U498">
        <f>U366</f>
        <v/>
      </c>
      <c r="V498" t="n">
        <v>201300</v>
      </c>
      <c r="W498">
        <f>W366</f>
        <v/>
      </c>
      <c r="X498">
        <f>W366/I366</f>
        <v/>
      </c>
      <c r="Y498">
        <f>SUM(W366-U366)/U366</f>
        <v/>
      </c>
      <c r="Z498" t="inlineStr">
        <is>
          <t>D</t>
        </is>
      </c>
      <c r="AC498" t="inlineStr">
        <is>
          <t>No</t>
        </is>
      </c>
      <c r="AI498" t="inlineStr">
        <is>
          <t>Let</t>
        </is>
      </c>
    </row>
    <row r="499">
      <c r="A499" t="inlineStr">
        <is>
          <t xml:space="preserve">  Office</t>
        </is>
      </c>
      <c r="B499" t="inlineStr">
        <is>
          <t>JM</t>
        </is>
      </c>
      <c r="C499" t="inlineStr">
        <is>
          <t>MEL</t>
        </is>
      </c>
      <c r="D499" t="n">
        <v>100650</v>
      </c>
      <c r="E499" t="inlineStr">
        <is>
          <t>50-60 Eastcastle Street</t>
        </is>
      </c>
      <c r="F499" t="inlineStr">
        <is>
          <t>Third Floor (398)</t>
        </is>
      </c>
      <c r="G499" t="inlineStr">
        <is>
          <t>Office</t>
        </is>
      </c>
      <c r="H499" t="n">
        <v>416</v>
      </c>
      <c r="I499">
        <f>I367</f>
        <v/>
      </c>
      <c r="J499" t="n">
        <v>500</v>
      </c>
      <c r="K499" t="inlineStr">
        <is>
          <t>Pixi Limited</t>
        </is>
      </c>
      <c r="L499" s="869" t="n">
        <v>45701</v>
      </c>
      <c r="M499" s="869" t="n">
        <v>46704</v>
      </c>
      <c r="Q499" t="n">
        <v>15000</v>
      </c>
      <c r="R499">
        <f>R367</f>
        <v/>
      </c>
      <c r="T499" t="n">
        <v>23900</v>
      </c>
      <c r="U499">
        <f>U367</f>
        <v/>
      </c>
      <c r="V499" t="n">
        <v>23900</v>
      </c>
      <c r="W499">
        <f>W367</f>
        <v/>
      </c>
      <c r="X499">
        <f>W367/I367</f>
        <v/>
      </c>
      <c r="Y499">
        <f>SUM(W367-U367)/U367</f>
        <v/>
      </c>
      <c r="Z499" t="inlineStr">
        <is>
          <t>E</t>
        </is>
      </c>
      <c r="AC499" t="inlineStr">
        <is>
          <t>No</t>
        </is>
      </c>
      <c r="AD499" t="inlineStr">
        <is>
          <t>Rolling tenant break on 6 months notice.</t>
        </is>
      </c>
      <c r="AI499" t="inlineStr">
        <is>
          <t>Let</t>
        </is>
      </c>
    </row>
    <row r="500">
      <c r="A500" t="inlineStr">
        <is>
          <t xml:space="preserve">  Showroom/ Office</t>
        </is>
      </c>
      <c r="B500" t="inlineStr">
        <is>
          <t>JM</t>
        </is>
      </c>
      <c r="C500" t="inlineStr">
        <is>
          <t>MEL</t>
        </is>
      </c>
      <c r="D500" t="n">
        <v>100650</v>
      </c>
      <c r="E500" t="inlineStr">
        <is>
          <t>50-60 Eastcastle Street</t>
        </is>
      </c>
      <c r="F500" t="inlineStr">
        <is>
          <t>Third Floor (396)</t>
        </is>
      </c>
      <c r="G500" t="inlineStr">
        <is>
          <t>Showroom/ Office</t>
        </is>
      </c>
      <c r="H500" t="n">
        <v>1400</v>
      </c>
      <c r="I500">
        <f>I368</f>
        <v/>
      </c>
      <c r="J500" t="n">
        <v>1500</v>
      </c>
      <c r="K500" t="inlineStr">
        <is>
          <t>Lovisa UK Ltd</t>
        </is>
      </c>
      <c r="L500" s="869" t="n">
        <v>45359</v>
      </c>
      <c r="M500" s="869" t="n">
        <v>46088</v>
      </c>
      <c r="Q500" t="n">
        <v>81900</v>
      </c>
      <c r="R500">
        <f>R368</f>
        <v/>
      </c>
      <c r="T500" t="n">
        <v>80500</v>
      </c>
      <c r="U500">
        <f>U368</f>
        <v/>
      </c>
      <c r="V500" t="n">
        <v>80500</v>
      </c>
      <c r="W500">
        <f>W368</f>
        <v/>
      </c>
      <c r="X500">
        <f>W368/I368</f>
        <v/>
      </c>
      <c r="Y500">
        <f>SUM(W368-U368)/U368</f>
        <v/>
      </c>
      <c r="Z500" t="inlineStr">
        <is>
          <t>E</t>
        </is>
      </c>
      <c r="AC500" t="inlineStr">
        <is>
          <t>No</t>
        </is>
      </c>
      <c r="AI500" t="inlineStr">
        <is>
          <t>Let</t>
        </is>
      </c>
    </row>
    <row r="501">
      <c r="A501" t="inlineStr">
        <is>
          <t xml:space="preserve">  Showroom/ Office</t>
        </is>
      </c>
      <c r="B501" t="inlineStr">
        <is>
          <t>JM</t>
        </is>
      </c>
      <c r="C501" t="inlineStr">
        <is>
          <t>MEL</t>
        </is>
      </c>
      <c r="D501" t="n">
        <v>100650</v>
      </c>
      <c r="E501" t="inlineStr">
        <is>
          <t>50-60 Eastcastle Street</t>
        </is>
      </c>
      <c r="F501" t="inlineStr">
        <is>
          <t>Third Floor (375 &amp; 380)</t>
        </is>
      </c>
      <c r="G501" t="inlineStr">
        <is>
          <t>Showroom/ Office</t>
        </is>
      </c>
      <c r="H501" t="n">
        <v>1277</v>
      </c>
      <c r="I501">
        <f>I369</f>
        <v/>
      </c>
      <c r="J501" t="n">
        <v>750</v>
      </c>
      <c r="K501" t="inlineStr">
        <is>
          <t>Jewells Retail Ltd</t>
        </is>
      </c>
      <c r="L501" s="869" t="n">
        <v>45714</v>
      </c>
      <c r="M501" s="869" t="n">
        <v>46088</v>
      </c>
      <c r="Q501" t="n">
        <v>95395</v>
      </c>
      <c r="R501">
        <f>R369</f>
        <v/>
      </c>
      <c r="T501" t="n">
        <v>73400</v>
      </c>
      <c r="U501">
        <f>U369</f>
        <v/>
      </c>
      <c r="V501" t="n">
        <v>73400</v>
      </c>
      <c r="W501">
        <f>W369</f>
        <v/>
      </c>
      <c r="X501">
        <f>W369/I369</f>
        <v/>
      </c>
      <c r="Y501">
        <f>SUM(W369-U369)/U369</f>
        <v/>
      </c>
      <c r="Z501" t="inlineStr">
        <is>
          <t>E</t>
        </is>
      </c>
      <c r="AC501" t="inlineStr">
        <is>
          <t>No</t>
        </is>
      </c>
      <c r="AD501" t="inlineStr">
        <is>
          <t>Rent all inclusive (excluding rates).</t>
        </is>
      </c>
      <c r="AF501" t="n">
        <v>1</v>
      </c>
      <c r="AG501" t="n">
        <v>3</v>
      </c>
      <c r="AH501" t="inlineStr">
        <is>
          <t>LEM</t>
        </is>
      </c>
      <c r="AI501" t="inlineStr">
        <is>
          <t>Let</t>
        </is>
      </c>
    </row>
    <row r="502">
      <c r="A502" t="inlineStr">
        <is>
          <t xml:space="preserve">  Plant Room</t>
        </is>
      </c>
      <c r="B502" t="inlineStr">
        <is>
          <t>JM</t>
        </is>
      </c>
      <c r="C502" t="inlineStr">
        <is>
          <t>MEL</t>
        </is>
      </c>
      <c r="D502" t="n">
        <v>100650</v>
      </c>
      <c r="E502" t="inlineStr">
        <is>
          <t>50-60 Eastcastle Street</t>
        </is>
      </c>
      <c r="F502" t="inlineStr">
        <is>
          <t>Winsley St. Sub-station (N)</t>
        </is>
      </c>
      <c r="G502" t="inlineStr">
        <is>
          <t>Plant Room</t>
        </is>
      </c>
      <c r="H502" t="n">
        <v>0</v>
      </c>
      <c r="I502">
        <f>I370</f>
        <v/>
      </c>
      <c r="K502" t="inlineStr">
        <is>
          <t>London Power Networks Plc</t>
        </is>
      </c>
      <c r="L502" s="869" t="n">
        <v>39295</v>
      </c>
      <c r="M502" s="869" t="n">
        <v>46599</v>
      </c>
      <c r="O502" s="869" t="n">
        <v>44409</v>
      </c>
      <c r="Q502" t="n">
        <v>681</v>
      </c>
      <c r="R502">
        <f>R370</f>
        <v/>
      </c>
      <c r="T502" t="n">
        <v>700</v>
      </c>
      <c r="U502">
        <f>U370</f>
        <v/>
      </c>
      <c r="V502" t="n">
        <v>700</v>
      </c>
      <c r="W502">
        <f>W370</f>
        <v/>
      </c>
      <c r="AC502" t="inlineStr">
        <is>
          <t>No</t>
        </is>
      </c>
      <c r="AD502" t="inlineStr">
        <is>
          <t xml:space="preserve">Landlords redevelopment break on 6 months notice. Rent review is RPI indexation. </t>
        </is>
      </c>
      <c r="AI502" t="inlineStr">
        <is>
          <t>Let</t>
        </is>
      </c>
    </row>
    <row r="503">
      <c r="A503" t="inlineStr">
        <is>
          <t xml:space="preserve">  Plant Room</t>
        </is>
      </c>
      <c r="B503" t="inlineStr">
        <is>
          <t>JM</t>
        </is>
      </c>
      <c r="C503" t="inlineStr">
        <is>
          <t>MEL</t>
        </is>
      </c>
      <c r="D503" t="n">
        <v>100650</v>
      </c>
      <c r="E503" t="inlineStr">
        <is>
          <t>50-60 Eastcastle Street</t>
        </is>
      </c>
      <c r="F503" t="inlineStr">
        <is>
          <t>Winsley St. Sub-station (S)</t>
        </is>
      </c>
      <c r="G503" t="inlineStr">
        <is>
          <t>Plant Room</t>
        </is>
      </c>
      <c r="H503" t="n">
        <v>0</v>
      </c>
      <c r="I503">
        <f>I371</f>
        <v/>
      </c>
      <c r="K503" t="inlineStr">
        <is>
          <t>London Power Networks Plc</t>
        </is>
      </c>
      <c r="L503" s="869" t="n">
        <v>39295</v>
      </c>
      <c r="M503" s="869" t="n">
        <v>46599</v>
      </c>
      <c r="O503" s="869" t="n">
        <v>44409</v>
      </c>
      <c r="Q503" t="n">
        <v>681</v>
      </c>
      <c r="R503">
        <f>R371</f>
        <v/>
      </c>
      <c r="T503" t="n">
        <v>700</v>
      </c>
      <c r="U503">
        <f>U371</f>
        <v/>
      </c>
      <c r="V503" t="n">
        <v>700</v>
      </c>
      <c r="W503">
        <f>W371</f>
        <v/>
      </c>
      <c r="AC503" t="inlineStr">
        <is>
          <t>No</t>
        </is>
      </c>
      <c r="AD503" t="inlineStr">
        <is>
          <t xml:space="preserve">Landlords redevelopment break on 6 months notice. Rent review is RPI indexation. </t>
        </is>
      </c>
      <c r="AI503" t="inlineStr">
        <is>
          <t>Let</t>
        </is>
      </c>
    </row>
    <row r="504"/>
    <row r="505">
      <c r="A505" s="868" t="inlineStr">
        <is>
          <t>Mappin House, 156-162 Oxford Street</t>
        </is>
      </c>
    </row>
    <row r="506">
      <c r="A506" t="inlineStr">
        <is>
          <t xml:space="preserve">  Storage</t>
        </is>
      </c>
      <c r="B506" t="inlineStr">
        <is>
          <t>JM</t>
        </is>
      </c>
      <c r="C506" t="inlineStr">
        <is>
          <t>MEL</t>
        </is>
      </c>
      <c r="D506" t="n">
        <v>100680</v>
      </c>
      <c r="E506" t="inlineStr">
        <is>
          <t>Mappin House, 156-162 Oxford Street</t>
        </is>
      </c>
      <c r="F506" t="inlineStr">
        <is>
          <t>Part Basement</t>
        </is>
      </c>
      <c r="G506" t="inlineStr">
        <is>
          <t>Storage</t>
        </is>
      </c>
      <c r="H506" t="n">
        <v>0</v>
      </c>
      <c r="I506">
        <f>I372</f>
        <v/>
      </c>
      <c r="K506" t="inlineStr">
        <is>
          <t>Vincere NK Group Ltd</t>
        </is>
      </c>
      <c r="L506" s="869" t="n">
        <v>44736</v>
      </c>
      <c r="M506" s="869" t="n">
        <v>46657</v>
      </c>
      <c r="Q506" t="n">
        <v>1000</v>
      </c>
      <c r="R506">
        <f>R372</f>
        <v/>
      </c>
      <c r="T506" t="n">
        <v>1000</v>
      </c>
      <c r="U506">
        <f>U372</f>
        <v/>
      </c>
      <c r="V506" t="n">
        <v>0</v>
      </c>
      <c r="W506">
        <f>W372</f>
        <v/>
      </c>
      <c r="AC506" t="inlineStr">
        <is>
          <t>No</t>
        </is>
      </c>
      <c r="AD506" t="inlineStr">
        <is>
          <t>Landlord can terminate on 1 months notice.</t>
        </is>
      </c>
      <c r="AI506" t="inlineStr">
        <is>
          <t>Let</t>
        </is>
      </c>
    </row>
    <row r="507">
      <c r="A507" t="inlineStr">
        <is>
          <t xml:space="preserve">  Nightclub</t>
        </is>
      </c>
      <c r="B507" t="inlineStr">
        <is>
          <t>JM</t>
        </is>
      </c>
      <c r="C507" t="inlineStr">
        <is>
          <t>MEL</t>
        </is>
      </c>
      <c r="D507" t="n">
        <v>100680</v>
      </c>
      <c r="E507" t="inlineStr">
        <is>
          <t>Mappin House, 156-162 Oxford Street</t>
        </is>
      </c>
      <c r="F507" t="inlineStr">
        <is>
          <t>Ground Floor &amp; Basement                           Winsley Street</t>
        </is>
      </c>
      <c r="G507" t="inlineStr">
        <is>
          <t>Nightclub</t>
        </is>
      </c>
      <c r="H507" t="n">
        <v>7079</v>
      </c>
      <c r="I507">
        <f>I373</f>
        <v/>
      </c>
      <c r="J507" t="n">
        <v>7000</v>
      </c>
      <c r="K507" t="inlineStr">
        <is>
          <t>Vincere NK Group Ltd</t>
        </is>
      </c>
      <c r="L507" s="869" t="n">
        <v>41180</v>
      </c>
      <c r="M507" s="869" t="n">
        <v>46657</v>
      </c>
      <c r="Q507" t="n">
        <v>425033</v>
      </c>
      <c r="R507">
        <f>R373</f>
        <v/>
      </c>
      <c r="T507" t="n">
        <v>447350</v>
      </c>
      <c r="U507">
        <f>U373</f>
        <v/>
      </c>
      <c r="V507" t="n">
        <v>360100</v>
      </c>
      <c r="W507">
        <f>W373</f>
        <v/>
      </c>
      <c r="X507">
        <f>W373/I373</f>
        <v/>
      </c>
      <c r="Y507">
        <f>SUM(W373-U373)/U373</f>
        <v/>
      </c>
      <c r="Z507" t="inlineStr">
        <is>
          <t>B</t>
        </is>
      </c>
      <c r="AC507" t="inlineStr">
        <is>
          <t>Yes</t>
        </is>
      </c>
      <c r="AI507" t="inlineStr">
        <is>
          <t>Let</t>
        </is>
      </c>
    </row>
    <row r="508">
      <c r="A508" t="inlineStr">
        <is>
          <t xml:space="preserve">  Storage</t>
        </is>
      </c>
      <c r="B508" t="inlineStr">
        <is>
          <t>JM</t>
        </is>
      </c>
      <c r="C508" t="inlineStr">
        <is>
          <t>MEL</t>
        </is>
      </c>
      <c r="D508" t="n">
        <v>100680</v>
      </c>
      <c r="E508" t="inlineStr">
        <is>
          <t>Mappin House, 156-162 Oxford Street</t>
        </is>
      </c>
      <c r="F508" t="inlineStr">
        <is>
          <t>Basement - 158 Oxford Street</t>
        </is>
      </c>
      <c r="G508" t="inlineStr">
        <is>
          <t>Storage</t>
        </is>
      </c>
      <c r="H508" t="n">
        <v>0</v>
      </c>
      <c r="I508">
        <f>I374</f>
        <v/>
      </c>
      <c r="K508" t="inlineStr">
        <is>
          <t>Vincere NK Group Ltd</t>
        </is>
      </c>
      <c r="L508" s="869" t="n">
        <v>42114</v>
      </c>
      <c r="M508" s="869" t="n">
        <v>46657</v>
      </c>
      <c r="Q508" t="n">
        <v>22317</v>
      </c>
      <c r="R508">
        <f>R374</f>
        <v/>
      </c>
      <c r="T508" t="n">
        <v>21000</v>
      </c>
      <c r="U508">
        <f>U374</f>
        <v/>
      </c>
      <c r="V508" t="n">
        <v>0</v>
      </c>
      <c r="W508">
        <f>W374</f>
        <v/>
      </c>
      <c r="AC508" t="inlineStr">
        <is>
          <t>No</t>
        </is>
      </c>
      <c r="AI508" t="inlineStr">
        <is>
          <t>Let</t>
        </is>
      </c>
    </row>
    <row r="509">
      <c r="A509" t="inlineStr">
        <is>
          <t xml:space="preserve">  Retail</t>
        </is>
      </c>
      <c r="B509" t="inlineStr">
        <is>
          <t>JM</t>
        </is>
      </c>
      <c r="C509" t="inlineStr">
        <is>
          <t>MEL</t>
        </is>
      </c>
      <c r="D509" t="n">
        <v>100680</v>
      </c>
      <c r="E509" t="inlineStr">
        <is>
          <t>Mappin House, 156-162 Oxford Street</t>
        </is>
      </c>
      <c r="F509" t="inlineStr">
        <is>
          <t>Ground Floor &amp; Basement                           162 Oxford Street</t>
        </is>
      </c>
      <c r="G509" t="inlineStr">
        <is>
          <t>Retail</t>
        </is>
      </c>
      <c r="H509" t="n">
        <v>3030</v>
      </c>
      <c r="I509">
        <f>I375</f>
        <v/>
      </c>
      <c r="J509" t="n">
        <v>3000</v>
      </c>
      <c r="K509" t="inlineStr">
        <is>
          <t>Dune Group Ltd.</t>
        </is>
      </c>
      <c r="L509" s="869" t="n">
        <v>45711</v>
      </c>
      <c r="M509" s="869" t="n">
        <v>49362</v>
      </c>
      <c r="Q509" t="n">
        <v>500000</v>
      </c>
      <c r="R509">
        <f>R375</f>
        <v/>
      </c>
      <c r="T509" t="n">
        <v>393300</v>
      </c>
      <c r="U509">
        <f>U375</f>
        <v/>
      </c>
      <c r="V509" t="n">
        <v>500000</v>
      </c>
      <c r="W509">
        <f>W375</f>
        <v/>
      </c>
      <c r="X509">
        <f>W375/I375</f>
        <v/>
      </c>
      <c r="Y509">
        <f>SUM(W375-U375)/U375</f>
        <v/>
      </c>
      <c r="Z509" t="inlineStr">
        <is>
          <t>C</t>
        </is>
      </c>
      <c r="AC509" t="inlineStr">
        <is>
          <t>No</t>
        </is>
      </c>
      <c r="AD509" t="inlineStr">
        <is>
          <t>Tenant break on 6 months notice.</t>
        </is>
      </c>
      <c r="AI509" t="inlineStr">
        <is>
          <t>Let</t>
        </is>
      </c>
    </row>
    <row r="510">
      <c r="A510" t="inlineStr">
        <is>
          <t xml:space="preserve">  Retail</t>
        </is>
      </c>
      <c r="B510" t="inlineStr">
        <is>
          <t>JM</t>
        </is>
      </c>
      <c r="C510" t="inlineStr">
        <is>
          <t>MEL</t>
        </is>
      </c>
      <c r="D510" t="n">
        <v>100680</v>
      </c>
      <c r="E510" t="inlineStr">
        <is>
          <t>Mappin House, 156-162 Oxford Street</t>
        </is>
      </c>
      <c r="F510" t="inlineStr">
        <is>
          <t>Ground Floor - 160 Oxford Street</t>
        </is>
      </c>
      <c r="G510" t="inlineStr">
        <is>
          <t>Retail</t>
        </is>
      </c>
      <c r="H510" t="n">
        <v>1296</v>
      </c>
      <c r="I510">
        <f>I376</f>
        <v/>
      </c>
      <c r="J510" t="n">
        <v>1250</v>
      </c>
      <c r="K510" t="inlineStr">
        <is>
          <t>Hutchison 3 G UK Ltd</t>
        </is>
      </c>
      <c r="L510" s="869" t="n">
        <v>44908</v>
      </c>
      <c r="M510" s="869" t="n">
        <v>46003</v>
      </c>
      <c r="Q510" t="n">
        <v>295000</v>
      </c>
      <c r="R510">
        <f>R376</f>
        <v/>
      </c>
      <c r="T510" t="n">
        <v>275300</v>
      </c>
      <c r="U510">
        <f>U376</f>
        <v/>
      </c>
      <c r="V510" t="n">
        <v>333100</v>
      </c>
      <c r="W510">
        <f>W376</f>
        <v/>
      </c>
      <c r="X510">
        <f>W376/I376</f>
        <v/>
      </c>
      <c r="Y510">
        <f>SUM(W376-U376)/U376</f>
        <v/>
      </c>
      <c r="Z510" t="inlineStr">
        <is>
          <t>B</t>
        </is>
      </c>
      <c r="AC510" t="inlineStr">
        <is>
          <t>No</t>
        </is>
      </c>
      <c r="AI510" t="inlineStr">
        <is>
          <t>Let</t>
        </is>
      </c>
    </row>
    <row r="511">
      <c r="A511" t="inlineStr">
        <is>
          <t xml:space="preserve">  Retail</t>
        </is>
      </c>
      <c r="B511" t="inlineStr">
        <is>
          <t>JM</t>
        </is>
      </c>
      <c r="C511" t="inlineStr">
        <is>
          <t>MEL</t>
        </is>
      </c>
      <c r="D511" t="n">
        <v>100680</v>
      </c>
      <c r="E511" t="inlineStr">
        <is>
          <t>Mappin House, 156-162 Oxford Street</t>
        </is>
      </c>
      <c r="F511" t="inlineStr">
        <is>
          <t>Ground Floor - 158 Oxford Street</t>
        </is>
      </c>
      <c r="G511" t="inlineStr">
        <is>
          <t>Retail</t>
        </is>
      </c>
      <c r="H511" t="n">
        <v>1690</v>
      </c>
      <c r="I511">
        <f>I377</f>
        <v/>
      </c>
      <c r="J511" t="n">
        <v>1500</v>
      </c>
      <c r="K511" t="inlineStr">
        <is>
          <t>VF Northern Europe Services Ltd</t>
        </is>
      </c>
      <c r="L511" s="869" t="n">
        <v>42388</v>
      </c>
      <c r="M511" s="869" t="n">
        <v>46040</v>
      </c>
      <c r="Q511" t="n">
        <v>500000</v>
      </c>
      <c r="R511">
        <f>R377</f>
        <v/>
      </c>
      <c r="T511" t="n">
        <v>337700</v>
      </c>
      <c r="U511">
        <f>U377</f>
        <v/>
      </c>
      <c r="V511" t="n">
        <v>415900</v>
      </c>
      <c r="W511">
        <f>W377</f>
        <v/>
      </c>
      <c r="X511">
        <f>W377/I377</f>
        <v/>
      </c>
      <c r="Y511">
        <f>SUM(W377-U377)/U377</f>
        <v/>
      </c>
      <c r="Z511" t="inlineStr">
        <is>
          <t>B</t>
        </is>
      </c>
      <c r="AC511" t="inlineStr">
        <is>
          <t>No</t>
        </is>
      </c>
      <c r="AI511" t="inlineStr">
        <is>
          <t>Let</t>
        </is>
      </c>
    </row>
    <row r="512">
      <c r="A512" t="inlineStr">
        <is>
          <t xml:space="preserve">  Retail</t>
        </is>
      </c>
      <c r="B512" t="inlineStr">
        <is>
          <t>JM</t>
        </is>
      </c>
      <c r="C512" t="inlineStr">
        <is>
          <t>MEL</t>
        </is>
      </c>
      <c r="D512" t="n">
        <v>100680</v>
      </c>
      <c r="E512" t="inlineStr">
        <is>
          <t>Mappin House, 156-162 Oxford Street</t>
        </is>
      </c>
      <c r="F512" t="inlineStr">
        <is>
          <t>Ground Floor - 156 Oxford Street</t>
        </is>
      </c>
      <c r="G512" t="inlineStr">
        <is>
          <t>Retail</t>
        </is>
      </c>
      <c r="H512" t="n">
        <v>2304</v>
      </c>
      <c r="I512">
        <f>I378</f>
        <v/>
      </c>
      <c r="J512" t="n">
        <v>2250</v>
      </c>
      <c r="K512" t="inlineStr">
        <is>
          <t>Hawes &amp; Curtis Ltd</t>
        </is>
      </c>
      <c r="L512" s="869" t="n">
        <v>45748</v>
      </c>
      <c r="Q512" t="n">
        <v>255000</v>
      </c>
      <c r="R512">
        <f>R378</f>
        <v/>
      </c>
      <c r="T512" t="n">
        <v>371300</v>
      </c>
      <c r="U512">
        <f>U378</f>
        <v/>
      </c>
      <c r="V512" t="n">
        <v>426800</v>
      </c>
      <c r="W512">
        <f>W378</f>
        <v/>
      </c>
      <c r="X512">
        <f>W378/I378</f>
        <v/>
      </c>
      <c r="Y512">
        <f>SUM(W378-U378)/U378</f>
        <v/>
      </c>
      <c r="Z512" t="inlineStr">
        <is>
          <t>C</t>
        </is>
      </c>
      <c r="AC512" t="inlineStr">
        <is>
          <t>No</t>
        </is>
      </c>
      <c r="AD512" t="inlineStr">
        <is>
          <t>Tenancy @ will completed. Lease renewal terms agreed for 10 years.</t>
        </is>
      </c>
      <c r="AI512" t="inlineStr">
        <is>
          <t>Let</t>
        </is>
      </c>
    </row>
    <row r="513">
      <c r="A513" t="inlineStr">
        <is>
          <t xml:space="preserve">  Office</t>
        </is>
      </c>
      <c r="B513" t="inlineStr">
        <is>
          <t>JM</t>
        </is>
      </c>
      <c r="C513" t="inlineStr">
        <is>
          <t>MEL</t>
        </is>
      </c>
      <c r="D513" t="n">
        <v>100680</v>
      </c>
      <c r="E513" t="inlineStr">
        <is>
          <t>Mappin House, 156-162 Oxford Street</t>
        </is>
      </c>
      <c r="F513" t="inlineStr">
        <is>
          <t>Mezzanine</t>
        </is>
      </c>
      <c r="G513" t="inlineStr">
        <is>
          <t>Office</t>
        </is>
      </c>
      <c r="H513" t="n">
        <v>7519</v>
      </c>
      <c r="I513">
        <f>I379</f>
        <v/>
      </c>
      <c r="J513" t="n">
        <v>7500</v>
      </c>
      <c r="K513" t="inlineStr">
        <is>
          <t>Perry Ellis Europe Ltd.</t>
        </is>
      </c>
      <c r="L513" s="869" t="n">
        <v>45231</v>
      </c>
      <c r="M513" s="869" t="n">
        <v>45961</v>
      </c>
      <c r="Q513" t="n">
        <v>450600</v>
      </c>
      <c r="R513">
        <f>R379</f>
        <v/>
      </c>
      <c r="T513" t="n">
        <v>489500</v>
      </c>
      <c r="U513">
        <f>U379</f>
        <v/>
      </c>
      <c r="V513" t="n">
        <v>469900</v>
      </c>
      <c r="W513">
        <f>W379</f>
        <v/>
      </c>
      <c r="X513">
        <f>W379/I379</f>
        <v/>
      </c>
      <c r="Y513">
        <f>SUM(W379-U379)/U379</f>
        <v/>
      </c>
      <c r="Z513" t="inlineStr">
        <is>
          <t>D</t>
        </is>
      </c>
      <c r="AC513" t="inlineStr">
        <is>
          <t>No</t>
        </is>
      </c>
      <c r="AI513" t="inlineStr">
        <is>
          <t>Let</t>
        </is>
      </c>
    </row>
    <row r="514">
      <c r="A514" t="inlineStr">
        <is>
          <t xml:space="preserve">  Office</t>
        </is>
      </c>
      <c r="B514" t="inlineStr">
        <is>
          <t>JM</t>
        </is>
      </c>
      <c r="C514" t="inlineStr">
        <is>
          <t>MEL</t>
        </is>
      </c>
      <c r="D514" t="n">
        <v>100680</v>
      </c>
      <c r="E514" t="inlineStr">
        <is>
          <t>Mappin House, 156-162 Oxford Street</t>
        </is>
      </c>
      <c r="F514" t="inlineStr">
        <is>
          <t>First Floor</t>
        </is>
      </c>
      <c r="G514" t="inlineStr">
        <is>
          <t>Office</t>
        </is>
      </c>
      <c r="H514" t="n">
        <v>6890</v>
      </c>
      <c r="I514">
        <f>I380</f>
        <v/>
      </c>
      <c r="J514" t="n">
        <v>7000</v>
      </c>
      <c r="K514" t="inlineStr">
        <is>
          <t>London Mappin House Centre Ltd.</t>
        </is>
      </c>
      <c r="L514" s="869" t="n">
        <v>45672</v>
      </c>
      <c r="M514" s="869" t="n">
        <v>46766</v>
      </c>
      <c r="P514" s="869" t="n">
        <v>46218</v>
      </c>
      <c r="Q514" t="n">
        <v>241776</v>
      </c>
      <c r="R514">
        <f>R380</f>
        <v/>
      </c>
      <c r="T514" t="n">
        <v>438000</v>
      </c>
      <c r="U514">
        <f>U380</f>
        <v/>
      </c>
      <c r="V514" t="n">
        <v>430600</v>
      </c>
      <c r="W514">
        <f>W380</f>
        <v/>
      </c>
      <c r="X514">
        <f>W380/I380</f>
        <v/>
      </c>
      <c r="Y514">
        <f>SUM(W380-U380)/U380</f>
        <v/>
      </c>
      <c r="Z514" t="inlineStr">
        <is>
          <t>B</t>
        </is>
      </c>
      <c r="AC514" t="inlineStr">
        <is>
          <t>No</t>
        </is>
      </c>
      <c r="AD514" t="inlineStr">
        <is>
          <t xml:space="preserve">Guaranteed base rent of £241,776 plus revenue top up. Revenue top-up rent of £55,860 paid for 1Apr24 - 31Mar25. Rolling mutual break option after 18 months. </t>
        </is>
      </c>
      <c r="AI514" t="inlineStr">
        <is>
          <t>Let</t>
        </is>
      </c>
    </row>
    <row r="515">
      <c r="A515" t="inlineStr">
        <is>
          <t xml:space="preserve">  Office</t>
        </is>
      </c>
      <c r="B515" t="inlineStr">
        <is>
          <t>JM</t>
        </is>
      </c>
      <c r="C515" t="inlineStr">
        <is>
          <t>MEL</t>
        </is>
      </c>
      <c r="D515" t="n">
        <v>100680</v>
      </c>
      <c r="E515" t="inlineStr">
        <is>
          <t>Mappin House, 156-162 Oxford Street</t>
        </is>
      </c>
      <c r="F515" t="inlineStr">
        <is>
          <t>Second Floor</t>
        </is>
      </c>
      <c r="G515" t="inlineStr">
        <is>
          <t>Office</t>
        </is>
      </c>
      <c r="H515" t="n">
        <v>6973</v>
      </c>
      <c r="I515">
        <f>I381</f>
        <v/>
      </c>
      <c r="J515" t="n">
        <v>7000</v>
      </c>
      <c r="K515" t="inlineStr">
        <is>
          <t>London Mappin House Centre Ltd.</t>
        </is>
      </c>
      <c r="L515" s="869" t="n">
        <v>45672</v>
      </c>
      <c r="M515" s="869" t="n">
        <v>46766</v>
      </c>
      <c r="P515" s="869" t="n">
        <v>46218</v>
      </c>
      <c r="Q515" t="n">
        <v>242259</v>
      </c>
      <c r="R515">
        <f>R381</f>
        <v/>
      </c>
      <c r="T515" t="n">
        <v>438900</v>
      </c>
      <c r="U515">
        <f>U381</f>
        <v/>
      </c>
      <c r="V515" t="n">
        <v>435800</v>
      </c>
      <c r="W515">
        <f>W381</f>
        <v/>
      </c>
      <c r="X515">
        <f>W381/I381</f>
        <v/>
      </c>
      <c r="Y515">
        <f>SUM(W381-U381)/U381</f>
        <v/>
      </c>
      <c r="Z515" t="inlineStr">
        <is>
          <t>B</t>
        </is>
      </c>
      <c r="AC515" t="inlineStr">
        <is>
          <t>No</t>
        </is>
      </c>
      <c r="AD515" t="inlineStr">
        <is>
          <t xml:space="preserve">Guaranteed base rent of £242,259 plus revenue top up. Revenue top-up rent of £55,974 paid for 1Apr24 - 31Mar25. Rolling mutual break option after 18 months. </t>
        </is>
      </c>
      <c r="AI515" t="inlineStr">
        <is>
          <t>Let</t>
        </is>
      </c>
    </row>
    <row r="516">
      <c r="A516" t="inlineStr">
        <is>
          <t xml:space="preserve">  Office</t>
        </is>
      </c>
      <c r="B516" t="inlineStr">
        <is>
          <t>JM</t>
        </is>
      </c>
      <c r="C516" t="inlineStr">
        <is>
          <t>MEL</t>
        </is>
      </c>
      <c r="D516" t="n">
        <v>100680</v>
      </c>
      <c r="E516" t="inlineStr">
        <is>
          <t>Mappin House, 156-162 Oxford Street</t>
        </is>
      </c>
      <c r="F516" t="inlineStr">
        <is>
          <t>Third Floor</t>
        </is>
      </c>
      <c r="G516" t="inlineStr">
        <is>
          <t>Office</t>
        </is>
      </c>
      <c r="H516" t="n">
        <v>6999</v>
      </c>
      <c r="I516">
        <f>I382</f>
        <v/>
      </c>
      <c r="J516" t="n">
        <v>7000</v>
      </c>
      <c r="K516" t="inlineStr">
        <is>
          <t>Vacant</t>
        </is>
      </c>
      <c r="N516" s="869" t="n">
        <v>45673</v>
      </c>
      <c r="Q516" t="n">
        <v>0</v>
      </c>
      <c r="R516">
        <f>R382</f>
        <v/>
      </c>
      <c r="T516" t="n">
        <v>448100</v>
      </c>
      <c r="U516">
        <f>U382</f>
        <v/>
      </c>
      <c r="V516" t="n">
        <v>437400</v>
      </c>
      <c r="W516">
        <f>W382</f>
        <v/>
      </c>
      <c r="X516">
        <f>W382/I382</f>
        <v/>
      </c>
      <c r="Y516">
        <f>SUM(W382-U382)/U382</f>
        <v/>
      </c>
      <c r="Z516" t="inlineStr">
        <is>
          <t>D</t>
        </is>
      </c>
      <c r="AC516" t="inlineStr">
        <is>
          <t>No</t>
        </is>
      </c>
      <c r="AD516" t="inlineStr">
        <is>
          <t>LEM marketing</t>
        </is>
      </c>
      <c r="AF516" t="n">
        <v>2</v>
      </c>
      <c r="AG516" t="n">
        <v>9</v>
      </c>
      <c r="AH516" t="inlineStr">
        <is>
          <t>LEM</t>
        </is>
      </c>
      <c r="AI516" t="inlineStr">
        <is>
          <t>Void</t>
        </is>
      </c>
    </row>
    <row r="517">
      <c r="A517" t="inlineStr">
        <is>
          <t xml:space="preserve">  Office</t>
        </is>
      </c>
      <c r="B517" t="inlineStr">
        <is>
          <t>JM</t>
        </is>
      </c>
      <c r="C517" t="inlineStr">
        <is>
          <t>MEL</t>
        </is>
      </c>
      <c r="D517" t="n">
        <v>100680</v>
      </c>
      <c r="E517" t="inlineStr">
        <is>
          <t>Mappin House, 156-162 Oxford Street</t>
        </is>
      </c>
      <c r="F517" t="inlineStr">
        <is>
          <t>Fourth Floor</t>
        </is>
      </c>
      <c r="G517" t="inlineStr">
        <is>
          <t>Office</t>
        </is>
      </c>
      <c r="H517" t="n">
        <v>7007</v>
      </c>
      <c r="I517">
        <f>I383</f>
        <v/>
      </c>
      <c r="J517" t="n">
        <v>7000</v>
      </c>
      <c r="K517" t="inlineStr">
        <is>
          <t>London Mappin House Centre Ltd.</t>
        </is>
      </c>
      <c r="L517" s="869" t="n">
        <v>45672</v>
      </c>
      <c r="M517" s="869" t="n">
        <v>46766</v>
      </c>
      <c r="P517" s="869" t="n">
        <v>46218</v>
      </c>
      <c r="Q517" t="n">
        <v>252885</v>
      </c>
      <c r="R517">
        <f>R383</f>
        <v/>
      </c>
      <c r="T517" t="n">
        <v>458100</v>
      </c>
      <c r="U517">
        <f>U383</f>
        <v/>
      </c>
      <c r="V517" t="n">
        <v>437900</v>
      </c>
      <c r="W517">
        <f>W383</f>
        <v/>
      </c>
      <c r="X517">
        <f>W383/I383</f>
        <v/>
      </c>
      <c r="Y517">
        <f>SUM(W383-U383)/U383</f>
        <v/>
      </c>
      <c r="Z517" t="inlineStr">
        <is>
          <t>B</t>
        </is>
      </c>
      <c r="AC517" t="inlineStr">
        <is>
          <t>No</t>
        </is>
      </c>
      <c r="AD517" t="inlineStr">
        <is>
          <t xml:space="preserve">Guaranteed base rent of £252,885 plus revenue top up. Revenue top-up rent of £58,429 paid for 1Apr24 - 31Mar25. Rolling mutual break option after 18 months. </t>
        </is>
      </c>
      <c r="AI517" t="inlineStr">
        <is>
          <t>Let</t>
        </is>
      </c>
    </row>
    <row r="518">
      <c r="A518" t="inlineStr">
        <is>
          <t xml:space="preserve">  Office</t>
        </is>
      </c>
      <c r="B518" t="inlineStr">
        <is>
          <t>JM</t>
        </is>
      </c>
      <c r="C518" t="inlineStr">
        <is>
          <t>MEL</t>
        </is>
      </c>
      <c r="D518" t="n">
        <v>100680</v>
      </c>
      <c r="E518" t="inlineStr">
        <is>
          <t>Mappin House, 156-162 Oxford Street</t>
        </is>
      </c>
      <c r="F518" t="inlineStr">
        <is>
          <t>Fifth Floor</t>
        </is>
      </c>
      <c r="G518" t="inlineStr">
        <is>
          <t>Office</t>
        </is>
      </c>
      <c r="H518" t="n">
        <v>6662</v>
      </c>
      <c r="I518">
        <f>I384</f>
        <v/>
      </c>
      <c r="J518" t="n">
        <v>6500</v>
      </c>
      <c r="K518" t="inlineStr">
        <is>
          <t>London Mappin House Centre Ltd.</t>
        </is>
      </c>
      <c r="L518" s="869" t="n">
        <v>45672</v>
      </c>
      <c r="M518" s="869" t="n">
        <v>46766</v>
      </c>
      <c r="P518" s="869" t="n">
        <v>46218</v>
      </c>
      <c r="Q518" t="n">
        <v>252394</v>
      </c>
      <c r="R518">
        <f>R384</f>
        <v/>
      </c>
      <c r="T518" t="n">
        <v>434600</v>
      </c>
      <c r="U518">
        <f>U384</f>
        <v/>
      </c>
      <c r="V518" t="n">
        <v>416400</v>
      </c>
      <c r="W518">
        <f>W384</f>
        <v/>
      </c>
      <c r="X518">
        <f>W384/I384</f>
        <v/>
      </c>
      <c r="Y518">
        <f>SUM(W384-U384)/U384</f>
        <v/>
      </c>
      <c r="Z518" t="inlineStr">
        <is>
          <t>B</t>
        </is>
      </c>
      <c r="AC518" t="inlineStr">
        <is>
          <t>No</t>
        </is>
      </c>
      <c r="AD518" t="inlineStr">
        <is>
          <t xml:space="preserve">Guaranteed base rent of £252,393 plus revenue top up. Revenue top-up rent of £58,316 paid for 1Apr24 - 31Mar25. Rolling mutual break option after 18 months. </t>
        </is>
      </c>
      <c r="AI518" t="inlineStr">
        <is>
          <t>Let</t>
        </is>
      </c>
    </row>
    <row r="519"/>
    <row r="520">
      <c r="A520" s="868" t="inlineStr">
        <is>
          <t>53 Wells Street</t>
        </is>
      </c>
    </row>
    <row r="521">
      <c r="A521" t="inlineStr">
        <is>
          <t xml:space="preserve">  Office</t>
        </is>
      </c>
      <c r="B521" t="inlineStr">
        <is>
          <t>CM</t>
        </is>
      </c>
      <c r="C521" t="inlineStr">
        <is>
          <t>MEL</t>
        </is>
      </c>
      <c r="D521" t="n">
        <v>550030</v>
      </c>
      <c r="E521" t="inlineStr">
        <is>
          <t>53 Wells Street</t>
        </is>
      </c>
      <c r="F521" t="inlineStr">
        <is>
          <t>Lower Ground Floor</t>
        </is>
      </c>
      <c r="G521" t="inlineStr">
        <is>
          <t>Office</t>
        </is>
      </c>
      <c r="H521" t="n">
        <v>825</v>
      </c>
      <c r="I521">
        <f>I385</f>
        <v/>
      </c>
      <c r="J521" t="n">
        <v>1000</v>
      </c>
      <c r="K521" t="inlineStr">
        <is>
          <t>Vacant</t>
        </is>
      </c>
      <c r="N521" s="869" t="n">
        <v>44709</v>
      </c>
      <c r="Q521" t="n">
        <v>0</v>
      </c>
      <c r="R521">
        <f>R385</f>
        <v/>
      </c>
      <c r="T521" t="n">
        <v>27200</v>
      </c>
      <c r="U521">
        <f>U385</f>
        <v/>
      </c>
      <c r="V521" t="n">
        <v>33000</v>
      </c>
      <c r="W521">
        <f>W385</f>
        <v/>
      </c>
      <c r="X521">
        <f>W385/I385</f>
        <v/>
      </c>
      <c r="Y521">
        <f>SUM(W385-U385)/U385</f>
        <v/>
      </c>
      <c r="Z521" t="inlineStr">
        <is>
          <t>B</t>
        </is>
      </c>
      <c r="AC521" t="inlineStr">
        <is>
          <t>No</t>
        </is>
      </c>
      <c r="AD521" t="inlineStr">
        <is>
          <t xml:space="preserve">LEM Marketing. </t>
        </is>
      </c>
      <c r="AF521" t="n">
        <v>1</v>
      </c>
      <c r="AG521" t="n">
        <v>2</v>
      </c>
      <c r="AI521" t="inlineStr">
        <is>
          <t>Void</t>
        </is>
      </c>
    </row>
    <row r="522">
      <c r="A522" t="inlineStr">
        <is>
          <t xml:space="preserve">  One Bed Flat</t>
        </is>
      </c>
      <c r="B522" t="inlineStr">
        <is>
          <t>CM</t>
        </is>
      </c>
      <c r="C522" t="inlineStr">
        <is>
          <t>MEL</t>
        </is>
      </c>
      <c r="D522" t="n">
        <v>550030</v>
      </c>
      <c r="E522" t="inlineStr">
        <is>
          <t>53 Wells Street</t>
        </is>
      </c>
      <c r="F522" t="inlineStr">
        <is>
          <t>Flat 1. Ground Floor</t>
        </is>
      </c>
      <c r="G522" t="inlineStr">
        <is>
          <t>One Bed Flat</t>
        </is>
      </c>
      <c r="H522" t="n">
        <v>0</v>
      </c>
      <c r="I522">
        <f>I386</f>
        <v/>
      </c>
      <c r="K522" t="inlineStr">
        <is>
          <t>Edward Davenport</t>
        </is>
      </c>
      <c r="L522" s="869" t="n">
        <v>30310</v>
      </c>
      <c r="M522" s="869" t="n">
        <v>66469</v>
      </c>
      <c r="O522" s="869" t="n">
        <v>54417</v>
      </c>
      <c r="Q522" t="n">
        <v>150</v>
      </c>
      <c r="R522">
        <f>R386</f>
        <v/>
      </c>
      <c r="T522" t="n">
        <v>150</v>
      </c>
      <c r="U522">
        <f>U386</f>
        <v/>
      </c>
      <c r="V522" t="n">
        <v>150</v>
      </c>
      <c r="W522">
        <f>W386</f>
        <v/>
      </c>
      <c r="AD522" t="inlineStr">
        <is>
          <t>Rent and Service charge stop placed on unit</t>
        </is>
      </c>
      <c r="AI522" t="inlineStr">
        <is>
          <t>Let</t>
        </is>
      </c>
    </row>
    <row r="523">
      <c r="A523" t="inlineStr">
        <is>
          <t xml:space="preserve">  One Bed Flat</t>
        </is>
      </c>
      <c r="B523" t="inlineStr">
        <is>
          <t>CM</t>
        </is>
      </c>
      <c r="C523" t="inlineStr">
        <is>
          <t>MEL</t>
        </is>
      </c>
      <c r="D523" t="n">
        <v>550030</v>
      </c>
      <c r="E523" t="inlineStr">
        <is>
          <t>53 Wells Street</t>
        </is>
      </c>
      <c r="F523" t="inlineStr">
        <is>
          <t>Flat 2. First Floor</t>
        </is>
      </c>
      <c r="G523" t="inlineStr">
        <is>
          <t>One Bed Flat</t>
        </is>
      </c>
      <c r="H523" t="n">
        <v>0</v>
      </c>
      <c r="I523">
        <f>I387</f>
        <v/>
      </c>
      <c r="K523" t="inlineStr">
        <is>
          <t>V. Chamoun</t>
        </is>
      </c>
      <c r="L523" s="869" t="n">
        <v>30310</v>
      </c>
      <c r="M523" s="869" t="n">
        <v>66469</v>
      </c>
      <c r="O523" s="869" t="n">
        <v>54417</v>
      </c>
      <c r="Q523" t="n">
        <v>150</v>
      </c>
      <c r="R523">
        <f>R387</f>
        <v/>
      </c>
      <c r="T523" t="n">
        <v>150</v>
      </c>
      <c r="U523">
        <f>U387</f>
        <v/>
      </c>
      <c r="V523" t="n">
        <v>150</v>
      </c>
      <c r="W523">
        <f>W387</f>
        <v/>
      </c>
      <c r="AD523" t="inlineStr">
        <is>
          <t>Rent and Service charge stop placed on unit</t>
        </is>
      </c>
      <c r="AI523" t="inlineStr">
        <is>
          <t>Let</t>
        </is>
      </c>
    </row>
    <row r="524">
      <c r="A524" t="inlineStr">
        <is>
          <t xml:space="preserve">  One Bed Flat</t>
        </is>
      </c>
      <c r="B524" t="inlineStr">
        <is>
          <t>CM</t>
        </is>
      </c>
      <c r="C524" t="inlineStr">
        <is>
          <t>MEL</t>
        </is>
      </c>
      <c r="D524" t="n">
        <v>550030</v>
      </c>
      <c r="E524" t="inlineStr">
        <is>
          <t>53 Wells Street</t>
        </is>
      </c>
      <c r="F524" t="inlineStr">
        <is>
          <t>Flat 3. Second Floor</t>
        </is>
      </c>
      <c r="G524" t="inlineStr">
        <is>
          <t>One Bed Flat</t>
        </is>
      </c>
      <c r="H524" t="n">
        <v>0</v>
      </c>
      <c r="I524">
        <f>I388</f>
        <v/>
      </c>
      <c r="K524" t="inlineStr">
        <is>
          <t>C &amp; Y Hopper</t>
        </is>
      </c>
      <c r="L524" s="869" t="n">
        <v>30310</v>
      </c>
      <c r="M524" s="869" t="n">
        <v>99340</v>
      </c>
      <c r="Q524" t="n">
        <v>0</v>
      </c>
      <c r="R524">
        <f>R388</f>
        <v/>
      </c>
      <c r="T524" t="n">
        <v>150</v>
      </c>
      <c r="U524">
        <f>U388</f>
        <v/>
      </c>
      <c r="V524" t="n">
        <v>150</v>
      </c>
      <c r="W524">
        <f>W388</f>
        <v/>
      </c>
      <c r="AD524" t="inlineStr">
        <is>
          <t>Peppercorn.</t>
        </is>
      </c>
      <c r="AI524" t="inlineStr">
        <is>
          <t>Let</t>
        </is>
      </c>
    </row>
    <row r="525">
      <c r="A525" t="inlineStr">
        <is>
          <t xml:space="preserve">  One Bed Flat</t>
        </is>
      </c>
      <c r="B525" t="inlineStr">
        <is>
          <t>CM</t>
        </is>
      </c>
      <c r="C525" t="inlineStr">
        <is>
          <t>MEL</t>
        </is>
      </c>
      <c r="D525" t="n">
        <v>550030</v>
      </c>
      <c r="E525" t="inlineStr">
        <is>
          <t>53 Wells Street</t>
        </is>
      </c>
      <c r="F525" t="inlineStr">
        <is>
          <t>Flat 4. Third Floor</t>
        </is>
      </c>
      <c r="G525" t="inlineStr">
        <is>
          <t>One Bed Flat</t>
        </is>
      </c>
      <c r="H525" t="n">
        <v>0</v>
      </c>
      <c r="I525">
        <f>I389</f>
        <v/>
      </c>
      <c r="K525" t="inlineStr">
        <is>
          <t>Lion Brand Limited</t>
        </is>
      </c>
      <c r="L525" s="869" t="n">
        <v>30310</v>
      </c>
      <c r="M525" s="869" t="n">
        <v>66469</v>
      </c>
      <c r="O525" s="869" t="n">
        <v>54417</v>
      </c>
      <c r="Q525" t="n">
        <v>0</v>
      </c>
      <c r="R525">
        <f>R389</f>
        <v/>
      </c>
      <c r="T525" t="n">
        <v>150</v>
      </c>
      <c r="U525">
        <f>U389</f>
        <v/>
      </c>
      <c r="V525" t="n">
        <v>150</v>
      </c>
      <c r="W525">
        <f>W389</f>
        <v/>
      </c>
      <c r="AD525" t="inlineStr">
        <is>
          <t>Peppercorn.</t>
        </is>
      </c>
      <c r="AI525" t="inlineStr">
        <is>
          <t>Let</t>
        </is>
      </c>
    </row>
    <row r="526"/>
    <row r="527">
      <c r="A527" s="868" t="inlineStr">
        <is>
          <t>68 Wells Street</t>
        </is>
      </c>
    </row>
    <row r="528">
      <c r="A528" t="inlineStr">
        <is>
          <t xml:space="preserve">  Showroom &amp; Office</t>
        </is>
      </c>
      <c r="B528" t="inlineStr">
        <is>
          <t>CM</t>
        </is>
      </c>
      <c r="C528" t="inlineStr">
        <is>
          <t>MEL</t>
        </is>
      </c>
      <c r="D528" t="n">
        <v>550760</v>
      </c>
      <c r="E528" t="inlineStr">
        <is>
          <t>68 Wells Street</t>
        </is>
      </c>
      <c r="F528" t="inlineStr">
        <is>
          <t>Whole Building</t>
        </is>
      </c>
      <c r="G528" t="inlineStr">
        <is>
          <t>Showroom &amp; Office</t>
        </is>
      </c>
      <c r="H528" t="n">
        <v>2085</v>
      </c>
      <c r="I528">
        <f>I390</f>
        <v/>
      </c>
      <c r="J528" t="n">
        <v>2000</v>
      </c>
      <c r="K528" t="inlineStr">
        <is>
          <t>Voltage TV Productions Ltd</t>
        </is>
      </c>
      <c r="L528" s="869" t="n">
        <v>45741</v>
      </c>
      <c r="M528" s="869" t="n">
        <v>46836</v>
      </c>
      <c r="P528" s="869" t="n">
        <v>46289</v>
      </c>
      <c r="Q528" t="n">
        <v>90000</v>
      </c>
      <c r="R528">
        <f>R390</f>
        <v/>
      </c>
      <c r="S528">
        <f>S390</f>
        <v/>
      </c>
      <c r="T528" t="n">
        <v>80000</v>
      </c>
      <c r="U528">
        <f>U390</f>
        <v/>
      </c>
      <c r="V528" t="n">
        <v>79600</v>
      </c>
      <c r="W528">
        <f>W390</f>
        <v/>
      </c>
      <c r="X528">
        <f>W390/I390</f>
        <v/>
      </c>
      <c r="Y528">
        <f>SUM(W390-U390)/U390</f>
        <v/>
      </c>
      <c r="Z528" t="inlineStr">
        <is>
          <t>D</t>
        </is>
      </c>
      <c r="AB528" t="n">
        <v>1200000</v>
      </c>
      <c r="AC528" t="inlineStr">
        <is>
          <t>No</t>
        </is>
      </c>
      <c r="AD528" t="inlineStr">
        <is>
          <t>Rent increasing to £100,000 wef 25/03/26. Tenant break on 6 months notice.</t>
        </is>
      </c>
      <c r="AI528" t="inlineStr">
        <is>
          <t>Let</t>
        </is>
      </c>
    </row>
    <row r="529"/>
    <row r="530">
      <c r="A530" s="868" t="inlineStr">
        <is>
          <t>33 Eastcastle Street</t>
        </is>
      </c>
    </row>
    <row r="531">
      <c r="A531" t="inlineStr">
        <is>
          <t xml:space="preserve">  Retail &amp; Office</t>
        </is>
      </c>
      <c r="B531" t="inlineStr">
        <is>
          <t>CD</t>
        </is>
      </c>
      <c r="C531" t="inlineStr">
        <is>
          <t>OPG</t>
        </is>
      </c>
      <c r="D531" t="n">
        <v>800200</v>
      </c>
      <c r="E531" t="inlineStr">
        <is>
          <t>33 Eastcastle Street</t>
        </is>
      </c>
      <c r="F531" t="inlineStr">
        <is>
          <t>Whole Building</t>
        </is>
      </c>
      <c r="G531" t="inlineStr">
        <is>
          <t>Retail &amp; Office</t>
        </is>
      </c>
      <c r="H531" t="n">
        <v>3122</v>
      </c>
      <c r="I531">
        <f>I391</f>
        <v/>
      </c>
      <c r="J531" t="n">
        <v>3000</v>
      </c>
      <c r="K531" t="inlineStr">
        <is>
          <t>Leon Restaurants Ltd</t>
        </is>
      </c>
      <c r="L531" s="869" t="n">
        <v>42580</v>
      </c>
      <c r="M531" s="869" t="n">
        <v>46231</v>
      </c>
      <c r="O531" s="869" t="n">
        <v>44406</v>
      </c>
      <c r="Q531" t="n">
        <v>170000</v>
      </c>
      <c r="R531">
        <f>R391</f>
        <v/>
      </c>
      <c r="T531" t="n">
        <v>124100</v>
      </c>
      <c r="U531">
        <f>U391</f>
        <v/>
      </c>
      <c r="V531" t="n">
        <v>124100</v>
      </c>
      <c r="W531">
        <f>W391</f>
        <v/>
      </c>
      <c r="X531">
        <f>W391/I391</f>
        <v/>
      </c>
      <c r="Y531">
        <f>SUM(W391-U391)/U391</f>
        <v/>
      </c>
      <c r="Z531" t="inlineStr">
        <is>
          <t>E</t>
        </is>
      </c>
      <c r="AB531" t="n">
        <v>1325000</v>
      </c>
      <c r="AC531" t="inlineStr">
        <is>
          <t>No</t>
        </is>
      </c>
      <c r="AI531" t="inlineStr">
        <is>
          <t>Let</t>
        </is>
      </c>
    </row>
    <row r="532"/>
    <row r="533">
      <c r="A533" s="868" t="inlineStr">
        <is>
          <t>Julco House, 26-28 Great Portland Street</t>
        </is>
      </c>
    </row>
    <row r="534">
      <c r="A534" t="inlineStr">
        <is>
          <t xml:space="preserve">  Restaurant</t>
        </is>
      </c>
      <c r="B534" t="inlineStr">
        <is>
          <t>CD</t>
        </is>
      </c>
      <c r="C534" t="inlineStr">
        <is>
          <t>OPG</t>
        </is>
      </c>
      <c r="D534" t="n">
        <v>800100</v>
      </c>
      <c r="E534" t="inlineStr">
        <is>
          <t>Julco House, 26-28 Great Portland Street</t>
        </is>
      </c>
      <c r="F534" t="inlineStr">
        <is>
          <t>Ground Floor &amp; Basement</t>
        </is>
      </c>
      <c r="G534" t="inlineStr">
        <is>
          <t>Restaurant</t>
        </is>
      </c>
      <c r="H534" t="n">
        <v>4332</v>
      </c>
      <c r="I534">
        <f>I392</f>
        <v/>
      </c>
      <c r="J534" t="n">
        <v>4250</v>
      </c>
      <c r="K534" t="inlineStr">
        <is>
          <t>Oaxaca Ltd.</t>
        </is>
      </c>
      <c r="L534" s="869" t="n">
        <v>41789</v>
      </c>
      <c r="M534" s="869" t="n">
        <v>47267</v>
      </c>
      <c r="O534" s="869" t="n">
        <v>45442</v>
      </c>
      <c r="Q534" t="n">
        <v>255000</v>
      </c>
      <c r="R534">
        <f>R392</f>
        <v/>
      </c>
      <c r="T534" t="n">
        <v>290500</v>
      </c>
      <c r="U534">
        <f>U392</f>
        <v/>
      </c>
      <c r="V534" t="n">
        <v>290500</v>
      </c>
      <c r="W534">
        <f>W392</f>
        <v/>
      </c>
      <c r="X534">
        <f>W392/I392</f>
        <v/>
      </c>
      <c r="Y534">
        <f>SUM(W392-U392)/U392</f>
        <v/>
      </c>
      <c r="Z534" t="inlineStr">
        <is>
          <t>B</t>
        </is>
      </c>
      <c r="AA534" t="inlineStr">
        <is>
          <t>*</t>
        </is>
      </c>
      <c r="AC534" t="inlineStr">
        <is>
          <t>No</t>
        </is>
      </c>
      <c r="AD534" t="inlineStr">
        <is>
          <t>Rent £255,000 pa with a top-up of 11% turnover up to a maximum of £300,000 pa.</t>
        </is>
      </c>
      <c r="AI534" t="inlineStr">
        <is>
          <t>Let</t>
        </is>
      </c>
    </row>
    <row r="535">
      <c r="A535" t="inlineStr">
        <is>
          <t xml:space="preserve">  Offices</t>
        </is>
      </c>
      <c r="B535" t="inlineStr">
        <is>
          <t>CD</t>
        </is>
      </c>
      <c r="C535" t="inlineStr">
        <is>
          <t>OPG</t>
        </is>
      </c>
      <c r="D535" t="n">
        <v>800100</v>
      </c>
      <c r="E535" t="inlineStr">
        <is>
          <t>Julco House, 26-28 Great Portland Street</t>
        </is>
      </c>
      <c r="F535" t="inlineStr">
        <is>
          <t>First Floor</t>
        </is>
      </c>
      <c r="G535" t="inlineStr">
        <is>
          <t>Offices</t>
        </is>
      </c>
      <c r="H535" t="n">
        <v>1818</v>
      </c>
      <c r="I535">
        <f>I393</f>
        <v/>
      </c>
      <c r="J535" t="n">
        <v>2000</v>
      </c>
      <c r="K535" t="inlineStr">
        <is>
          <t>Collins Benson Goldhill LLP</t>
        </is>
      </c>
      <c r="L535" s="869" t="n">
        <v>44280</v>
      </c>
      <c r="M535" s="869" t="n">
        <v>46105</v>
      </c>
      <c r="Q535" t="n">
        <v>83000</v>
      </c>
      <c r="R535">
        <f>R393</f>
        <v/>
      </c>
      <c r="T535" t="n">
        <v>111800</v>
      </c>
      <c r="U535">
        <f>U393</f>
        <v/>
      </c>
      <c r="V535" t="n">
        <v>118200</v>
      </c>
      <c r="W535">
        <f>W393</f>
        <v/>
      </c>
      <c r="X535">
        <f>W393/I393</f>
        <v/>
      </c>
      <c r="Y535">
        <f>SUM(W393-U393)/U393</f>
        <v/>
      </c>
      <c r="Z535" t="inlineStr">
        <is>
          <t>D</t>
        </is>
      </c>
      <c r="AC535" t="inlineStr">
        <is>
          <t>Yes</t>
        </is>
      </c>
      <c r="AI535" t="inlineStr">
        <is>
          <t>Let</t>
        </is>
      </c>
    </row>
    <row r="536">
      <c r="A536" t="inlineStr">
        <is>
          <t xml:space="preserve">  Offices</t>
        </is>
      </c>
      <c r="B536" t="inlineStr">
        <is>
          <t>CD</t>
        </is>
      </c>
      <c r="C536" t="inlineStr">
        <is>
          <t>OPG</t>
        </is>
      </c>
      <c r="D536" t="n">
        <v>800100</v>
      </c>
      <c r="E536" t="inlineStr">
        <is>
          <t>Julco House, 26-28 Great Portland Street</t>
        </is>
      </c>
      <c r="F536" t="inlineStr">
        <is>
          <t>Second Floor</t>
        </is>
      </c>
      <c r="G536" t="inlineStr">
        <is>
          <t>Offices</t>
        </is>
      </c>
      <c r="H536" t="n">
        <v>1829</v>
      </c>
      <c r="I536">
        <f>I394</f>
        <v/>
      </c>
      <c r="J536" t="n">
        <v>2000</v>
      </c>
      <c r="K536" t="inlineStr">
        <is>
          <t>Oakvale Capital LLP</t>
        </is>
      </c>
      <c r="L536" s="869" t="n">
        <v>45715</v>
      </c>
      <c r="M536" s="869" t="n">
        <v>47540</v>
      </c>
      <c r="P536" s="869" t="n">
        <v>46809</v>
      </c>
      <c r="Q536" t="n">
        <v>120700</v>
      </c>
      <c r="R536">
        <f>R394</f>
        <v/>
      </c>
      <c r="T536" t="n">
        <v>112500</v>
      </c>
      <c r="U536">
        <f>U394</f>
        <v/>
      </c>
      <c r="V536" t="n">
        <v>118900</v>
      </c>
      <c r="W536">
        <f>W394</f>
        <v/>
      </c>
      <c r="X536">
        <f>W394/I394</f>
        <v/>
      </c>
      <c r="Y536">
        <f>SUM(W394-U394)/U394</f>
        <v/>
      </c>
      <c r="Z536" t="inlineStr">
        <is>
          <t>D</t>
        </is>
      </c>
      <c r="AC536" t="inlineStr">
        <is>
          <t>No</t>
        </is>
      </c>
      <c r="AD536" t="inlineStr">
        <is>
          <t>Tenant break on 6 months notice. 2 months rent free if not exercised.</t>
        </is>
      </c>
      <c r="AI536" t="inlineStr">
        <is>
          <t>Let</t>
        </is>
      </c>
    </row>
    <row r="537">
      <c r="A537" t="inlineStr">
        <is>
          <t xml:space="preserve">  Offices</t>
        </is>
      </c>
      <c r="B537" t="inlineStr">
        <is>
          <t>CD</t>
        </is>
      </c>
      <c r="C537" t="inlineStr">
        <is>
          <t>OPG</t>
        </is>
      </c>
      <c r="D537" t="n">
        <v>800100</v>
      </c>
      <c r="E537" t="inlineStr">
        <is>
          <t>Julco House, 26-28 Great Portland Street</t>
        </is>
      </c>
      <c r="F537" t="inlineStr">
        <is>
          <t>Third Floor</t>
        </is>
      </c>
      <c r="G537" t="inlineStr">
        <is>
          <t>Offices</t>
        </is>
      </c>
      <c r="H537" t="n">
        <v>1837</v>
      </c>
      <c r="I537">
        <f>I395</f>
        <v/>
      </c>
      <c r="J537" t="n">
        <v>2000</v>
      </c>
      <c r="K537" t="inlineStr">
        <is>
          <t>Hague Securities Limited</t>
        </is>
      </c>
      <c r="L537" s="869" t="n">
        <v>44900</v>
      </c>
      <c r="M537" s="869" t="n">
        <v>46725</v>
      </c>
      <c r="P537" s="869" t="n">
        <v>45995</v>
      </c>
      <c r="Q537" t="n">
        <v>115731</v>
      </c>
      <c r="R537">
        <f>R395</f>
        <v/>
      </c>
      <c r="T537" t="n">
        <v>116600</v>
      </c>
      <c r="U537">
        <f>U395</f>
        <v/>
      </c>
      <c r="V537" t="n">
        <v>123100</v>
      </c>
      <c r="W537">
        <f>W395</f>
        <v/>
      </c>
      <c r="X537">
        <f>W395/I395</f>
        <v/>
      </c>
      <c r="Y537">
        <f>SUM(W395-U395)/U395</f>
        <v/>
      </c>
      <c r="Z537" t="inlineStr">
        <is>
          <t>C</t>
        </is>
      </c>
      <c r="AC537" t="inlineStr">
        <is>
          <t>No</t>
        </is>
      </c>
      <c r="AD537" t="inlineStr">
        <is>
          <t>Tenant break on 6 months notice. 4 months rent free from 05/12/25 if break not exercised.</t>
        </is>
      </c>
      <c r="AI537" t="inlineStr">
        <is>
          <t>Let</t>
        </is>
      </c>
    </row>
    <row r="538">
      <c r="A538" t="inlineStr">
        <is>
          <t xml:space="preserve">  Offices</t>
        </is>
      </c>
      <c r="B538" t="inlineStr">
        <is>
          <t>CD</t>
        </is>
      </c>
      <c r="C538" t="inlineStr">
        <is>
          <t>OPG</t>
        </is>
      </c>
      <c r="D538" t="n">
        <v>800100</v>
      </c>
      <c r="E538" t="inlineStr">
        <is>
          <t>Julco House, 26-28 Great Portland Street</t>
        </is>
      </c>
      <c r="F538" t="inlineStr">
        <is>
          <t>Fourth Floor</t>
        </is>
      </c>
      <c r="G538" t="inlineStr">
        <is>
          <t>Offices</t>
        </is>
      </c>
      <c r="H538" t="n">
        <v>1815</v>
      </c>
      <c r="I538">
        <f>I396</f>
        <v/>
      </c>
      <c r="J538" t="n">
        <v>2000</v>
      </c>
      <c r="K538" t="inlineStr">
        <is>
          <t>Zephyrus Partners Ltd.</t>
        </is>
      </c>
      <c r="L538" s="869" t="n">
        <v>44627</v>
      </c>
      <c r="M538" s="869" t="n">
        <v>46452</v>
      </c>
      <c r="Q538" t="n">
        <v>149742</v>
      </c>
      <c r="R538">
        <f>R396</f>
        <v/>
      </c>
      <c r="T538" t="n">
        <v>115300</v>
      </c>
      <c r="U538">
        <f>U396</f>
        <v/>
      </c>
      <c r="V538" t="n">
        <v>121600</v>
      </c>
      <c r="W538">
        <f>W396</f>
        <v/>
      </c>
      <c r="X538">
        <f>W396/I396</f>
        <v/>
      </c>
      <c r="Y538">
        <f>SUM(W396-U396)/U396</f>
        <v/>
      </c>
      <c r="Z538" t="inlineStr">
        <is>
          <t>C</t>
        </is>
      </c>
      <c r="AC538" t="inlineStr">
        <is>
          <t>No</t>
        </is>
      </c>
      <c r="AD538" t="inlineStr">
        <is>
          <t xml:space="preserve">Rent rising to £151,143 wef 07/03/26. </t>
        </is>
      </c>
      <c r="AI538" t="inlineStr">
        <is>
          <t>Let</t>
        </is>
      </c>
    </row>
    <row r="539">
      <c r="A539" t="inlineStr">
        <is>
          <t xml:space="preserve">  Offices</t>
        </is>
      </c>
      <c r="B539" t="inlineStr">
        <is>
          <t>CD</t>
        </is>
      </c>
      <c r="C539" t="inlineStr">
        <is>
          <t>OPG</t>
        </is>
      </c>
      <c r="D539" t="n">
        <v>800100</v>
      </c>
      <c r="E539" t="inlineStr">
        <is>
          <t>Julco House, 26-28 Great Portland Street</t>
        </is>
      </c>
      <c r="F539" t="inlineStr">
        <is>
          <t>Fifth Floor</t>
        </is>
      </c>
      <c r="G539" t="inlineStr">
        <is>
          <t>Offices</t>
        </is>
      </c>
      <c r="H539" t="n">
        <v>1815</v>
      </c>
      <c r="I539">
        <f>I397</f>
        <v/>
      </c>
      <c r="J539" t="n">
        <v>2000</v>
      </c>
      <c r="K539" t="inlineStr">
        <is>
          <t>Global Future Partnership LLP</t>
        </is>
      </c>
      <c r="L539" s="869" t="n">
        <v>45408</v>
      </c>
      <c r="M539" s="869" t="n">
        <v>47233</v>
      </c>
      <c r="Q539" t="n">
        <v>122513</v>
      </c>
      <c r="R539">
        <f>R397</f>
        <v/>
      </c>
      <c r="T539" t="n">
        <v>115300</v>
      </c>
      <c r="U539">
        <f>U397</f>
        <v/>
      </c>
      <c r="V539" t="n">
        <v>121600</v>
      </c>
      <c r="W539">
        <f>W397</f>
        <v/>
      </c>
      <c r="X539">
        <f>W397/I397</f>
        <v/>
      </c>
      <c r="Y539">
        <f>SUM(W397-U397)/U397</f>
        <v/>
      </c>
      <c r="Z539" t="inlineStr">
        <is>
          <t>D</t>
        </is>
      </c>
      <c r="AC539" t="inlineStr">
        <is>
          <t>No</t>
        </is>
      </c>
      <c r="AI539" t="inlineStr">
        <is>
          <t>Let</t>
        </is>
      </c>
    </row>
    <row r="540">
      <c r="A540" t="inlineStr">
        <is>
          <t xml:space="preserve">  Offices</t>
        </is>
      </c>
      <c r="B540" t="inlineStr">
        <is>
          <t>CD</t>
        </is>
      </c>
      <c r="C540" t="inlineStr">
        <is>
          <t>OPG</t>
        </is>
      </c>
      <c r="D540" t="n">
        <v>800100</v>
      </c>
      <c r="E540" t="inlineStr">
        <is>
          <t>Julco House, 26-28 Great Portland Street</t>
        </is>
      </c>
      <c r="F540" t="inlineStr">
        <is>
          <t>Sixth Floor</t>
        </is>
      </c>
      <c r="G540" t="inlineStr">
        <is>
          <t>Offices</t>
        </is>
      </c>
      <c r="H540" t="n">
        <v>790</v>
      </c>
      <c r="I540">
        <f>I398</f>
        <v/>
      </c>
      <c r="J540" t="n">
        <v>750</v>
      </c>
      <c r="K540" t="inlineStr">
        <is>
          <t>Heywood &amp; Partners Surveyors Ltd</t>
        </is>
      </c>
      <c r="L540" s="869" t="n">
        <v>44442</v>
      </c>
      <c r="M540" s="869" t="n">
        <v>46267</v>
      </c>
      <c r="Q540" t="n">
        <v>41080</v>
      </c>
      <c r="R540">
        <f>R398</f>
        <v/>
      </c>
      <c r="T540" t="n">
        <v>46200</v>
      </c>
      <c r="U540">
        <f>U398</f>
        <v/>
      </c>
      <c r="V540" t="n">
        <v>48600</v>
      </c>
      <c r="W540">
        <f>W398</f>
        <v/>
      </c>
      <c r="X540">
        <f>W398/I398</f>
        <v/>
      </c>
      <c r="Y540">
        <f>SUM(W398-U398)/U398</f>
        <v/>
      </c>
      <c r="Z540" t="inlineStr">
        <is>
          <t>E</t>
        </is>
      </c>
      <c r="AC540" t="inlineStr">
        <is>
          <t>No</t>
        </is>
      </c>
      <c r="AI540" t="inlineStr">
        <is>
          <t>Let</t>
        </is>
      </c>
    </row>
    <row r="541">
      <c r="A541" t="inlineStr">
        <is>
          <t xml:space="preserve">  Electricity Sub-Station</t>
        </is>
      </c>
      <c r="B541" t="inlineStr">
        <is>
          <t>CD</t>
        </is>
      </c>
      <c r="C541" t="inlineStr">
        <is>
          <t>OPG</t>
        </is>
      </c>
      <c r="D541" t="n">
        <v>800100</v>
      </c>
      <c r="E541" t="inlineStr">
        <is>
          <t>Julco House, 26-28 Great Portland Street</t>
        </is>
      </c>
      <c r="F541" t="inlineStr">
        <is>
          <t>Basement Vaults</t>
        </is>
      </c>
      <c r="G541" t="inlineStr">
        <is>
          <t>Electricity Sub-Station</t>
        </is>
      </c>
      <c r="H541" t="n">
        <v>0</v>
      </c>
      <c r="I541">
        <f>I399</f>
        <v/>
      </c>
      <c r="K541" t="inlineStr">
        <is>
          <t>London Power Networks Plc</t>
        </is>
      </c>
      <c r="L541" s="869" t="n">
        <v>42552</v>
      </c>
      <c r="M541" s="869" t="n">
        <v>47267</v>
      </c>
      <c r="O541" s="869" t="n">
        <v>46204</v>
      </c>
      <c r="Q541" t="n">
        <v>1160</v>
      </c>
      <c r="R541">
        <f>R399</f>
        <v/>
      </c>
      <c r="T541" t="n">
        <v>1160</v>
      </c>
      <c r="U541">
        <f>U399</f>
        <v/>
      </c>
      <c r="V541" t="n">
        <v>1160</v>
      </c>
      <c r="W541">
        <f>W399</f>
        <v/>
      </c>
      <c r="AC541" t="inlineStr">
        <is>
          <t>Yes</t>
        </is>
      </c>
      <c r="AD541" t="inlineStr">
        <is>
          <t>Rent review to RPI.</t>
        </is>
      </c>
      <c r="AI541" t="inlineStr">
        <is>
          <t>Let</t>
        </is>
      </c>
    </row>
    <row r="542"/>
    <row r="543">
      <c r="A543" s="868" t="inlineStr">
        <is>
          <t>5 Margaret Street</t>
        </is>
      </c>
    </row>
    <row r="544">
      <c r="A544" t="inlineStr">
        <is>
          <t xml:space="preserve">  Retail &amp; Office</t>
        </is>
      </c>
      <c r="B544" t="inlineStr">
        <is>
          <t>CD</t>
        </is>
      </c>
      <c r="C544" t="inlineStr">
        <is>
          <t>OPG</t>
        </is>
      </c>
      <c r="D544" t="n">
        <v>800400</v>
      </c>
      <c r="E544" t="inlineStr">
        <is>
          <t>5 Margaret Street</t>
        </is>
      </c>
      <c r="F544" t="inlineStr">
        <is>
          <t>Whole Building</t>
        </is>
      </c>
      <c r="G544" t="inlineStr">
        <is>
          <t>Retail &amp; Office</t>
        </is>
      </c>
      <c r="H544" t="n">
        <v>2598</v>
      </c>
      <c r="I544">
        <f>I400</f>
        <v/>
      </c>
      <c r="J544" t="n">
        <v>2500</v>
      </c>
      <c r="K544" t="inlineStr">
        <is>
          <t>Workpad Fitzrovia Ltd</t>
        </is>
      </c>
      <c r="L544" s="869" t="n">
        <v>43070</v>
      </c>
      <c r="M544" s="869" t="n">
        <v>46721</v>
      </c>
      <c r="O544" s="869" t="n">
        <v>44896</v>
      </c>
      <c r="Q544" t="n">
        <v>155000</v>
      </c>
      <c r="R544">
        <f>R400</f>
        <v/>
      </c>
      <c r="T544" t="n">
        <v>118500</v>
      </c>
      <c r="U544">
        <f>U400</f>
        <v/>
      </c>
      <c r="V544" t="n">
        <v>121500</v>
      </c>
      <c r="W544">
        <f>W400</f>
        <v/>
      </c>
      <c r="X544">
        <f>W400/I400</f>
        <v/>
      </c>
      <c r="Y544">
        <f>SUM(W400-U400)/U400</f>
        <v/>
      </c>
      <c r="Z544" t="inlineStr">
        <is>
          <t>A</t>
        </is>
      </c>
      <c r="AB544" t="n">
        <v>2200000</v>
      </c>
      <c r="AC544" t="inlineStr">
        <is>
          <t>No</t>
        </is>
      </c>
      <c r="AI544" t="inlineStr">
        <is>
          <t>Let</t>
        </is>
      </c>
    </row>
    <row r="545"/>
    <row r="546">
      <c r="A546" s="868" t="inlineStr">
        <is>
          <t>60/62 Margaret Street</t>
        </is>
      </c>
    </row>
    <row r="547">
      <c r="A547" t="inlineStr">
        <is>
          <t xml:space="preserve">  Offices</t>
        </is>
      </c>
      <c r="B547" t="inlineStr">
        <is>
          <t>CM</t>
        </is>
      </c>
      <c r="C547" t="inlineStr">
        <is>
          <t>OPG</t>
        </is>
      </c>
      <c r="D547" t="n">
        <v>800300</v>
      </c>
      <c r="E547" t="inlineStr">
        <is>
          <t>60/62 Margaret Street</t>
        </is>
      </c>
      <c r="F547" t="inlineStr">
        <is>
          <t>Whole Building</t>
        </is>
      </c>
      <c r="G547" t="inlineStr">
        <is>
          <t>Offices</t>
        </is>
      </c>
      <c r="H547" t="n">
        <v>19812</v>
      </c>
      <c r="I547">
        <f>I401</f>
        <v/>
      </c>
      <c r="J547" t="n">
        <v>20000</v>
      </c>
      <c r="K547" t="inlineStr">
        <is>
          <t>Creo London Limited.</t>
        </is>
      </c>
      <c r="L547" s="869" t="n">
        <v>44986</v>
      </c>
      <c r="M547" s="869" t="n">
        <v>50464</v>
      </c>
      <c r="O547" s="869" t="n">
        <v>46813</v>
      </c>
      <c r="Q547" t="n">
        <v>729167</v>
      </c>
      <c r="R547">
        <f>R401</f>
        <v/>
      </c>
      <c r="T547" t="n">
        <v>1250000</v>
      </c>
      <c r="U547">
        <f>U401</f>
        <v/>
      </c>
      <c r="V547" t="n">
        <v>1250000</v>
      </c>
      <c r="W547">
        <f>W401</f>
        <v/>
      </c>
      <c r="X547">
        <f>W401/I401</f>
        <v/>
      </c>
      <c r="Y547">
        <f>SUM(W401-U401)/U401</f>
        <v/>
      </c>
      <c r="Z547" t="inlineStr">
        <is>
          <t>B</t>
        </is>
      </c>
      <c r="AB547" t="n">
        <v>22175000</v>
      </c>
      <c r="AC547" t="inlineStr">
        <is>
          <t>No</t>
        </is>
      </c>
      <c r="AD547" t="inlineStr">
        <is>
          <t xml:space="preserve">Rent rising to £1,250,000 wef 01/03/26. </t>
        </is>
      </c>
      <c r="AI547" t="inlineStr">
        <is>
          <t>Let</t>
        </is>
      </c>
    </row>
    <row r="548"/>
    <row r="549">
      <c r="A549" s="868" t="inlineStr">
        <is>
          <t>85 Mortimer Street</t>
        </is>
      </c>
    </row>
    <row r="550">
      <c r="A550" t="inlineStr">
        <is>
          <t xml:space="preserve">  Showroom</t>
        </is>
      </c>
      <c r="B550" t="inlineStr">
        <is>
          <t>WS</t>
        </is>
      </c>
      <c r="C550" t="inlineStr">
        <is>
          <t>OPG</t>
        </is>
      </c>
      <c r="D550" t="n">
        <v>800500</v>
      </c>
      <c r="E550" t="inlineStr">
        <is>
          <t>85 Mortimer Street</t>
        </is>
      </c>
      <c r="F550" t="inlineStr">
        <is>
          <t>Basement &amp; Ground</t>
        </is>
      </c>
      <c r="G550" t="inlineStr">
        <is>
          <t>Showroom</t>
        </is>
      </c>
      <c r="H550" t="n">
        <v>1582</v>
      </c>
      <c r="I550">
        <f>I402</f>
        <v/>
      </c>
      <c r="J550" t="n">
        <v>1500</v>
      </c>
      <c r="K550" t="inlineStr">
        <is>
          <t>The Feel Good Group Ltd.</t>
        </is>
      </c>
      <c r="L550" s="869" t="n">
        <v>43514</v>
      </c>
      <c r="M550" s="869" t="n">
        <v>46982</v>
      </c>
      <c r="O550" s="869" t="n">
        <v>45340</v>
      </c>
      <c r="Q550" t="n">
        <v>70000</v>
      </c>
      <c r="R550">
        <f>R402</f>
        <v/>
      </c>
      <c r="T550" t="n">
        <v>63300</v>
      </c>
      <c r="U550">
        <f>U402</f>
        <v/>
      </c>
      <c r="V550" t="n">
        <v>63300</v>
      </c>
      <c r="W550">
        <f>W402</f>
        <v/>
      </c>
      <c r="X550">
        <f>W402/I402</f>
        <v/>
      </c>
      <c r="Y550">
        <f>SUM(W402-U402)/U402</f>
        <v/>
      </c>
      <c r="Z550" t="inlineStr">
        <is>
          <t>C</t>
        </is>
      </c>
      <c r="AC550" t="inlineStr">
        <is>
          <t>No</t>
        </is>
      </c>
      <c r="AI550" t="inlineStr">
        <is>
          <t>Let</t>
        </is>
      </c>
    </row>
    <row r="551">
      <c r="A551" t="inlineStr">
        <is>
          <t xml:space="preserve">  Offices</t>
        </is>
      </c>
      <c r="B551" t="inlineStr">
        <is>
          <t>WS</t>
        </is>
      </c>
      <c r="C551" t="inlineStr">
        <is>
          <t>OPG</t>
        </is>
      </c>
      <c r="D551" t="n">
        <v>800500</v>
      </c>
      <c r="E551" t="inlineStr">
        <is>
          <t>85 Mortimer Street</t>
        </is>
      </c>
      <c r="F551" t="inlineStr">
        <is>
          <t>First to Third Floors</t>
        </is>
      </c>
      <c r="G551" t="inlineStr">
        <is>
          <t>Offices</t>
        </is>
      </c>
      <c r="H551" t="n">
        <v>1248</v>
      </c>
      <c r="I551">
        <f>I403</f>
        <v/>
      </c>
      <c r="J551" t="n">
        <v>1250</v>
      </c>
      <c r="K551" t="inlineStr">
        <is>
          <t>Vacant</t>
        </is>
      </c>
      <c r="N551" s="869" t="n">
        <v>44550</v>
      </c>
      <c r="Q551" t="n">
        <v>0</v>
      </c>
      <c r="R551">
        <f>R403</f>
        <v/>
      </c>
      <c r="T551" t="n">
        <v>66800</v>
      </c>
      <c r="U551">
        <f>U403</f>
        <v/>
      </c>
      <c r="V551" t="n">
        <v>66800</v>
      </c>
      <c r="W551">
        <f>W403</f>
        <v/>
      </c>
      <c r="X551">
        <f>W403/I403</f>
        <v/>
      </c>
      <c r="Y551">
        <f>SUM(W403-U403)/U403</f>
        <v/>
      </c>
      <c r="Z551" t="inlineStr">
        <is>
          <t>B</t>
        </is>
      </c>
      <c r="AC551" t="inlineStr">
        <is>
          <t>No</t>
        </is>
      </c>
      <c r="AD551" t="inlineStr">
        <is>
          <t>To be refurbished.</t>
        </is>
      </c>
      <c r="AE551" t="n">
        <v>58</v>
      </c>
      <c r="AF551" t="n">
        <v>2</v>
      </c>
      <c r="AG551" t="n">
        <v>5</v>
      </c>
      <c r="AI551" t="inlineStr">
        <is>
          <t>Void</t>
        </is>
      </c>
    </row>
    <row r="552"/>
    <row r="553">
      <c r="A553" s="868" t="inlineStr">
        <is>
          <t>Welbeck House, 66/67 Wells Street</t>
        </is>
      </c>
    </row>
    <row r="554">
      <c r="A554" t="inlineStr">
        <is>
          <t xml:space="preserve">  Electricity / Substation</t>
        </is>
      </c>
      <c r="B554" t="inlineStr">
        <is>
          <t>WS</t>
        </is>
      </c>
      <c r="C554" t="inlineStr">
        <is>
          <t>OPG</t>
        </is>
      </c>
      <c r="D554" t="n">
        <v>800600</v>
      </c>
      <c r="E554" t="inlineStr">
        <is>
          <t>Welbeck House, 66/67 Wells Street</t>
        </is>
      </c>
      <c r="F554" t="inlineStr">
        <is>
          <t>Basement (67)</t>
        </is>
      </c>
      <c r="G554" t="inlineStr">
        <is>
          <t>Electricity / Substation</t>
        </is>
      </c>
      <c r="H554" t="n">
        <v>0</v>
      </c>
      <c r="I554">
        <f>I404</f>
        <v/>
      </c>
      <c r="K554" t="inlineStr">
        <is>
          <t>London Power Networks Plc</t>
        </is>
      </c>
      <c r="L554" s="869" t="n">
        <v>18170</v>
      </c>
      <c r="M554" s="869" t="n">
        <v>54329</v>
      </c>
      <c r="Q554" t="n">
        <v>0</v>
      </c>
      <c r="R554">
        <f>R404</f>
        <v/>
      </c>
      <c r="T554" t="n">
        <v>0</v>
      </c>
      <c r="U554">
        <f>U404</f>
        <v/>
      </c>
      <c r="V554" t="n">
        <v>0</v>
      </c>
      <c r="W554">
        <f>W404</f>
        <v/>
      </c>
      <c r="AC554" t="inlineStr">
        <is>
          <t>Yes</t>
        </is>
      </c>
      <c r="AD554" t="inlineStr">
        <is>
          <t>Rent 5p paid annually on 25th March</t>
        </is>
      </c>
      <c r="AI554" t="inlineStr">
        <is>
          <t>Let</t>
        </is>
      </c>
    </row>
    <row r="555">
      <c r="A555" t="inlineStr">
        <is>
          <t xml:space="preserve">  Retail / Offices</t>
        </is>
      </c>
      <c r="B555" t="inlineStr">
        <is>
          <t>WS</t>
        </is>
      </c>
      <c r="C555" t="inlineStr">
        <is>
          <t>OPG</t>
        </is>
      </c>
      <c r="D555" t="n">
        <v>800600</v>
      </c>
      <c r="E555" t="inlineStr">
        <is>
          <t>Welbeck House, 66/67 Wells Street</t>
        </is>
      </c>
      <c r="F555" t="inlineStr">
        <is>
          <t>Basement &amp; Ground (67), Rear (66/67) &amp; 1st Floor (R) 66.</t>
        </is>
      </c>
      <c r="G555" t="inlineStr">
        <is>
          <t>Retail / Offices</t>
        </is>
      </c>
      <c r="H555" t="n">
        <v>3356</v>
      </c>
      <c r="I555">
        <f>I405</f>
        <v/>
      </c>
      <c r="J555" t="n">
        <v>3500</v>
      </c>
      <c r="K555" t="inlineStr">
        <is>
          <t>Vacant</t>
        </is>
      </c>
      <c r="N555" s="869" t="n">
        <v>45457</v>
      </c>
      <c r="Q555" t="n">
        <v>0</v>
      </c>
      <c r="R555">
        <f>R405</f>
        <v/>
      </c>
      <c r="T555" t="n">
        <v>174600</v>
      </c>
      <c r="U555">
        <f>U405</f>
        <v/>
      </c>
      <c r="V555" t="n">
        <v>174600</v>
      </c>
      <c r="W555">
        <f>W405</f>
        <v/>
      </c>
      <c r="X555">
        <f>W405/I405</f>
        <v/>
      </c>
      <c r="Y555">
        <f>SUM(W405-U405)/U405</f>
        <v/>
      </c>
      <c r="Z555" t="inlineStr">
        <is>
          <t>B</t>
        </is>
      </c>
      <c r="AC555" t="inlineStr">
        <is>
          <t>No</t>
        </is>
      </c>
      <c r="AD555" t="inlineStr">
        <is>
          <t>To be refurbished.</t>
        </is>
      </c>
      <c r="AE555" t="n">
        <v>45</v>
      </c>
      <c r="AF555" t="n">
        <v>3</v>
      </c>
      <c r="AG555" t="n">
        <v>10</v>
      </c>
      <c r="AH555" t="inlineStr">
        <is>
          <t>LEM</t>
        </is>
      </c>
      <c r="AI555" t="inlineStr">
        <is>
          <t>Void</t>
        </is>
      </c>
    </row>
    <row r="556">
      <c r="A556" t="inlineStr">
        <is>
          <t xml:space="preserve">  Shop</t>
        </is>
      </c>
      <c r="B556" t="inlineStr">
        <is>
          <t>WS</t>
        </is>
      </c>
      <c r="C556" t="inlineStr">
        <is>
          <t>OPG</t>
        </is>
      </c>
      <c r="D556" t="n">
        <v>800600</v>
      </c>
      <c r="E556" t="inlineStr">
        <is>
          <t>Welbeck House, 66/67 Wells Street</t>
        </is>
      </c>
      <c r="F556" t="inlineStr">
        <is>
          <t>Basement &amp; Ground (66)</t>
        </is>
      </c>
      <c r="G556" t="inlineStr">
        <is>
          <t>Shop</t>
        </is>
      </c>
      <c r="H556" t="n">
        <v>1157</v>
      </c>
      <c r="I556">
        <f>I406</f>
        <v/>
      </c>
      <c r="J556" t="n">
        <v>1000</v>
      </c>
      <c r="K556" t="inlineStr">
        <is>
          <t>Noble Furs (Regent Street) Ltd</t>
        </is>
      </c>
      <c r="L556" s="869" t="n">
        <v>45230</v>
      </c>
      <c r="M556" s="869" t="n">
        <v>46325</v>
      </c>
      <c r="Q556" t="n">
        <v>46000</v>
      </c>
      <c r="R556">
        <f>R406</f>
        <v/>
      </c>
      <c r="T556" t="n">
        <v>52800</v>
      </c>
      <c r="U556">
        <f>U406</f>
        <v/>
      </c>
      <c r="V556" t="n">
        <v>52800</v>
      </c>
      <c r="W556">
        <f>W406</f>
        <v/>
      </c>
      <c r="X556">
        <f>W406/I406</f>
        <v/>
      </c>
      <c r="Y556">
        <f>SUM(W406-U406)/U406</f>
        <v/>
      </c>
      <c r="Z556" t="inlineStr">
        <is>
          <t>D</t>
        </is>
      </c>
      <c r="AC556" t="inlineStr">
        <is>
          <t>No</t>
        </is>
      </c>
      <c r="AD556" t="inlineStr">
        <is>
          <t xml:space="preserve">Further 2 months rent free @ 31/10/25. Rent rises to £50,600 @ 31/12/25. Mutual break on 3 months notice. </t>
        </is>
      </c>
      <c r="AI556" t="inlineStr">
        <is>
          <t>Let</t>
        </is>
      </c>
    </row>
    <row r="557">
      <c r="A557" t="inlineStr">
        <is>
          <t xml:space="preserve">  Offices</t>
        </is>
      </c>
      <c r="B557" t="inlineStr">
        <is>
          <t>WS</t>
        </is>
      </c>
      <c r="C557" t="inlineStr">
        <is>
          <t>OPG</t>
        </is>
      </c>
      <c r="D557" t="n">
        <v>800600</v>
      </c>
      <c r="E557" t="inlineStr">
        <is>
          <t>Welbeck House, 66/67 Wells Street</t>
        </is>
      </c>
      <c r="F557" t="inlineStr">
        <is>
          <t>First Floor (Front)</t>
        </is>
      </c>
      <c r="G557" t="inlineStr">
        <is>
          <t>Offices</t>
        </is>
      </c>
      <c r="H557" t="n">
        <v>1015</v>
      </c>
      <c r="I557">
        <f>I407</f>
        <v/>
      </c>
      <c r="J557" t="n">
        <v>1000</v>
      </c>
      <c r="K557" t="inlineStr">
        <is>
          <t>Vacant</t>
        </is>
      </c>
      <c r="N557" s="869" t="n">
        <v>43840</v>
      </c>
      <c r="Q557" t="n">
        <v>0</v>
      </c>
      <c r="R557">
        <f>R407</f>
        <v/>
      </c>
      <c r="T557" t="n">
        <v>53300</v>
      </c>
      <c r="U557">
        <f>U407</f>
        <v/>
      </c>
      <c r="V557" t="n">
        <v>53300</v>
      </c>
      <c r="W557">
        <f>W407</f>
        <v/>
      </c>
      <c r="X557">
        <f>W407/I407</f>
        <v/>
      </c>
      <c r="Y557">
        <f>SUM(W407-U407)/U407</f>
        <v/>
      </c>
      <c r="Z557" t="inlineStr">
        <is>
          <t>D</t>
        </is>
      </c>
      <c r="AC557" t="inlineStr">
        <is>
          <t>No</t>
        </is>
      </c>
      <c r="AD557" t="inlineStr">
        <is>
          <t>Mothballed.</t>
        </is>
      </c>
      <c r="AI557" t="inlineStr">
        <is>
          <t>Void</t>
        </is>
      </c>
    </row>
    <row r="558">
      <c r="A558" t="inlineStr">
        <is>
          <t xml:space="preserve">  Offices</t>
        </is>
      </c>
      <c r="B558" t="inlineStr">
        <is>
          <t>WS</t>
        </is>
      </c>
      <c r="C558" t="inlineStr">
        <is>
          <t>OPG</t>
        </is>
      </c>
      <c r="D558" t="n">
        <v>800600</v>
      </c>
      <c r="E558" t="inlineStr">
        <is>
          <t>Welbeck House, 66/67 Wells Street</t>
        </is>
      </c>
      <c r="F558" t="inlineStr">
        <is>
          <t>First Floor (Rear)</t>
        </is>
      </c>
      <c r="G558" t="inlineStr">
        <is>
          <t>Offices</t>
        </is>
      </c>
      <c r="H558" t="n">
        <v>250</v>
      </c>
      <c r="I558">
        <f>I408</f>
        <v/>
      </c>
      <c r="J558" t="n">
        <v>250</v>
      </c>
      <c r="K558" t="inlineStr">
        <is>
          <t>Vacant</t>
        </is>
      </c>
      <c r="N558" s="869" t="n">
        <v>45682</v>
      </c>
      <c r="Q558" t="n">
        <v>0</v>
      </c>
      <c r="R558">
        <f>R408</f>
        <v/>
      </c>
      <c r="T558" t="n">
        <v>14500</v>
      </c>
      <c r="U558">
        <f>U408</f>
        <v/>
      </c>
      <c r="V558" t="n">
        <v>14500</v>
      </c>
      <c r="W558">
        <f>W408</f>
        <v/>
      </c>
      <c r="X558">
        <f>W408/I408</f>
        <v/>
      </c>
      <c r="Y558">
        <f>SUM(W408-U408)/U408</f>
        <v/>
      </c>
      <c r="Z558" t="inlineStr">
        <is>
          <t>D</t>
        </is>
      </c>
      <c r="AC558" t="inlineStr">
        <is>
          <t>No</t>
        </is>
      </c>
      <c r="AD558" t="inlineStr">
        <is>
          <t>LEM marketing.</t>
        </is>
      </c>
      <c r="AG558" t="n">
        <v>1</v>
      </c>
      <c r="AI558" t="inlineStr">
        <is>
          <t>Void</t>
        </is>
      </c>
    </row>
    <row r="559">
      <c r="A559" t="inlineStr">
        <is>
          <t xml:space="preserve">  Offices</t>
        </is>
      </c>
      <c r="B559" t="inlineStr">
        <is>
          <t>WS</t>
        </is>
      </c>
      <c r="C559" t="inlineStr">
        <is>
          <t>OPG</t>
        </is>
      </c>
      <c r="D559" t="n">
        <v>800600</v>
      </c>
      <c r="E559" t="inlineStr">
        <is>
          <t>Welbeck House, 66/67 Wells Street</t>
        </is>
      </c>
      <c r="F559" t="inlineStr">
        <is>
          <t>Second Floor (Front)</t>
        </is>
      </c>
      <c r="G559" t="inlineStr">
        <is>
          <t>Offices</t>
        </is>
      </c>
      <c r="H559" t="n">
        <v>1026</v>
      </c>
      <c r="I559">
        <f>I409</f>
        <v/>
      </c>
      <c r="J559" t="n">
        <v>1000</v>
      </c>
      <c r="K559" t="inlineStr">
        <is>
          <t>Vacant</t>
        </is>
      </c>
      <c r="N559" s="869" t="n">
        <v>44500</v>
      </c>
      <c r="Q559" t="n">
        <v>0</v>
      </c>
      <c r="R559">
        <f>R409</f>
        <v/>
      </c>
      <c r="T559" t="n">
        <v>53900</v>
      </c>
      <c r="U559">
        <f>U409</f>
        <v/>
      </c>
      <c r="V559" t="n">
        <v>53900</v>
      </c>
      <c r="W559">
        <f>W409</f>
        <v/>
      </c>
      <c r="X559">
        <f>W409/I409</f>
        <v/>
      </c>
      <c r="Y559">
        <f>SUM(W409-U409)/U409</f>
        <v/>
      </c>
      <c r="Z559" t="inlineStr">
        <is>
          <t>C</t>
        </is>
      </c>
      <c r="AC559" t="inlineStr">
        <is>
          <t>No</t>
        </is>
      </c>
      <c r="AD559" t="inlineStr">
        <is>
          <t>Mothballed.</t>
        </is>
      </c>
      <c r="AI559" t="inlineStr">
        <is>
          <t>Void</t>
        </is>
      </c>
    </row>
    <row r="560">
      <c r="A560" t="inlineStr">
        <is>
          <t xml:space="preserve">  Offices</t>
        </is>
      </c>
      <c r="B560" t="inlineStr">
        <is>
          <t>WS</t>
        </is>
      </c>
      <c r="C560" t="inlineStr">
        <is>
          <t>OPG</t>
        </is>
      </c>
      <c r="D560" t="n">
        <v>800600</v>
      </c>
      <c r="E560" t="inlineStr">
        <is>
          <t>Welbeck House, 66/67 Wells Street</t>
        </is>
      </c>
      <c r="F560" t="inlineStr">
        <is>
          <t>Second Floor (Rear)</t>
        </is>
      </c>
      <c r="G560" t="inlineStr">
        <is>
          <t>Offices</t>
        </is>
      </c>
      <c r="H560" t="n">
        <v>242</v>
      </c>
      <c r="I560">
        <f>I410</f>
        <v/>
      </c>
      <c r="J560" t="n">
        <v>250</v>
      </c>
      <c r="K560" t="inlineStr">
        <is>
          <t>Vacant</t>
        </is>
      </c>
      <c r="N560" s="869" t="n">
        <v>44135</v>
      </c>
      <c r="Q560" t="n">
        <v>0</v>
      </c>
      <c r="R560">
        <f>R410</f>
        <v/>
      </c>
      <c r="T560" t="n">
        <v>14000</v>
      </c>
      <c r="U560">
        <f>U410</f>
        <v/>
      </c>
      <c r="V560" t="n">
        <v>14000</v>
      </c>
      <c r="W560">
        <f>W410</f>
        <v/>
      </c>
      <c r="X560">
        <f>W410/I410</f>
        <v/>
      </c>
      <c r="Y560">
        <f>SUM(W410-U410)/U410</f>
        <v/>
      </c>
      <c r="Z560" t="inlineStr">
        <is>
          <t>E</t>
        </is>
      </c>
      <c r="AC560" t="inlineStr">
        <is>
          <t>No</t>
        </is>
      </c>
      <c r="AD560" t="inlineStr">
        <is>
          <t>Mothballed.</t>
        </is>
      </c>
      <c r="AI560" t="inlineStr">
        <is>
          <t>Void</t>
        </is>
      </c>
    </row>
    <row r="561">
      <c r="A561" t="inlineStr">
        <is>
          <t xml:space="preserve">  Offices</t>
        </is>
      </c>
      <c r="B561" t="inlineStr">
        <is>
          <t>WS</t>
        </is>
      </c>
      <c r="C561" t="inlineStr">
        <is>
          <t>OPG</t>
        </is>
      </c>
      <c r="D561" t="n">
        <v>800600</v>
      </c>
      <c r="E561" t="inlineStr">
        <is>
          <t>Welbeck House, 66/67 Wells Street</t>
        </is>
      </c>
      <c r="F561" t="inlineStr">
        <is>
          <t>Third Floor</t>
        </is>
      </c>
      <c r="G561" t="inlineStr">
        <is>
          <t>Offices</t>
        </is>
      </c>
      <c r="H561" t="n">
        <v>1028</v>
      </c>
      <c r="I561">
        <f>I411</f>
        <v/>
      </c>
      <c r="J561" t="n">
        <v>1000</v>
      </c>
      <c r="K561" t="inlineStr">
        <is>
          <t>Investments Services UK Ltd</t>
        </is>
      </c>
      <c r="L561" s="869" t="n">
        <v>44135</v>
      </c>
      <c r="M561" s="869" t="n">
        <v>45960</v>
      </c>
      <c r="Q561" t="n">
        <v>52572</v>
      </c>
      <c r="R561">
        <f>R411</f>
        <v/>
      </c>
      <c r="T561" t="n">
        <v>51400</v>
      </c>
      <c r="U561">
        <f>U411</f>
        <v/>
      </c>
      <c r="V561" t="n">
        <v>51400</v>
      </c>
      <c r="W561">
        <f>W411</f>
        <v/>
      </c>
      <c r="X561">
        <f>W411/I411</f>
        <v/>
      </c>
      <c r="Y561">
        <f>SUM(W411-U411)/U411</f>
        <v/>
      </c>
      <c r="Z561" t="inlineStr">
        <is>
          <t>D</t>
        </is>
      </c>
      <c r="AC561" t="inlineStr">
        <is>
          <t>No</t>
        </is>
      </c>
      <c r="AD561" t="inlineStr">
        <is>
          <t>Mothballed.</t>
        </is>
      </c>
      <c r="AI561" t="inlineStr">
        <is>
          <t>Let</t>
        </is>
      </c>
    </row>
    <row r="562">
      <c r="A562" t="inlineStr">
        <is>
          <t xml:space="preserve">  Offices</t>
        </is>
      </c>
      <c r="B562" t="inlineStr">
        <is>
          <t>WS</t>
        </is>
      </c>
      <c r="C562" t="inlineStr">
        <is>
          <t>OPG</t>
        </is>
      </c>
      <c r="D562" t="n">
        <v>800600</v>
      </c>
      <c r="E562" t="inlineStr">
        <is>
          <t>Welbeck House, 66/67 Wells Street</t>
        </is>
      </c>
      <c r="F562" t="inlineStr">
        <is>
          <t>Fourth Floor</t>
        </is>
      </c>
      <c r="G562" t="inlineStr">
        <is>
          <t>Offices</t>
        </is>
      </c>
      <c r="H562" t="n">
        <v>834</v>
      </c>
      <c r="I562">
        <f>I412</f>
        <v/>
      </c>
      <c r="J562" t="n">
        <v>1000</v>
      </c>
      <c r="K562" t="inlineStr">
        <is>
          <t>Vacant</t>
        </is>
      </c>
      <c r="N562" s="869" t="n">
        <v>43840</v>
      </c>
      <c r="Q562" t="n">
        <v>0</v>
      </c>
      <c r="R562">
        <f>R412</f>
        <v/>
      </c>
      <c r="T562" t="n">
        <v>43800</v>
      </c>
      <c r="U562">
        <f>U412</f>
        <v/>
      </c>
      <c r="V562" t="n">
        <v>43800</v>
      </c>
      <c r="W562">
        <f>W412</f>
        <v/>
      </c>
      <c r="X562">
        <f>W412/I412</f>
        <v/>
      </c>
      <c r="Y562">
        <f>SUM(W412-U412)/U412</f>
        <v/>
      </c>
      <c r="Z562" t="inlineStr">
        <is>
          <t>D</t>
        </is>
      </c>
      <c r="AC562" t="inlineStr">
        <is>
          <t>No</t>
        </is>
      </c>
      <c r="AD562" t="inlineStr">
        <is>
          <t>Mothballed.</t>
        </is>
      </c>
      <c r="AI562" t="inlineStr">
        <is>
          <t>Void</t>
        </is>
      </c>
    </row>
    <row r="563"/>
    <row r="564">
      <c r="A564" s="868" t="inlineStr">
        <is>
          <t>32-36 Great Portland Street</t>
        </is>
      </c>
    </row>
    <row r="565">
      <c r="A565" t="inlineStr">
        <is>
          <t xml:space="preserve">  Retail / Showroom</t>
        </is>
      </c>
      <c r="B565" t="inlineStr">
        <is>
          <t>CD</t>
        </is>
      </c>
      <c r="C565" t="inlineStr">
        <is>
          <t>PEL</t>
        </is>
      </c>
      <c r="D565" t="n">
        <v>111010</v>
      </c>
      <c r="E565" t="inlineStr">
        <is>
          <t>32-36 Great Portland Street</t>
        </is>
      </c>
      <c r="F565" t="inlineStr">
        <is>
          <t>Ground Floor &amp; Basement</t>
        </is>
      </c>
      <c r="G565" t="inlineStr">
        <is>
          <t>Retail / Showroom</t>
        </is>
      </c>
      <c r="H565" t="n">
        <v>4289</v>
      </c>
      <c r="I565">
        <f>I413</f>
        <v/>
      </c>
      <c r="J565" t="n">
        <v>4250</v>
      </c>
      <c r="K565" t="inlineStr">
        <is>
          <t>Prenuvo Ltd</t>
        </is>
      </c>
      <c r="L565" s="869" t="n">
        <v>45510</v>
      </c>
      <c r="M565" s="869" t="n">
        <v>50987</v>
      </c>
      <c r="O565" s="869" t="n">
        <v>47336</v>
      </c>
      <c r="P565" s="869" t="n">
        <v>49162</v>
      </c>
      <c r="Q565" t="n">
        <v>110000</v>
      </c>
      <c r="R565">
        <f>R413</f>
        <v/>
      </c>
      <c r="T565" t="n">
        <v>220100</v>
      </c>
      <c r="U565">
        <f>U413</f>
        <v/>
      </c>
      <c r="V565" t="n">
        <v>220100</v>
      </c>
      <c r="W565">
        <f>W413</f>
        <v/>
      </c>
      <c r="X565">
        <f>W413/I413</f>
        <v/>
      </c>
      <c r="Y565">
        <f>SUM(W413-U413)/U413</f>
        <v/>
      </c>
      <c r="Z565" t="inlineStr">
        <is>
          <t>C</t>
        </is>
      </c>
      <c r="AA565" t="inlineStr">
        <is>
          <t>*</t>
        </is>
      </c>
      <c r="AC565" t="inlineStr">
        <is>
          <t>No</t>
        </is>
      </c>
      <c r="AD565" t="inlineStr">
        <is>
          <t>Rent increasing to £220,000 wef 18/01/26. Tenant break on 6 months notice.</t>
        </is>
      </c>
      <c r="AI565" t="inlineStr">
        <is>
          <t>Let</t>
        </is>
      </c>
    </row>
    <row r="566">
      <c r="A566" t="inlineStr">
        <is>
          <t xml:space="preserve">  Offices</t>
        </is>
      </c>
      <c r="B566" t="inlineStr">
        <is>
          <t>CD</t>
        </is>
      </c>
      <c r="C566" t="inlineStr">
        <is>
          <t>PEL</t>
        </is>
      </c>
      <c r="D566" t="n">
        <v>111010</v>
      </c>
      <c r="E566" t="inlineStr">
        <is>
          <t>32-36 Great Portland Street</t>
        </is>
      </c>
      <c r="F566" t="inlineStr">
        <is>
          <t>First Floor</t>
        </is>
      </c>
      <c r="G566" t="inlineStr">
        <is>
          <t>Offices</t>
        </is>
      </c>
      <c r="H566" t="n">
        <v>2279</v>
      </c>
      <c r="I566">
        <f>I414</f>
        <v/>
      </c>
      <c r="J566" t="n">
        <v>2250</v>
      </c>
      <c r="K566" t="inlineStr">
        <is>
          <t>Vacant</t>
        </is>
      </c>
      <c r="N566" s="869" t="n">
        <v>44577</v>
      </c>
      <c r="Q566" t="n">
        <v>0</v>
      </c>
      <c r="R566">
        <f>R414</f>
        <v/>
      </c>
      <c r="T566" t="n">
        <v>150000</v>
      </c>
      <c r="U566">
        <f>U414</f>
        <v/>
      </c>
      <c r="V566" t="n">
        <v>167500</v>
      </c>
      <c r="W566">
        <f>W414</f>
        <v/>
      </c>
      <c r="X566">
        <f>W414/I414</f>
        <v/>
      </c>
      <c r="Y566">
        <f>SUM(W414-U414)/U414</f>
        <v/>
      </c>
      <c r="Z566" t="inlineStr">
        <is>
          <t>C</t>
        </is>
      </c>
      <c r="AA566" t="inlineStr">
        <is>
          <t>*</t>
        </is>
      </c>
      <c r="AC566" t="inlineStr">
        <is>
          <t>No</t>
        </is>
      </c>
      <c r="AD566" t="inlineStr">
        <is>
          <t>To be refurbished.</t>
        </is>
      </c>
      <c r="AE566" t="n">
        <v>75</v>
      </c>
      <c r="AF566" t="n">
        <v>1</v>
      </c>
      <c r="AG566" t="n">
        <v>2</v>
      </c>
      <c r="AH566" t="inlineStr">
        <is>
          <t>LEM</t>
        </is>
      </c>
      <c r="AI566" t="inlineStr">
        <is>
          <t>Void</t>
        </is>
      </c>
    </row>
    <row r="567">
      <c r="A567" t="inlineStr">
        <is>
          <t xml:space="preserve">  Offices</t>
        </is>
      </c>
      <c r="B567" t="inlineStr">
        <is>
          <t>CD</t>
        </is>
      </c>
      <c r="C567" t="inlineStr">
        <is>
          <t>PEL</t>
        </is>
      </c>
      <c r="D567" t="n">
        <v>111010</v>
      </c>
      <c r="E567" t="inlineStr">
        <is>
          <t>32-36 Great Portland Street</t>
        </is>
      </c>
      <c r="F567" t="inlineStr">
        <is>
          <t>Second Floor</t>
        </is>
      </c>
      <c r="G567" t="inlineStr">
        <is>
          <t>Offices</t>
        </is>
      </c>
      <c r="H567" t="n">
        <v>1640</v>
      </c>
      <c r="I567">
        <f>I415</f>
        <v/>
      </c>
      <c r="J567" t="n">
        <v>1500</v>
      </c>
      <c r="K567" t="inlineStr">
        <is>
          <t>AdMaxim Limited</t>
        </is>
      </c>
      <c r="L567" s="869" t="n">
        <v>44710</v>
      </c>
      <c r="M567" s="869" t="n">
        <v>45805</v>
      </c>
      <c r="Q567" t="n">
        <v>101000</v>
      </c>
      <c r="R567">
        <f>R415</f>
        <v/>
      </c>
      <c r="T567" t="n">
        <v>104100</v>
      </c>
      <c r="U567">
        <f>U415</f>
        <v/>
      </c>
      <c r="V567" t="n">
        <v>114800</v>
      </c>
      <c r="W567">
        <f>W415</f>
        <v/>
      </c>
      <c r="X567">
        <f>W415/I415</f>
        <v/>
      </c>
      <c r="Y567">
        <f>SUM(W415-U415)/U415</f>
        <v/>
      </c>
      <c r="Z567" t="inlineStr">
        <is>
          <t>C</t>
        </is>
      </c>
      <c r="AA567" t="inlineStr">
        <is>
          <t>*</t>
        </is>
      </c>
      <c r="AC567" t="inlineStr">
        <is>
          <t>No</t>
        </is>
      </c>
      <c r="AD567" t="inlineStr">
        <is>
          <t>Lease renewal completion imminent.</t>
        </is>
      </c>
      <c r="AI567" t="inlineStr">
        <is>
          <t>Let</t>
        </is>
      </c>
    </row>
    <row r="568">
      <c r="A568" t="inlineStr">
        <is>
          <t xml:space="preserve">  Offices</t>
        </is>
      </c>
      <c r="B568" t="inlineStr">
        <is>
          <t>CD</t>
        </is>
      </c>
      <c r="C568" t="inlineStr">
        <is>
          <t>PEL</t>
        </is>
      </c>
      <c r="D568" t="n">
        <v>111010</v>
      </c>
      <c r="E568" t="inlineStr">
        <is>
          <t>32-36 Great Portland Street</t>
        </is>
      </c>
      <c r="F568" t="inlineStr">
        <is>
          <t>Third Floor</t>
        </is>
      </c>
      <c r="G568" t="inlineStr">
        <is>
          <t>Offices</t>
        </is>
      </c>
      <c r="H568" t="n">
        <v>1641</v>
      </c>
      <c r="I568">
        <f>I416</f>
        <v/>
      </c>
      <c r="J568" t="n">
        <v>1500</v>
      </c>
      <c r="K568" t="inlineStr">
        <is>
          <t>Vacant</t>
        </is>
      </c>
      <c r="N568" s="869" t="n">
        <v>44603</v>
      </c>
      <c r="Q568" t="n">
        <v>0</v>
      </c>
      <c r="R568">
        <f>R416</f>
        <v/>
      </c>
      <c r="T568" t="n">
        <v>120000</v>
      </c>
      <c r="U568">
        <f>U416</f>
        <v/>
      </c>
      <c r="V568" t="n">
        <v>114900</v>
      </c>
      <c r="W568">
        <f>W416</f>
        <v/>
      </c>
      <c r="X568">
        <f>W416/I416</f>
        <v/>
      </c>
      <c r="Y568">
        <f>SUM(W416-U416)/U416</f>
        <v/>
      </c>
      <c r="Z568" t="inlineStr">
        <is>
          <t>C</t>
        </is>
      </c>
      <c r="AA568" t="inlineStr">
        <is>
          <t>*</t>
        </is>
      </c>
      <c r="AC568" t="inlineStr">
        <is>
          <t>No</t>
        </is>
      </c>
      <c r="AD568" t="inlineStr">
        <is>
          <t>To be refurbished.</t>
        </is>
      </c>
      <c r="AE568" t="n">
        <v>75</v>
      </c>
      <c r="AF568" t="n">
        <v>1</v>
      </c>
      <c r="AG568" t="n">
        <v>1</v>
      </c>
      <c r="AH568" t="inlineStr">
        <is>
          <t>LEM</t>
        </is>
      </c>
      <c r="AI568" t="inlineStr">
        <is>
          <t>Void</t>
        </is>
      </c>
    </row>
    <row r="569">
      <c r="A569" t="inlineStr">
        <is>
          <t xml:space="preserve">  Offices</t>
        </is>
      </c>
      <c r="B569" t="inlineStr">
        <is>
          <t>CD</t>
        </is>
      </c>
      <c r="C569" t="inlineStr">
        <is>
          <t>PEL</t>
        </is>
      </c>
      <c r="D569" t="n">
        <v>111010</v>
      </c>
      <c r="E569" t="inlineStr">
        <is>
          <t>32-36 Great Portland Street</t>
        </is>
      </c>
      <c r="F569" t="inlineStr">
        <is>
          <t xml:space="preserve">Fourth Floor </t>
        </is>
      </c>
      <c r="G569" t="inlineStr">
        <is>
          <t>Offices</t>
        </is>
      </c>
      <c r="H569" t="n">
        <v>1636</v>
      </c>
      <c r="I569">
        <f>I417</f>
        <v/>
      </c>
      <c r="J569" t="n">
        <v>1500</v>
      </c>
      <c r="K569" t="inlineStr">
        <is>
          <t>Vacant</t>
        </is>
      </c>
      <c r="N569" s="869" t="n">
        <v>45579</v>
      </c>
      <c r="Q569" t="n">
        <v>0</v>
      </c>
      <c r="R569">
        <f>R417</f>
        <v/>
      </c>
      <c r="T569" t="n">
        <v>103900</v>
      </c>
      <c r="U569">
        <f>U417</f>
        <v/>
      </c>
      <c r="V569" t="n">
        <v>118600</v>
      </c>
      <c r="W569">
        <f>W417</f>
        <v/>
      </c>
      <c r="X569">
        <f>W417/I417</f>
        <v/>
      </c>
      <c r="Y569">
        <f>SUM(W417-U417)/U417</f>
        <v/>
      </c>
      <c r="Z569" t="inlineStr">
        <is>
          <t>B</t>
        </is>
      </c>
      <c r="AA569" t="inlineStr">
        <is>
          <t>*</t>
        </is>
      </c>
      <c r="AC569" t="inlineStr">
        <is>
          <t>No</t>
        </is>
      </c>
      <c r="AD569" t="inlineStr">
        <is>
          <t>To be refurbished.</t>
        </is>
      </c>
      <c r="AE569" t="n">
        <v>75</v>
      </c>
      <c r="AF569" t="n">
        <v>1</v>
      </c>
      <c r="AG569" t="n">
        <v>1</v>
      </c>
      <c r="AH569" t="inlineStr">
        <is>
          <t>LEM / LDG</t>
        </is>
      </c>
      <c r="AI569" t="inlineStr">
        <is>
          <t>Void</t>
        </is>
      </c>
    </row>
    <row r="570">
      <c r="A570" t="inlineStr">
        <is>
          <t xml:space="preserve">  Offices</t>
        </is>
      </c>
      <c r="B570" t="inlineStr">
        <is>
          <t>CD</t>
        </is>
      </c>
      <c r="C570" t="inlineStr">
        <is>
          <t>PEL</t>
        </is>
      </c>
      <c r="D570" t="n">
        <v>111010</v>
      </c>
      <c r="E570" t="inlineStr">
        <is>
          <t>32-36 Great Portland Street</t>
        </is>
      </c>
      <c r="F570" t="inlineStr">
        <is>
          <t>Fifth Floor</t>
        </is>
      </c>
      <c r="G570" t="inlineStr">
        <is>
          <t>Offices</t>
        </is>
      </c>
      <c r="H570" t="n">
        <v>1536</v>
      </c>
      <c r="I570">
        <f>I418</f>
        <v/>
      </c>
      <c r="J570" t="n">
        <v>1500</v>
      </c>
      <c r="K570" t="inlineStr">
        <is>
          <t>Mackintosh Limited</t>
        </is>
      </c>
      <c r="L570" s="869" t="n">
        <v>45464</v>
      </c>
      <c r="M570" s="869" t="n">
        <v>49115</v>
      </c>
      <c r="O570" s="869" t="n">
        <v>47290</v>
      </c>
      <c r="P570" s="869" t="n">
        <v>47289</v>
      </c>
      <c r="Q570" t="n">
        <v>52745</v>
      </c>
      <c r="R570">
        <f>R418</f>
        <v/>
      </c>
      <c r="T570" t="n">
        <v>97500</v>
      </c>
      <c r="U570">
        <f>U418</f>
        <v/>
      </c>
      <c r="V570" t="n">
        <v>105200</v>
      </c>
      <c r="W570">
        <f>W418</f>
        <v/>
      </c>
      <c r="X570">
        <f>W418/I418</f>
        <v/>
      </c>
      <c r="Y570">
        <f>SUM(W418-U418)/U418</f>
        <v/>
      </c>
      <c r="Z570" t="inlineStr">
        <is>
          <t>C</t>
        </is>
      </c>
      <c r="AA570" t="inlineStr">
        <is>
          <t>*</t>
        </is>
      </c>
      <c r="AC570" t="inlineStr">
        <is>
          <t>No</t>
        </is>
      </c>
      <c r="AD570" t="inlineStr">
        <is>
          <t>Rent increasing to £105,490 @ 21/10/26. Tenant break on 6 months notice.</t>
        </is>
      </c>
      <c r="AI570" t="inlineStr">
        <is>
          <t>Let</t>
        </is>
      </c>
    </row>
    <row r="571"/>
    <row r="572">
      <c r="A572" s="868" t="inlineStr">
        <is>
          <t>184-190 Oxford Street &amp; 28/30 Market Place</t>
        </is>
      </c>
    </row>
    <row r="573">
      <c r="A573" t="inlineStr">
        <is>
          <t xml:space="preserve">  Retail</t>
        </is>
      </c>
      <c r="B573" t="inlineStr">
        <is>
          <t>CD</t>
        </is>
      </c>
      <c r="C573" t="inlineStr">
        <is>
          <t>OOS</t>
        </is>
      </c>
      <c r="D573" t="n">
        <v>888010</v>
      </c>
      <c r="E573" t="inlineStr">
        <is>
          <t>184-190 Oxford Street &amp; 28/30 Market Place</t>
        </is>
      </c>
      <c r="F573" t="inlineStr">
        <is>
          <t>184-188 Oxford Street (B, G &amp; 1st)</t>
        </is>
      </c>
      <c r="G573" t="inlineStr">
        <is>
          <t>Retail</t>
        </is>
      </c>
      <c r="H573" t="n">
        <v>5662</v>
      </c>
      <c r="I573">
        <f>I419</f>
        <v/>
      </c>
      <c r="J573" t="n">
        <v>5500</v>
      </c>
      <c r="K573" t="inlineStr">
        <is>
          <t>Airwair International Ltd</t>
        </is>
      </c>
      <c r="L573" s="869" t="n">
        <v>45192</v>
      </c>
      <c r="M573" s="869" t="n">
        <v>48844</v>
      </c>
      <c r="O573" s="869" t="n">
        <v>47019</v>
      </c>
      <c r="P573" s="869" t="n">
        <v>47018</v>
      </c>
      <c r="Q573" t="n">
        <v>325000</v>
      </c>
      <c r="R573">
        <f>R419</f>
        <v/>
      </c>
      <c r="T573" t="n">
        <v>650000</v>
      </c>
      <c r="U573">
        <f>U419</f>
        <v/>
      </c>
      <c r="V573" t="n">
        <v>758000</v>
      </c>
      <c r="W573">
        <f>W419</f>
        <v/>
      </c>
      <c r="X573">
        <f>W419/I419</f>
        <v/>
      </c>
      <c r="Y573">
        <f>SUM(W419-U419)/U419</f>
        <v/>
      </c>
      <c r="Z573" t="inlineStr">
        <is>
          <t>C</t>
        </is>
      </c>
      <c r="AC573" t="inlineStr">
        <is>
          <t>No</t>
        </is>
      </c>
      <c r="AD573" t="inlineStr">
        <is>
          <t>Rent rising to £650,000 wef 23/12/25. In addition, turnover rent payable if 10% turnover exceeds £650,000.</t>
        </is>
      </c>
      <c r="AI573" t="inlineStr">
        <is>
          <t>Let</t>
        </is>
      </c>
    </row>
    <row r="574">
      <c r="A574" t="inlineStr">
        <is>
          <t xml:space="preserve">  Retail</t>
        </is>
      </c>
      <c r="B574" t="inlineStr">
        <is>
          <t>CD</t>
        </is>
      </c>
      <c r="C574" t="inlineStr">
        <is>
          <t>OOS</t>
        </is>
      </c>
      <c r="D574" t="n">
        <v>888010</v>
      </c>
      <c r="E574" t="inlineStr">
        <is>
          <t>184-190 Oxford Street &amp; 28/30 Market Place</t>
        </is>
      </c>
      <c r="F574" t="inlineStr">
        <is>
          <t>190 Oxford Street (B &amp; G)</t>
        </is>
      </c>
      <c r="G574" t="inlineStr">
        <is>
          <t>Retail</t>
        </is>
      </c>
      <c r="H574" t="n">
        <v>5350</v>
      </c>
      <c r="I574">
        <f>I420</f>
        <v/>
      </c>
      <c r="J574" t="n">
        <v>5500</v>
      </c>
      <c r="K574" t="inlineStr">
        <is>
          <t>Office Holdings Ltd</t>
        </is>
      </c>
      <c r="L574" s="869" t="n">
        <v>40651</v>
      </c>
      <c r="M574" s="869" t="n">
        <v>46129</v>
      </c>
      <c r="O574" s="869" t="n">
        <v>44304</v>
      </c>
      <c r="Q574" t="n">
        <v>730000</v>
      </c>
      <c r="R574">
        <f>R420</f>
        <v/>
      </c>
      <c r="T574" t="n">
        <v>400000</v>
      </c>
      <c r="U574">
        <f>U420</f>
        <v/>
      </c>
      <c r="V574" t="n">
        <v>450000</v>
      </c>
      <c r="W574">
        <f>W420</f>
        <v/>
      </c>
      <c r="X574">
        <f>W420/I420</f>
        <v/>
      </c>
      <c r="Y574">
        <f>SUM(W420-U420)/U420</f>
        <v/>
      </c>
      <c r="Z574" t="inlineStr">
        <is>
          <t>C</t>
        </is>
      </c>
      <c r="AC574" t="inlineStr">
        <is>
          <t>Yes</t>
        </is>
      </c>
      <c r="AI574" t="inlineStr">
        <is>
          <t>Let</t>
        </is>
      </c>
    </row>
    <row r="575">
      <c r="A575" t="inlineStr">
        <is>
          <t xml:space="preserve">  Retail</t>
        </is>
      </c>
      <c r="B575" t="inlineStr">
        <is>
          <t>CD</t>
        </is>
      </c>
      <c r="C575" t="inlineStr">
        <is>
          <t>OOS</t>
        </is>
      </c>
      <c r="D575" t="n">
        <v>888010</v>
      </c>
      <c r="E575" t="inlineStr">
        <is>
          <t>184-190 Oxford Street &amp; 28/30 Market Place</t>
        </is>
      </c>
      <c r="F575" t="inlineStr">
        <is>
          <t>1st Floor, 28 Market Place</t>
        </is>
      </c>
      <c r="G575" t="inlineStr">
        <is>
          <t>Retail</t>
        </is>
      </c>
      <c r="H575" t="n">
        <v>2044</v>
      </c>
      <c r="I575">
        <f>I421</f>
        <v/>
      </c>
      <c r="J575" t="n">
        <v>2000</v>
      </c>
      <c r="K575" t="inlineStr">
        <is>
          <t>EP Commodities Ltd</t>
        </is>
      </c>
      <c r="L575" s="869" t="n">
        <v>42650</v>
      </c>
      <c r="M575" s="869" t="n">
        <v>46301</v>
      </c>
      <c r="O575" s="869" t="n">
        <v>45885</v>
      </c>
      <c r="Q575" t="n">
        <v>115701</v>
      </c>
      <c r="R575">
        <f>R421</f>
        <v/>
      </c>
      <c r="T575" t="n">
        <v>110000</v>
      </c>
      <c r="U575">
        <f>U421</f>
        <v/>
      </c>
      <c r="V575" t="n">
        <v>112000</v>
      </c>
      <c r="W575">
        <f>W421</f>
        <v/>
      </c>
      <c r="X575">
        <f>W421/I421</f>
        <v/>
      </c>
      <c r="Y575">
        <f>SUM(W421-U421)/U421</f>
        <v/>
      </c>
      <c r="Z575" t="inlineStr">
        <is>
          <t>B</t>
        </is>
      </c>
      <c r="AC575" t="inlineStr">
        <is>
          <t>No</t>
        </is>
      </c>
      <c r="AD575" t="inlineStr">
        <is>
          <t xml:space="preserve">Annual RPI rent increase (min 1%, max 4%). </t>
        </is>
      </c>
      <c r="AI575" t="inlineStr">
        <is>
          <t>Let</t>
        </is>
      </c>
    </row>
    <row r="576">
      <c r="A576" t="inlineStr">
        <is>
          <t xml:space="preserve">  Office</t>
        </is>
      </c>
      <c r="B576" t="inlineStr">
        <is>
          <t>CD</t>
        </is>
      </c>
      <c r="C576" t="inlineStr">
        <is>
          <t>OOS</t>
        </is>
      </c>
      <c r="D576" t="n">
        <v>888010</v>
      </c>
      <c r="E576" t="inlineStr">
        <is>
          <t>184-190 Oxford Street &amp; 28/30 Market Place</t>
        </is>
      </c>
      <c r="F576" t="inlineStr">
        <is>
          <t>2nd Floor, 30 Market Place</t>
        </is>
      </c>
      <c r="G576" t="inlineStr">
        <is>
          <t>Office</t>
        </is>
      </c>
      <c r="H576" t="n">
        <v>4463</v>
      </c>
      <c r="I576">
        <f>I422</f>
        <v/>
      </c>
      <c r="J576" t="n">
        <v>4500</v>
      </c>
      <c r="K576" t="inlineStr">
        <is>
          <t>Joint London Ltd</t>
        </is>
      </c>
      <c r="L576" s="869" t="n">
        <v>42286</v>
      </c>
      <c r="M576" s="869" t="n">
        <v>45938</v>
      </c>
      <c r="O576" s="869" t="n">
        <v>44113</v>
      </c>
      <c r="Q576" t="n">
        <v>367290</v>
      </c>
      <c r="R576">
        <f>R422</f>
        <v/>
      </c>
      <c r="T576" t="n">
        <v>345000</v>
      </c>
      <c r="U576">
        <f>U422</f>
        <v/>
      </c>
      <c r="V576" t="n">
        <v>368000</v>
      </c>
      <c r="W576">
        <f>W422</f>
        <v/>
      </c>
      <c r="X576">
        <f>W422/I422</f>
        <v/>
      </c>
      <c r="Y576">
        <f>SUM(W422-U422)/U422</f>
        <v/>
      </c>
      <c r="Z576" t="inlineStr">
        <is>
          <t>B</t>
        </is>
      </c>
      <c r="AC576" t="inlineStr">
        <is>
          <t>No</t>
        </is>
      </c>
      <c r="AI576" t="inlineStr">
        <is>
          <t>Let</t>
        </is>
      </c>
    </row>
    <row r="577">
      <c r="A577" t="inlineStr">
        <is>
          <t xml:space="preserve">  Office</t>
        </is>
      </c>
      <c r="B577" t="inlineStr">
        <is>
          <t>CD</t>
        </is>
      </c>
      <c r="C577" t="inlineStr">
        <is>
          <t>OOS</t>
        </is>
      </c>
      <c r="D577" t="n">
        <v>888010</v>
      </c>
      <c r="E577" t="inlineStr">
        <is>
          <t>184-190 Oxford Street &amp; 28/30 Market Place</t>
        </is>
      </c>
      <c r="F577" t="inlineStr">
        <is>
          <t>3rd Floor, 30 Market Place</t>
        </is>
      </c>
      <c r="G577" t="inlineStr">
        <is>
          <t>Office</t>
        </is>
      </c>
      <c r="H577" t="n">
        <v>4462</v>
      </c>
      <c r="I577">
        <f>I423</f>
        <v/>
      </c>
      <c r="J577" t="n">
        <v>4500</v>
      </c>
      <c r="K577" t="inlineStr">
        <is>
          <t>Vacant</t>
        </is>
      </c>
      <c r="N577" s="869" t="n">
        <v>45490</v>
      </c>
      <c r="Q577" t="n">
        <v>0</v>
      </c>
      <c r="R577">
        <f>R423</f>
        <v/>
      </c>
      <c r="T577" t="n">
        <v>357800</v>
      </c>
      <c r="U577">
        <f>U423</f>
        <v/>
      </c>
      <c r="V577" t="n">
        <v>379000</v>
      </c>
      <c r="W577">
        <f>W423</f>
        <v/>
      </c>
      <c r="X577">
        <f>W423/I423</f>
        <v/>
      </c>
      <c r="Y577">
        <f>SUM(W423-U423)/U423</f>
        <v/>
      </c>
      <c r="Z577" t="inlineStr">
        <is>
          <t>A</t>
        </is>
      </c>
      <c r="AD577" t="inlineStr">
        <is>
          <t>LEM marketing.</t>
        </is>
      </c>
      <c r="AE577" t="n">
        <v>85</v>
      </c>
      <c r="AF577" t="n">
        <v>2</v>
      </c>
      <c r="AG577" t="n">
        <v>7</v>
      </c>
      <c r="AH577" t="inlineStr">
        <is>
          <t>LEM / EC&amp;P</t>
        </is>
      </c>
      <c r="AI577" t="inlineStr">
        <is>
          <t>Void</t>
        </is>
      </c>
    </row>
    <row r="578">
      <c r="A578" t="inlineStr">
        <is>
          <t xml:space="preserve">  Office</t>
        </is>
      </c>
      <c r="B578" t="inlineStr">
        <is>
          <t>CD</t>
        </is>
      </c>
      <c r="C578" t="inlineStr">
        <is>
          <t>OOS</t>
        </is>
      </c>
      <c r="D578" t="n">
        <v>888010</v>
      </c>
      <c r="E578" t="inlineStr">
        <is>
          <t>184-190 Oxford Street &amp; 28/30 Market Place</t>
        </is>
      </c>
      <c r="F578" t="inlineStr">
        <is>
          <t>4th Floor, 30 Market Place</t>
        </is>
      </c>
      <c r="G578" t="inlineStr">
        <is>
          <t>Office</t>
        </is>
      </c>
      <c r="H578" t="n">
        <v>4250</v>
      </c>
      <c r="I578">
        <f>I424</f>
        <v/>
      </c>
      <c r="J578" t="n">
        <v>4500</v>
      </c>
      <c r="K578" t="inlineStr">
        <is>
          <t>Ascot Lloyd Ltd</t>
        </is>
      </c>
      <c r="L578" s="869" t="n">
        <v>45786</v>
      </c>
      <c r="M578" s="869" t="n">
        <v>49437</v>
      </c>
      <c r="O578" s="869" t="n">
        <v>47612</v>
      </c>
      <c r="P578" s="869" t="n">
        <v>11086</v>
      </c>
      <c r="Q578" t="n">
        <v>0</v>
      </c>
      <c r="R578">
        <f>R424</f>
        <v/>
      </c>
      <c r="T578" t="n">
        <v>358600</v>
      </c>
      <c r="U578">
        <f>U424</f>
        <v/>
      </c>
      <c r="V578" t="n">
        <v>361000</v>
      </c>
      <c r="W578">
        <f>W424</f>
        <v/>
      </c>
      <c r="X578">
        <f>W424/I424</f>
        <v/>
      </c>
      <c r="Y578">
        <f>SUM(W424-U424)/U424</f>
        <v/>
      </c>
      <c r="Z578" t="inlineStr">
        <is>
          <t>A</t>
        </is>
      </c>
      <c r="AD578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578" t="n">
        <v>85</v>
      </c>
      <c r="AF578" t="n">
        <v>1</v>
      </c>
      <c r="AG578" t="n">
        <v>5</v>
      </c>
      <c r="AH578" t="inlineStr">
        <is>
          <t>LEM / EC&amp;P</t>
        </is>
      </c>
      <c r="AI578" t="inlineStr">
        <is>
          <t>Let</t>
        </is>
      </c>
    </row>
    <row r="579">
      <c r="A579" t="inlineStr">
        <is>
          <t xml:space="preserve">  Office</t>
        </is>
      </c>
      <c r="B579" t="inlineStr">
        <is>
          <t>CD</t>
        </is>
      </c>
      <c r="C579" t="inlineStr">
        <is>
          <t>OOS</t>
        </is>
      </c>
      <c r="D579" t="n">
        <v>888010</v>
      </c>
      <c r="E579" t="inlineStr">
        <is>
          <t>184-190 Oxford Street &amp; 28/30 Market Place</t>
        </is>
      </c>
      <c r="F579" t="inlineStr">
        <is>
          <t>5th Floor, 30 Market Place</t>
        </is>
      </c>
      <c r="G579" t="inlineStr">
        <is>
          <t>Office</t>
        </is>
      </c>
      <c r="H579" t="n">
        <v>3999</v>
      </c>
      <c r="I579">
        <f>I425</f>
        <v/>
      </c>
      <c r="J579" t="n">
        <v>4000</v>
      </c>
      <c r="K579" t="inlineStr">
        <is>
          <t>Nchain Ltd</t>
        </is>
      </c>
      <c r="L579" s="869" t="n">
        <v>44183</v>
      </c>
      <c r="M579" s="869" t="n">
        <v>46373</v>
      </c>
      <c r="Q579" t="n">
        <v>348163</v>
      </c>
      <c r="R579">
        <f>R425</f>
        <v/>
      </c>
      <c r="T579" t="n">
        <v>352000</v>
      </c>
      <c r="U579">
        <f>U425</f>
        <v/>
      </c>
      <c r="V579" t="n">
        <v>350000</v>
      </c>
      <c r="W579">
        <f>W425</f>
        <v/>
      </c>
      <c r="X579">
        <f>W425/I425</f>
        <v/>
      </c>
      <c r="Y579">
        <f>SUM(W425-U425)/U425</f>
        <v/>
      </c>
      <c r="Z579" t="inlineStr">
        <is>
          <t>B</t>
        </is>
      </c>
      <c r="AC579" t="inlineStr">
        <is>
          <t>No</t>
        </is>
      </c>
      <c r="AD579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I579" t="inlineStr">
        <is>
          <t>Let</t>
        </is>
      </c>
    </row>
    <row r="580">
      <c r="A580" t="inlineStr">
        <is>
          <t xml:space="preserve">  Office</t>
        </is>
      </c>
      <c r="B580" t="inlineStr">
        <is>
          <t>CD</t>
        </is>
      </c>
      <c r="C580" t="inlineStr">
        <is>
          <t>OOS</t>
        </is>
      </c>
      <c r="D580" t="n">
        <v>888010</v>
      </c>
      <c r="E580" t="inlineStr">
        <is>
          <t>184-190 Oxford Street &amp; 28/30 Market Place</t>
        </is>
      </c>
      <c r="F580" t="inlineStr">
        <is>
          <t>6th Floor, 30 Market Place</t>
        </is>
      </c>
      <c r="G580" t="inlineStr">
        <is>
          <t>Office</t>
        </is>
      </c>
      <c r="H580" t="n">
        <v>3145</v>
      </c>
      <c r="I580">
        <f>I426</f>
        <v/>
      </c>
      <c r="J580" t="n">
        <v>3000</v>
      </c>
      <c r="K580" t="inlineStr">
        <is>
          <t>Nchain Ltd</t>
        </is>
      </c>
      <c r="L580" s="869" t="n">
        <v>44217</v>
      </c>
      <c r="M580" s="869" t="n">
        <v>46373</v>
      </c>
      <c r="Q580" t="n">
        <v>281873</v>
      </c>
      <c r="R580">
        <f>R426</f>
        <v/>
      </c>
      <c r="T580" t="n">
        <v>284800</v>
      </c>
      <c r="U580">
        <f>U426</f>
        <v/>
      </c>
      <c r="V580" t="n">
        <v>283000</v>
      </c>
      <c r="W580">
        <f>W426</f>
        <v/>
      </c>
      <c r="X580">
        <f>W426/I426</f>
        <v/>
      </c>
      <c r="Y580">
        <f>SUM(W426-U426)/U426</f>
        <v/>
      </c>
      <c r="Z580" t="inlineStr">
        <is>
          <t>B</t>
        </is>
      </c>
      <c r="AC580" t="inlineStr">
        <is>
          <t>No</t>
        </is>
      </c>
      <c r="AD580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I580" t="inlineStr">
        <is>
          <t>Let</t>
        </is>
      </c>
    </row>
    <row r="581">
      <c r="A581" t="inlineStr">
        <is>
          <t xml:space="preserve">  Sub-Station</t>
        </is>
      </c>
      <c r="B581" t="inlineStr">
        <is>
          <t>CD</t>
        </is>
      </c>
      <c r="C581" t="inlineStr">
        <is>
          <t>OOS</t>
        </is>
      </c>
      <c r="D581" t="n">
        <v>888010</v>
      </c>
      <c r="E581" t="inlineStr">
        <is>
          <t>184-190 Oxford Street &amp; 28/30 Market Place</t>
        </is>
      </c>
      <c r="F581" t="inlineStr">
        <is>
          <t>Part Basement</t>
        </is>
      </c>
      <c r="G581" t="inlineStr">
        <is>
          <t>Sub-Station</t>
        </is>
      </c>
      <c r="H581" t="n">
        <v>0</v>
      </c>
      <c r="I581">
        <f>I427</f>
        <v/>
      </c>
      <c r="K581" t="inlineStr">
        <is>
          <t>EDF</t>
        </is>
      </c>
      <c r="L581" s="869" t="n">
        <v>20814</v>
      </c>
      <c r="M581" s="869" t="n">
        <v>39073</v>
      </c>
      <c r="Q581" t="n">
        <v>0</v>
      </c>
      <c r="R581">
        <f>R427</f>
        <v/>
      </c>
      <c r="T581" t="n">
        <v>0</v>
      </c>
      <c r="U581">
        <f>U427</f>
        <v/>
      </c>
      <c r="V581" t="n">
        <v>0</v>
      </c>
      <c r="W581">
        <f>W427</f>
        <v/>
      </c>
      <c r="AC581" t="inlineStr">
        <is>
          <t>Yes</t>
        </is>
      </c>
      <c r="AD581" t="inlineStr">
        <is>
          <t>New lease in negotiation. £1k max from date of purchase.</t>
        </is>
      </c>
      <c r="AI581" t="inlineStr">
        <is>
          <t>Let</t>
        </is>
      </c>
    </row>
    <row r="582"/>
    <row r="583"/>
    <row r="584"/>
    <row r="585">
      <c r="A585" t="inlineStr">
        <is>
          <t>Legacy View - Traditional building/unit structure</t>
        </is>
      </c>
    </row>
    <row r="586">
      <c r="A586" t="inlineStr">
        <is>
          <t>Shows all original data columns in hierarchical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2025-11-24T10:09:03Z</dcterms:modified>
  <cp:lastModifiedBy>William Spencer</cp:lastModifiedBy>
  <cp:lastPrinted>2025-06-30T15:43:09Z</cp:lastPrinted>
</cp:coreProperties>
</file>